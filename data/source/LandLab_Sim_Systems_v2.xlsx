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9.xml" ContentType="application/vnd.openxmlformats-officedocument.spreadsheetml.worksheet+xml"/>
  <Override PartName="/xl/worksheets/sheet5.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6.xml" ContentType="application/vnd.openxmlformats-officedocument.spreadsheetml.worksheet+xml"/>
  <Override PartName="/xl/comments4.xml" ContentType="application/vnd.openxmlformats-officedocument.spreadsheetml.comments+xml"/>
  <Override PartName="/xl/theme/theme1.xml" ContentType="application/vnd.openxmlformats-officedocument.theme+xml"/>
  <Override PartName="/xl/drawings/vmlDrawing1.vml" ContentType="application/vnd.openxmlformats-officedocument.vmlDrawing"/>
  <Override PartName="/xl/drawings/vmlDrawing2.vml" ContentType="application/vnd.openxmlformats-officedocument.vmlDrawing"/>
  <Override PartName="/xl/comments5.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Needs Checklist" sheetId="2" state="visible" r:id="rId4"/>
    <sheet name="Design Summary" sheetId="3" state="visible" r:id="rId5"/>
    <sheet name="Systems" sheetId="4" state="visible" r:id="rId6"/>
    <sheet name="Flows" sheetId="5" state="visible" r:id="rId7"/>
    <sheet name="Resources" sheetId="6" state="visible" r:id="rId8"/>
    <sheet name="Matrix" sheetId="7" state="visible" r:id="rId9"/>
    <sheet name="Categories" sheetId="8" state="visible" r:id="rId10"/>
    <sheet name="Assumptions" sheetId="9" state="visible" r:id="rId11"/>
  </sheets>
  <calcPr iterateCount="100" refMode="A1" iterate="false" iterateDelta="0.0001"/>
  <extLst>
    <ext xmlns:loext="http://schemas.libreoffice.org/" uri="{7626C862-2A13-11E5-B345-FEFF819CDC9F}">
      <loext:extCalcPr stringRefSyntax="ExcelA1"/>
    </ext>
  </extLst>
</workbook>
</file>

<file path=xl/comments4.xml><?xml version="1.0" encoding="utf-8"?>
<comments xmlns="http://schemas.openxmlformats.org/spreadsheetml/2006/main" xmlns:xdr="http://schemas.openxmlformats.org/drawingml/2006/spreadsheetDrawing">
  <authors>
    <author>Unknown Author</author>
  </authors>
  <commentList>
    <comment ref="I1" authorId="0">
      <text>
        <r>
          <rPr>
            <sz val="10"/>
            <rFont val="Arial"/>
            <family val="2"/>
          </rPr>
          <t xml:space="preserve">Lower of purchase and DIY cost (purchase if no DIY option).</t>
        </r>
      </text>
    </comment>
    <comment ref="O1" authorId="0">
      <text>
        <r>
          <rPr>
            <sz val="10"/>
            <rFont val="Arial"/>
            <family val="2"/>
          </rPr>
          <t xml:space="preserve">Heat lost per hour, per °F of indoor-outdoor difference, per sq ft of floor. Tent ~1.2, code-built cabin ~0.3, passive house ~0.05. Drives the Heat and Cooling inputs.</t>
        </r>
      </text>
    </comment>
    <comment ref="R1" authorId="0">
      <text>
        <r>
          <rPr>
            <sz val="10"/>
            <rFont val="Arial"/>
            <family val="2"/>
          </rPr>
          <t xml:space="preserve">Yellow: how many of this system are in your design. The Needs Checklist and Design Summary update from these counts. The starter design mirrors the 11-system layout from the game screenshot.</t>
        </r>
      </text>
    </comment>
  </commentList>
</comments>
</file>

<file path=xl/comments5.xml><?xml version="1.0" encoding="utf-8"?>
<comments xmlns="http://schemas.openxmlformats.org/spreadsheetml/2006/main" xmlns:xdr="http://schemas.openxmlformats.org/drawingml/2006/spreadsheetDrawing">
  <authors>
    <author>Unknown Author</author>
  </authors>
  <commentList>
    <comment ref="E1" authorId="0">
      <text>
        <r>
          <rPr>
            <sz val="10"/>
            <rFont val="Arial"/>
            <family val="2"/>
          </rPr>
          <t xml:space="preserve">Yellow: quantity per period in the resource's unit. Blue = typed value; green = formula tied to Assumptions (climate).</t>
        </r>
      </text>
    </comment>
  </commentList>
</comments>
</file>

<file path=xl/sharedStrings.xml><?xml version="1.0" encoding="utf-8"?>
<sst xmlns="http://schemas.openxmlformats.org/spreadsheetml/2006/main" count="6378" uniqueCount="1953">
  <si>
    <t xml:space="preserve">LandLab-style Simulator - Systems &amp; Flows (v2)</t>
  </si>
  <si>
    <t xml:space="preserve">What this is</t>
  </si>
  <si>
    <t xml:space="preserve">The full systems catalog for the clone: 168 systems, 797 input/output flows, and 62 resources, with quantities, periods, costs, and labor. A working balance model sits on top, so the Needs Checklist works like the game's results table.</t>
  </si>
  <si>
    <t xml:space="preserve">How to use it</t>
  </si>
  <si>
    <t xml:space="preserve">Set counts in the yellow "Count in design" column on Systems (a starter design matching the game screenshot is loaded). Then read Needs Checklist and Design Summary. Change climate on Assumptions.</t>
  </si>
  <si>
    <t xml:space="preserve">Color key</t>
  </si>
  <si>
    <t xml:space="preserve">Yellow fill = cells to edit. Blue text = typed inputs. Green text = formulas tied to Assumptions or another sheet. Black = calculated.</t>
  </si>
  <si>
    <t xml:space="preserve">Sheet: Needs Checklist</t>
  </si>
  <si>
    <t xml:space="preserve">The game's 11-row results table, driven by the design. Provided vs needed per week, % covered, overall score.</t>
  </si>
  <si>
    <t xml:space="preserve">Sheet: Design Summary</t>
  </si>
  <si>
    <t xml:space="preserve">Costs, setup labor, weekly labor, land used, days of water and battery storage, weekly cash flow.</t>
  </si>
  <si>
    <t xml:space="preserve">Sheet: Systems</t>
  </si>
  <si>
    <t xml:space="preserve">One row per system: categories, cost (purchase and DIY), setup and weekly labor, footprint, lifespan, thermal and rain-catchment parameters, and provenance.</t>
  </si>
  <si>
    <t xml:space="preserve">Sheet: Flows</t>
  </si>
  <si>
    <t xml:space="preserve">THE MODEL TABLE. One row per input or output: quantity, unit (looked up from Resources so every resource has one unit), and period. Weekly-equivalent and design totals are formulas.</t>
  </si>
  <si>
    <t xml:space="preserve">Sheet: Resources</t>
  </si>
  <si>
    <t xml:space="preserve">Every resource with unit, class (Flow / Capacity / Ambient / Service / Money), its checklist row and conversion factor, and a live weekly balance for the design.</t>
  </si>
  <si>
    <t xml:space="preserve">Sheet: Matrix</t>
  </si>
  <si>
    <t xml:space="preserve">System x resource grid: IN (blue), OUT (green), I/O (yellow).</t>
  </si>
  <si>
    <t xml:space="preserve">Sheet: Categories</t>
  </si>
  <si>
    <t xml:space="preserve">The dropdown categories with live counts against the 3-20 target (12-20 for Energy and Shelter).</t>
  </si>
  <si>
    <t xml:space="preserve">Sheet: Assumptions</t>
  </si>
  <si>
    <t xml:space="preserve">Climate (degree-days, sun, rain, wind) and the period conversion table.</t>
  </si>
  <si>
    <t xml:space="preserve">Periods</t>
  </si>
  <si>
    <t xml:space="preserve">Each flow has a period: Daily, Weekly, Monthly, Per season, Yearly, One-time, or Capacity. Everything is converted to a weekly average for balancing. One-time flows (setup materials) are excluded from weekly totals. Capacity flows (sq ft of shelter, gallons of tank) are stocks, not consumption, and compare one-to-one.</t>
  </si>
  <si>
    <t xml:space="preserve">Needs come from inputs</t>
  </si>
  <si>
    <t xml:space="preserve">Human Being is a system (as in the game's design list). Its inputs are the per-person needs. Animals, gardens, and shelters add their own inputs to the same rows, so "needed" is the whole network's demand.</t>
  </si>
  <si>
    <t xml:space="preserve">Heating and cooling</t>
  </si>
  <si>
    <t xml:space="preserve">Heat and cooling needs belong to shelters, not people: area x heat-loss factor x degree-days. A tent needs far more heat than a straw bale house of the same size. This replaces fixed numbers like "1000 BTU daily cooling".</t>
  </si>
  <si>
    <t xml:space="preserve">Climate-linked flows</t>
  </si>
  <si>
    <t xml:space="preserve">Sunlight inputs, solar/wind/hydro outputs, rainfall, rain catchment, and shelter heating/cooling loads are formulas on Assumptions (green text). Everything else is a typed estimate.</t>
  </si>
  <si>
    <t xml:space="preserve">Changes from v1</t>
  </si>
  <si>
    <t xml:space="preserve">Categories normalized to the 24 dropdown categories (Plant merged into Plants; Foul renamed Fowl; off-dropdown tags folded in, originals kept in "Original game tags"). New Household category for Human Being.</t>
  </si>
  <si>
    <t xml:space="preserve">Game systems with N/A inputs/outputs were filled in (Source says so). Woody Biomass self-loop replaced with a harvest. Sunlight now outputs Sunlight instead of Heat. Green feed merged into Green biomass. Pollen dropped (no consumer). GoSun Cooler outputs Food storage, IBC Tank outputs Water storage, Solar Hot Water Heater outputs Hot water.</t>
  </si>
  <si>
    <t xml:space="preserve">Raised Beds recalibrated: the game card shows 8 lbs/week and 100 gal/week from 24 sq ft; realistic intensive yields are ~18 lbs/season and ~15 gal/week.</t>
  </si>
  <si>
    <t xml:space="preserve">Labor: the game shows both a Labor input and a separate "weekly maintenance" estimate that disagree. Here weekly upkeep (Systems col K) is added to each system's Labor input automatically.</t>
  </si>
  <si>
    <t xml:space="preserve">New resources: Hot water, Greywater, Root crops, Grain, Meat, Milk, Fish, Nuts, Mushrooms, Hay, Gasoline, Propane, Wool, Rainfall, Wind, Stream flow, Water storage, Battery storage, Food storage, Land area, Fenced paddock, Nesting habitat, Pest control.</t>
  </si>
  <si>
    <t xml:space="preserve">Known limits</t>
  </si>
  <si>
    <t xml:space="preserve">Numbers are rounded rules of thumb (see Confidence column), not engineering sizing. Weekly averages hide seasonality: a garden's output and a stove's fuel use are spread across the year. The balance assumes every system runs at its rated flow; a real engine must curtail systems when inputs run short.</t>
  </si>
  <si>
    <t xml:space="preserve">Waste lumber has no on-site producer on purpose: it must be brought in. Several resources are end products (Wool, Wellbeing, storage capacities).</t>
  </si>
  <si>
    <t xml:space="preserve">Human Needs Checklist</t>
  </si>
  <si>
    <t xml:space="preserve">Humans in design</t>
  </si>
  <si>
    <t xml:space="preserve">Overall off-grid score</t>
  </si>
  <si>
    <t xml:space="preserve">Human need</t>
  </si>
  <si>
    <t xml:space="preserve">Unit</t>
  </si>
  <si>
    <t xml:space="preserve">Provided by your design (per week)</t>
  </si>
  <si>
    <t xml:space="preserve">% of need covered</t>
  </si>
  <si>
    <t xml:space="preserve">Covered?</t>
  </si>
  <si>
    <t xml:space="preserve">Resources that feed this row</t>
  </si>
  <si>
    <t xml:space="preserve">Water</t>
  </si>
  <si>
    <t xml:space="preserve">gal</t>
  </si>
  <si>
    <t xml:space="preserve">Drinking water</t>
  </si>
  <si>
    <t xml:space="preserve">Food</t>
  </si>
  <si>
    <t xml:space="preserve">kcal</t>
  </si>
  <si>
    <t xml:space="preserve">Food; Vegetables fruit fiber herbs; Root crops; Grain; Eggs; Honey; Meat; Milk; Fish; Nuts; Mushrooms</t>
  </si>
  <si>
    <t xml:space="preserve">Shelter</t>
  </si>
  <si>
    <t xml:space="preserve">sq ft</t>
  </si>
  <si>
    <t xml:space="preserve">Sanitation</t>
  </si>
  <si>
    <t xml:space="preserve">lbs</t>
  </si>
  <si>
    <t xml:space="preserve">Electricity</t>
  </si>
  <si>
    <t xml:space="preserve">kWh</t>
  </si>
  <si>
    <t xml:space="preserve">Transportation</t>
  </si>
  <si>
    <t xml:space="preserve">miles</t>
  </si>
  <si>
    <t xml:space="preserve">Cooking fuel</t>
  </si>
  <si>
    <t xml:space="preserve">hours</t>
  </si>
  <si>
    <t xml:space="preserve">Heated shelter</t>
  </si>
  <si>
    <t xml:space="preserve">BTU</t>
  </si>
  <si>
    <t xml:space="preserve">Heat</t>
  </si>
  <si>
    <t xml:space="preserve">Cooled shelter</t>
  </si>
  <si>
    <t xml:space="preserve">Cooling</t>
  </si>
  <si>
    <t xml:space="preserve">Est. Required Labor</t>
  </si>
  <si>
    <t xml:space="preserve">Labor</t>
  </si>
  <si>
    <t xml:space="preserve">How it is computed</t>
  </si>
  <si>
    <t xml:space="preserve">Provided = every Output flow of that resource family x count in design, converted to the row unit (e.g. lbs of vegetables x 150 kcal). Needed = every Input flow the same way, so animals, gardens, and shelters add to the need alongside people. % = provided / needed, capped at 100%. Overall score = average of rows that have any need.</t>
  </si>
  <si>
    <t xml:space="preserve">Design summary</t>
  </si>
  <si>
    <t xml:space="preserve">Everything here updates from the yellow "Count in design" column on Systems.</t>
  </si>
  <si>
    <t xml:space="preserve">Metric</t>
  </si>
  <si>
    <t xml:space="preserve">Value</t>
  </si>
  <si>
    <t xml:space="preserve">Humans</t>
  </si>
  <si>
    <t xml:space="preserve">people</t>
  </si>
  <si>
    <t xml:space="preserve">Count of Human Being.</t>
  </si>
  <si>
    <t xml:space="preserve">Systems placed (excluding people and site)</t>
  </si>
  <si>
    <t xml:space="preserve">systems</t>
  </si>
  <si>
    <t xml:space="preserve">Sum of counts, minus Human Being and zero-footprint Land systems (Sunlight, Rainfall, etc.).</t>
  </si>
  <si>
    <t xml:space="preserve">%</t>
  </si>
  <si>
    <t xml:space="preserve">Average coverage across the checklist.</t>
  </si>
  <si>
    <t xml:space="preserve">Purchase cost (ready-made)</t>
  </si>
  <si>
    <t xml:space="preserve">$</t>
  </si>
  <si>
    <t xml:space="preserve">Sum of purchase cost x count.</t>
  </si>
  <si>
    <t xml:space="preserve">Cheapest build cost</t>
  </si>
  <si>
    <t xml:space="preserve">DIY where offered, otherwise purchase.</t>
  </si>
  <si>
    <t xml:space="preserve">Setup labor</t>
  </si>
  <si>
    <t xml:space="preserve">One-time build hours.</t>
  </si>
  <si>
    <t xml:space="preserve">Labor available per week</t>
  </si>
  <si>
    <t xml:space="preserve">hours/week</t>
  </si>
  <si>
    <t xml:space="preserve">Labor output of Human Being x count.</t>
  </si>
  <si>
    <t xml:space="preserve">Labor required per week</t>
  </si>
  <si>
    <t xml:space="preserve">All Labor inputs, including upkeep and jobs.</t>
  </si>
  <si>
    <t xml:space="preserve">Land available</t>
  </si>
  <si>
    <t xml:space="preserve">From Land Title or Mortgage.</t>
  </si>
  <si>
    <t xml:space="preserve">Land used by footprints</t>
  </si>
  <si>
    <t xml:space="preserve">Footprint x count. Roof-mounted systems overlap shelters in reality.</t>
  </si>
  <si>
    <t xml:space="preserve">Land used (% of available)</t>
  </si>
  <si>
    <t xml:space="preserve">Over 100% means the design does not fit.</t>
  </si>
  <si>
    <t xml:space="preserve">Water storage</t>
  </si>
  <si>
    <t xml:space="preserve">Tanks, cisterns, ponds.</t>
  </si>
  <si>
    <t xml:space="preserve">Days of water in storage</t>
  </si>
  <si>
    <t xml:space="preserve">days</t>
  </si>
  <si>
    <t xml:space="preserve">Storage divided by daily water + drinking-water need.</t>
  </si>
  <si>
    <t xml:space="preserve">Battery storage</t>
  </si>
  <si>
    <t xml:space="preserve">Usable battery capacity.</t>
  </si>
  <si>
    <t xml:space="preserve">Days of electricity in batteries</t>
  </si>
  <si>
    <t xml:space="preserve">Battery kWh divided by daily electricity need.</t>
  </si>
  <si>
    <t xml:space="preserve">Food storage</t>
  </si>
  <si>
    <t xml:space="preserve">cu ft</t>
  </si>
  <si>
    <t xml:space="preserve">Cellar, freezer, canned and dried goods.</t>
  </si>
  <si>
    <t xml:space="preserve">Capital in per week</t>
  </si>
  <si>
    <t xml:space="preserve">$/week</t>
  </si>
  <si>
    <t xml:space="preserve">Income from Average Job.</t>
  </si>
  <si>
    <t xml:space="preserve">Capital out per week</t>
  </si>
  <si>
    <t xml:space="preserve">Running costs of conventional systems.</t>
  </si>
  <si>
    <t xml:space="preserve">Net capital per week</t>
  </si>
  <si>
    <t xml:space="preserve">Negative means the design burns savings.</t>
  </si>
  <si>
    <t xml:space="preserve">Wellbeing points per week</t>
  </si>
  <si>
    <t xml:space="preserve">points</t>
  </si>
  <si>
    <t xml:space="preserve">Game-style score.</t>
  </si>
  <si>
    <t xml:space="preserve">Resources in deficit</t>
  </si>
  <si>
    <t xml:space="preserve">resources</t>
  </si>
  <si>
    <t xml:space="preserve">See Resources, column L.</t>
  </si>
  <si>
    <t xml:space="preserve">System ID</t>
  </si>
  <si>
    <t xml:space="preserve">System</t>
  </si>
  <si>
    <t xml:space="preserve">Categories</t>
  </si>
  <si>
    <t xml:space="preserve">Original game tags</t>
  </si>
  <si>
    <t xml:space="preserve">Source</t>
  </si>
  <si>
    <t xml:space="preserve">Description</t>
  </si>
  <si>
    <t xml:space="preserve">Purchase cost ($)</t>
  </si>
  <si>
    <t xml:space="preserve">DIY cost ($)</t>
  </si>
  <si>
    <t xml:space="preserve">Cheapest build ($)</t>
  </si>
  <si>
    <t xml:space="preserve">Setup labor (hrs)</t>
  </si>
  <si>
    <t xml:space="preserve">Weekly upkeep (hrs)</t>
  </si>
  <si>
    <t xml:space="preserve">Footprint (sq ft)</t>
  </si>
  <si>
    <t xml:space="preserve">Lifespan (yrs)</t>
  </si>
  <si>
    <t xml:space="preserve">Conditioned area (sq ft)</t>
  </si>
  <si>
    <t xml:space="preserve">Heat-loss factor (BTU/hr·°F per sq ft)</t>
  </si>
  <si>
    <t xml:space="preserve">Catchment area (sq ft)</t>
  </si>
  <si>
    <t xml:space="preserve">Capture efficiency</t>
  </si>
  <si>
    <t xml:space="preserve">Count in design</t>
  </si>
  <si>
    <t xml:space="preserve"># Inputs</t>
  </si>
  <si>
    <t xml:space="preserve"># Outputs</t>
  </si>
  <si>
    <t xml:space="preserve">Game-listed inputs</t>
  </si>
  <si>
    <t xml:space="preserve">Game-listed outputs</t>
  </si>
  <si>
    <t xml:space="preserve">Confidence</t>
  </si>
  <si>
    <t xml:space="preserve">Notes</t>
  </si>
  <si>
    <t xml:space="preserve">S001</t>
  </si>
  <si>
    <t xml:space="preserve">2kwh Lead Acid Battery</t>
  </si>
  <si>
    <t xml:space="preserve">Energy; Storage</t>
  </si>
  <si>
    <t xml:space="preserve">Battery; Energy; Storage</t>
  </si>
  <si>
    <t xml:space="preserve">Game (captured)</t>
  </si>
  <si>
    <t xml:space="preserve">Deep-cycle lead-acid bank; about 1 kWh usable at 50% depth of discharge.</t>
  </si>
  <si>
    <t xml:space="preserve">medium</t>
  </si>
  <si>
    <t xml:space="preserve">Stores and returns power with ~80% round-trip efficiency; a net user of electricity.</t>
  </si>
  <si>
    <t xml:space="preserve">S002</t>
  </si>
  <si>
    <t xml:space="preserve">500W Photovoltaic Panels</t>
  </si>
  <si>
    <t xml:space="preserve">Energy; Solar</t>
  </si>
  <si>
    <t xml:space="preserve">Ground- or roof-mounted 500 W panel set.</t>
  </si>
  <si>
    <t xml:space="preserve">Sunlight</t>
  </si>
  <si>
    <t xml:space="preserve">S003</t>
  </si>
  <si>
    <t xml:space="preserve">All Power Labs CHP</t>
  </si>
  <si>
    <t xml:space="preserve">Energy; Biomass</t>
  </si>
  <si>
    <t xml:space="preserve">Wood gasifier combined heat and power unit (PP20-class), run ~2 hrs/day.</t>
  </si>
  <si>
    <t xml:space="preserve">Wood pellets</t>
  </si>
  <si>
    <t xml:space="preserve">Heat; Biochar; Electricity</t>
  </si>
  <si>
    <t xml:space="preserve">low</t>
  </si>
  <si>
    <t xml:space="preserve">S004</t>
  </si>
  <si>
    <t xml:space="preserve">Biochar</t>
  </si>
  <si>
    <t xml:space="preserve">Biomass; Purification</t>
  </si>
  <si>
    <t xml:space="preserve">Open cone (Kon-Tiki style) kiln that turns brush into biochar.</t>
  </si>
  <si>
    <t xml:space="preserve">Woody biomass</t>
  </si>
  <si>
    <t xml:space="preserve">Added quench water. ~15% char yield by mass.</t>
  </si>
  <si>
    <t xml:space="preserve">S005</t>
  </si>
  <si>
    <t xml:space="preserve">Biochar Double Barrel Retort</t>
  </si>
  <si>
    <t xml:space="preserve">Biomass; Compost</t>
  </si>
  <si>
    <t xml:space="preserve">Energy; Compost</t>
  </si>
  <si>
    <t xml:space="preserve">Retort that bakes chips in an inner barrel with an outer fire.</t>
  </si>
  <si>
    <t xml:space="preserve">Wood chips; Woody biomass; Waste lumber</t>
  </si>
  <si>
    <t xml:space="preserve">Heat; Biochar</t>
  </si>
  <si>
    <t xml:space="preserve">Heat only counts if the retort sits beside a shelter; entered low.</t>
  </si>
  <si>
    <t xml:space="preserve">S006</t>
  </si>
  <si>
    <t xml:space="preserve">A-Frame House</t>
  </si>
  <si>
    <t xml:space="preserve">Kit-built A-frame, ~800 sq ft conditioned.</t>
  </si>
  <si>
    <t xml:space="preserve">Capital; Capital</t>
  </si>
  <si>
    <t xml:space="preserve">Capital = taxes, insurance, upkeep. Duplicate Capital pill merged.</t>
  </si>
  <si>
    <t xml:space="preserve">S007</t>
  </si>
  <si>
    <t xml:space="preserve">Average Suburban Home</t>
  </si>
  <si>
    <t xml:space="preserve">Shelter; Conventional</t>
  </si>
  <si>
    <t xml:space="preserve">Median US detached home on city water and sewer.</t>
  </si>
  <si>
    <t xml:space="preserve">Sanitation; Drinking water; Water; Roofing area; Shelter</t>
  </si>
  <si>
    <t xml:space="preserve">Includes municipal water/sewer and a gas water heater.</t>
  </si>
  <si>
    <t xml:space="preserve">S008</t>
  </si>
  <si>
    <t xml:space="preserve">Bell Tent</t>
  </si>
  <si>
    <t xml:space="preserve">Shelter; Canvas</t>
  </si>
  <si>
    <t xml:space="preserve">5 m canvas bell tent (~210 sq ft).</t>
  </si>
  <si>
    <t xml:space="preserve">S009</t>
  </si>
  <si>
    <t xml:space="preserve">Camp 365 Off-Grid Camper</t>
  </si>
  <si>
    <t xml:space="preserve">Shelter; Transportation</t>
  </si>
  <si>
    <t xml:space="preserve">Towable off-grid camper; needs a tow vehicle to move.</t>
  </si>
  <si>
    <t xml:space="preserve">Capital; Labor</t>
  </si>
  <si>
    <t xml:space="preserve">S010</t>
  </si>
  <si>
    <t xml:space="preserve">Camper Van</t>
  </si>
  <si>
    <t xml:space="preserve">Transportation; Shelter</t>
  </si>
  <si>
    <t xml:space="preserve">Converted cargo van; home and vehicle in one.</t>
  </si>
  <si>
    <t xml:space="preserve">S011</t>
  </si>
  <si>
    <t xml:space="preserve">Green Biomass</t>
  </si>
  <si>
    <t xml:space="preserve">Biomass</t>
  </si>
  <si>
    <t xml:space="preserve">Biomass; Nitrogen</t>
  </si>
  <si>
    <t xml:space="preserve">Cut-and-carry greens patch (comfrey, alfalfa, weeds), ~400 sq ft.</t>
  </si>
  <si>
    <t xml:space="preserve">Green biomass</t>
  </si>
  <si>
    <t xml:space="preserve">S012</t>
  </si>
  <si>
    <t xml:space="preserve">Woody Biomass</t>
  </si>
  <si>
    <t xml:space="preserve">Brush and deadfall harvest with a splitting station.</t>
  </si>
  <si>
    <t xml:space="preserve">Game loops Woody biomass to itself; redefined as a harvest from existing woods (labor in, wood out).</t>
  </si>
  <si>
    <t xml:space="preserve">S013</t>
  </si>
  <si>
    <t xml:space="preserve">Firepit</t>
  </si>
  <si>
    <t xml:space="preserve">Cooking; Heating</t>
  </si>
  <si>
    <t xml:space="preserve">Outdoor stone firepit.</t>
  </si>
  <si>
    <t xml:space="preserve">Cooking fuel; Heat</t>
  </si>
  <si>
    <t xml:space="preserve">Outdoor heat entered low; it does not warm a shelter.</t>
  </si>
  <si>
    <t xml:space="preserve">S014</t>
  </si>
  <si>
    <t xml:space="preserve">Livestock Guardian Dog</t>
  </si>
  <si>
    <t xml:space="preserve">Livestock</t>
  </si>
  <si>
    <t xml:space="preserve">Pet</t>
  </si>
  <si>
    <t xml:space="preserve">Working guardian dog for poultry and goats.</t>
  </si>
  <si>
    <t xml:space="preserve">Water; Food</t>
  </si>
  <si>
    <t xml:space="preserve">Organic waste; Wellbeing</t>
  </si>
  <si>
    <t xml:space="preserve">S015</t>
  </si>
  <si>
    <t xml:space="preserve">Baby Chicks</t>
  </si>
  <si>
    <t xml:space="preserve">Livestock; Fowl</t>
  </si>
  <si>
    <t xml:space="preserve">Livestock; Foul</t>
  </si>
  <si>
    <t xml:space="preserve">Batch of 12 chicks for their first 8 weeks.</t>
  </si>
  <si>
    <t xml:space="preserve">Water; Chicken feed</t>
  </si>
  <si>
    <t xml:space="preserve">Manure</t>
  </si>
  <si>
    <t xml:space="preserve">S016</t>
  </si>
  <si>
    <t xml:space="preserve">Beehive + Bee Colony</t>
  </si>
  <si>
    <t xml:space="preserve">Livestock; Insects</t>
  </si>
  <si>
    <t xml:space="preserve">Langstroth hive with one colony.</t>
  </si>
  <si>
    <t xml:space="preserve">Pollinator flowers; Water</t>
  </si>
  <si>
    <t xml:space="preserve">Honey; Pollination; Pollen</t>
  </si>
  <si>
    <t xml:space="preserve">Pollen output dropped (no consumer); honey ~40 lbs/yr harvestable.</t>
  </si>
  <si>
    <t xml:space="preserve">S017</t>
  </si>
  <si>
    <t xml:space="preserve">Black Soldier Fly Protopod (BSF)</t>
  </si>
  <si>
    <t xml:space="preserve">Insects; Compost</t>
  </si>
  <si>
    <t xml:space="preserve">Self-harvesting BSF larva bin.</t>
  </si>
  <si>
    <t xml:space="preserve">Coffee grounds; Food waste</t>
  </si>
  <si>
    <t xml:space="preserve">Manure; Grubs</t>
  </si>
  <si>
    <t xml:space="preserve">S018</t>
  </si>
  <si>
    <t xml:space="preserve">Chicken</t>
  </si>
  <si>
    <t xml:space="preserve">A single laying hen.</t>
  </si>
  <si>
    <t xml:space="preserve">Green biomass; Grubs; Food waste; Water</t>
  </si>
  <si>
    <t xml:space="preserve">Manure; Eggs</t>
  </si>
  <si>
    <t xml:space="preserve">Added bagged feed; free-range forage alone rarely sustains laying.</t>
  </si>
  <si>
    <t xml:space="preserve">S019</t>
  </si>
  <si>
    <t xml:space="preserve">Aptera Electric Vehicle (Solar Charge)</t>
  </si>
  <si>
    <t xml:space="preserve">Transportation; Solar</t>
  </si>
  <si>
    <t xml:space="preserve">Three-wheel solar EV with grid top-up.</t>
  </si>
  <si>
    <t xml:space="preserve">Sunlight; Capital</t>
  </si>
  <si>
    <t xml:space="preserve">S020</t>
  </si>
  <si>
    <t xml:space="preserve">Average American Vehicle</t>
  </si>
  <si>
    <t xml:space="preserve">Transportation; Conventional</t>
  </si>
  <si>
    <t xml:space="preserve">Gasoline sedan, ~13,000 miles/yr.</t>
  </si>
  <si>
    <t xml:space="preserve">Capital</t>
  </si>
  <si>
    <t xml:space="preserve">Capital = insurance, repairs, depreciation (fuel separate).</t>
  </si>
  <si>
    <t xml:space="preserve">S021</t>
  </si>
  <si>
    <t xml:space="preserve">Bike</t>
  </si>
  <si>
    <t xml:space="preserve">Commuter bicycle.</t>
  </si>
  <si>
    <t xml:space="preserve">Wellbeing; Transportation</t>
  </si>
  <si>
    <t xml:space="preserve">Riding time counts as labor; ~40 kcal/mile of rider food.</t>
  </si>
  <si>
    <t xml:space="preserve">S022</t>
  </si>
  <si>
    <t xml:space="preserve">Drinking Water Filter</t>
  </si>
  <si>
    <t xml:space="preserve">Water-System; Purification</t>
  </si>
  <si>
    <t xml:space="preserve">Gravity ceramic/carbon filter (Berkey-type).</t>
  </si>
  <si>
    <t xml:space="preserve">Labor; Water</t>
  </si>
  <si>
    <t xml:space="preserve">S023</t>
  </si>
  <si>
    <t xml:space="preserve">GoSun Water Filter</t>
  </si>
  <si>
    <t xml:space="preserve">Solar pasteurizing water flask.</t>
  </si>
  <si>
    <t xml:space="preserve">S024</t>
  </si>
  <si>
    <t xml:space="preserve">Rainwater Collection System + Cistern (550 Gallons)</t>
  </si>
  <si>
    <t xml:space="preserve">Water-System; Storage</t>
  </si>
  <si>
    <t xml:space="preserve">Gutters, first-flush diverter, and a 550-gal cistern.</t>
  </si>
  <si>
    <t xml:space="preserve">Roofing area</t>
  </si>
  <si>
    <t xml:space="preserve">Water out = catchment x rainfall x 0.623 gal/sq ft-in x efficiency. Catchment must be covered by Roofing area.</t>
  </si>
  <si>
    <t xml:space="preserve">S025</t>
  </si>
  <si>
    <t xml:space="preserve">Solar Hot Water Heater</t>
  </si>
  <si>
    <t xml:space="preserve">Solar; Water-System; Heating</t>
  </si>
  <si>
    <t xml:space="preserve">Flat-plate solar collector with storage tank.</t>
  </si>
  <si>
    <t xml:space="preserve">Output changed from Water to Hot water.</t>
  </si>
  <si>
    <t xml:space="preserve">S026</t>
  </si>
  <si>
    <t xml:space="preserve">WaterDrop Water Filter</t>
  </si>
  <si>
    <t xml:space="preserve">Purification; Water-System</t>
  </si>
  <si>
    <t xml:space="preserve">Under-sink tankless reverse-osmosis filter.</t>
  </si>
  <si>
    <t xml:space="preserve">RO rejects about half its input.</t>
  </si>
  <si>
    <t xml:space="preserve">S027</t>
  </si>
  <si>
    <t xml:space="preserve">Average Job</t>
  </si>
  <si>
    <t xml:space="preserve">Conventional</t>
  </si>
  <si>
    <t xml:space="preserve">Full-time job at US median weekly earnings.</t>
  </si>
  <si>
    <t xml:space="preserve">Commute of ~30 miles/day added.</t>
  </si>
  <si>
    <t xml:space="preserve">S028</t>
  </si>
  <si>
    <t xml:space="preserve">Big Box Grocery Store</t>
  </si>
  <si>
    <t xml:space="preserve">Conventional; Food System</t>
  </si>
  <si>
    <t xml:space="preserve">Groceries for one person for a week.</t>
  </si>
  <si>
    <t xml:space="preserve">S029</t>
  </si>
  <si>
    <t xml:space="preserve">Central Power Plant (Coal / NatGas / Nuclear)</t>
  </si>
  <si>
    <t xml:space="preserve">Energy; Conventional</t>
  </si>
  <si>
    <t xml:space="preserve">Utility electric and gas service for one home.</t>
  </si>
  <si>
    <t xml:space="preserve">Heat; Cooking fuel; Cooling; Electricity</t>
  </si>
  <si>
    <t xml:space="preserve">Purchase cost = connection fee.</t>
  </si>
  <si>
    <t xml:space="preserve">S030</t>
  </si>
  <si>
    <t xml:space="preserve">Factory Farmed Food (Family of Four)</t>
  </si>
  <si>
    <t xml:space="preserve">Game (captured; empty I/O filled in)</t>
  </si>
  <si>
    <t xml:space="preserve">Industrial food supply for four people.</t>
  </si>
  <si>
    <t xml:space="preserve">N/A</t>
  </si>
  <si>
    <t xml:space="preserve">S031</t>
  </si>
  <si>
    <t xml:space="preserve">Food Waste</t>
  </si>
  <si>
    <t xml:space="preserve">Compost</t>
  </si>
  <si>
    <t xml:space="preserve">Food-Waste</t>
  </si>
  <si>
    <t xml:space="preserve">Weekly scrap pickup from neighbors and a cafe.</t>
  </si>
  <si>
    <t xml:space="preserve">Food waste</t>
  </si>
  <si>
    <t xml:space="preserve">S032</t>
  </si>
  <si>
    <t xml:space="preserve">IBC Tank (food grade)</t>
  </si>
  <si>
    <t xml:space="preserve">275-gal food-grade tote.</t>
  </si>
  <si>
    <t xml:space="preserve">Storage space</t>
  </si>
  <si>
    <t xml:space="preserve">Output changed to Water storage.</t>
  </si>
  <si>
    <t xml:space="preserve">S033</t>
  </si>
  <si>
    <t xml:space="preserve">Permaculture Food Forest (1/4 acre)</t>
  </si>
  <si>
    <t xml:space="preserve">Food System; Plants</t>
  </si>
  <si>
    <t xml:space="preserve">Layered fruit, nut, and perennial planting at maturity.</t>
  </si>
  <si>
    <t xml:space="preserve">Seedlings; Water; Compost; Pollination; Labor</t>
  </si>
  <si>
    <t xml:space="preserve">Wellbeing; Pollinator flowers; Vegetables fruit fiber herbs</t>
  </si>
  <si>
    <t xml:space="preserve">Yields are for a mature forest (year 7+).</t>
  </si>
  <si>
    <t xml:space="preserve">S034</t>
  </si>
  <si>
    <t xml:space="preserve">Composting Outhouse</t>
  </si>
  <si>
    <t xml:space="preserve">Two-chamber composting outhouse.</t>
  </si>
  <si>
    <t xml:space="preserve">Organic waste</t>
  </si>
  <si>
    <t xml:space="preserve">Sized for two people.</t>
  </si>
  <si>
    <t xml:space="preserve">S035</t>
  </si>
  <si>
    <t xml:space="preserve">Compost Piles</t>
  </si>
  <si>
    <t xml:space="preserve">Compost; Garden; Sanitation</t>
  </si>
  <si>
    <t xml:space="preserve">Three-bin hot compost system.</t>
  </si>
  <si>
    <t xml:space="preserve">Water; Green biomass; Carbon; Biochar</t>
  </si>
  <si>
    <t xml:space="preserve">S036</t>
  </si>
  <si>
    <t xml:space="preserve">Compost Roller</t>
  </si>
  <si>
    <t xml:space="preserve">Compost; Tools</t>
  </si>
  <si>
    <t xml:space="preserve">Tumbling compost drum.</t>
  </si>
  <si>
    <t xml:space="preserve">Labor; Water; Green biomass; Carbon</t>
  </si>
  <si>
    <t xml:space="preserve">S037</t>
  </si>
  <si>
    <t xml:space="preserve">Compost Toilet</t>
  </si>
  <si>
    <t xml:space="preserve">Sanitation; Compost</t>
  </si>
  <si>
    <t xml:space="preserve">Sanitation; Toilet; Compost</t>
  </si>
  <si>
    <t xml:space="preserve">Self-contained urine-diverting toilet (one person).</t>
  </si>
  <si>
    <t xml:space="preserve">Sanitation; Liquid fertilizer; Compost</t>
  </si>
  <si>
    <t xml:space="preserve">S038</t>
  </si>
  <si>
    <t xml:space="preserve">Throne Composting Toilet</t>
  </si>
  <si>
    <t xml:space="preserve">Sanitation; Toilet</t>
  </si>
  <si>
    <t xml:space="preserve">Premium composting toilet (one person).</t>
  </si>
  <si>
    <t xml:space="preserve">S039</t>
  </si>
  <si>
    <t xml:space="preserve">GoSun Solar Oven</t>
  </si>
  <si>
    <t xml:space="preserve">Cooking; Solar</t>
  </si>
  <si>
    <t xml:space="preserve">Evacuated-tube solar cooker.</t>
  </si>
  <si>
    <t xml:space="preserve">S040</t>
  </si>
  <si>
    <t xml:space="preserve">Solar Cabin</t>
  </si>
  <si>
    <t xml:space="preserve">Shelter; Solar</t>
  </si>
  <si>
    <t xml:space="preserve">Well-insulated 400 sq ft cabin with a 1 kW array and passive solar glazing.</t>
  </si>
  <si>
    <t xml:space="preserve">Sunlight; Labor</t>
  </si>
  <si>
    <t xml:space="preserve">Heat; Electricity; Roofing area; Shelter</t>
  </si>
  <si>
    <t xml:space="preserve">S041</t>
  </si>
  <si>
    <t xml:space="preserve">Solar Electric Fencing System</t>
  </si>
  <si>
    <t xml:space="preserve">Livestock; Solar</t>
  </si>
  <si>
    <t xml:space="preserve">Livestock; Energy</t>
  </si>
  <si>
    <t xml:space="preserve">Solar energizer with ~1 acre of polywire.</t>
  </si>
  <si>
    <t xml:space="preserve">Gates goats, sheep, and horses via Fenced paddock.</t>
  </si>
  <si>
    <t xml:space="preserve">S042</t>
  </si>
  <si>
    <t xml:space="preserve">Solar Golf Cart</t>
  </si>
  <si>
    <t xml:space="preserve">Solar; Transportation</t>
  </si>
  <si>
    <t xml:space="preserve">Electric cart with roof panel.</t>
  </si>
  <si>
    <t xml:space="preserve">S043</t>
  </si>
  <si>
    <t xml:space="preserve">Butterfly Pea Flower</t>
  </si>
  <si>
    <t xml:space="preserve">Plants</t>
  </si>
  <si>
    <t xml:space="preserve">Nitrogen-fixing flowering vine (tea flowers).</t>
  </si>
  <si>
    <t xml:space="preserve">S044</t>
  </si>
  <si>
    <t xml:space="preserve">Calendula Flower</t>
  </si>
  <si>
    <t xml:space="preserve">Plants; Biodiversity</t>
  </si>
  <si>
    <t xml:space="preserve">Medicinal flower that draws beneficial insects.</t>
  </si>
  <si>
    <t xml:space="preserve">S045</t>
  </si>
  <si>
    <t xml:space="preserve">Comfrey</t>
  </si>
  <si>
    <t xml:space="preserve">Plants; Medicinal</t>
  </si>
  <si>
    <t xml:space="preserve">Deep-rooted dynamic accumulator for chop-and-drop.</t>
  </si>
  <si>
    <t xml:space="preserve">Seedlings; Water</t>
  </si>
  <si>
    <t xml:space="preserve">Pollinator flowers; Wellbeing; Green biomass</t>
  </si>
  <si>
    <t xml:space="preserve">S046</t>
  </si>
  <si>
    <t xml:space="preserve">Elderberry Bush</t>
  </si>
  <si>
    <t xml:space="preserve">Medicinal berry shrub.</t>
  </si>
  <si>
    <t xml:space="preserve">S047</t>
  </si>
  <si>
    <t xml:space="preserve">Hardwood Tree</t>
  </si>
  <si>
    <t xml:space="preserve">Plants; Biomass</t>
  </si>
  <si>
    <t xml:space="preserve">Maple/ash-type hardwood, mature.</t>
  </si>
  <si>
    <t xml:space="preserve">Wellbeing; Woody biomass</t>
  </si>
  <si>
    <t xml:space="preserve">S048</t>
  </si>
  <si>
    <t xml:space="preserve">Organic Liquid Anaerobic Fertilizer</t>
  </si>
  <si>
    <t xml:space="preserve">Fertilizer; Storage</t>
  </si>
  <si>
    <t xml:space="preserve">Fermented plant-and-manure tea in a sealed barrel.</t>
  </si>
  <si>
    <t xml:space="preserve">Water; Green biomass; Manure</t>
  </si>
  <si>
    <t xml:space="preserve">Liquid fertilizer</t>
  </si>
  <si>
    <t xml:space="preserve">S049</t>
  </si>
  <si>
    <t xml:space="preserve">Toolshed Workshop</t>
  </si>
  <si>
    <t xml:space="preserve">Storage; Tools</t>
  </si>
  <si>
    <t xml:space="preserve">10x12 shed with a workbench.</t>
  </si>
  <si>
    <t xml:space="preserve">Waste lumber</t>
  </si>
  <si>
    <t xml:space="preserve">Roofing area; Storage space</t>
  </si>
  <si>
    <t xml:space="preserve">S050</t>
  </si>
  <si>
    <t xml:space="preserve">Duck</t>
  </si>
  <si>
    <t xml:space="preserve">A single laying duck (slug control too).</t>
  </si>
  <si>
    <t xml:space="preserve">Green biomass; Water; Chicken feed</t>
  </si>
  <si>
    <t xml:space="preserve">Manure; Food</t>
  </si>
  <si>
    <t xml:space="preserve">Food output entered as Eggs.</t>
  </si>
  <si>
    <t xml:space="preserve">S051</t>
  </si>
  <si>
    <t xml:space="preserve">Turkey</t>
  </si>
  <si>
    <t xml:space="preserve">Fowl; Livestock</t>
  </si>
  <si>
    <t xml:space="preserve">Foul; Livestock</t>
  </si>
  <si>
    <t xml:space="preserve">Heritage turkey raised 26 weeks for meat.</t>
  </si>
  <si>
    <t xml:space="preserve">Green feed; Grubs; Water; Chicken feed; Food waste</t>
  </si>
  <si>
    <t xml:space="preserve">Food; Manure</t>
  </si>
  <si>
    <t xml:space="preserve">Green feed merged into Green biomass; Food entered as Meat (~18 lbs dressed).</t>
  </si>
  <si>
    <t xml:space="preserve">S052</t>
  </si>
  <si>
    <t xml:space="preserve">Pollinators</t>
  </si>
  <si>
    <t xml:space="preserve">Biodiversity; Insects</t>
  </si>
  <si>
    <t xml:space="preserve">Biodiversity</t>
  </si>
  <si>
    <t xml:space="preserve">Wild native bees and butterflies attracted to the site.</t>
  </si>
  <si>
    <t xml:space="preserve">Pollinator flowers</t>
  </si>
  <si>
    <t xml:space="preserve">Pollination</t>
  </si>
  <si>
    <t xml:space="preserve">S053</t>
  </si>
  <si>
    <t xml:space="preserve">Sunflowers</t>
  </si>
  <si>
    <t xml:space="preserve">Plant; Biodiversity</t>
  </si>
  <si>
    <t xml:space="preserve">Patch of ~5 seed sunflowers.</t>
  </si>
  <si>
    <t xml:space="preserve">Seeds; Water; Pollination</t>
  </si>
  <si>
    <t xml:space="preserve">Seeds; Pollinator flowers</t>
  </si>
  <si>
    <t xml:space="preserve">S054</t>
  </si>
  <si>
    <t xml:space="preserve">Yarrow</t>
  </si>
  <si>
    <t xml:space="preserve">Biodiversity; Plant</t>
  </si>
  <si>
    <t xml:space="preserve">Medicinal perennial that hosts predatory insects.</t>
  </si>
  <si>
    <t xml:space="preserve">S055</t>
  </si>
  <si>
    <t xml:space="preserve">Teepee</t>
  </si>
  <si>
    <t xml:space="preserve">18-ft canvas tipi on lodge poles.</t>
  </si>
  <si>
    <t xml:space="preserve">S056</t>
  </si>
  <si>
    <t xml:space="preserve">Yurt</t>
  </si>
  <si>
    <t xml:space="preserve">20-ft insulated yurt on a platform.</t>
  </si>
  <si>
    <t xml:space="preserve">S057</t>
  </si>
  <si>
    <t xml:space="preserve">Broadfork</t>
  </si>
  <si>
    <t xml:space="preserve">Tools</t>
  </si>
  <si>
    <t xml:space="preserve">Hand tool that loosens soil without tilling.</t>
  </si>
  <si>
    <t xml:space="preserve">Soil; Wellbeing</t>
  </si>
  <si>
    <t xml:space="preserve">S058</t>
  </si>
  <si>
    <t xml:space="preserve">Permaculture Library</t>
  </si>
  <si>
    <t xml:space="preserve">Reference books and courses.</t>
  </si>
  <si>
    <t xml:space="preserve">Wellbeing</t>
  </si>
  <si>
    <t xml:space="preserve">S059</t>
  </si>
  <si>
    <t xml:space="preserve">Concentrated Sunlight Oven</t>
  </si>
  <si>
    <t xml:space="preserve">Solar; Energy; Cooking</t>
  </si>
  <si>
    <t xml:space="preserve">Parabolic solar cooker.</t>
  </si>
  <si>
    <t xml:space="preserve">S060</t>
  </si>
  <si>
    <t xml:space="preserve">Methane BioGas Generator</t>
  </si>
  <si>
    <t xml:space="preserve">Energy; Cooking; Sanitation; Compost</t>
  </si>
  <si>
    <t xml:space="preserve">Energy; Fertilizer; Cooking; Sanitation</t>
  </si>
  <si>
    <t xml:space="preserve">Household digester (HomeBiogas-class) with toilet kit.</t>
  </si>
  <si>
    <t xml:space="preserve">Water; Manure; Labor; Water; Food waste; Manure; Organic waste</t>
  </si>
  <si>
    <t xml:space="preserve">Sanitation; Cooking fuel; Liquid fertilizer</t>
  </si>
  <si>
    <t xml:space="preserve">Duplicate Water and Manure pills merged.</t>
  </si>
  <si>
    <t xml:space="preserve">S061</t>
  </si>
  <si>
    <t xml:space="preserve">GoSun Cooler</t>
  </si>
  <si>
    <t xml:space="preserve">Cooling; Food System</t>
  </si>
  <si>
    <t xml:space="preserve">Energy; Food System; Cooling</t>
  </si>
  <si>
    <t xml:space="preserve">Solar-ready 12V compressor cooler.</t>
  </si>
  <si>
    <t xml:space="preserve">Chills food, not rooms: output changed to Food storage.</t>
  </si>
  <si>
    <t xml:space="preserve">S062</t>
  </si>
  <si>
    <t xml:space="preserve">GoSun Fan</t>
  </si>
  <si>
    <t xml:space="preserve">Energy; Cooling</t>
  </si>
  <si>
    <t xml:space="preserve">Small USB/solar fan.</t>
  </si>
  <si>
    <t xml:space="preserve">Fans move air rather than remove heat; comfort-equivalent BTU.</t>
  </si>
  <si>
    <t xml:space="preserve">S063</t>
  </si>
  <si>
    <t xml:space="preserve">Small AC Unit (5000 BTU)</t>
  </si>
  <si>
    <t xml:space="preserve">Cooling; Energy</t>
  </si>
  <si>
    <t xml:space="preserve">Window air conditioner, ~8 hrs/day in season (annual average).</t>
  </si>
  <si>
    <t xml:space="preserve">Wellbeing; Cooling</t>
  </si>
  <si>
    <t xml:space="preserve">S064</t>
  </si>
  <si>
    <t xml:space="preserve">LED Light</t>
  </si>
  <si>
    <t xml:space="preserve">Energy; Tools</t>
  </si>
  <si>
    <t xml:space="preserve">Energy; Tool</t>
  </si>
  <si>
    <t xml:space="preserve">10 W LED fixture, ~6 hrs/day.</t>
  </si>
  <si>
    <t xml:space="preserve">high</t>
  </si>
  <si>
    <t xml:space="preserve">S065</t>
  </si>
  <si>
    <t xml:space="preserve">Oak Tree</t>
  </si>
  <si>
    <t xml:space="preserve">Plant; Biomass</t>
  </si>
  <si>
    <t xml:space="preserve">Mature oak; acorns, leaves, and prunings.</t>
  </si>
  <si>
    <t xml:space="preserve">Acorns need leaching before eating.</t>
  </si>
  <si>
    <t xml:space="preserve">S066</t>
  </si>
  <si>
    <t xml:space="preserve">Rocket Mass Heater</t>
  </si>
  <si>
    <t xml:space="preserve">Heating</t>
  </si>
  <si>
    <t xml:space="preserve">Heating; Biomass</t>
  </si>
  <si>
    <t xml:space="preserve">Cob-bench rocket heater with thermal mass.</t>
  </si>
  <si>
    <t xml:space="preserve">S067</t>
  </si>
  <si>
    <t xml:space="preserve">Tiny Wood Stove</t>
  </si>
  <si>
    <t xml:space="preserve">Heating; Cooking</t>
  </si>
  <si>
    <t xml:space="preserve">Energy; Biomass; Heating</t>
  </si>
  <si>
    <t xml:space="preserve">Small cast-iron stove for tiny spaces.</t>
  </si>
  <si>
    <t xml:space="preserve">S068</t>
  </si>
  <si>
    <t xml:space="preserve">Biochar Kiln Firepit</t>
  </si>
  <si>
    <t xml:space="preserve">Biomass; Compost; Heating</t>
  </si>
  <si>
    <t xml:space="preserve">Flame-cap pit that makes char while you sit by the fire.</t>
  </si>
  <si>
    <t xml:space="preserve">Water; Woody biomass</t>
  </si>
  <si>
    <t xml:space="preserve">Heat; Liquid fertilizer; Biochar</t>
  </si>
  <si>
    <t xml:space="preserve">S069</t>
  </si>
  <si>
    <t xml:space="preserve">Land Title ($50k)</t>
  </si>
  <si>
    <t xml:space="preserve">Land</t>
  </si>
  <si>
    <t xml:space="preserve">(none)</t>
  </si>
  <si>
    <t xml:space="preserve">One acre bought outright.</t>
  </si>
  <si>
    <t xml:space="preserve">Use either Land Title or the Mortgage, not both.</t>
  </si>
  <si>
    <t xml:space="preserve">S070</t>
  </si>
  <si>
    <t xml:space="preserve">30 Year Mortgage and Interest</t>
  </si>
  <si>
    <t xml:space="preserve">Financed acre: 20% down, 7% APR.</t>
  </si>
  <si>
    <t xml:space="preserve">Purchase cost = down payment. Payment on a $40k loan.</t>
  </si>
  <si>
    <t xml:space="preserve">S071</t>
  </si>
  <si>
    <t xml:space="preserve">Solar resource of the site.</t>
  </si>
  <si>
    <t xml:space="preserve">Now outputs Sunlight (the game shows Heat). Set by Assumptions.</t>
  </si>
  <si>
    <t xml:space="preserve">S072</t>
  </si>
  <si>
    <t xml:space="preserve">Bird House</t>
  </si>
  <si>
    <t xml:space="preserve">Wildlife</t>
  </si>
  <si>
    <t xml:space="preserve">Bluebird nest box.</t>
  </si>
  <si>
    <t xml:space="preserve">S073</t>
  </si>
  <si>
    <t xml:space="preserve">Blue Birds</t>
  </si>
  <si>
    <t xml:space="preserve">Nesting pair of eastern/mountain bluebirds.</t>
  </si>
  <si>
    <t xml:space="preserve">Grubs; Pollinator flowers</t>
  </si>
  <si>
    <t xml:space="preserve">S074</t>
  </si>
  <si>
    <t xml:space="preserve">Human Being</t>
  </si>
  <si>
    <t xml:space="preserve">Household</t>
  </si>
  <si>
    <t xml:space="preserve">Game (seen in design list; I/O by Claude)</t>
  </si>
  <si>
    <t xml:space="preserve">One person. Their inputs are the needs the checklist measures.</t>
  </si>
  <si>
    <t xml:space="preserve">2,000 kcal/day; ~0.7 gal/day drinking; 20 gal/day other water; 3 kWh/day; 150 miles/wk. Heat/cooling needs come from shelters.</t>
  </si>
  <si>
    <t xml:space="preserve">S075</t>
  </si>
  <si>
    <t xml:space="preserve">Chicken Coop (12 hens)</t>
  </si>
  <si>
    <t xml:space="preserve">Coop and run with 12 laying hens.</t>
  </si>
  <si>
    <t xml:space="preserve">S076</t>
  </si>
  <si>
    <t xml:space="preserve">Cargo Bike</t>
  </si>
  <si>
    <t xml:space="preserve">Longtail cargo bike for errands.</t>
  </si>
  <si>
    <t xml:space="preserve">S077</t>
  </si>
  <si>
    <t xml:space="preserve">Poplar Tree</t>
  </si>
  <si>
    <t xml:space="preserve">Fast-growing poplar; shade and firewood.</t>
  </si>
  <si>
    <t xml:space="preserve">Cooling counts only if planted beside a shelter.</t>
  </si>
  <si>
    <t xml:space="preserve">S078</t>
  </si>
  <si>
    <t xml:space="preserve">Raised Beds (24 sq ft)</t>
  </si>
  <si>
    <t xml:space="preserve">Garden; Food System</t>
  </si>
  <si>
    <t xml:space="preserve">Game (card seen; quantities recalibrated)</t>
  </si>
  <si>
    <t xml:space="preserve">A 4x6 raised vegetable bed.</t>
  </si>
  <si>
    <t xml:space="preserve">Labor; Water; Liquid fertilizer; Seeds</t>
  </si>
  <si>
    <t xml:space="preserve">Vegetables fruit fiber herbs</t>
  </si>
  <si>
    <t xml:space="preserve">Game card says 8 lbs/week and 100 gal/week. Realistic intensive yield is ~0.75 lb/sq ft/season (18 lbs) and ~1 in/week of water (15 gal).</t>
  </si>
  <si>
    <t xml:space="preserve">S079</t>
  </si>
  <si>
    <t xml:space="preserve">Well</t>
  </si>
  <si>
    <t xml:space="preserve">Water-System</t>
  </si>
  <si>
    <t xml:space="preserve">Drilled 200-ft well with a solar DC pump.</t>
  </si>
  <si>
    <t xml:space="preserve">Output is what the pump can deliver, not unlimited.</t>
  </si>
  <si>
    <t xml:space="preserve">S080</t>
  </si>
  <si>
    <t xml:space="preserve">Tiny House on Wheels</t>
  </si>
  <si>
    <t xml:space="preserve">New (Claude)</t>
  </si>
  <si>
    <t xml:space="preserve">24-ft tiny house on a trailer.</t>
  </si>
  <si>
    <t xml:space="preserve">S081</t>
  </si>
  <si>
    <t xml:space="preserve">Earthship</t>
  </si>
  <si>
    <t xml:space="preserve">Tire-wall, earth-bermed home with built-in cisterns and a greenhouse face.</t>
  </si>
  <si>
    <t xml:space="preserve">S082</t>
  </si>
  <si>
    <t xml:space="preserve">Cob House</t>
  </si>
  <si>
    <t xml:space="preserve">Hand-built earthen home with thick thermal-mass walls.</t>
  </si>
  <si>
    <t xml:space="preserve">S083</t>
  </si>
  <si>
    <t xml:space="preserve">Straw Bale House</t>
  </si>
  <si>
    <t xml:space="preserve">Super-insulated straw bale walls with plaster.</t>
  </si>
  <si>
    <t xml:space="preserve">~300 bales of straw as Carbon.</t>
  </si>
  <si>
    <t xml:space="preserve">S084</t>
  </si>
  <si>
    <t xml:space="preserve">Log Cabin Kit</t>
  </si>
  <si>
    <t xml:space="preserve">Milled log cabin kit.</t>
  </si>
  <si>
    <t xml:space="preserve">S085</t>
  </si>
  <si>
    <t xml:space="preserve">Shipping Container Home</t>
  </si>
  <si>
    <t xml:space="preserve">One insulated 40-ft container.</t>
  </si>
  <si>
    <t xml:space="preserve">S086</t>
  </si>
  <si>
    <t xml:space="preserve">Geodesic Dome</t>
  </si>
  <si>
    <t xml:space="preserve">Kit dome home; efficient shape, awkward to gutter.</t>
  </si>
  <si>
    <t xml:space="preserve">S087</t>
  </si>
  <si>
    <t xml:space="preserve">Canvas Wall Tent + Stove Jack</t>
  </si>
  <si>
    <t xml:space="preserve">14x16 wall tent ready for a wood stove.</t>
  </si>
  <si>
    <t xml:space="preserve">S088</t>
  </si>
  <si>
    <t xml:space="preserve">Earthbag Dome</t>
  </si>
  <si>
    <t xml:space="preserve">Superadobe dome of stacked earth-filled bags.</t>
  </si>
  <si>
    <t xml:space="preserve">S089</t>
  </si>
  <si>
    <t xml:space="preserve">Hammock + Tarp Camp</t>
  </si>
  <si>
    <t xml:space="preserve">Hammock with a rain tarp.</t>
  </si>
  <si>
    <t xml:space="preserve">Almost no insulation: huge heat need in winter.</t>
  </si>
  <si>
    <t xml:space="preserve">S090</t>
  </si>
  <si>
    <t xml:space="preserve">Passive House (Certified)</t>
  </si>
  <si>
    <t xml:space="preserve">Airtight super-insulated home with heat-recovery ventilation.</t>
  </si>
  <si>
    <t xml:space="preserve">S091</t>
  </si>
  <si>
    <t xml:space="preserve">Treehouse</t>
  </si>
  <si>
    <t xml:space="preserve">Framed treehouse, 250 sq ft.</t>
  </si>
  <si>
    <t xml:space="preserve">The game lists "1000 BTU daily cooling"; here cooling is a load the treehouse needs, computed from climate.</t>
  </si>
  <si>
    <t xml:space="preserve">S092</t>
  </si>
  <si>
    <t xml:space="preserve">LiFePO4 Battery Bank (10 kWh)</t>
  </si>
  <si>
    <t xml:space="preserve">Lithium iron phosphate bank, 90% usable.</t>
  </si>
  <si>
    <t xml:space="preserve">S093</t>
  </si>
  <si>
    <t xml:space="preserve">Small Wind Turbine (1.5 kW)</t>
  </si>
  <si>
    <t xml:space="preserve">Energy</t>
  </si>
  <si>
    <t xml:space="preserve">Tower-mounted small wind turbine.</t>
  </si>
  <si>
    <t xml:space="preserve">S094</t>
  </si>
  <si>
    <t xml:space="preserve">Micro-Hydro Turbine (500 W)</t>
  </si>
  <si>
    <t xml:space="preserve">Energy; Water-System</t>
  </si>
  <si>
    <t xml:space="preserve">Run-of-stream turbine; needs Stream Frontage.</t>
  </si>
  <si>
    <t xml:space="preserve">S095</t>
  </si>
  <si>
    <t xml:space="preserve">Portable Gas Generator (3.5 kW)</t>
  </si>
  <si>
    <t xml:space="preserve">Backup gasoline generator.</t>
  </si>
  <si>
    <t xml:space="preserve">S096</t>
  </si>
  <si>
    <t xml:space="preserve">Propane Generator (7 kW)</t>
  </si>
  <si>
    <t xml:space="preserve">Standby propane generator.</t>
  </si>
  <si>
    <t xml:space="preserve">S097</t>
  </si>
  <si>
    <t xml:space="preserve">Solar Charge Controller + Inverter (3 kW)</t>
  </si>
  <si>
    <t xml:space="preserve">MPPT controller and inverter; converts DC to household AC.</t>
  </si>
  <si>
    <t xml:space="preserve">Balance-of-system: small conversion loss.</t>
  </si>
  <si>
    <t xml:space="preserve">S098</t>
  </si>
  <si>
    <t xml:space="preserve">Portable Power Station (1 kWh)</t>
  </si>
  <si>
    <t xml:space="preserve">Battery box with built-in inverter.</t>
  </si>
  <si>
    <t xml:space="preserve">S099</t>
  </si>
  <si>
    <t xml:space="preserve">Rooftop Solar Array (6 kW)</t>
  </si>
  <si>
    <t xml:space="preserve">Roof-mounted 6 kW array.</t>
  </si>
  <si>
    <t xml:space="preserve">S100</t>
  </si>
  <si>
    <t xml:space="preserve">Pedal Power Generator</t>
  </si>
  <si>
    <t xml:space="preserve">Bike generator, ~100 W while pedaling.</t>
  </si>
  <si>
    <t xml:space="preserve">Seven hours of pedaling makes less than a quarter of one person's daily power.</t>
  </si>
  <si>
    <t xml:space="preserve">S101</t>
  </si>
  <si>
    <t xml:space="preserve">Heat Pump (Mini-Split)</t>
  </si>
  <si>
    <t xml:space="preserve">Energy; Heating; Cooling</t>
  </si>
  <si>
    <t xml:space="preserve">Ductless cold-climate heat pump; annual-average use.</t>
  </si>
  <si>
    <t xml:space="preserve">COP ~2.2 heating, ~3.2 cooling.</t>
  </si>
  <si>
    <t xml:space="preserve">S102</t>
  </si>
  <si>
    <t xml:space="preserve">Propane Tank &amp; Delivery (500 gal)</t>
  </si>
  <si>
    <t xml:space="preserve">Energy; Conventional; Storage</t>
  </si>
  <si>
    <t xml:space="preserve">Leased tank with scheduled delivery.</t>
  </si>
  <si>
    <t xml:space="preserve">S103</t>
  </si>
  <si>
    <t xml:space="preserve">Hand Pump Well</t>
  </si>
  <si>
    <t xml:space="preserve">Shallow well with a hand pitcher pump.</t>
  </si>
  <si>
    <t xml:space="preserve">S104</t>
  </si>
  <si>
    <t xml:space="preserve">Greywater Branched Drain</t>
  </si>
  <si>
    <t xml:space="preserve">Water-System; Garden</t>
  </si>
  <si>
    <t xml:space="preserve">Gravity greywater to mulch basins.</t>
  </si>
  <si>
    <t xml:space="preserve">Irrigation-grade water only.</t>
  </si>
  <si>
    <t xml:space="preserve">S105</t>
  </si>
  <si>
    <t xml:space="preserve">Pond (1/10 acre)</t>
  </si>
  <si>
    <t xml:space="preserve">Water-System; Biodiversity</t>
  </si>
  <si>
    <t xml:space="preserve">Lined pond fed by runoff; stocked with fish.</t>
  </si>
  <si>
    <t xml:space="preserve">Efficiency after evaporation losses.</t>
  </si>
  <si>
    <t xml:space="preserve">S106</t>
  </si>
  <si>
    <t xml:space="preserve">5,000 Gallon Cistern</t>
  </si>
  <si>
    <t xml:space="preserve">Poly or ferrocement tank.</t>
  </si>
  <si>
    <t xml:space="preserve">S107</t>
  </si>
  <si>
    <t xml:space="preserve">Swales &amp; Berms Earthworks</t>
  </si>
  <si>
    <t xml:space="preserve">Land; Water-System</t>
  </si>
  <si>
    <t xml:space="preserve">On-contour swales that sink runoff into the soil.</t>
  </si>
  <si>
    <t xml:space="preserve">Water arrives as soil moisture for nearby plants.</t>
  </si>
  <si>
    <t xml:space="preserve">S108</t>
  </si>
  <si>
    <t xml:space="preserve">Municipal Water Hookup</t>
  </si>
  <si>
    <t xml:space="preserve">Conventional; Water-System</t>
  </si>
  <si>
    <t xml:space="preserve">City water tap.</t>
  </si>
  <si>
    <t xml:space="preserve">S109</t>
  </si>
  <si>
    <t xml:space="preserve">UV Sterilizer</t>
  </si>
  <si>
    <t xml:space="preserve">Purification</t>
  </si>
  <si>
    <t xml:space="preserve">Whole-house UV lamp after a sediment filter.</t>
  </si>
  <si>
    <t xml:space="preserve">S110</t>
  </si>
  <si>
    <t xml:space="preserve">Slow Sand Filter</t>
  </si>
  <si>
    <t xml:space="preserve">Barrel biosand filter.</t>
  </si>
  <si>
    <t xml:space="preserve">S111</t>
  </si>
  <si>
    <t xml:space="preserve">Solar Water Distiller</t>
  </si>
  <si>
    <t xml:space="preserve">Purification; Solar</t>
  </si>
  <si>
    <t xml:space="preserve">Glazed solar still.</t>
  </si>
  <si>
    <t xml:space="preserve">S112</t>
  </si>
  <si>
    <t xml:space="preserve">Constructed Wetland</t>
  </si>
  <si>
    <t xml:space="preserve">Purification; Sanitation; Biodiversity</t>
  </si>
  <si>
    <t xml:space="preserve">Planted gravel bed that cleans greywater.</t>
  </si>
  <si>
    <t xml:space="preserve">S113</t>
  </si>
  <si>
    <t xml:space="preserve">Septic Tank &amp; Drain Field</t>
  </si>
  <si>
    <t xml:space="preserve">Sanitation; Conventional</t>
  </si>
  <si>
    <t xml:space="preserve">Conventional septic system.</t>
  </si>
  <si>
    <t xml:space="preserve">S114</t>
  </si>
  <si>
    <t xml:space="preserve">Farm &amp; Feed Store</t>
  </si>
  <si>
    <t xml:space="preserve">Weekly run for feed, hay, pellets, seed, and starts.</t>
  </si>
  <si>
    <t xml:space="preserve">S115</t>
  </si>
  <si>
    <t xml:space="preserve">Gas Station</t>
  </si>
  <si>
    <t xml:space="preserve">Fuel purchases.</t>
  </si>
  <si>
    <t xml:space="preserve">S116</t>
  </si>
  <si>
    <t xml:space="preserve">Root Cellar</t>
  </si>
  <si>
    <t xml:space="preserve">Food System; Storage</t>
  </si>
  <si>
    <t xml:space="preserve">Earth-bermed cellar for roots, apples, and canned goods.</t>
  </si>
  <si>
    <t xml:space="preserve">S117</t>
  </si>
  <si>
    <t xml:space="preserve">Solar Dehydrator</t>
  </si>
  <si>
    <t xml:space="preserve">Food System; Solar</t>
  </si>
  <si>
    <t xml:space="preserve">Passive solar food dryer.</t>
  </si>
  <si>
    <t xml:space="preserve">S118</t>
  </si>
  <si>
    <t xml:space="preserve">Pressure Canner</t>
  </si>
  <si>
    <t xml:space="preserve">Food System; Cooking; Storage</t>
  </si>
  <si>
    <t xml:space="preserve">23-qt canner for shelf-stable jars.</t>
  </si>
  <si>
    <t xml:space="preserve">S119</t>
  </si>
  <si>
    <t xml:space="preserve">Aquaponics System</t>
  </si>
  <si>
    <t xml:space="preserve">Food System</t>
  </si>
  <si>
    <t xml:space="preserve">IBC fish tank feeding a grow bed.</t>
  </si>
  <si>
    <t xml:space="preserve">S120</t>
  </si>
  <si>
    <t xml:space="preserve">Mushroom Logs (Shiitake)</t>
  </si>
  <si>
    <t xml:space="preserve">20 inoculated hardwood logs.</t>
  </si>
  <si>
    <t xml:space="preserve">S121</t>
  </si>
  <si>
    <t xml:space="preserve">Efficient Chest Freezer</t>
  </si>
  <si>
    <t xml:space="preserve">7 cu ft chest freezer.</t>
  </si>
  <si>
    <t xml:space="preserve">S122</t>
  </si>
  <si>
    <t xml:space="preserve">Hoop House Greenhouse (200 sq ft)</t>
  </si>
  <si>
    <t xml:space="preserve">Unheated hoop house that stretches the season.</t>
  </si>
  <si>
    <t xml:space="preserve">S123</t>
  </si>
  <si>
    <t xml:space="preserve">Grain Plot (1/10 acre)</t>
  </si>
  <si>
    <t xml:space="preserve">Small hand-harvested wheat plot.</t>
  </si>
  <si>
    <t xml:space="preserve">Grain input is seed; straw goes out as Carbon.</t>
  </si>
  <si>
    <t xml:space="preserve">S124</t>
  </si>
  <si>
    <t xml:space="preserve">Potato Patch (400 sq ft)</t>
  </si>
  <si>
    <t xml:space="preserve">Garden</t>
  </si>
  <si>
    <t xml:space="preserve">Hilled potato rows.</t>
  </si>
  <si>
    <t xml:space="preserve">Seed potatoes in, ~0.5 lb/sq ft out.</t>
  </si>
  <si>
    <t xml:space="preserve">S125</t>
  </si>
  <si>
    <t xml:space="preserve">Seed Starting Station</t>
  </si>
  <si>
    <t xml:space="preserve">Shelf with grow lights and trays.</t>
  </si>
  <si>
    <t xml:space="preserve">S126</t>
  </si>
  <si>
    <t xml:space="preserve">Keyhole Garden</t>
  </si>
  <si>
    <t xml:space="preserve">Round bed with a central compost basket.</t>
  </si>
  <si>
    <t xml:space="preserve">S127</t>
  </si>
  <si>
    <t xml:space="preserve">Cold Frame</t>
  </si>
  <si>
    <t xml:space="preserve">Glazed box for early and late greens.</t>
  </si>
  <si>
    <t xml:space="preserve">S128</t>
  </si>
  <si>
    <t xml:space="preserve">Hugelkultur Bed</t>
  </si>
  <si>
    <t xml:space="preserve">Mound built over buried logs; holds water for years.</t>
  </si>
  <si>
    <t xml:space="preserve">S129</t>
  </si>
  <si>
    <t xml:space="preserve">Herb Spiral</t>
  </si>
  <si>
    <t xml:space="preserve">Stone spiral with microclimates for herbs.</t>
  </si>
  <si>
    <t xml:space="preserve">S130</t>
  </si>
  <si>
    <t xml:space="preserve">Apple Tree</t>
  </si>
  <si>
    <t xml:space="preserve">Semi-dwarf apple at maturity.</t>
  </si>
  <si>
    <t xml:space="preserve">S131</t>
  </si>
  <si>
    <t xml:space="preserve">Hazelnut Bush</t>
  </si>
  <si>
    <t xml:space="preserve">Wind-pollinated nut shrub.</t>
  </si>
  <si>
    <t xml:space="preserve">S132</t>
  </si>
  <si>
    <t xml:space="preserve">Raspberry Patch (25 ft row)</t>
  </si>
  <si>
    <t xml:space="preserve">Everbearing raspberry row.</t>
  </si>
  <si>
    <t xml:space="preserve">S133</t>
  </si>
  <si>
    <t xml:space="preserve">Clover Cover Crop</t>
  </si>
  <si>
    <t xml:space="preserve">White/crimson clover over 1,000 sq ft.</t>
  </si>
  <si>
    <t xml:space="preserve">S134</t>
  </si>
  <si>
    <t xml:space="preserve">Bat House</t>
  </si>
  <si>
    <t xml:space="preserve">Rocket box for a bat colony.</t>
  </si>
  <si>
    <t xml:space="preserve">S135</t>
  </si>
  <si>
    <t xml:space="preserve">Pollinator Meadow (1,000 sq ft)</t>
  </si>
  <si>
    <t xml:space="preserve">Native wildflower meadow.</t>
  </si>
  <si>
    <t xml:space="preserve">S136</t>
  </si>
  <si>
    <t xml:space="preserve">Native Hedgerow (100 ft)</t>
  </si>
  <si>
    <t xml:space="preserve">Mixed native shrub windbreak.</t>
  </si>
  <si>
    <t xml:space="preserve">S137</t>
  </si>
  <si>
    <t xml:space="preserve">Mason Bee House</t>
  </si>
  <si>
    <t xml:space="preserve">Insects; Biodiversity</t>
  </si>
  <si>
    <t xml:space="preserve">Nesting tubes for orchard mason bees.</t>
  </si>
  <si>
    <t xml:space="preserve">S138</t>
  </si>
  <si>
    <t xml:space="preserve">Mealworm Farm</t>
  </si>
  <si>
    <t xml:space="preserve">Insects</t>
  </si>
  <si>
    <t xml:space="preserve">Stacked mealworm trays.</t>
  </si>
  <si>
    <t xml:space="preserve">S139</t>
  </si>
  <si>
    <t xml:space="preserve">Dairy Goats (pair)</t>
  </si>
  <si>
    <t xml:space="preserve">Two Nigerian Dwarf or Nubian does.</t>
  </si>
  <si>
    <t xml:space="preserve">Milking twice a day is most of the labor.</t>
  </si>
  <si>
    <t xml:space="preserve">S140</t>
  </si>
  <si>
    <t xml:space="preserve">Meat Rabbits (trio)</t>
  </si>
  <si>
    <t xml:space="preserve">One buck, two does in hutches.</t>
  </si>
  <si>
    <t xml:space="preserve">S141</t>
  </si>
  <si>
    <t xml:space="preserve">Sheep (flock of 3)</t>
  </si>
  <si>
    <t xml:space="preserve">Small dual-purpose flock.</t>
  </si>
  <si>
    <t xml:space="preserve">S142</t>
  </si>
  <si>
    <t xml:space="preserve">Quail Hutch (10 quail)</t>
  </si>
  <si>
    <t xml:space="preserve">Coturnix quail for eggs and meat.</t>
  </si>
  <si>
    <t xml:space="preserve">Eggs entered as chicken-egg equivalents (~5 quail eggs each).</t>
  </si>
  <si>
    <t xml:space="preserve">S143</t>
  </si>
  <si>
    <t xml:space="preserve">Horse</t>
  </si>
  <si>
    <t xml:space="preserve">Livestock; Transportation</t>
  </si>
  <si>
    <t xml:space="preserve">Riding and light draft horse.</t>
  </si>
  <si>
    <t xml:space="preserve">S144</t>
  </si>
  <si>
    <t xml:space="preserve">E-Bike</t>
  </si>
  <si>
    <t xml:space="preserve">Pedal-assist electric bike.</t>
  </si>
  <si>
    <t xml:space="preserve">S145</t>
  </si>
  <si>
    <t xml:space="preserve">Used EV (Nissan Leaf)</t>
  </si>
  <si>
    <t xml:space="preserve">Second-hand compact EV.</t>
  </si>
  <si>
    <t xml:space="preserve">S146</t>
  </si>
  <si>
    <t xml:space="preserve">Vermicompost Bin</t>
  </si>
  <si>
    <t xml:space="preserve">Worm bin for kitchen scraps.</t>
  </si>
  <si>
    <t xml:space="preserve">S147</t>
  </si>
  <si>
    <t xml:space="preserve">Bokashi Bucket</t>
  </si>
  <si>
    <t xml:space="preserve">Fermenting kitchen-scrap bucket.</t>
  </si>
  <si>
    <t xml:space="preserve">S148</t>
  </si>
  <si>
    <t xml:space="preserve">Humanure Bucket System</t>
  </si>
  <si>
    <t xml:space="preserve">Sawdust bucket toilet emptied to a curing pile.</t>
  </si>
  <si>
    <t xml:space="preserve">S149</t>
  </si>
  <si>
    <t xml:space="preserve">Shade Sail</t>
  </si>
  <si>
    <t xml:space="preserve">Canvas; Cooling</t>
  </si>
  <si>
    <t xml:space="preserve">Tensioned shade cloth over a patio or wall.</t>
  </si>
  <si>
    <t xml:space="preserve">S150</t>
  </si>
  <si>
    <t xml:space="preserve">Scythe</t>
  </si>
  <si>
    <t xml:space="preserve">Austrian-style scythe.</t>
  </si>
  <si>
    <t xml:space="preserve">S151</t>
  </si>
  <si>
    <t xml:space="preserve">Chainsaw</t>
  </si>
  <si>
    <t xml:space="preserve">Tools; Biomass</t>
  </si>
  <si>
    <t xml:space="preserve">16-in gas chainsaw for firewood.</t>
  </si>
  <si>
    <t xml:space="preserve">S152</t>
  </si>
  <si>
    <t xml:space="preserve">Wood Chipper</t>
  </si>
  <si>
    <t xml:space="preserve">Gas chipper-shredder.</t>
  </si>
  <si>
    <t xml:space="preserve">S153</t>
  </si>
  <si>
    <t xml:space="preserve">Grain Mill</t>
  </si>
  <si>
    <t xml:space="preserve">Hand/electric flour mill.</t>
  </si>
  <si>
    <t xml:space="preserve">Turns stored grain into flour; neutral on the Food total.</t>
  </si>
  <si>
    <t xml:space="preserve">S154</t>
  </si>
  <si>
    <t xml:space="preserve">Rocket Stove</t>
  </si>
  <si>
    <t xml:space="preserve">Cooking</t>
  </si>
  <si>
    <t xml:space="preserve">Efficient stick-burning cookstove.</t>
  </si>
  <si>
    <t xml:space="preserve">S155</t>
  </si>
  <si>
    <t xml:space="preserve">Propane Range</t>
  </si>
  <si>
    <t xml:space="preserve">Four-burner propane range with oven.</t>
  </si>
  <si>
    <t xml:space="preserve">S156</t>
  </si>
  <si>
    <t xml:space="preserve">Induction Cooktop</t>
  </si>
  <si>
    <t xml:space="preserve">Two-burner induction plate.</t>
  </si>
  <si>
    <t xml:space="preserve">S157</t>
  </si>
  <si>
    <t xml:space="preserve">Cob Pizza Oven</t>
  </si>
  <si>
    <t xml:space="preserve">Wood-fired earthen oven.</t>
  </si>
  <si>
    <t xml:space="preserve">S158</t>
  </si>
  <si>
    <t xml:space="preserve">Evaporative (Swamp) Cooler</t>
  </si>
  <si>
    <t xml:space="preserve">Window evaporative cooler; dry climates only.</t>
  </si>
  <si>
    <t xml:space="preserve">S159</t>
  </si>
  <si>
    <t xml:space="preserve">Earth Tubes</t>
  </si>
  <si>
    <t xml:space="preserve">Cooling; Heating</t>
  </si>
  <si>
    <t xml:space="preserve">Buried air tubes that pre-cool and pre-heat intake air.</t>
  </si>
  <si>
    <t xml:space="preserve">S160</t>
  </si>
  <si>
    <t xml:space="preserve">Masonry Heater</t>
  </si>
  <si>
    <t xml:space="preserve">Finnish-style masonry stove.</t>
  </si>
  <si>
    <t xml:space="preserve">S161</t>
  </si>
  <si>
    <t xml:space="preserve">Pellet Stove</t>
  </si>
  <si>
    <t xml:space="preserve">Automatic wood-pellet stove.</t>
  </si>
  <si>
    <t xml:space="preserve">S162</t>
  </si>
  <si>
    <t xml:space="preserve">Solar Air Heater (window box)</t>
  </si>
  <si>
    <t xml:space="preserve">Heating; Solar</t>
  </si>
  <si>
    <t xml:space="preserve">Glazed collector that warms room air on sunny days.</t>
  </si>
  <si>
    <t xml:space="preserve">S163</t>
  </si>
  <si>
    <t xml:space="preserve">Propane Tankless Water Heater</t>
  </si>
  <si>
    <t xml:space="preserve">On-demand propane water heater.</t>
  </si>
  <si>
    <t xml:space="preserve">S164</t>
  </si>
  <si>
    <t xml:space="preserve">Coppice Woodlot (1/4 acre)</t>
  </si>
  <si>
    <t xml:space="preserve">Willow/hazel coppice cut on rotation.</t>
  </si>
  <si>
    <t xml:space="preserve">S165</t>
  </si>
  <si>
    <t xml:space="preserve">Rainfall</t>
  </si>
  <si>
    <t xml:space="preserve">Rain that falls on the site.</t>
  </si>
  <si>
    <t xml:space="preserve">Set by Assumptions (annual precipitation).</t>
  </si>
  <si>
    <t xml:space="preserve">S166</t>
  </si>
  <si>
    <t xml:space="preserve">Prevailing Wind</t>
  </si>
  <si>
    <t xml:space="preserve">Wind exposure of the site.</t>
  </si>
  <si>
    <t xml:space="preserve">S167</t>
  </si>
  <si>
    <t xml:space="preserve">Stream Frontage</t>
  </si>
  <si>
    <t xml:space="preserve">A year-round creek on the property.</t>
  </si>
  <si>
    <t xml:space="preserve">S168</t>
  </si>
  <si>
    <t xml:space="preserve">Pasture (1 acre)</t>
  </si>
  <si>
    <t xml:space="preserve">Seeded dryland pasture.</t>
  </si>
  <si>
    <t xml:space="preserve">S169</t>
  </si>
  <si>
    <t xml:space="preserve">Rain Barrel (55 gal)</t>
  </si>
  <si>
    <t xml:space="preserve">New (G15 patch)</t>
  </si>
  <si>
    <t xml:space="preserve">A 55-gallon barrel under a small catchment of its own: a shed roof, a tarp, or a gutter off a tent fly.</t>
  </si>
  <si>
    <t xml:space="preserve">Water out = catchment x rainfall x 0.623 gal/sq ft-in x efficiency. Brings its own 100 sq ft catchment, so it needs no Roofing area.</t>
  </si>
  <si>
    <t xml:space="preserve">S170</t>
  </si>
  <si>
    <t xml:space="preserve">Pellet Mill (small)</t>
  </si>
  <si>
    <t xml:space="preserve">Biomass; Energy</t>
  </si>
  <si>
    <t xml:space="preserve">A small flat-die mill that presses dry wood chips into stove pellets.</t>
  </si>
  <si>
    <t xml:space="preserve">Wood chips; Electricity</t>
  </si>
  <si>
    <t xml:space="preserve">About 100 lbs of pellets a week from 120 lbs of chips; the rest is moisture and fines.</t>
  </si>
  <si>
    <t xml:space="preserve">S171</t>
  </si>
  <si>
    <t xml:space="preserve">Part-Time Job (20 hrs)</t>
  </si>
  <si>
    <t xml:space="preserve">Twenty hours a week at median hourly pay, with a shorter commute.</t>
  </si>
  <si>
    <t xml:space="preserve">Labor; Transportation</t>
  </si>
  <si>
    <t xml:space="preserve">Trades income for about 20 hours a week of homestead labor.</t>
  </si>
  <si>
    <t xml:space="preserve">S172</t>
  </si>
  <si>
    <t xml:space="preserve">Remote Job (40 hrs)</t>
  </si>
  <si>
    <t xml:space="preserve">A full-time job worked from home: no commute.</t>
  </si>
  <si>
    <t xml:space="preserve">Pays a little less than the average job but needs no transportation.</t>
  </si>
  <si>
    <t xml:space="preserve">S173</t>
  </si>
  <si>
    <t xml:space="preserve">Sheet-Mulch Lawn Conversion (500 sq ft)</t>
  </si>
  <si>
    <t xml:space="preserve">Cardboard and browns laid over lawn and topped with compost; the grass rots into planting soil.</t>
  </si>
  <si>
    <t xml:space="preserve">Carbon; Compost</t>
  </si>
  <si>
    <t xml:space="preserve">Soil</t>
  </si>
  <si>
    <t xml:space="preserve">Builds about 40 cu ft of soil over a growing season.</t>
  </si>
  <si>
    <t xml:space="preserve">S174</t>
  </si>
  <si>
    <t xml:space="preserve">Home Weatherization Retrofit</t>
  </si>
  <si>
    <t xml:space="preserve">Air sealing, attic insulation, and weatherstripping on an existing home.</t>
  </si>
  <si>
    <t xml:space="preserve">(modifies its host shelter)</t>
  </si>
  <si>
    <t xml:space="preserve">Cuts the host shelter's heat loss by about 30% (engine modifier, catalog_overrides.json).</t>
  </si>
  <si>
    <t xml:space="preserve">S175</t>
  </si>
  <si>
    <t xml:space="preserve">Suburban Lot (1/4 acre)</t>
  </si>
  <si>
    <t xml:space="preserve">A quarter-acre suburban lot, usually bought with the house on it.</t>
  </si>
  <si>
    <t xml:space="preserve">Land area</t>
  </si>
  <si>
    <t xml:space="preserve">Lot rules (setbacks, animal limits) vary by town.</t>
  </si>
  <si>
    <t xml:space="preserve">S176</t>
  </si>
  <si>
    <t xml:space="preserve">Clothesline</t>
  </si>
  <si>
    <t xml:space="preserve">A line and two posts: sun-dried laundry instead of the electric dryer.</t>
  </si>
  <si>
    <t xml:space="preserve">Saves about 1 kWh per person a week of dryer power (engine modifier, catalog_overrides.json).</t>
  </si>
  <si>
    <t xml:space="preserve">S177</t>
  </si>
  <si>
    <t xml:space="preserve">Wool Blankets &amp; Sleeping Bags</t>
  </si>
  <si>
    <t xml:space="preserve">New (G16 patch)</t>
  </si>
  <si>
    <t xml:space="preserve">Wool blankets and cold-rated sleeping bags for everyone who sleeps in the shelter.</t>
  </si>
  <si>
    <t xml:space="preserve">Lowers the host shelter's heat need: people stay warm at a lower indoor temperature (engine modifier, catalog_overrides.json).</t>
  </si>
  <si>
    <t xml:space="preserve">S178</t>
  </si>
  <si>
    <t xml:space="preserve">Farm Stand</t>
  </si>
  <si>
    <t xml:space="preserve">New (LL-29 patch)</t>
  </si>
  <si>
    <t xml:space="preserve">A small stand for selling household surplus at a better price. Requires weekly staffing and transport.</t>
  </si>
  <si>
    <t xml:space="preserve">(improves surplus sale price)</t>
  </si>
  <si>
    <t xml:space="preserve">LL-29 experimental game balance: 80% of reference retail rather than 50% when staffed and supplied. Two hours and 10 miles per week.</t>
  </si>
  <si>
    <t xml:space="preserve">Flow ID</t>
  </si>
  <si>
    <t xml:space="preserve">Direction</t>
  </si>
  <si>
    <t xml:space="preserve">Resource</t>
  </si>
  <si>
    <t xml:space="preserve">Qty per period</t>
  </si>
  <si>
    <t xml:space="preserve">Period</t>
  </si>
  <si>
    <t xml:space="preserve">Weekly equivalent (per unit)</t>
  </si>
  <si>
    <t xml:space="preserve">Weekly total (design)</t>
  </si>
  <si>
    <t xml:space="preserve">Needs Checklist row</t>
  </si>
  <si>
    <t xml:space="preserve">Contribution to need</t>
  </si>
  <si>
    <t xml:space="preserve">Key</t>
  </si>
  <si>
    <t xml:space="preserve">F0001</t>
  </si>
  <si>
    <t xml:space="preserve">Input</t>
  </si>
  <si>
    <t xml:space="preserve">Weekly</t>
  </si>
  <si>
    <t xml:space="preserve">Weekly upkeep hours (Systems column K).</t>
  </si>
  <si>
    <t xml:space="preserve">F0002</t>
  </si>
  <si>
    <t xml:space="preserve">F0003</t>
  </si>
  <si>
    <t xml:space="preserve">Output</t>
  </si>
  <si>
    <t xml:space="preserve">F0004</t>
  </si>
  <si>
    <t xml:space="preserve">Capacity</t>
  </si>
  <si>
    <t xml:space="preserve">F0005</t>
  </si>
  <si>
    <t xml:space="preserve">F0006</t>
  </si>
  <si>
    <t xml:space="preserve">Sun-hours per week from Assumptions.</t>
  </si>
  <si>
    <t xml:space="preserve">F0007</t>
  </si>
  <si>
    <t xml:space="preserve">0.5 kW rating x sun-hours x derate.</t>
  </si>
  <si>
    <t xml:space="preserve">F0008</t>
  </si>
  <si>
    <t xml:space="preserve">F0009</t>
  </si>
  <si>
    <t xml:space="preserve">F0010</t>
  </si>
  <si>
    <t xml:space="preserve">F0011</t>
  </si>
  <si>
    <t xml:space="preserve">F0012</t>
  </si>
  <si>
    <t xml:space="preserve">F0013</t>
  </si>
  <si>
    <t xml:space="preserve">F0014</t>
  </si>
  <si>
    <t xml:space="preserve">F0015</t>
  </si>
  <si>
    <t xml:space="preserve">F0016</t>
  </si>
  <si>
    <t xml:space="preserve">F0017</t>
  </si>
  <si>
    <t xml:space="preserve">F0018</t>
  </si>
  <si>
    <t xml:space="preserve">Wood chips</t>
  </si>
  <si>
    <t xml:space="preserve">F0019</t>
  </si>
  <si>
    <t xml:space="preserve">F0020</t>
  </si>
  <si>
    <t xml:space="preserve">F0021</t>
  </si>
  <si>
    <t xml:space="preserve">F0022</t>
  </si>
  <si>
    <t xml:space="preserve">F0023</t>
  </si>
  <si>
    <t xml:space="preserve">F0024</t>
  </si>
  <si>
    <t xml:space="preserve">F0025</t>
  </si>
  <si>
    <t xml:space="preserve">F0026</t>
  </si>
  <si>
    <t xml:space="preserve">F0027</t>
  </si>
  <si>
    <t xml:space="preserve">Heating load = area x heat-loss factor x HDD x 24 / 52.</t>
  </si>
  <si>
    <t xml:space="preserve">F0028</t>
  </si>
  <si>
    <t xml:space="preserve">Cooling load = area x heat-loss factor x CDD x 24 / 52.</t>
  </si>
  <si>
    <t xml:space="preserve">F0029</t>
  </si>
  <si>
    <t xml:space="preserve">F0030</t>
  </si>
  <si>
    <t xml:space="preserve">F0031</t>
  </si>
  <si>
    <t xml:space="preserve">F0032</t>
  </si>
  <si>
    <t xml:space="preserve">F0033</t>
  </si>
  <si>
    <t xml:space="preserve">F0034</t>
  </si>
  <si>
    <t xml:space="preserve">F0035</t>
  </si>
  <si>
    <t xml:space="preserve">Hot water</t>
  </si>
  <si>
    <t xml:space="preserve">F0036</t>
  </si>
  <si>
    <t xml:space="preserve">F0037</t>
  </si>
  <si>
    <t xml:space="preserve">F0038</t>
  </si>
  <si>
    <t xml:space="preserve">F0039</t>
  </si>
  <si>
    <t xml:space="preserve">F0040</t>
  </si>
  <si>
    <t xml:space="preserve">F0041</t>
  </si>
  <si>
    <t xml:space="preserve">F0042</t>
  </si>
  <si>
    <t xml:space="preserve">F0043</t>
  </si>
  <si>
    <t xml:space="preserve">F0044</t>
  </si>
  <si>
    <t xml:space="preserve">F0045</t>
  </si>
  <si>
    <t xml:space="preserve">F0046</t>
  </si>
  <si>
    <t xml:space="preserve">F0047</t>
  </si>
  <si>
    <t xml:space="preserve">F0048</t>
  </si>
  <si>
    <t xml:space="preserve">F0049</t>
  </si>
  <si>
    <t xml:space="preserve">F0050</t>
  </si>
  <si>
    <t xml:space="preserve">F0051</t>
  </si>
  <si>
    <t xml:space="preserve">Gasoline</t>
  </si>
  <si>
    <t xml:space="preserve">F0052</t>
  </si>
  <si>
    <t xml:space="preserve">F0053</t>
  </si>
  <si>
    <t xml:space="preserve">F0054</t>
  </si>
  <si>
    <t xml:space="preserve">F0055</t>
  </si>
  <si>
    <t xml:space="preserve">F0056</t>
  </si>
  <si>
    <t xml:space="preserve">F0057</t>
  </si>
  <si>
    <t xml:space="preserve">F0058</t>
  </si>
  <si>
    <t xml:space="preserve">F0059</t>
  </si>
  <si>
    <t xml:space="preserve">F0060</t>
  </si>
  <si>
    <t xml:space="preserve">F0061</t>
  </si>
  <si>
    <t xml:space="preserve">F0062</t>
  </si>
  <si>
    <t xml:space="preserve">F0063</t>
  </si>
  <si>
    <t xml:space="preserve">F0064</t>
  </si>
  <si>
    <t xml:space="preserve">F0065</t>
  </si>
  <si>
    <t xml:space="preserve">F0066</t>
  </si>
  <si>
    <t xml:space="preserve">F0067</t>
  </si>
  <si>
    <t xml:space="preserve">F0068</t>
  </si>
  <si>
    <t xml:space="preserve">F0069</t>
  </si>
  <si>
    <t xml:space="preserve">F0070</t>
  </si>
  <si>
    <t xml:space="preserve">F0071</t>
  </si>
  <si>
    <t xml:space="preserve">F0072</t>
  </si>
  <si>
    <t xml:space="preserve">Pest control</t>
  </si>
  <si>
    <t xml:space="preserve">F0073</t>
  </si>
  <si>
    <t xml:space="preserve">F0074</t>
  </si>
  <si>
    <t xml:space="preserve">F0075</t>
  </si>
  <si>
    <t xml:space="preserve">Chicken feed</t>
  </si>
  <si>
    <t xml:space="preserve">F0076</t>
  </si>
  <si>
    <t xml:space="preserve">F0077</t>
  </si>
  <si>
    <t xml:space="preserve">F0078</t>
  </si>
  <si>
    <t xml:space="preserve">F0079</t>
  </si>
  <si>
    <t xml:space="preserve">F0080</t>
  </si>
  <si>
    <t xml:space="preserve">Honey</t>
  </si>
  <si>
    <t xml:space="preserve">Yearly</t>
  </si>
  <si>
    <t xml:space="preserve">F0081</t>
  </si>
  <si>
    <t xml:space="preserve">F0082</t>
  </si>
  <si>
    <t xml:space="preserve">F0083</t>
  </si>
  <si>
    <t xml:space="preserve">Coffee grounds</t>
  </si>
  <si>
    <t xml:space="preserve">F0084</t>
  </si>
  <si>
    <t xml:space="preserve">F0085</t>
  </si>
  <si>
    <t xml:space="preserve">F0086</t>
  </si>
  <si>
    <t xml:space="preserve">Grubs</t>
  </si>
  <si>
    <t xml:space="preserve">F0087</t>
  </si>
  <si>
    <t xml:space="preserve">F0088</t>
  </si>
  <si>
    <t xml:space="preserve">F0089</t>
  </si>
  <si>
    <t xml:space="preserve">F0090</t>
  </si>
  <si>
    <t xml:space="preserve">F0091</t>
  </si>
  <si>
    <t xml:space="preserve">F0092</t>
  </si>
  <si>
    <t xml:space="preserve">F0093</t>
  </si>
  <si>
    <t xml:space="preserve">F0094</t>
  </si>
  <si>
    <t xml:space="preserve">Eggs</t>
  </si>
  <si>
    <t xml:space="preserve">F0095</t>
  </si>
  <si>
    <t xml:space="preserve">F0096</t>
  </si>
  <si>
    <t xml:space="preserve">F0097</t>
  </si>
  <si>
    <t xml:space="preserve">F0098</t>
  </si>
  <si>
    <t xml:space="preserve">F0099</t>
  </si>
  <si>
    <t xml:space="preserve">F0100</t>
  </si>
  <si>
    <t xml:space="preserve">F0101</t>
  </si>
  <si>
    <t xml:space="preserve">F0102</t>
  </si>
  <si>
    <t xml:space="preserve">F0103</t>
  </si>
  <si>
    <t xml:space="preserve">F0104</t>
  </si>
  <si>
    <t xml:space="preserve">Includes weekly upkeep hours.</t>
  </si>
  <si>
    <t xml:space="preserve">F0105</t>
  </si>
  <si>
    <t xml:space="preserve">F0106</t>
  </si>
  <si>
    <t xml:space="preserve">F0107</t>
  </si>
  <si>
    <t xml:space="preserve">F0108</t>
  </si>
  <si>
    <t xml:space="preserve">F0109</t>
  </si>
  <si>
    <t xml:space="preserve">F0110</t>
  </si>
  <si>
    <t xml:space="preserve">F0111</t>
  </si>
  <si>
    <t xml:space="preserve">F0112</t>
  </si>
  <si>
    <t xml:space="preserve">F0113</t>
  </si>
  <si>
    <t xml:space="preserve">F0114</t>
  </si>
  <si>
    <t xml:space="preserve">F0115</t>
  </si>
  <si>
    <t xml:space="preserve">F0116</t>
  </si>
  <si>
    <t xml:space="preserve">F0117</t>
  </si>
  <si>
    <t xml:space="preserve">Equals the catchment area in Systems.</t>
  </si>
  <si>
    <t xml:space="preserve">F0118</t>
  </si>
  <si>
    <t xml:space="preserve">Inches per week from Assumptions.</t>
  </si>
  <si>
    <t xml:space="preserve">F0119</t>
  </si>
  <si>
    <t xml:space="preserve">Catchment x rainfall x 0.623 x capture efficiency.</t>
  </si>
  <si>
    <t xml:space="preserve">F0120</t>
  </si>
  <si>
    <t xml:space="preserve">F0121</t>
  </si>
  <si>
    <t xml:space="preserve">F0122</t>
  </si>
  <si>
    <t xml:space="preserve">F0123</t>
  </si>
  <si>
    <t xml:space="preserve">F0124</t>
  </si>
  <si>
    <t xml:space="preserve">F0125</t>
  </si>
  <si>
    <t xml:space="preserve">F0126</t>
  </si>
  <si>
    <t xml:space="preserve">F0127</t>
  </si>
  <si>
    <t xml:space="preserve">F0128</t>
  </si>
  <si>
    <t xml:space="preserve">F0129</t>
  </si>
  <si>
    <t xml:space="preserve">Greywater</t>
  </si>
  <si>
    <t xml:space="preserve">F0130</t>
  </si>
  <si>
    <t xml:space="preserve">F0131</t>
  </si>
  <si>
    <t xml:space="preserve">F0132</t>
  </si>
  <si>
    <t xml:space="preserve">F0133</t>
  </si>
  <si>
    <t xml:space="preserve">F0134</t>
  </si>
  <si>
    <t xml:space="preserve">F0135</t>
  </si>
  <si>
    <t xml:space="preserve">F0136</t>
  </si>
  <si>
    <t xml:space="preserve">F0137</t>
  </si>
  <si>
    <t xml:space="preserve">F0138</t>
  </si>
  <si>
    <t xml:space="preserve">F0139</t>
  </si>
  <si>
    <t xml:space="preserve">F0140</t>
  </si>
  <si>
    <t xml:space="preserve">F0141</t>
  </si>
  <si>
    <t xml:space="preserve">F0142</t>
  </si>
  <si>
    <t xml:space="preserve">F0143</t>
  </si>
  <si>
    <t xml:space="preserve">F0144</t>
  </si>
  <si>
    <t xml:space="preserve">F0145</t>
  </si>
  <si>
    <t xml:space="preserve">F0146</t>
  </si>
  <si>
    <t xml:space="preserve">F0147</t>
  </si>
  <si>
    <t xml:space="preserve">F0148</t>
  </si>
  <si>
    <t xml:space="preserve">F0149</t>
  </si>
  <si>
    <t xml:space="preserve">F0150</t>
  </si>
  <si>
    <t xml:space="preserve">F0151</t>
  </si>
  <si>
    <t xml:space="preserve">F0152</t>
  </si>
  <si>
    <t xml:space="preserve">F0153</t>
  </si>
  <si>
    <t xml:space="preserve">Seedlings</t>
  </si>
  <si>
    <t xml:space="preserve">One-time</t>
  </si>
  <si>
    <t xml:space="preserve">F0154</t>
  </si>
  <si>
    <t xml:space="preserve">F0155</t>
  </si>
  <si>
    <t xml:space="preserve">F0156</t>
  </si>
  <si>
    <t xml:space="preserve">F0157</t>
  </si>
  <si>
    <t xml:space="preserve">F0158</t>
  </si>
  <si>
    <t xml:space="preserve">Nuts</t>
  </si>
  <si>
    <t xml:space="preserve">F0159</t>
  </si>
  <si>
    <t xml:space="preserve">F0160</t>
  </si>
  <si>
    <t xml:space="preserve">F0161</t>
  </si>
  <si>
    <t xml:space="preserve">F0162</t>
  </si>
  <si>
    <t xml:space="preserve">F0163</t>
  </si>
  <si>
    <t xml:space="preserve">Carbon</t>
  </si>
  <si>
    <t xml:space="preserve">F0164</t>
  </si>
  <si>
    <t xml:space="preserve">F0165</t>
  </si>
  <si>
    <t xml:space="preserve">F0166</t>
  </si>
  <si>
    <t xml:space="preserve">F0167</t>
  </si>
  <si>
    <t xml:space="preserve">F0168</t>
  </si>
  <si>
    <t xml:space="preserve">F0169</t>
  </si>
  <si>
    <t xml:space="preserve">F0170</t>
  </si>
  <si>
    <t xml:space="preserve">F0171</t>
  </si>
  <si>
    <t xml:space="preserve">F0172</t>
  </si>
  <si>
    <t xml:space="preserve">F0173</t>
  </si>
  <si>
    <t xml:space="preserve">F0174</t>
  </si>
  <si>
    <t xml:space="preserve">F0175</t>
  </si>
  <si>
    <t xml:space="preserve">F0176</t>
  </si>
  <si>
    <t xml:space="preserve">F0177</t>
  </si>
  <si>
    <t xml:space="preserve">F0178</t>
  </si>
  <si>
    <t xml:space="preserve">F0179</t>
  </si>
  <si>
    <t xml:space="preserve">F0180</t>
  </si>
  <si>
    <t xml:space="preserve">F0181</t>
  </si>
  <si>
    <t xml:space="preserve">F0182</t>
  </si>
  <si>
    <t xml:space="preserve">F0183</t>
  </si>
  <si>
    <t xml:space="preserve">F0184</t>
  </si>
  <si>
    <t xml:space="preserve">F0185</t>
  </si>
  <si>
    <t xml:space="preserve">F0186</t>
  </si>
  <si>
    <t xml:space="preserve">F0187</t>
  </si>
  <si>
    <t xml:space="preserve">F0188</t>
  </si>
  <si>
    <t xml:space="preserve">F0189</t>
  </si>
  <si>
    <t xml:space="preserve">F0190</t>
  </si>
  <si>
    <t xml:space="preserve">F0191</t>
  </si>
  <si>
    <t xml:space="preserve">F0192</t>
  </si>
  <si>
    <t xml:space="preserve">F0193</t>
  </si>
  <si>
    <t xml:space="preserve">F0194</t>
  </si>
  <si>
    <t xml:space="preserve">F0195</t>
  </si>
  <si>
    <t xml:space="preserve">F0196</t>
  </si>
  <si>
    <t xml:space="preserve">F0197</t>
  </si>
  <si>
    <t xml:space="preserve">1 kW rating x sun-hours x derate.</t>
  </si>
  <si>
    <t xml:space="preserve">F0198</t>
  </si>
  <si>
    <t xml:space="preserve">F0199</t>
  </si>
  <si>
    <t xml:space="preserve">F0200</t>
  </si>
  <si>
    <t xml:space="preserve">F0201</t>
  </si>
  <si>
    <t xml:space="preserve">F0202</t>
  </si>
  <si>
    <t xml:space="preserve">F0203</t>
  </si>
  <si>
    <t xml:space="preserve">Fenced paddock</t>
  </si>
  <si>
    <t xml:space="preserve">F0204</t>
  </si>
  <si>
    <t xml:space="preserve">F0205</t>
  </si>
  <si>
    <t xml:space="preserve">F0206</t>
  </si>
  <si>
    <t xml:space="preserve">F0207</t>
  </si>
  <si>
    <t xml:space="preserve">F0208</t>
  </si>
  <si>
    <t xml:space="preserve">F0209</t>
  </si>
  <si>
    <t xml:space="preserve">F0210</t>
  </si>
  <si>
    <t xml:space="preserve">F0211</t>
  </si>
  <si>
    <t xml:space="preserve">F0212</t>
  </si>
  <si>
    <t xml:space="preserve">F0213</t>
  </si>
  <si>
    <t xml:space="preserve">F0214</t>
  </si>
  <si>
    <t xml:space="preserve">F0215</t>
  </si>
  <si>
    <t xml:space="preserve">F0216</t>
  </si>
  <si>
    <t xml:space="preserve">Seeds</t>
  </si>
  <si>
    <t xml:space="preserve">Per season</t>
  </si>
  <si>
    <t xml:space="preserve">F0217</t>
  </si>
  <si>
    <t xml:space="preserve">F0218</t>
  </si>
  <si>
    <t xml:space="preserve">F0219</t>
  </si>
  <si>
    <t xml:space="preserve">F0220</t>
  </si>
  <si>
    <t xml:space="preserve">F0221</t>
  </si>
  <si>
    <t xml:space="preserve">F0222</t>
  </si>
  <si>
    <t xml:space="preserve">F0223</t>
  </si>
  <si>
    <t xml:space="preserve">F0224</t>
  </si>
  <si>
    <t xml:space="preserve">F0225</t>
  </si>
  <si>
    <t xml:space="preserve">F0226</t>
  </si>
  <si>
    <t xml:space="preserve">F0227</t>
  </si>
  <si>
    <t xml:space="preserve">F0228</t>
  </si>
  <si>
    <t xml:space="preserve">F0229</t>
  </si>
  <si>
    <t xml:space="preserve">F0230</t>
  </si>
  <si>
    <t xml:space="preserve">F0231</t>
  </si>
  <si>
    <t xml:space="preserve">F0232</t>
  </si>
  <si>
    <t xml:space="preserve">F0233</t>
  </si>
  <si>
    <t xml:space="preserve">F0234</t>
  </si>
  <si>
    <t xml:space="preserve">F0235</t>
  </si>
  <si>
    <t xml:space="preserve">F0236</t>
  </si>
  <si>
    <t xml:space="preserve">F0237</t>
  </si>
  <si>
    <t xml:space="preserve">F0238</t>
  </si>
  <si>
    <t xml:space="preserve">F0239</t>
  </si>
  <si>
    <t xml:space="preserve">F0240</t>
  </si>
  <si>
    <t xml:space="preserve">F0241</t>
  </si>
  <si>
    <t xml:space="preserve">F0242</t>
  </si>
  <si>
    <t xml:space="preserve">F0243</t>
  </si>
  <si>
    <t xml:space="preserve">F0244</t>
  </si>
  <si>
    <t xml:space="preserve">F0245</t>
  </si>
  <si>
    <t xml:space="preserve">F0246</t>
  </si>
  <si>
    <t xml:space="preserve">F0247</t>
  </si>
  <si>
    <t xml:space="preserve">F0248</t>
  </si>
  <si>
    <t xml:space="preserve">F0249</t>
  </si>
  <si>
    <t xml:space="preserve">F0250</t>
  </si>
  <si>
    <t xml:space="preserve">F0251</t>
  </si>
  <si>
    <t xml:space="preserve">F0252</t>
  </si>
  <si>
    <t xml:space="preserve">F0253</t>
  </si>
  <si>
    <t xml:space="preserve">F0254</t>
  </si>
  <si>
    <t xml:space="preserve">F0255</t>
  </si>
  <si>
    <t xml:space="preserve">F0256</t>
  </si>
  <si>
    <t xml:space="preserve">F0257</t>
  </si>
  <si>
    <t xml:space="preserve">F0258</t>
  </si>
  <si>
    <t xml:space="preserve">F0259</t>
  </si>
  <si>
    <t xml:space="preserve">F0260</t>
  </si>
  <si>
    <t xml:space="preserve">F0261</t>
  </si>
  <si>
    <t xml:space="preserve">Meat</t>
  </si>
  <si>
    <t xml:space="preserve">F0262</t>
  </si>
  <si>
    <t xml:space="preserve">F0263</t>
  </si>
  <si>
    <t xml:space="preserve">F0264</t>
  </si>
  <si>
    <t xml:space="preserve">F0265</t>
  </si>
  <si>
    <t xml:space="preserve">F0266</t>
  </si>
  <si>
    <t xml:space="preserve">F0267</t>
  </si>
  <si>
    <t xml:space="preserve">F0268</t>
  </si>
  <si>
    <t xml:space="preserve">F0269</t>
  </si>
  <si>
    <t xml:space="preserve">F0270</t>
  </si>
  <si>
    <t xml:space="preserve">F0271</t>
  </si>
  <si>
    <t xml:space="preserve">F0272</t>
  </si>
  <si>
    <t xml:space="preserve">F0273</t>
  </si>
  <si>
    <t xml:space="preserve">F0274</t>
  </si>
  <si>
    <t xml:space="preserve">F0275</t>
  </si>
  <si>
    <t xml:space="preserve">F0276</t>
  </si>
  <si>
    <t xml:space="preserve">F0277</t>
  </si>
  <si>
    <t xml:space="preserve">F0278</t>
  </si>
  <si>
    <t xml:space="preserve">F0279</t>
  </si>
  <si>
    <t xml:space="preserve">F0280</t>
  </si>
  <si>
    <t xml:space="preserve">F0281</t>
  </si>
  <si>
    <t xml:space="preserve">F0282</t>
  </si>
  <si>
    <t xml:space="preserve">F0283</t>
  </si>
  <si>
    <t xml:space="preserve">F0284</t>
  </si>
  <si>
    <t xml:space="preserve">F0285</t>
  </si>
  <si>
    <t xml:space="preserve">F0286</t>
  </si>
  <si>
    <t xml:space="preserve">F0287</t>
  </si>
  <si>
    <t xml:space="preserve">F0288</t>
  </si>
  <si>
    <t xml:space="preserve">F0289</t>
  </si>
  <si>
    <t xml:space="preserve">F0290</t>
  </si>
  <si>
    <t xml:space="preserve">F0291</t>
  </si>
  <si>
    <t xml:space="preserve">F0292</t>
  </si>
  <si>
    <t xml:space="preserve">F0293</t>
  </si>
  <si>
    <t xml:space="preserve">F0294</t>
  </si>
  <si>
    <t xml:space="preserve">F0295</t>
  </si>
  <si>
    <t xml:space="preserve">F0296</t>
  </si>
  <si>
    <t xml:space="preserve">F0297</t>
  </si>
  <si>
    <t xml:space="preserve">F0298</t>
  </si>
  <si>
    <t xml:space="preserve">F0299</t>
  </si>
  <si>
    <t xml:space="preserve">F0300</t>
  </si>
  <si>
    <t xml:space="preserve">F0301</t>
  </si>
  <si>
    <t xml:space="preserve">F0302</t>
  </si>
  <si>
    <t xml:space="preserve">F0303</t>
  </si>
  <si>
    <t xml:space="preserve">F0304</t>
  </si>
  <si>
    <t xml:space="preserve">F0305</t>
  </si>
  <si>
    <t xml:space="preserve">F0306</t>
  </si>
  <si>
    <t xml:space="preserve">F0307</t>
  </si>
  <si>
    <t xml:space="preserve">F0308</t>
  </si>
  <si>
    <t xml:space="preserve">F0309</t>
  </si>
  <si>
    <t xml:space="preserve">F0310</t>
  </si>
  <si>
    <t xml:space="preserve">F0311</t>
  </si>
  <si>
    <t xml:space="preserve">F0312</t>
  </si>
  <si>
    <t xml:space="preserve">F0313</t>
  </si>
  <si>
    <t xml:space="preserve">F0314</t>
  </si>
  <si>
    <t xml:space="preserve">F0315</t>
  </si>
  <si>
    <t xml:space="preserve">F0316</t>
  </si>
  <si>
    <t xml:space="preserve">F0317</t>
  </si>
  <si>
    <t xml:space="preserve">F0318</t>
  </si>
  <si>
    <t xml:space="preserve">F0319</t>
  </si>
  <si>
    <t xml:space="preserve">F0320</t>
  </si>
  <si>
    <t xml:space="preserve">F0321</t>
  </si>
  <si>
    <t xml:space="preserve">F0322</t>
  </si>
  <si>
    <t xml:space="preserve">F0323</t>
  </si>
  <si>
    <t xml:space="preserve">F0324</t>
  </si>
  <si>
    <t xml:space="preserve">F0325</t>
  </si>
  <si>
    <t xml:space="preserve">F0326</t>
  </si>
  <si>
    <t xml:space="preserve">F0327</t>
  </si>
  <si>
    <t xml:space="preserve">F0328</t>
  </si>
  <si>
    <t xml:space="preserve">F0329</t>
  </si>
  <si>
    <t xml:space="preserve">F0330</t>
  </si>
  <si>
    <t xml:space="preserve">F0331</t>
  </si>
  <si>
    <t xml:space="preserve">F0332</t>
  </si>
  <si>
    <t xml:space="preserve">F0333</t>
  </si>
  <si>
    <t xml:space="preserve">F0334</t>
  </si>
  <si>
    <t xml:space="preserve">F0335</t>
  </si>
  <si>
    <t xml:space="preserve">F0336</t>
  </si>
  <si>
    <t xml:space="preserve">F0337</t>
  </si>
  <si>
    <t xml:space="preserve">F0338</t>
  </si>
  <si>
    <t xml:space="preserve">F0339</t>
  </si>
  <si>
    <t xml:space="preserve">F0340</t>
  </si>
  <si>
    <t xml:space="preserve">F0341</t>
  </si>
  <si>
    <t xml:space="preserve">F0342</t>
  </si>
  <si>
    <t xml:space="preserve">Nesting habitat</t>
  </si>
  <si>
    <t xml:space="preserve">F0343</t>
  </si>
  <si>
    <t xml:space="preserve">F0344</t>
  </si>
  <si>
    <t xml:space="preserve">F0345</t>
  </si>
  <si>
    <t xml:space="preserve">F0346</t>
  </si>
  <si>
    <t xml:space="preserve">F0347</t>
  </si>
  <si>
    <t xml:space="preserve">F0348</t>
  </si>
  <si>
    <t xml:space="preserve">F0349</t>
  </si>
  <si>
    <t xml:space="preserve">F0350</t>
  </si>
  <si>
    <t xml:space="preserve">F0351</t>
  </si>
  <si>
    <t xml:space="preserve">F0352</t>
  </si>
  <si>
    <t xml:space="preserve">F0353</t>
  </si>
  <si>
    <t xml:space="preserve">F0354</t>
  </si>
  <si>
    <t xml:space="preserve">F0355</t>
  </si>
  <si>
    <t xml:space="preserve">F0356</t>
  </si>
  <si>
    <t xml:space="preserve">F0357</t>
  </si>
  <si>
    <t xml:space="preserve">F0358</t>
  </si>
  <si>
    <t xml:space="preserve">F0359</t>
  </si>
  <si>
    <t xml:space="preserve">F0360</t>
  </si>
  <si>
    <t xml:space="preserve">F0361</t>
  </si>
  <si>
    <t xml:space="preserve">F0362</t>
  </si>
  <si>
    <t xml:space="preserve">F0363</t>
  </si>
  <si>
    <t xml:space="preserve">F0364</t>
  </si>
  <si>
    <t xml:space="preserve">F0365</t>
  </si>
  <si>
    <t xml:space="preserve">F0366</t>
  </si>
  <si>
    <t xml:space="preserve">F0367</t>
  </si>
  <si>
    <t xml:space="preserve">F0368</t>
  </si>
  <si>
    <t xml:space="preserve">F0369</t>
  </si>
  <si>
    <t xml:space="preserve">F0370</t>
  </si>
  <si>
    <t xml:space="preserve">F0371</t>
  </si>
  <si>
    <t xml:space="preserve">F0372</t>
  </si>
  <si>
    <t xml:space="preserve">F0373</t>
  </si>
  <si>
    <t xml:space="preserve">F0374</t>
  </si>
  <si>
    <t xml:space="preserve">F0375</t>
  </si>
  <si>
    <t xml:space="preserve">F0376</t>
  </si>
  <si>
    <t xml:space="preserve">F0377</t>
  </si>
  <si>
    <t xml:space="preserve">F0378</t>
  </si>
  <si>
    <t xml:space="preserve">F0379</t>
  </si>
  <si>
    <t xml:space="preserve">F0380</t>
  </si>
  <si>
    <t xml:space="preserve">F0381</t>
  </si>
  <si>
    <t xml:space="preserve">F0382</t>
  </si>
  <si>
    <t xml:space="preserve">F0383</t>
  </si>
  <si>
    <t xml:space="preserve">F0384</t>
  </si>
  <si>
    <t xml:space="preserve">F0385</t>
  </si>
  <si>
    <t xml:space="preserve">F0386</t>
  </si>
  <si>
    <t xml:space="preserve">F0387</t>
  </si>
  <si>
    <t xml:space="preserve">F0388</t>
  </si>
  <si>
    <t xml:space="preserve">F0389</t>
  </si>
  <si>
    <t xml:space="preserve">F0390</t>
  </si>
  <si>
    <t xml:space="preserve">F0391</t>
  </si>
  <si>
    <t xml:space="preserve">F0392</t>
  </si>
  <si>
    <t xml:space="preserve">F0393</t>
  </si>
  <si>
    <t xml:space="preserve">F0394</t>
  </si>
  <si>
    <t xml:space="preserve">F0395</t>
  </si>
  <si>
    <t xml:space="preserve">F0396</t>
  </si>
  <si>
    <t xml:space="preserve">F0397</t>
  </si>
  <si>
    <t xml:space="preserve">F0398</t>
  </si>
  <si>
    <t xml:space="preserve">F0399</t>
  </si>
  <si>
    <t xml:space="preserve">F0400</t>
  </si>
  <si>
    <t xml:space="preserve">F0401</t>
  </si>
  <si>
    <t xml:space="preserve">F0402</t>
  </si>
  <si>
    <t xml:space="preserve">F0403</t>
  </si>
  <si>
    <t xml:space="preserve">F0404</t>
  </si>
  <si>
    <t xml:space="preserve">F0405</t>
  </si>
  <si>
    <t xml:space="preserve">F0406</t>
  </si>
  <si>
    <t xml:space="preserve">F0407</t>
  </si>
  <si>
    <t xml:space="preserve">F0408</t>
  </si>
  <si>
    <t xml:space="preserve">F0409</t>
  </si>
  <si>
    <t xml:space="preserve">F0410</t>
  </si>
  <si>
    <t xml:space="preserve">F0411</t>
  </si>
  <si>
    <t xml:space="preserve">F0412</t>
  </si>
  <si>
    <t xml:space="preserve">F0413</t>
  </si>
  <si>
    <t xml:space="preserve">F0414</t>
  </si>
  <si>
    <t xml:space="preserve">F0415</t>
  </si>
  <si>
    <t xml:space="preserve">F0416</t>
  </si>
  <si>
    <t xml:space="preserve">F0417</t>
  </si>
  <si>
    <t xml:space="preserve">F0418</t>
  </si>
  <si>
    <t xml:space="preserve">F0419</t>
  </si>
  <si>
    <t xml:space="preserve">F0420</t>
  </si>
  <si>
    <t xml:space="preserve">F0421</t>
  </si>
  <si>
    <t xml:space="preserve">F0422</t>
  </si>
  <si>
    <t xml:space="preserve">F0423</t>
  </si>
  <si>
    <t xml:space="preserve">F0424</t>
  </si>
  <si>
    <t xml:space="preserve">F0425</t>
  </si>
  <si>
    <t xml:space="preserve">F0426</t>
  </si>
  <si>
    <t xml:space="preserve">F0427</t>
  </si>
  <si>
    <t xml:space="preserve">F0428</t>
  </si>
  <si>
    <t xml:space="preserve">F0429</t>
  </si>
  <si>
    <t xml:space="preserve">F0430</t>
  </si>
  <si>
    <t xml:space="preserve">F0431</t>
  </si>
  <si>
    <t xml:space="preserve">F0432</t>
  </si>
  <si>
    <t xml:space="preserve">F0433</t>
  </si>
  <si>
    <t xml:space="preserve">F0434</t>
  </si>
  <si>
    <t xml:space="preserve">F0435</t>
  </si>
  <si>
    <t xml:space="preserve">F0436</t>
  </si>
  <si>
    <t xml:space="preserve">F0437</t>
  </si>
  <si>
    <t xml:space="preserve">F0438</t>
  </si>
  <si>
    <t xml:space="preserve">F0439</t>
  </si>
  <si>
    <t xml:space="preserve">F0440</t>
  </si>
  <si>
    <t xml:space="preserve">F0441</t>
  </si>
  <si>
    <t xml:space="preserve">F0442</t>
  </si>
  <si>
    <t xml:space="preserve">F0443</t>
  </si>
  <si>
    <t xml:space="preserve">F0444</t>
  </si>
  <si>
    <t xml:space="preserve">F0445</t>
  </si>
  <si>
    <t xml:space="preserve">F0446</t>
  </si>
  <si>
    <t xml:space="preserve">F0447</t>
  </si>
  <si>
    <t xml:space="preserve">F0448</t>
  </si>
  <si>
    <t xml:space="preserve">F0449</t>
  </si>
  <si>
    <t xml:space="preserve">F0450</t>
  </si>
  <si>
    <t xml:space="preserve">F0451</t>
  </si>
  <si>
    <t xml:space="preserve">F0452</t>
  </si>
  <si>
    <t xml:space="preserve">F0453</t>
  </si>
  <si>
    <t xml:space="preserve">F0454</t>
  </si>
  <si>
    <t xml:space="preserve">F0455</t>
  </si>
  <si>
    <t xml:space="preserve">F0456</t>
  </si>
  <si>
    <t xml:space="preserve">F0457</t>
  </si>
  <si>
    <t xml:space="preserve">F0458</t>
  </si>
  <si>
    <t xml:space="preserve">F0459</t>
  </si>
  <si>
    <t xml:space="preserve">F0460</t>
  </si>
  <si>
    <t xml:space="preserve">F0461</t>
  </si>
  <si>
    <t xml:space="preserve">F0462</t>
  </si>
  <si>
    <t xml:space="preserve">F0463</t>
  </si>
  <si>
    <t xml:space="preserve">F0464</t>
  </si>
  <si>
    <t xml:space="preserve">F0465</t>
  </si>
  <si>
    <t xml:space="preserve">F0466</t>
  </si>
  <si>
    <t xml:space="preserve">F0467</t>
  </si>
  <si>
    <t xml:space="preserve">F0468</t>
  </si>
  <si>
    <t xml:space="preserve">F0469</t>
  </si>
  <si>
    <t xml:space="preserve">Wind</t>
  </si>
  <si>
    <t xml:space="preserve">F0470</t>
  </si>
  <si>
    <t xml:space="preserve">1.5 kW rating x 168 hrs x wind capacity factor.</t>
  </si>
  <si>
    <t xml:space="preserve">F0471</t>
  </si>
  <si>
    <t xml:space="preserve">F0472</t>
  </si>
  <si>
    <t xml:space="preserve">Stream flow</t>
  </si>
  <si>
    <t xml:space="preserve">F0473</t>
  </si>
  <si>
    <t xml:space="preserve">0.5 kW rating x 168 hrs x hydro capacity factor.</t>
  </si>
  <si>
    <t xml:space="preserve">F0474</t>
  </si>
  <si>
    <t xml:space="preserve">F0475</t>
  </si>
  <si>
    <t xml:space="preserve">F0476</t>
  </si>
  <si>
    <t xml:space="preserve">F0477</t>
  </si>
  <si>
    <t xml:space="preserve">F0478</t>
  </si>
  <si>
    <t xml:space="preserve">Propane</t>
  </si>
  <si>
    <t xml:space="preserve">F0479</t>
  </si>
  <si>
    <t xml:space="preserve">F0480</t>
  </si>
  <si>
    <t xml:space="preserve">F0481</t>
  </si>
  <si>
    <t xml:space="preserve">F0482</t>
  </si>
  <si>
    <t xml:space="preserve">F0483</t>
  </si>
  <si>
    <t xml:space="preserve">F0484</t>
  </si>
  <si>
    <t xml:space="preserve">F0485</t>
  </si>
  <si>
    <t xml:space="preserve">F0486</t>
  </si>
  <si>
    <t xml:space="preserve">F0487</t>
  </si>
  <si>
    <t xml:space="preserve">F0488</t>
  </si>
  <si>
    <t xml:space="preserve">F0489</t>
  </si>
  <si>
    <t xml:space="preserve">6 kW rating x sun-hours x derate.</t>
  </si>
  <si>
    <t xml:space="preserve">F0490</t>
  </si>
  <si>
    <t xml:space="preserve">F0491</t>
  </si>
  <si>
    <t xml:space="preserve">F0492</t>
  </si>
  <si>
    <t xml:space="preserve">F0493</t>
  </si>
  <si>
    <t xml:space="preserve">F0494</t>
  </si>
  <si>
    <t xml:space="preserve">F0495</t>
  </si>
  <si>
    <t xml:space="preserve">F0496</t>
  </si>
  <si>
    <t xml:space="preserve">F0497</t>
  </si>
  <si>
    <t xml:space="preserve">F0498</t>
  </si>
  <si>
    <t xml:space="preserve">F0499</t>
  </si>
  <si>
    <t xml:space="preserve">F0500</t>
  </si>
  <si>
    <t xml:space="preserve">F0501</t>
  </si>
  <si>
    <t xml:space="preserve">F0502</t>
  </si>
  <si>
    <t xml:space="preserve">F0503</t>
  </si>
  <si>
    <t xml:space="preserve">F0504</t>
  </si>
  <si>
    <t xml:space="preserve">F0505</t>
  </si>
  <si>
    <t xml:space="preserve">F0506</t>
  </si>
  <si>
    <t xml:space="preserve">F0507</t>
  </si>
  <si>
    <t xml:space="preserve">F0508</t>
  </si>
  <si>
    <t xml:space="preserve">F0509</t>
  </si>
  <si>
    <t xml:space="preserve">Fish</t>
  </si>
  <si>
    <t xml:space="preserve">F0510</t>
  </si>
  <si>
    <t xml:space="preserve">F0511</t>
  </si>
  <si>
    <t xml:space="preserve">F0512</t>
  </si>
  <si>
    <t xml:space="preserve">F0513</t>
  </si>
  <si>
    <t xml:space="preserve">F0514</t>
  </si>
  <si>
    <t xml:space="preserve">F0515</t>
  </si>
  <si>
    <t xml:space="preserve">F0516</t>
  </si>
  <si>
    <t xml:space="preserve">F0517</t>
  </si>
  <si>
    <t xml:space="preserve">F0518</t>
  </si>
  <si>
    <t xml:space="preserve">F0519</t>
  </si>
  <si>
    <t xml:space="preserve">F0520</t>
  </si>
  <si>
    <t xml:space="preserve">F0521</t>
  </si>
  <si>
    <t xml:space="preserve">F0522</t>
  </si>
  <si>
    <t xml:space="preserve">F0523</t>
  </si>
  <si>
    <t xml:space="preserve">F0524</t>
  </si>
  <si>
    <t xml:space="preserve">F0525</t>
  </si>
  <si>
    <t xml:space="preserve">F0526</t>
  </si>
  <si>
    <t xml:space="preserve">F0527</t>
  </si>
  <si>
    <t xml:space="preserve">F0528</t>
  </si>
  <si>
    <t xml:space="preserve">F0529</t>
  </si>
  <si>
    <t xml:space="preserve">F0530</t>
  </si>
  <si>
    <t xml:space="preserve">F0531</t>
  </si>
  <si>
    <t xml:space="preserve">F0532</t>
  </si>
  <si>
    <t xml:space="preserve">F0533</t>
  </si>
  <si>
    <t xml:space="preserve">F0534</t>
  </si>
  <si>
    <t xml:space="preserve">F0535</t>
  </si>
  <si>
    <t xml:space="preserve">F0536</t>
  </si>
  <si>
    <t xml:space="preserve">F0537</t>
  </si>
  <si>
    <t xml:space="preserve">F0538</t>
  </si>
  <si>
    <t xml:space="preserve">F0539</t>
  </si>
  <si>
    <t xml:space="preserve">F0540</t>
  </si>
  <si>
    <t xml:space="preserve">F0541</t>
  </si>
  <si>
    <t xml:space="preserve">F0542</t>
  </si>
  <si>
    <t xml:space="preserve">F0543</t>
  </si>
  <si>
    <t xml:space="preserve">F0544</t>
  </si>
  <si>
    <t xml:space="preserve">F0545</t>
  </si>
  <si>
    <t xml:space="preserve">Hay</t>
  </si>
  <si>
    <t xml:space="preserve">F0546</t>
  </si>
  <si>
    <t xml:space="preserve">F0547</t>
  </si>
  <si>
    <t xml:space="preserve">F0548</t>
  </si>
  <si>
    <t xml:space="preserve">F0549</t>
  </si>
  <si>
    <t xml:space="preserve">F0550</t>
  </si>
  <si>
    <t xml:space="preserve">F0551</t>
  </si>
  <si>
    <t xml:space="preserve">F0552</t>
  </si>
  <si>
    <t xml:space="preserve">F0553</t>
  </si>
  <si>
    <t xml:space="preserve">F0554</t>
  </si>
  <si>
    <t xml:space="preserve">F0555</t>
  </si>
  <si>
    <t xml:space="preserve">F0556</t>
  </si>
  <si>
    <t xml:space="preserve">F0557</t>
  </si>
  <si>
    <t xml:space="preserve">F0558</t>
  </si>
  <si>
    <t xml:space="preserve">F0559</t>
  </si>
  <si>
    <t xml:space="preserve">F0560</t>
  </si>
  <si>
    <t xml:space="preserve">F0561</t>
  </si>
  <si>
    <t xml:space="preserve">F0562</t>
  </si>
  <si>
    <t xml:space="preserve">F0563</t>
  </si>
  <si>
    <t xml:space="preserve">F0564</t>
  </si>
  <si>
    <t xml:space="preserve">F0565</t>
  </si>
  <si>
    <t xml:space="preserve">F0566</t>
  </si>
  <si>
    <t xml:space="preserve">F0567</t>
  </si>
  <si>
    <t xml:space="preserve">F0568</t>
  </si>
  <si>
    <t xml:space="preserve">Mushrooms</t>
  </si>
  <si>
    <t xml:space="preserve">F0569</t>
  </si>
  <si>
    <t xml:space="preserve">F0570</t>
  </si>
  <si>
    <t xml:space="preserve">F0571</t>
  </si>
  <si>
    <t xml:space="preserve">F0572</t>
  </si>
  <si>
    <t xml:space="preserve">F0573</t>
  </si>
  <si>
    <t xml:space="preserve">F0574</t>
  </si>
  <si>
    <t xml:space="preserve">F0575</t>
  </si>
  <si>
    <t xml:space="preserve">F0576</t>
  </si>
  <si>
    <t xml:space="preserve">F0577</t>
  </si>
  <si>
    <t xml:space="preserve">F0578</t>
  </si>
  <si>
    <t xml:space="preserve">F0579</t>
  </si>
  <si>
    <t xml:space="preserve">F0580</t>
  </si>
  <si>
    <t xml:space="preserve">F0581</t>
  </si>
  <si>
    <t xml:space="preserve">Grain</t>
  </si>
  <si>
    <t xml:space="preserve">F0582</t>
  </si>
  <si>
    <t xml:space="preserve">F0583</t>
  </si>
  <si>
    <t xml:space="preserve">F0584</t>
  </si>
  <si>
    <t xml:space="preserve">F0585</t>
  </si>
  <si>
    <t xml:space="preserve">F0586</t>
  </si>
  <si>
    <t xml:space="preserve">F0587</t>
  </si>
  <si>
    <t xml:space="preserve">Root crops</t>
  </si>
  <si>
    <t xml:space="preserve">F0588</t>
  </si>
  <si>
    <t xml:space="preserve">F0589</t>
  </si>
  <si>
    <t xml:space="preserve">F0590</t>
  </si>
  <si>
    <t xml:space="preserve">F0591</t>
  </si>
  <si>
    <t xml:space="preserve">F0592</t>
  </si>
  <si>
    <t xml:space="preserve">F0593</t>
  </si>
  <si>
    <t xml:space="preserve">F0594</t>
  </si>
  <si>
    <t xml:space="preserve">F0595</t>
  </si>
  <si>
    <t xml:space="preserve">F0596</t>
  </si>
  <si>
    <t xml:space="preserve">F0597</t>
  </si>
  <si>
    <t xml:space="preserve">F0598</t>
  </si>
  <si>
    <t xml:space="preserve">F0599</t>
  </si>
  <si>
    <t xml:space="preserve">F0600</t>
  </si>
  <si>
    <t xml:space="preserve">F0601</t>
  </si>
  <si>
    <t xml:space="preserve">F0602</t>
  </si>
  <si>
    <t xml:space="preserve">F0603</t>
  </si>
  <si>
    <t xml:space="preserve">F0604</t>
  </si>
  <si>
    <t xml:space="preserve">F0605</t>
  </si>
  <si>
    <t xml:space="preserve">F0606</t>
  </si>
  <si>
    <t xml:space="preserve">F0607</t>
  </si>
  <si>
    <t xml:space="preserve">F0608</t>
  </si>
  <si>
    <t xml:space="preserve">F0609</t>
  </si>
  <si>
    <t xml:space="preserve">F0610</t>
  </si>
  <si>
    <t xml:space="preserve">F0611</t>
  </si>
  <si>
    <t xml:space="preserve">F0612</t>
  </si>
  <si>
    <t xml:space="preserve">F0613</t>
  </si>
  <si>
    <t xml:space="preserve">F0614</t>
  </si>
  <si>
    <t xml:space="preserve">F0615</t>
  </si>
  <si>
    <t xml:space="preserve">F0616</t>
  </si>
  <si>
    <t xml:space="preserve">F0617</t>
  </si>
  <si>
    <t xml:space="preserve">F0618</t>
  </si>
  <si>
    <t xml:space="preserve">F0619</t>
  </si>
  <si>
    <t xml:space="preserve">F0620</t>
  </si>
  <si>
    <t xml:space="preserve">F0621</t>
  </si>
  <si>
    <t xml:space="preserve">F0622</t>
  </si>
  <si>
    <t xml:space="preserve">F0623</t>
  </si>
  <si>
    <t xml:space="preserve">F0624</t>
  </si>
  <si>
    <t xml:space="preserve">F0625</t>
  </si>
  <si>
    <t xml:space="preserve">F0626</t>
  </si>
  <si>
    <t xml:space="preserve">F0627</t>
  </si>
  <si>
    <t xml:space="preserve">F0628</t>
  </si>
  <si>
    <t xml:space="preserve">F0629</t>
  </si>
  <si>
    <t xml:space="preserve">F0630</t>
  </si>
  <si>
    <t xml:space="preserve">F0631</t>
  </si>
  <si>
    <t xml:space="preserve">F0632</t>
  </si>
  <si>
    <t xml:space="preserve">F0633</t>
  </si>
  <si>
    <t xml:space="preserve">F0634</t>
  </si>
  <si>
    <t xml:space="preserve">F0635</t>
  </si>
  <si>
    <t xml:space="preserve">F0636</t>
  </si>
  <si>
    <t xml:space="preserve">F0637</t>
  </si>
  <si>
    <t xml:space="preserve">F0638</t>
  </si>
  <si>
    <t xml:space="preserve">F0639</t>
  </si>
  <si>
    <t xml:space="preserve">F0640</t>
  </si>
  <si>
    <t xml:space="preserve">F0641</t>
  </si>
  <si>
    <t xml:space="preserve">F0642</t>
  </si>
  <si>
    <t xml:space="preserve">F0643</t>
  </si>
  <si>
    <t xml:space="preserve">F0644</t>
  </si>
  <si>
    <t xml:space="preserve">F0645</t>
  </si>
  <si>
    <t xml:space="preserve">F0646</t>
  </si>
  <si>
    <t xml:space="preserve">F0647</t>
  </si>
  <si>
    <t xml:space="preserve">F0648</t>
  </si>
  <si>
    <t xml:space="preserve">F0649</t>
  </si>
  <si>
    <t xml:space="preserve">F0650</t>
  </si>
  <si>
    <t xml:space="preserve">F0651</t>
  </si>
  <si>
    <t xml:space="preserve">F0652</t>
  </si>
  <si>
    <t xml:space="preserve">F0653</t>
  </si>
  <si>
    <t xml:space="preserve">F0654</t>
  </si>
  <si>
    <t xml:space="preserve">F0655</t>
  </si>
  <si>
    <t xml:space="preserve">F0656</t>
  </si>
  <si>
    <t xml:space="preserve">F0657</t>
  </si>
  <si>
    <t xml:space="preserve">F0658</t>
  </si>
  <si>
    <t xml:space="preserve">F0659</t>
  </si>
  <si>
    <t xml:space="preserve">F0660</t>
  </si>
  <si>
    <t xml:space="preserve">F0661</t>
  </si>
  <si>
    <t xml:space="preserve">F0662</t>
  </si>
  <si>
    <t xml:space="preserve">F0663</t>
  </si>
  <si>
    <t xml:space="preserve">F0664</t>
  </si>
  <si>
    <t xml:space="preserve">F0665</t>
  </si>
  <si>
    <t xml:space="preserve">F0666</t>
  </si>
  <si>
    <t xml:space="preserve">F0667</t>
  </si>
  <si>
    <t xml:space="preserve">F0668</t>
  </si>
  <si>
    <t xml:space="preserve">F0669</t>
  </si>
  <si>
    <t xml:space="preserve">F0670</t>
  </si>
  <si>
    <t xml:space="preserve">F0671</t>
  </si>
  <si>
    <t xml:space="preserve">F0672</t>
  </si>
  <si>
    <t xml:space="preserve">F0673</t>
  </si>
  <si>
    <t xml:space="preserve">Milk</t>
  </si>
  <si>
    <t xml:space="preserve">F0674</t>
  </si>
  <si>
    <t xml:space="preserve">F0675</t>
  </si>
  <si>
    <t xml:space="preserve">F0676</t>
  </si>
  <si>
    <t xml:space="preserve">F0677</t>
  </si>
  <si>
    <t xml:space="preserve">F0678</t>
  </si>
  <si>
    <t xml:space="preserve">F0679</t>
  </si>
  <si>
    <t xml:space="preserve">F0680</t>
  </si>
  <si>
    <t xml:space="preserve">F0681</t>
  </si>
  <si>
    <t xml:space="preserve">F0682</t>
  </si>
  <si>
    <t xml:space="preserve">F0683</t>
  </si>
  <si>
    <t xml:space="preserve">F0684</t>
  </si>
  <si>
    <t xml:space="preserve">F0685</t>
  </si>
  <si>
    <t xml:space="preserve">F0686</t>
  </si>
  <si>
    <t xml:space="preserve">F0687</t>
  </si>
  <si>
    <t xml:space="preserve">Wool</t>
  </si>
  <si>
    <t xml:space="preserve">F0688</t>
  </si>
  <si>
    <t xml:space="preserve">F0689</t>
  </si>
  <si>
    <t xml:space="preserve">F0690</t>
  </si>
  <si>
    <t xml:space="preserve">F0691</t>
  </si>
  <si>
    <t xml:space="preserve">F0692</t>
  </si>
  <si>
    <t xml:space="preserve">F0693</t>
  </si>
  <si>
    <t xml:space="preserve">F0694</t>
  </si>
  <si>
    <t xml:space="preserve">F0695</t>
  </si>
  <si>
    <t xml:space="preserve">F0696</t>
  </si>
  <si>
    <t xml:space="preserve">F0697</t>
  </si>
  <si>
    <t xml:space="preserve">F0698</t>
  </si>
  <si>
    <t xml:space="preserve">F0699</t>
  </si>
  <si>
    <t xml:space="preserve">F0700</t>
  </si>
  <si>
    <t xml:space="preserve">F0701</t>
  </si>
  <si>
    <t xml:space="preserve">F0702</t>
  </si>
  <si>
    <t xml:space="preserve">F0703</t>
  </si>
  <si>
    <t xml:space="preserve">F0704</t>
  </si>
  <si>
    <t xml:space="preserve">F0705</t>
  </si>
  <si>
    <t xml:space="preserve">F0706</t>
  </si>
  <si>
    <t xml:space="preserve">F0707</t>
  </si>
  <si>
    <t xml:space="preserve">F0708</t>
  </si>
  <si>
    <t xml:space="preserve">F0709</t>
  </si>
  <si>
    <t xml:space="preserve">F0710</t>
  </si>
  <si>
    <t xml:space="preserve">F0711</t>
  </si>
  <si>
    <t xml:space="preserve">F0712</t>
  </si>
  <si>
    <t xml:space="preserve">F0713</t>
  </si>
  <si>
    <t xml:space="preserve">F0714</t>
  </si>
  <si>
    <t xml:space="preserve">F0715</t>
  </si>
  <si>
    <t xml:space="preserve">F0716</t>
  </si>
  <si>
    <t xml:space="preserve">F0717</t>
  </si>
  <si>
    <t xml:space="preserve">F0718</t>
  </si>
  <si>
    <t xml:space="preserve">F0719</t>
  </si>
  <si>
    <t xml:space="preserve">F0720</t>
  </si>
  <si>
    <t xml:space="preserve">F0721</t>
  </si>
  <si>
    <t xml:space="preserve">F0722</t>
  </si>
  <si>
    <t xml:space="preserve">F0723</t>
  </si>
  <si>
    <t xml:space="preserve">F0724</t>
  </si>
  <si>
    <t xml:space="preserve">F0725</t>
  </si>
  <si>
    <t xml:space="preserve">F0726</t>
  </si>
  <si>
    <t xml:space="preserve">F0727</t>
  </si>
  <si>
    <t xml:space="preserve">F0728</t>
  </si>
  <si>
    <t xml:space="preserve">F0729</t>
  </si>
  <si>
    <t xml:space="preserve">F0730</t>
  </si>
  <si>
    <t xml:space="preserve">F0731</t>
  </si>
  <si>
    <t xml:space="preserve">F0732</t>
  </si>
  <si>
    <t xml:space="preserve">F0733</t>
  </si>
  <si>
    <t xml:space="preserve">F0734</t>
  </si>
  <si>
    <t xml:space="preserve">F0735</t>
  </si>
  <si>
    <t xml:space="preserve">F0736</t>
  </si>
  <si>
    <t xml:space="preserve">F0737</t>
  </si>
  <si>
    <t xml:space="preserve">F0738</t>
  </si>
  <si>
    <t xml:space="preserve">F0739</t>
  </si>
  <si>
    <t xml:space="preserve">F0740</t>
  </si>
  <si>
    <t xml:space="preserve">F0741</t>
  </si>
  <si>
    <t xml:space="preserve">F0742</t>
  </si>
  <si>
    <t xml:space="preserve">F0743</t>
  </si>
  <si>
    <t xml:space="preserve">F0744</t>
  </si>
  <si>
    <t xml:space="preserve">F0745</t>
  </si>
  <si>
    <t xml:space="preserve">F0746</t>
  </si>
  <si>
    <t xml:space="preserve">F0747</t>
  </si>
  <si>
    <t xml:space="preserve">F0748</t>
  </si>
  <si>
    <t xml:space="preserve">F0749</t>
  </si>
  <si>
    <t xml:space="preserve">F0750</t>
  </si>
  <si>
    <t xml:space="preserve">F0751</t>
  </si>
  <si>
    <t xml:space="preserve">F0752</t>
  </si>
  <si>
    <t xml:space="preserve">F0753</t>
  </si>
  <si>
    <t xml:space="preserve">F0754</t>
  </si>
  <si>
    <t xml:space="preserve">F0755</t>
  </si>
  <si>
    <t xml:space="preserve">F0756</t>
  </si>
  <si>
    <t xml:space="preserve">F0757</t>
  </si>
  <si>
    <t xml:space="preserve">F0758</t>
  </si>
  <si>
    <t xml:space="preserve">F0759</t>
  </si>
  <si>
    <t xml:space="preserve">F0760</t>
  </si>
  <si>
    <t xml:space="preserve">F0761</t>
  </si>
  <si>
    <t xml:space="preserve">F0762</t>
  </si>
  <si>
    <t xml:space="preserve">F0763</t>
  </si>
  <si>
    <t xml:space="preserve">F0764</t>
  </si>
  <si>
    <t xml:space="preserve">F0765</t>
  </si>
  <si>
    <t xml:space="preserve">F0766</t>
  </si>
  <si>
    <t xml:space="preserve">F0767</t>
  </si>
  <si>
    <t xml:space="preserve">F0768</t>
  </si>
  <si>
    <t xml:space="preserve">F0769</t>
  </si>
  <si>
    <t xml:space="preserve">F0770</t>
  </si>
  <si>
    <t xml:space="preserve">F0771</t>
  </si>
  <si>
    <t xml:space="preserve">F0772</t>
  </si>
  <si>
    <t xml:space="preserve">F0773</t>
  </si>
  <si>
    <t xml:space="preserve">F0774</t>
  </si>
  <si>
    <t xml:space="preserve">F0775</t>
  </si>
  <si>
    <t xml:space="preserve">F0776</t>
  </si>
  <si>
    <t xml:space="preserve">F0777</t>
  </si>
  <si>
    <t xml:space="preserve">F0778</t>
  </si>
  <si>
    <t xml:space="preserve">F0779</t>
  </si>
  <si>
    <t xml:space="preserve">F0780</t>
  </si>
  <si>
    <t xml:space="preserve">F0781</t>
  </si>
  <si>
    <t xml:space="preserve">F0782</t>
  </si>
  <si>
    <t xml:space="preserve">F0783</t>
  </si>
  <si>
    <t xml:space="preserve">F0784</t>
  </si>
  <si>
    <t xml:space="preserve">F0785</t>
  </si>
  <si>
    <t xml:space="preserve">F0786</t>
  </si>
  <si>
    <t xml:space="preserve">F0787</t>
  </si>
  <si>
    <t xml:space="preserve">F0788</t>
  </si>
  <si>
    <t xml:space="preserve">F0789</t>
  </si>
  <si>
    <t xml:space="preserve">F0790</t>
  </si>
  <si>
    <t xml:space="preserve">F0791</t>
  </si>
  <si>
    <t xml:space="preserve">F0792</t>
  </si>
  <si>
    <t xml:space="preserve">F0793</t>
  </si>
  <si>
    <t xml:space="preserve">F0794</t>
  </si>
  <si>
    <t xml:space="preserve">F0795</t>
  </si>
  <si>
    <t xml:space="preserve">F0796</t>
  </si>
  <si>
    <t xml:space="preserve">F0797</t>
  </si>
  <si>
    <t xml:space="preserve">F0798</t>
  </si>
  <si>
    <t xml:space="preserve">F0799</t>
  </si>
  <si>
    <t xml:space="preserve">F0800</t>
  </si>
  <si>
    <t xml:space="preserve">F0801</t>
  </si>
  <si>
    <t xml:space="preserve">F0802</t>
  </si>
  <si>
    <t xml:space="preserve">F0803</t>
  </si>
  <si>
    <t xml:space="preserve">F0804</t>
  </si>
  <si>
    <t xml:space="preserve">F0805</t>
  </si>
  <si>
    <t xml:space="preserve">F0806</t>
  </si>
  <si>
    <t xml:space="preserve">F0807</t>
  </si>
  <si>
    <t xml:space="preserve">F0808</t>
  </si>
  <si>
    <t xml:space="preserve">F0809</t>
  </si>
  <si>
    <t xml:space="preserve">F0810</t>
  </si>
  <si>
    <t xml:space="preserve">F0811</t>
  </si>
  <si>
    <t xml:space="preserve">F0812</t>
  </si>
  <si>
    <t xml:space="preserve">F0813</t>
  </si>
  <si>
    <t xml:space="preserve">F0814</t>
  </si>
  <si>
    <t xml:space="preserve">F0815</t>
  </si>
  <si>
    <t xml:space="preserve">Weekly upkeep hours (Systems column K): a yearly check of seals and weatherstripping.</t>
  </si>
  <si>
    <t xml:space="preserve">F0816</t>
  </si>
  <si>
    <t xml:space="preserve">F0817</t>
  </si>
  <si>
    <t xml:space="preserve">Weekly upkeep hours (Systems column K): hanging and folding.</t>
  </si>
  <si>
    <t xml:space="preserve">F0818</t>
  </si>
  <si>
    <t xml:space="preserve">F0819</t>
  </si>
  <si>
    <t xml:space="preserve">Weekly upkeep hours (Systems column K): airing and washing.</t>
  </si>
  <si>
    <t xml:space="preserve">F0820</t>
  </si>
  <si>
    <t xml:space="preserve">Game balance: staffing two hours/week.</t>
  </si>
  <si>
    <t xml:space="preserve">F0821</t>
  </si>
  <si>
    <t xml:space="preserve">Game balance: weekly collection and supplies.</t>
  </si>
  <si>
    <t xml:space="preserve">Class</t>
  </si>
  <si>
    <t xml:space="preserve">Factor to checklist unit</t>
  </si>
  <si>
    <t xml:space="preserve"># systems producing</t>
  </si>
  <si>
    <t xml:space="preserve"># systems consuming</t>
  </si>
  <si>
    <t xml:space="preserve">Role in network</t>
  </si>
  <si>
    <t xml:space="preserve">Produced per week (design)</t>
  </si>
  <si>
    <t xml:space="preserve">Consumed per week (design)</t>
  </si>
  <si>
    <t xml:space="preserve">Net per week (design)</t>
  </si>
  <si>
    <t xml:space="preserve">Balance in design</t>
  </si>
  <si>
    <t xml:space="preserve">Flow</t>
  </si>
  <si>
    <t xml:space="preserve">Non-potable household and irrigation water.</t>
  </si>
  <si>
    <t xml:space="preserve">Potable water for drinking and cooking.</t>
  </si>
  <si>
    <t xml:space="preserve">Not a checklist row in the game; tracked in the balance only.</t>
  </si>
  <si>
    <t xml:space="preserve">Used sink/shower/laundry water; reusable for irrigation.</t>
  </si>
  <si>
    <t xml:space="preserve">Prepared or purchased food energy.</t>
  </si>
  <si>
    <t xml:space="preserve">Blended produce ~150 kcal/lb (low confidence; greens ~100, fruit ~250).</t>
  </si>
  <si>
    <t xml:space="preserve">Potatoes ~350 kcal/lb.</t>
  </si>
  <si>
    <t xml:space="preserve">Whole wheat ~1,500 kcal/lb.</t>
  </si>
  <si>
    <t xml:space="preserve">eggs</t>
  </si>
  <si>
    <t xml:space="preserve">Large chicken egg ~70 kcal. Quail eggs entered as chicken-egg equivalents.</t>
  </si>
  <si>
    <t xml:space="preserve">~1,380 kcal/lb.</t>
  </si>
  <si>
    <t xml:space="preserve">Dressed poultry/rabbit/lamb blended ~900 kcal/lb.</t>
  </si>
  <si>
    <t xml:space="preserve">Whole goat milk ~2,700 kcal/gal.</t>
  </si>
  <si>
    <t xml:space="preserve">Tilapia/trout ~550 kcal/lb.</t>
  </si>
  <si>
    <t xml:space="preserve">Hazelnuts/acorn meal ~2,800 kcal/lb.</t>
  </si>
  <si>
    <t xml:space="preserve">Fresh shiitake ~150 kcal/lb.</t>
  </si>
  <si>
    <t xml:space="preserve">Living space. A capacity, not used up each week.</t>
  </si>
  <si>
    <t xml:space="preserve">Pounds of human waste safely processed.</t>
  </si>
  <si>
    <t xml:space="preserve">The game labels this "Kw/h"; kWh is the correct energy unit.</t>
  </si>
  <si>
    <t xml:space="preserve">Person-miles of travel.</t>
  </si>
  <si>
    <t xml:space="preserve">Hours of cooking heat available.</t>
  </si>
  <si>
    <t xml:space="preserve">Space heat delivered to shelters.</t>
  </si>
  <si>
    <t xml:space="preserve">Heat removed from shelters (fans entered as comfort-equivalent).</t>
  </si>
  <si>
    <t xml:space="preserve">Provided by Human Being; required by every system with upkeep.</t>
  </si>
  <si>
    <t xml:space="preserve">Money</t>
  </si>
  <si>
    <t xml:space="preserve">Dollars. Produced by Average Job; spent by conventional systems.</t>
  </si>
  <si>
    <t xml:space="preserve">sun-hours</t>
  </si>
  <si>
    <t xml:space="preserve">Ambient</t>
  </si>
  <si>
    <t xml:space="preserve">Site-supplied; not depleted by use. Set by Assumptions (peak sun hours).</t>
  </si>
  <si>
    <t xml:space="preserve">inches</t>
  </si>
  <si>
    <t xml:space="preserve">Site-supplied. Set by Assumptions (annual precipitation).</t>
  </si>
  <si>
    <t xml:space="preserve">Site-supplied hours of exposure; output set by wind capacity factor.</t>
  </si>
  <si>
    <t xml:space="preserve">Site-supplied; only exists if the land has a stream.</t>
  </si>
  <si>
    <t xml:space="preserve">Roof available to catch rain.</t>
  </si>
  <si>
    <t xml:space="preserve">Tank/pond volume. Design Summary turns it into days of autonomy.</t>
  </si>
  <si>
    <t xml:space="preserve">Usable battery capacity. Design Summary turns it into days of autonomy.</t>
  </si>
  <si>
    <t xml:space="preserve">Cellar, freezer, and shelf-stable storage.</t>
  </si>
  <si>
    <t xml:space="preserve">Shed/workshop space for tools and bikes.</t>
  </si>
  <si>
    <t xml:space="preserve">Compared with system footprints on Design Summary.</t>
  </si>
  <si>
    <t xml:space="preserve">Fenced grazing area for large livestock.</t>
  </si>
  <si>
    <t xml:space="preserve">units</t>
  </si>
  <si>
    <t xml:space="preserve">Nest boxes for birds.</t>
  </si>
  <si>
    <t xml:space="preserve">Firewood, brush, logs. Cordwood ~5,700 BTU/lb gross.</t>
  </si>
  <si>
    <t xml:space="preserve">Sub-type of woody biomass kept separate because some systems need chips.</t>
  </si>
  <si>
    <t xml:space="preserve">Densified wood ~8,000 BTU/lb.</t>
  </si>
  <si>
    <t xml:space="preserve">Scrap and salvaged lumber. No on-site producer: must be brought in.</t>
  </si>
  <si>
    <t xml:space="preserve">Fresh greens and forage (merges the game's "Green feed").</t>
  </si>
  <si>
    <t xml:space="preserve">Dried forage for winter feeding.</t>
  </si>
  <si>
    <t xml:space="preserve">Brown material: straw, leaves, sawdust, bran.</t>
  </si>
  <si>
    <t xml:space="preserve">Animal manure and insect frass.</t>
  </si>
  <si>
    <t xml:space="preserve">Compost tea, digestate, diluted urine.</t>
  </si>
  <si>
    <t xml:space="preserve">Human and pet waste needing sanitation.</t>
  </si>
  <si>
    <t xml:space="preserve">Kitchen scraps.</t>
  </si>
  <si>
    <t xml:space="preserve">Bagged poultry/fish feed.</t>
  </si>
  <si>
    <t xml:space="preserve">Insect larvae (BSF, mealworms) fed to birds.</t>
  </si>
  <si>
    <t xml:space="preserve">oz</t>
  </si>
  <si>
    <t xml:space="preserve">plants</t>
  </si>
  <si>
    <t xml:space="preserve">Prepared soil or building earth.</t>
  </si>
  <si>
    <t xml:space="preserve">~91,500 BTU/gal.</t>
  </si>
  <si>
    <t xml:space="preserve">End product; no consumer yet.</t>
  </si>
  <si>
    <t xml:space="preserve">Service</t>
  </si>
  <si>
    <t xml:space="preserve">1 unit ~ pollination for 1/4 acre.</t>
  </si>
  <si>
    <t xml:space="preserve">Area in bloom that supports pollinators.</t>
  </si>
  <si>
    <t xml:space="preserve">Predator/insect pressure relief for crops.</t>
  </si>
  <si>
    <t xml:space="preserve">Non-material benefit; game-style score.</t>
  </si>
  <si>
    <t xml:space="preserve">Preserved food</t>
  </si>
  <si>
    <t xml:space="preserve">Shelf-stable food energy after canning or drying. Processing consumes fresh food and loses some calories; not additional harvest.</t>
  </si>
  <si>
    <t xml:space="preserve">Category</t>
  </si>
  <si>
    <t xml:space="preserve">In game dropdown?</t>
  </si>
  <si>
    <t xml:space="preserve"># systems tagged</t>
  </si>
  <si>
    <t xml:space="preserve">Target range</t>
  </si>
  <si>
    <t xml:space="preserve">Within target?</t>
  </si>
  <si>
    <t xml:space="preserve">Yes</t>
  </si>
  <si>
    <t xml:space="preserve">12-20</t>
  </si>
  <si>
    <t xml:space="preserve">Game-target: one of the two largest categories.</t>
  </si>
  <si>
    <t xml:space="preserve">3-20</t>
  </si>
  <si>
    <t xml:space="preserve">Absorbs off-dropdown tag Nitrogen.</t>
  </si>
  <si>
    <t xml:space="preserve">Absorbs off-dropdown tag Pet.</t>
  </si>
  <si>
    <t xml:space="preserve">Absorbs off-dropdown tags Fertilizer and Food-Waste.</t>
  </si>
  <si>
    <t xml:space="preserve">Solar</t>
  </si>
  <si>
    <t xml:space="preserve">The game dropdown lists both "Plant" and "Plants"; merged here into Plants.</t>
  </si>
  <si>
    <t xml:space="preserve">Absorbs off-dropdown tag Toilet.</t>
  </si>
  <si>
    <t xml:space="preserve">Storage</t>
  </si>
  <si>
    <t xml:space="preserve">Absorbs off-dropdown tag Battery.</t>
  </si>
  <si>
    <t xml:space="preserve">Fowl</t>
  </si>
  <si>
    <t xml:space="preserve">Game spells this "Foul"; renamed.</t>
  </si>
  <si>
    <t xml:space="preserve">Absorbs off-dropdown tag Wildlife.</t>
  </si>
  <si>
    <t xml:space="preserve">Canvas</t>
  </si>
  <si>
    <t xml:space="preserve">Absorbs off-dropdown tag Tool.</t>
  </si>
  <si>
    <t xml:space="preserve">No</t>
  </si>
  <si>
    <t xml:space="preserve">1</t>
  </si>
  <si>
    <t xml:space="preserve">n/a</t>
  </si>
  <si>
    <t xml:space="preserve">New: holds Human Being. Hide it from the player-facing dropdown.</t>
  </si>
  <si>
    <t xml:space="preserve">Site and model assumptions</t>
  </si>
  <si>
    <t xml:space="preserve">Blue values are inputs. Change them to move the whole model to a different climate.</t>
  </si>
  <si>
    <t xml:space="preserve">Assumption</t>
  </si>
  <si>
    <t xml:space="preserve">Source / note</t>
  </si>
  <si>
    <t xml:space="preserve">Heating degree-days</t>
  </si>
  <si>
    <t xml:space="preserve">°F-days/yr</t>
  </si>
  <si>
    <t xml:space="preserve">Reference climate roughly like the Colorado Front Range (NOAA 1991-2020 normals range 5,500-7,500 for the region).</t>
  </si>
  <si>
    <t xml:space="preserve">Cooling degree-days</t>
  </si>
  <si>
    <t xml:space="preserve">Same reference climate.</t>
  </si>
  <si>
    <t xml:space="preserve">Peak sun hours</t>
  </si>
  <si>
    <t xml:space="preserve">hours/day</t>
  </si>
  <si>
    <t xml:space="preserve">NREL NSRDB annual average for the interior West is ~5-6.</t>
  </si>
  <si>
    <t xml:space="preserve">PV system derate</t>
  </si>
  <si>
    <t xml:space="preserve">fraction</t>
  </si>
  <si>
    <t xml:space="preserve">Wiring, inverter, heat, and dust losses (NREL PVWatts default ~0.86; 0.80 is conservative off-grid).</t>
  </si>
  <si>
    <t xml:space="preserve">Annual precipitation</t>
  </si>
  <si>
    <t xml:space="preserve">inches/yr</t>
  </si>
  <si>
    <t xml:space="preserve">Reference climate.</t>
  </si>
  <si>
    <t xml:space="preserve">Gallons per sq ft per inch of rain</t>
  </si>
  <si>
    <t xml:space="preserve">gal/(sq ft·in)</t>
  </si>
  <si>
    <t xml:space="preserve">Physical constant: 1 inch on 1 sq ft = 0.623 gal.</t>
  </si>
  <si>
    <t xml:space="preserve">Small wind capacity factor</t>
  </si>
  <si>
    <t xml:space="preserve">Typical small-turbine range 0.10-0.25 depending on site.</t>
  </si>
  <si>
    <t xml:space="preserve">Micro-hydro capacity factor</t>
  </si>
  <si>
    <t xml:space="preserve">Year-round stream with a steady head.</t>
  </si>
  <si>
    <t xml:space="preserve">Growing seasons per year</t>
  </si>
  <si>
    <t xml:space="preserve">count</t>
  </si>
  <si>
    <t xml:space="preserve">Used to annualize "Per season" flows.</t>
  </si>
  <si>
    <t xml:space="preserve">Times per year</t>
  </si>
  <si>
    <t xml:space="preserve">Weekly factor</t>
  </si>
  <si>
    <t xml:space="preserve">Meaning</t>
  </si>
  <si>
    <t xml:space="preserve">Daily</t>
  </si>
  <si>
    <t xml:space="preserve">Every day.</t>
  </si>
  <si>
    <t xml:space="preserve">Every week.</t>
  </si>
  <si>
    <t xml:space="preserve">Monthly</t>
  </si>
  <si>
    <t xml:space="preserve">Every month.</t>
  </si>
  <si>
    <t xml:space="preserve">Once per growing season; averaged over the year.</t>
  </si>
  <si>
    <t xml:space="preserve">Once a year; averaged over the year.</t>
  </si>
  <si>
    <t xml:space="preserve">Setup material; not a recurring flow. Counted in setup, not weekly totals.</t>
  </si>
  <si>
    <t xml:space="preserve">A stock that is occupied, not used up (sq ft, gallons of tank, kWh of battery). Weekly factor is 1 so capacities compare directly.</t>
  </si>
</sst>
</file>

<file path=xl/styles.xml><?xml version="1.0" encoding="utf-8"?>
<styleSheet xmlns="http://schemas.openxmlformats.org/spreadsheetml/2006/main">
  <numFmts count="11">
    <numFmt numFmtId="164" formatCode="General"/>
    <numFmt numFmtId="165" formatCode="0%"/>
    <numFmt numFmtId="166" formatCode="#,##0"/>
    <numFmt numFmtId="167" formatCode="0"/>
    <numFmt numFmtId="168" formatCode="\$#,##0"/>
    <numFmt numFmtId="169" formatCode="#,##0.0"/>
    <numFmt numFmtId="170" formatCode="\$#,##0;&quot;($&quot;#,##0\);\-"/>
    <numFmt numFmtId="171" formatCode="#,##0.###"/>
    <numFmt numFmtId="172" formatCode="#,##0.#"/>
    <numFmt numFmtId="173" formatCode="#,##0.0;\(#,##0.0\);\-"/>
    <numFmt numFmtId="174" formatCode="0.0000"/>
  </numFmts>
  <fonts count="12">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b val="true"/>
      <sz val="11"/>
      <name val="Arial"/>
      <family val="0"/>
      <charset val="1"/>
    </font>
    <font>
      <sz val="11"/>
      <color theme="1"/>
      <name val="Arial"/>
      <family val="0"/>
      <charset val="1"/>
    </font>
    <font>
      <b val="true"/>
      <sz val="11"/>
      <color rgb="FFFFFFFF"/>
      <name val="Arial"/>
      <family val="0"/>
      <charset val="1"/>
    </font>
    <font>
      <sz val="11"/>
      <color rgb="FF008000"/>
      <name val="Arial"/>
      <family val="0"/>
      <charset val="1"/>
    </font>
    <font>
      <sz val="11"/>
      <color rgb="FF000000"/>
      <name val="Arial"/>
      <family val="0"/>
      <charset val="1"/>
    </font>
    <font>
      <sz val="11"/>
      <color rgb="FF0000FF"/>
      <name val="Arial"/>
      <family val="0"/>
      <charset val="1"/>
    </font>
    <font>
      <sz val="10"/>
      <name val="Arial"/>
      <family val="2"/>
    </font>
  </fonts>
  <fills count="4">
    <fill>
      <patternFill patternType="none"/>
    </fill>
    <fill>
      <patternFill patternType="gray125"/>
    </fill>
    <fill>
      <patternFill patternType="solid">
        <fgColor rgb="FF1F5C3A"/>
        <bgColor rgb="FF008000"/>
      </patternFill>
    </fill>
    <fill>
      <patternFill patternType="solid">
        <fgColor rgb="FFFFF2CC"/>
        <bgColor rgb="FFFCE5CD"/>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5" fontId="4" fillId="0" borderId="0" xfId="0" applyFont="true" applyBorder="false" applyAlignment="tru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general" vertical="center" textRotation="0" wrapText="true" indent="0" shrinkToFit="false"/>
      <protection locked="true" hidden="false"/>
    </xf>
    <xf numFmtId="166" fontId="6" fillId="0" borderId="0" xfId="0" applyFont="true" applyBorder="false" applyAlignment="true" applyProtection="false">
      <alignment horizontal="general" vertical="bottom" textRotation="0" wrapText="false" indent="0" shrinkToFit="false"/>
      <protection locked="true" hidden="false"/>
    </xf>
    <xf numFmtId="165" fontId="6"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67" fontId="8" fillId="0" borderId="0" xfId="0" applyFont="true" applyBorder="false" applyAlignment="true" applyProtection="false">
      <alignment horizontal="general" vertical="bottom" textRotation="0" wrapText="false" indent="0" shrinkToFit="false"/>
      <protection locked="true" hidden="false"/>
    </xf>
    <xf numFmtId="167" fontId="6" fillId="0" borderId="0" xfId="0" applyFont="true" applyBorder="false" applyAlignment="true" applyProtection="false">
      <alignment horizontal="general" vertical="bottom" textRotation="0" wrapText="false" indent="0" shrinkToFit="false"/>
      <protection locked="true" hidden="false"/>
    </xf>
    <xf numFmtId="165" fontId="8" fillId="0" borderId="0" xfId="0" applyFont="true" applyBorder="false" applyAlignment="true" applyProtection="false">
      <alignment horizontal="general" vertical="bottom" textRotation="0" wrapText="false" indent="0" shrinkToFit="false"/>
      <protection locked="true" hidden="false"/>
    </xf>
    <xf numFmtId="168" fontId="6" fillId="0" borderId="0" xfId="0" applyFont="true" applyBorder="false" applyAlignment="true" applyProtection="false">
      <alignment horizontal="general" vertical="bottom" textRotation="0" wrapText="false" indent="0" shrinkToFit="false"/>
      <protection locked="true" hidden="false"/>
    </xf>
    <xf numFmtId="169" fontId="8" fillId="0" borderId="0" xfId="0" applyFont="true" applyBorder="false" applyAlignment="true" applyProtection="false">
      <alignment horizontal="general" vertical="bottom" textRotation="0" wrapText="false" indent="0" shrinkToFit="false"/>
      <protection locked="true" hidden="false"/>
    </xf>
    <xf numFmtId="169" fontId="6" fillId="0" borderId="0" xfId="0" applyFont="true" applyBorder="false" applyAlignment="true" applyProtection="false">
      <alignment horizontal="general" vertical="bottom" textRotation="0" wrapText="false" indent="0" shrinkToFit="false"/>
      <protection locked="true" hidden="false"/>
    </xf>
    <xf numFmtId="170" fontId="6" fillId="0" borderId="0" xfId="0" applyFont="true" applyBorder="false" applyAlignment="tru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top" textRotation="0" wrapText="true" indent="0" shrinkToFit="false"/>
      <protection locked="true" hidden="false"/>
    </xf>
    <xf numFmtId="170" fontId="10" fillId="0" borderId="0" xfId="0" applyFont="true" applyBorder="false" applyAlignment="true" applyProtection="false">
      <alignment horizontal="general" vertical="bottom" textRotation="0" wrapText="false" indent="0" shrinkToFit="false"/>
      <protection locked="true" hidden="false"/>
    </xf>
    <xf numFmtId="170" fontId="9" fillId="0" borderId="0" xfId="0" applyFont="true" applyBorder="false" applyAlignment="tru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65" fontId="10" fillId="0" borderId="0" xfId="0" applyFont="true" applyBorder="false" applyAlignment="true" applyProtection="false">
      <alignment horizontal="general" vertical="bottom" textRotation="0" wrapText="false" indent="0" shrinkToFit="false"/>
      <protection locked="true" hidden="false"/>
    </xf>
    <xf numFmtId="164" fontId="10" fillId="3" borderId="0" xfId="0" applyFont="true" applyBorder="false" applyAlignment="true" applyProtection="false">
      <alignment horizontal="general" vertical="bottom" textRotation="0" wrapText="false" indent="0" shrinkToFit="false"/>
      <protection locked="true" hidden="false"/>
    </xf>
    <xf numFmtId="171" fontId="10" fillId="3" borderId="0" xfId="0" applyFont="true" applyBorder="false" applyAlignment="true" applyProtection="false">
      <alignment horizontal="general" vertical="bottom" textRotation="0" wrapText="false" indent="0" shrinkToFit="false"/>
      <protection locked="true" hidden="false"/>
    </xf>
    <xf numFmtId="171" fontId="6" fillId="0" borderId="0" xfId="0" applyFont="true" applyBorder="false" applyAlignment="true" applyProtection="false">
      <alignment horizontal="general" vertical="bottom" textRotation="0" wrapText="false" indent="0" shrinkToFit="false"/>
      <protection locked="true" hidden="false"/>
    </xf>
    <xf numFmtId="172" fontId="6" fillId="0" borderId="0" xfId="0" applyFont="true" applyBorder="false" applyAlignment="true" applyProtection="false">
      <alignment horizontal="general" vertical="bottom" textRotation="0" wrapText="false" indent="0" shrinkToFit="false"/>
      <protection locked="true" hidden="false"/>
    </xf>
    <xf numFmtId="171" fontId="8" fillId="3" borderId="0" xfId="0" applyFont="true" applyBorder="false" applyAlignment="true" applyProtection="false">
      <alignment horizontal="general" vertical="bottom" textRotation="0" wrapText="false" indent="0" shrinkToFit="false"/>
      <protection locked="true" hidden="false"/>
    </xf>
    <xf numFmtId="173" fontId="6" fillId="0" borderId="0" xfId="0" applyFont="true" applyBorder="false" applyAlignment="tru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center" vertical="bottom" textRotation="90" wrapText="false" indent="0" shrinkToFit="false"/>
      <protection locked="true" hidden="false"/>
    </xf>
    <xf numFmtId="164" fontId="6" fillId="0" borderId="0" xfId="0" applyFont="true" applyBorder="false" applyAlignment="true" applyProtection="false">
      <alignment horizontal="center" vertical="bottom" textRotation="0" wrapText="false" indent="0" shrinkToFit="false"/>
      <protection locked="true" hidden="false"/>
    </xf>
    <xf numFmtId="174" fontId="9" fillId="0" borderId="0" xfId="0" applyFont="true" applyBorder="false" applyAlignment="true" applyProtection="false">
      <alignment horizontal="general" vertical="bottom" textRotation="0" wrapText="false" indent="0" shrinkToFit="false"/>
      <protection locked="true" hidden="false"/>
    </xf>
    <xf numFmtId="174" fontId="10" fillId="0"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ill>
        <patternFill>
          <bgColor rgb="FFF4CCCC"/>
        </patternFill>
      </fill>
    </dxf>
    <dxf>
      <fill>
        <patternFill>
          <bgColor rgb="FFD9EAD3"/>
        </patternFill>
      </fill>
    </dxf>
    <dxf>
      <fill>
        <patternFill>
          <bgColor rgb="FFFCE5CD"/>
        </patternFill>
      </fill>
    </dxf>
    <dxf>
      <fill>
        <patternFill>
          <bgColor rgb="FFCFE2F3"/>
        </patternFill>
      </fill>
    </dxf>
    <dxf>
      <fill>
        <patternFill>
          <bgColor rgb="FFFFF2CC"/>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CCFFFF"/>
      <rgbColor rgb="FF660066"/>
      <rgbColor rgb="FFFF8080"/>
      <rgbColor rgb="FF0066CC"/>
      <rgbColor rgb="FFCFE2F3"/>
      <rgbColor rgb="FF000080"/>
      <rgbColor rgb="FFFF00FF"/>
      <rgbColor rgb="FFFFFF00"/>
      <rgbColor rgb="FF00FFFF"/>
      <rgbColor rgb="FF800080"/>
      <rgbColor rgb="FF800000"/>
      <rgbColor rgb="FF008080"/>
      <rgbColor rgb="FF0000FF"/>
      <rgbColor rgb="FF00CCFF"/>
      <rgbColor rgb="FFCCFFFF"/>
      <rgbColor rgb="FFD9EAD3"/>
      <rgbColor rgb="FFFCE5CD"/>
      <rgbColor rgb="FF99CCFF"/>
      <rgbColor rgb="FFFF99CC"/>
      <rgbColor rgb="FFCC99FF"/>
      <rgbColor rgb="FFF4CCCC"/>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1F5C3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1.vml"/>
</Relationships>
</file>

<file path=xl/worksheets/_rels/sheet5.xml.rels><?xml version="1.0" encoding="UTF-8"?>
<Relationships xmlns="http://schemas.openxmlformats.org/package/2006/relationships"><Relationship Id="rId1" Type="http://schemas.openxmlformats.org/officeDocument/2006/relationships/comments" Target="../comments5.xml"/><Relationship Id="rId2" Type="http://schemas.openxmlformats.org/officeDocument/2006/relationships/vmlDrawing" Target="../drawings/vmlDrawing2.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24"/>
    <col collapsed="false" customWidth="true" hidden="false" outlineLevel="0" max="2" min="2" style="1" width="110"/>
  </cols>
  <sheetData>
    <row r="1" customFormat="false" ht="17.25" hidden="false" customHeight="true" outlineLevel="0" collapsed="false">
      <c r="A1" s="2" t="s">
        <v>0</v>
      </c>
      <c r="B1" s="3"/>
    </row>
    <row r="2" customFormat="false" ht="15" hidden="false" customHeight="true" outlineLevel="0" collapsed="false">
      <c r="A2" s="4"/>
      <c r="B2" s="3"/>
    </row>
    <row r="3" customFormat="false" ht="26.25" hidden="false" customHeight="true" outlineLevel="0" collapsed="false">
      <c r="A3" s="4" t="s">
        <v>1</v>
      </c>
      <c r="B3" s="5" t="s">
        <v>2</v>
      </c>
    </row>
    <row r="4" customFormat="false" ht="26.25" hidden="false" customHeight="true" outlineLevel="0" collapsed="false">
      <c r="A4" s="4" t="s">
        <v>3</v>
      </c>
      <c r="B4" s="5" t="s">
        <v>4</v>
      </c>
    </row>
    <row r="5" customFormat="false" ht="26.25" hidden="false" customHeight="true" outlineLevel="0" collapsed="false">
      <c r="A5" s="4" t="s">
        <v>5</v>
      </c>
      <c r="B5" s="5" t="s">
        <v>6</v>
      </c>
    </row>
    <row r="6" customFormat="false" ht="15" hidden="false" customHeight="true" outlineLevel="0" collapsed="false">
      <c r="A6" s="4"/>
      <c r="B6" s="3"/>
    </row>
    <row r="7" customFormat="false" ht="15" hidden="false" customHeight="true" outlineLevel="0" collapsed="false">
      <c r="A7" s="4" t="s">
        <v>7</v>
      </c>
      <c r="B7" s="5" t="s">
        <v>8</v>
      </c>
    </row>
    <row r="8" customFormat="false" ht="15" hidden="false" customHeight="true" outlineLevel="0" collapsed="false">
      <c r="A8" s="4" t="s">
        <v>9</v>
      </c>
      <c r="B8" s="5" t="s">
        <v>10</v>
      </c>
    </row>
    <row r="9" customFormat="false" ht="26.25" hidden="false" customHeight="true" outlineLevel="0" collapsed="false">
      <c r="A9" s="4" t="s">
        <v>11</v>
      </c>
      <c r="B9" s="5" t="s">
        <v>12</v>
      </c>
    </row>
    <row r="10" customFormat="false" ht="26.25" hidden="false" customHeight="true" outlineLevel="0" collapsed="false">
      <c r="A10" s="4" t="s">
        <v>13</v>
      </c>
      <c r="B10" s="5" t="s">
        <v>14</v>
      </c>
    </row>
    <row r="11" customFormat="false" ht="26.25" hidden="false" customHeight="true" outlineLevel="0" collapsed="false">
      <c r="A11" s="4" t="s">
        <v>15</v>
      </c>
      <c r="B11" s="5" t="s">
        <v>16</v>
      </c>
    </row>
    <row r="12" customFormat="false" ht="15" hidden="false" customHeight="true" outlineLevel="0" collapsed="false">
      <c r="A12" s="4" t="s">
        <v>17</v>
      </c>
      <c r="B12" s="5" t="s">
        <v>18</v>
      </c>
    </row>
    <row r="13" customFormat="false" ht="15" hidden="false" customHeight="true" outlineLevel="0" collapsed="false">
      <c r="A13" s="4" t="s">
        <v>19</v>
      </c>
      <c r="B13" s="5" t="s">
        <v>20</v>
      </c>
    </row>
    <row r="14" customFormat="false" ht="15" hidden="false" customHeight="true" outlineLevel="0" collapsed="false">
      <c r="A14" s="4" t="s">
        <v>21</v>
      </c>
      <c r="B14" s="5" t="s">
        <v>22</v>
      </c>
    </row>
    <row r="15" customFormat="false" ht="15" hidden="false" customHeight="true" outlineLevel="0" collapsed="false">
      <c r="A15" s="4"/>
      <c r="B15" s="3"/>
    </row>
    <row r="16" customFormat="false" ht="39" hidden="false" customHeight="true" outlineLevel="0" collapsed="false">
      <c r="A16" s="4" t="s">
        <v>23</v>
      </c>
      <c r="B16" s="5" t="s">
        <v>24</v>
      </c>
    </row>
    <row r="17" customFormat="false" ht="26.25" hidden="false" customHeight="true" outlineLevel="0" collapsed="false">
      <c r="A17" s="4" t="s">
        <v>25</v>
      </c>
      <c r="B17" s="5" t="s">
        <v>26</v>
      </c>
    </row>
    <row r="18" customFormat="false" ht="26.25" hidden="false" customHeight="true" outlineLevel="0" collapsed="false">
      <c r="A18" s="4" t="s">
        <v>27</v>
      </c>
      <c r="B18" s="5" t="s">
        <v>28</v>
      </c>
    </row>
    <row r="19" customFormat="false" ht="26.25" hidden="false" customHeight="true" outlineLevel="0" collapsed="false">
      <c r="A19" s="4" t="s">
        <v>29</v>
      </c>
      <c r="B19" s="5" t="s">
        <v>30</v>
      </c>
    </row>
    <row r="20" customFormat="false" ht="15" hidden="false" customHeight="true" outlineLevel="0" collapsed="false">
      <c r="A20" s="4"/>
      <c r="B20" s="3"/>
    </row>
    <row r="21" customFormat="false" ht="26.25" hidden="false" customHeight="true" outlineLevel="0" collapsed="false">
      <c r="A21" s="4" t="s">
        <v>31</v>
      </c>
      <c r="B21" s="5" t="s">
        <v>32</v>
      </c>
    </row>
    <row r="22" customFormat="false" ht="51.75" hidden="false" customHeight="true" outlineLevel="0" collapsed="false">
      <c r="A22" s="4"/>
      <c r="B22" s="5" t="s">
        <v>33</v>
      </c>
    </row>
    <row r="23" customFormat="false" ht="26.25" hidden="false" customHeight="true" outlineLevel="0" collapsed="false">
      <c r="A23" s="4"/>
      <c r="B23" s="5" t="s">
        <v>34</v>
      </c>
    </row>
    <row r="24" customFormat="false" ht="26.25" hidden="false" customHeight="true" outlineLevel="0" collapsed="false">
      <c r="A24" s="4"/>
      <c r="B24" s="5" t="s">
        <v>35</v>
      </c>
    </row>
    <row r="25" customFormat="false" ht="39" hidden="false" customHeight="true" outlineLevel="0" collapsed="false">
      <c r="A25" s="4"/>
      <c r="B25" s="5" t="s">
        <v>36</v>
      </c>
    </row>
    <row r="26" customFormat="false" ht="15" hidden="false" customHeight="true" outlineLevel="0" collapsed="false">
      <c r="A26" s="4"/>
      <c r="B26" s="3"/>
    </row>
    <row r="27" customFormat="false" ht="39" hidden="false" customHeight="true" outlineLevel="0" collapsed="false">
      <c r="A27" s="4" t="s">
        <v>37</v>
      </c>
      <c r="B27" s="5" t="s">
        <v>38</v>
      </c>
    </row>
    <row r="28" customFormat="false" ht="26.25" hidden="false" customHeight="true" outlineLevel="0" collapsed="false">
      <c r="A28" s="4"/>
      <c r="B28" s="5" t="s">
        <v>39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22"/>
    <col collapsed="false" customWidth="true" hidden="false" outlineLevel="0" max="2" min="2" style="1" width="10"/>
    <col collapsed="false" customWidth="true" hidden="false" outlineLevel="0" max="3" min="3" style="1" width="20"/>
    <col collapsed="false" customWidth="true" hidden="false" outlineLevel="0" max="4" min="4" style="1" width="22"/>
    <col collapsed="false" customWidth="true" hidden="false" outlineLevel="0" max="5" min="5" style="1" width="12"/>
    <col collapsed="false" customWidth="true" hidden="false" outlineLevel="0" max="6" min="6" style="1" width="10"/>
    <col collapsed="false" customWidth="true" hidden="false" outlineLevel="0" max="7" min="7" style="1" width="70"/>
  </cols>
  <sheetData>
    <row r="1" customFormat="false" ht="17.25" hidden="false" customHeight="true" outlineLevel="0" collapsed="false">
      <c r="A1" s="2" t="s">
        <v>40</v>
      </c>
    </row>
    <row r="2" customFormat="false" ht="15" hidden="false" customHeight="true" outlineLevel="0" collapsed="false">
      <c r="A2" s="6" t="s">
        <v>41</v>
      </c>
      <c r="B2" s="4" t="n">
        <f aca="false">SUMIFS(Systems!$R$2:$R$179,Systems!$B$2:$B$179,"Human Being")</f>
        <v>1</v>
      </c>
    </row>
    <row r="3" customFormat="false" ht="17.25" hidden="false" customHeight="true" outlineLevel="0" collapsed="false">
      <c r="A3" s="4" t="s">
        <v>42</v>
      </c>
      <c r="B3" s="7" t="n">
        <f aca="false">IFERROR(AVERAGEIF(D6:D16,"&gt;0",E6:E16),0)</f>
        <v>0.485028917841418</v>
      </c>
    </row>
    <row r="5" customFormat="false" ht="39" hidden="false" customHeight="true" outlineLevel="0" collapsed="false">
      <c r="A5" s="8" t="s">
        <v>43</v>
      </c>
      <c r="B5" s="8" t="s">
        <v>44</v>
      </c>
      <c r="C5" s="8" t="s">
        <v>45</v>
      </c>
      <c r="D5" s="8" t="str">
        <f aca="false">"Total system needs for "&amp;B2&amp;" human"&amp;IF(B2=1,"","s")&amp;" (per week)"</f>
        <v>Total system needs for 1 human (per week)</v>
      </c>
      <c r="E5" s="8" t="s">
        <v>46</v>
      </c>
      <c r="F5" s="8" t="s">
        <v>47</v>
      </c>
      <c r="G5" s="8" t="s">
        <v>48</v>
      </c>
    </row>
    <row r="6" customFormat="false" ht="15" hidden="false" customHeight="true" outlineLevel="0" collapsed="false">
      <c r="A6" s="6" t="s">
        <v>49</v>
      </c>
      <c r="B6" s="6" t="s">
        <v>50</v>
      </c>
      <c r="C6" s="9" t="n">
        <f aca="false">SUMIFS(Flows!$L$2:$L$1500,Flows!$K$2:$K$1500,$A6,Flows!$C$2:$C$1500,"Output")</f>
        <v>1000</v>
      </c>
      <c r="D6" s="9" t="n">
        <f aca="false">SUMIFS(Flows!$L$2:$L$1500,Flows!$K$2:$K$1500,$A6,Flows!$C$2:$C$1500,"Input")</f>
        <v>151</v>
      </c>
      <c r="E6" s="10" t="n">
        <f aca="false">IF(D6=0,0,MIN(1,C6/D6))</f>
        <v>1</v>
      </c>
      <c r="F6" s="6" t="str">
        <f aca="false">IF(D6=0,"n/a",IF(E6&gt;=1,"✓","✗"))</f>
        <v>✓</v>
      </c>
      <c r="G6" s="5" t="s">
        <v>49</v>
      </c>
    </row>
    <row r="7" customFormat="false" ht="15" hidden="false" customHeight="true" outlineLevel="0" collapsed="false">
      <c r="A7" s="6" t="s">
        <v>51</v>
      </c>
      <c r="B7" s="6" t="s">
        <v>50</v>
      </c>
      <c r="C7" s="9" t="n">
        <f aca="false">SUMIFS(Flows!$L$2:$L$1500,Flows!$K$2:$K$1500,$A7,Flows!$C$2:$C$1500,"Output")</f>
        <v>0</v>
      </c>
      <c r="D7" s="9" t="n">
        <f aca="false">SUMIFS(Flows!$L$2:$L$1500,Flows!$K$2:$K$1500,$A7,Flows!$C$2:$C$1500,"Input")</f>
        <v>5</v>
      </c>
      <c r="E7" s="10" t="n">
        <f aca="false">IF(D7=0,0,MIN(1,C7/D7))</f>
        <v>0</v>
      </c>
      <c r="F7" s="6" t="str">
        <f aca="false">IF(D7=0,"n/a",IF(E7&gt;=1,"✓","✗"))</f>
        <v>✗</v>
      </c>
      <c r="G7" s="5" t="s">
        <v>51</v>
      </c>
    </row>
    <row r="8" customFormat="false" ht="26.25" hidden="false" customHeight="true" outlineLevel="0" collapsed="false">
      <c r="A8" s="6" t="s">
        <v>52</v>
      </c>
      <c r="B8" s="6" t="s">
        <v>53</v>
      </c>
      <c r="C8" s="9" t="n">
        <f aca="false">SUMIFS(Flows!$L$2:$L$1500,Flows!$K$2:$K$1500,$A8,Flows!$C$2:$C$1500,"Output")</f>
        <v>4978.84615384615</v>
      </c>
      <c r="D8" s="9" t="n">
        <f aca="false">SUMIFS(Flows!$L$2:$L$1500,Flows!$K$2:$K$1500,$A8,Flows!$C$2:$C$1500,"Input")</f>
        <v>16000</v>
      </c>
      <c r="E8" s="10" t="n">
        <f aca="false">IF(D8=0,0,MIN(1,C8/D8))</f>
        <v>0.311177884615385</v>
      </c>
      <c r="F8" s="6" t="str">
        <f aca="false">IF(D8=0,"n/a",IF(E8&gt;=1,"✓","✗"))</f>
        <v>✗</v>
      </c>
      <c r="G8" s="5" t="s">
        <v>54</v>
      </c>
    </row>
    <row r="9" customFormat="false" ht="15" hidden="false" customHeight="true" outlineLevel="0" collapsed="false">
      <c r="A9" s="6" t="s">
        <v>55</v>
      </c>
      <c r="B9" s="6" t="s">
        <v>56</v>
      </c>
      <c r="C9" s="9" t="n">
        <f aca="false">SUMIFS(Flows!$L$2:$L$1500,Flows!$K$2:$K$1500,$A9,Flows!$C$2:$C$1500,"Output")</f>
        <v>210</v>
      </c>
      <c r="D9" s="9" t="n">
        <f aca="false">SUMIFS(Flows!$L$2:$L$1500,Flows!$K$2:$K$1500,$A9,Flows!$C$2:$C$1500,"Input")</f>
        <v>200</v>
      </c>
      <c r="E9" s="10" t="n">
        <f aca="false">IF(D9=0,0,MIN(1,C9/D9))</f>
        <v>1</v>
      </c>
      <c r="F9" s="6" t="str">
        <f aca="false">IF(D9=0,"n/a",IF(E9&gt;=1,"✓","✗"))</f>
        <v>✓</v>
      </c>
      <c r="G9" s="5" t="s">
        <v>55</v>
      </c>
    </row>
    <row r="10" customFormat="false" ht="15" hidden="false" customHeight="true" outlineLevel="0" collapsed="false">
      <c r="A10" s="6" t="s">
        <v>57</v>
      </c>
      <c r="B10" s="6" t="s">
        <v>58</v>
      </c>
      <c r="C10" s="9" t="n">
        <f aca="false">SUMIFS(Flows!$L$2:$L$1500,Flows!$K$2:$K$1500,$A10,Flows!$C$2:$C$1500,"Output")</f>
        <v>35</v>
      </c>
      <c r="D10" s="9" t="n">
        <f aca="false">SUMIFS(Flows!$L$2:$L$1500,Flows!$K$2:$K$1500,$A10,Flows!$C$2:$C$1500,"Input")</f>
        <v>17.5</v>
      </c>
      <c r="E10" s="10" t="n">
        <f aca="false">IF(D10=0,0,MIN(1,C10/D10))</f>
        <v>1</v>
      </c>
      <c r="F10" s="6" t="str">
        <f aca="false">IF(D10=0,"n/a",IF(E10&gt;=1,"✓","✗"))</f>
        <v>✓</v>
      </c>
      <c r="G10" s="5" t="s">
        <v>57</v>
      </c>
    </row>
    <row r="11" customFormat="false" ht="15" hidden="false" customHeight="true" outlineLevel="0" collapsed="false">
      <c r="A11" s="6" t="s">
        <v>59</v>
      </c>
      <c r="B11" s="6" t="s">
        <v>60</v>
      </c>
      <c r="C11" s="9" t="n">
        <f aca="false">SUMIFS(Flows!$L$2:$L$1500,Flows!$K$2:$K$1500,$A11,Flows!$C$2:$C$1500,"Output")</f>
        <v>14</v>
      </c>
      <c r="D11" s="9" t="n">
        <f aca="false">SUMIFS(Flows!$L$2:$L$1500,Flows!$K$2:$K$1500,$A11,Flows!$C$2:$C$1500,"Input")</f>
        <v>24</v>
      </c>
      <c r="E11" s="10" t="n">
        <f aca="false">IF(D11=0,0,MIN(1,C11/D11))</f>
        <v>0.583333333333333</v>
      </c>
      <c r="F11" s="6" t="str">
        <f aca="false">IF(D11=0,"n/a",IF(E11&gt;=1,"✓","✗"))</f>
        <v>✗</v>
      </c>
      <c r="G11" s="5" t="s">
        <v>59</v>
      </c>
    </row>
    <row r="12" customFormat="false" ht="15" hidden="false" customHeight="true" outlineLevel="0" collapsed="false">
      <c r="A12" s="6" t="s">
        <v>61</v>
      </c>
      <c r="B12" s="6" t="s">
        <v>62</v>
      </c>
      <c r="C12" s="9" t="n">
        <f aca="false">SUMIFS(Flows!$L$2:$L$1500,Flows!$K$2:$K$1500,$A12,Flows!$C$2:$C$1500,"Output")</f>
        <v>50</v>
      </c>
      <c r="D12" s="9" t="n">
        <f aca="false">SUMIFS(Flows!$L$2:$L$1500,Flows!$K$2:$K$1500,$A12,Flows!$C$2:$C$1500,"Input")</f>
        <v>150</v>
      </c>
      <c r="E12" s="10" t="n">
        <f aca="false">IF(D12=0,0,MIN(1,C12/D12))</f>
        <v>0.333333333333333</v>
      </c>
      <c r="F12" s="6" t="str">
        <f aca="false">IF(D12=0,"n/a",IF(E12&gt;=1,"✓","✗"))</f>
        <v>✗</v>
      </c>
      <c r="G12" s="5" t="s">
        <v>61</v>
      </c>
    </row>
    <row r="13" customFormat="false" ht="15" hidden="false" customHeight="true" outlineLevel="0" collapsed="false">
      <c r="A13" s="6" t="s">
        <v>63</v>
      </c>
      <c r="B13" s="6" t="s">
        <v>64</v>
      </c>
      <c r="C13" s="9" t="n">
        <f aca="false">SUMIFS(Flows!$L$2:$L$1500,Flows!$K$2:$K$1500,$A13,Flows!$C$2:$C$1500,"Output")</f>
        <v>0</v>
      </c>
      <c r="D13" s="9" t="n">
        <f aca="false">SUMIFS(Flows!$L$2:$L$1500,Flows!$K$2:$K$1500,$A13,Flows!$C$2:$C$1500,"Input")</f>
        <v>5</v>
      </c>
      <c r="E13" s="10" t="n">
        <f aca="false">IF(D13=0,0,MIN(1,C13/D13))</f>
        <v>0</v>
      </c>
      <c r="F13" s="6" t="str">
        <f aca="false">IF(D13=0,"n/a",IF(E13&gt;=1,"✓","✗"))</f>
        <v>✗</v>
      </c>
      <c r="G13" s="5" t="s">
        <v>63</v>
      </c>
    </row>
    <row r="14" customFormat="false" ht="15" hidden="false" customHeight="true" outlineLevel="0" collapsed="false">
      <c r="A14" s="6" t="s">
        <v>65</v>
      </c>
      <c r="B14" s="6" t="s">
        <v>66</v>
      </c>
      <c r="C14" s="9" t="n">
        <f aca="false">SUMIFS(Flows!$L$2:$L$1500,Flows!$K$2:$K$1500,$A14,Flows!$C$2:$C$1500,"Output")</f>
        <v>0</v>
      </c>
      <c r="D14" s="9" t="n">
        <f aca="false">SUMIFS(Flows!$L$2:$L$1500,Flows!$K$2:$K$1500,$A14,Flows!$C$2:$C$1500,"Input")</f>
        <v>697846.153846154</v>
      </c>
      <c r="E14" s="10" t="n">
        <f aca="false">IF(D14=0,0,MIN(1,C14/D14))</f>
        <v>0</v>
      </c>
      <c r="F14" s="6" t="str">
        <f aca="false">IF(D14=0,"n/a",IF(E14&gt;=1,"✓","✗"))</f>
        <v>✗</v>
      </c>
      <c r="G14" s="5" t="s">
        <v>67</v>
      </c>
    </row>
    <row r="15" customFormat="false" ht="15" hidden="false" customHeight="true" outlineLevel="0" collapsed="false">
      <c r="A15" s="6" t="s">
        <v>68</v>
      </c>
      <c r="B15" s="6" t="s">
        <v>66</v>
      </c>
      <c r="C15" s="9" t="n">
        <f aca="false">SUMIFS(Flows!$L$2:$L$1500,Flows!$K$2:$K$1500,$A15,Flows!$C$2:$C$1500,"Output")</f>
        <v>10000</v>
      </c>
      <c r="D15" s="9" t="n">
        <f aca="false">SUMIFS(Flows!$L$2:$L$1500,Flows!$K$2:$K$1500,$A15,Flows!$C$2:$C$1500,"Input")</f>
        <v>93046.1538461538</v>
      </c>
      <c r="E15" s="10" t="n">
        <f aca="false">IF(D15=0,0,MIN(1,C15/D15))</f>
        <v>0.107473544973545</v>
      </c>
      <c r="F15" s="6" t="str">
        <f aca="false">IF(D15=0,"n/a",IF(E15&gt;=1,"✓","✗"))</f>
        <v>✗</v>
      </c>
      <c r="G15" s="5" t="s">
        <v>69</v>
      </c>
    </row>
    <row r="16" customFormat="false" ht="15" hidden="false" customHeight="true" outlineLevel="0" collapsed="false">
      <c r="A16" s="6" t="s">
        <v>70</v>
      </c>
      <c r="B16" s="6" t="s">
        <v>64</v>
      </c>
      <c r="C16" s="9" t="n">
        <f aca="false">SUMIFS(Flows!$L$2:$L$1500,Flows!$K$2:$K$1500,$A16,Flows!$C$2:$C$1500,"Output")</f>
        <v>50</v>
      </c>
      <c r="D16" s="9" t="n">
        <f aca="false">SUMIFS(Flows!$L$2:$L$1500,Flows!$K$2:$K$1500,$A16,Flows!$C$2:$C$1500,"Input")</f>
        <v>9.67</v>
      </c>
      <c r="E16" s="10" t="n">
        <f aca="false">IF(D16=0,0,MIN(1,C16/D16))</f>
        <v>1</v>
      </c>
      <c r="F16" s="6" t="str">
        <f aca="false">IF(D16=0,"n/a",IF(E16&gt;=1,"✓","✗"))</f>
        <v>✓</v>
      </c>
      <c r="G16" s="5" t="s">
        <v>71</v>
      </c>
    </row>
    <row r="18" customFormat="false" ht="15" hidden="false" customHeight="true" outlineLevel="0" collapsed="false">
      <c r="A18" s="4" t="s">
        <v>72</v>
      </c>
    </row>
    <row r="19" customFormat="false" ht="60" hidden="false" customHeight="true" outlineLevel="0" collapsed="false">
      <c r="A19" s="11" t="s">
        <v>73</v>
      </c>
      <c r="B19" s="11"/>
      <c r="C19" s="11"/>
      <c r="D19" s="11"/>
      <c r="E19" s="11"/>
      <c r="F19" s="11"/>
      <c r="G19" s="11"/>
    </row>
  </sheetData>
  <mergeCells count="1">
    <mergeCell ref="A19:G19"/>
  </mergeCells>
  <conditionalFormatting sqref="E6:E16">
    <cfRule type="colorScale" priority="2">
      <colorScale>
        <cfvo type="num" val="0"/>
        <cfvo type="num" val="0.5"/>
        <cfvo type="num" val="1"/>
        <color rgb="FFF4CCCC"/>
        <color rgb="FFFFF2CC"/>
        <color rgb="FFB6D7A8"/>
      </colorScale>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36"/>
    <col collapsed="false" customWidth="true" hidden="false" outlineLevel="0" max="3" min="2" style="1" width="16"/>
    <col collapsed="false" customWidth="true" hidden="false" outlineLevel="0" max="4" min="4" style="1" width="70"/>
  </cols>
  <sheetData>
    <row r="1" customFormat="false" ht="17.25" hidden="false" customHeight="true" outlineLevel="0" collapsed="false">
      <c r="A1" s="2" t="s">
        <v>74</v>
      </c>
    </row>
    <row r="2" customFormat="false" ht="15" hidden="false" customHeight="true" outlineLevel="0" collapsed="false">
      <c r="A2" s="6" t="s">
        <v>75</v>
      </c>
    </row>
    <row r="4" customFormat="false" ht="15" hidden="false" customHeight="true" outlineLevel="0" collapsed="false">
      <c r="A4" s="8" t="s">
        <v>76</v>
      </c>
      <c r="B4" s="8" t="s">
        <v>77</v>
      </c>
      <c r="C4" s="8" t="s">
        <v>44</v>
      </c>
      <c r="D4" s="8" t="s">
        <v>72</v>
      </c>
    </row>
    <row r="5" customFormat="false" ht="15" hidden="false" customHeight="true" outlineLevel="0" collapsed="false">
      <c r="A5" s="6" t="s">
        <v>78</v>
      </c>
      <c r="B5" s="12" t="n">
        <f aca="false">'Needs Checklist'!B2</f>
        <v>1</v>
      </c>
      <c r="C5" s="6" t="s">
        <v>79</v>
      </c>
      <c r="D5" s="5" t="s">
        <v>80</v>
      </c>
    </row>
    <row r="6" customFormat="false" ht="26.25" hidden="false" customHeight="true" outlineLevel="0" collapsed="false">
      <c r="A6" s="6" t="s">
        <v>81</v>
      </c>
      <c r="B6" s="13" t="n">
        <f aca="false">SUM(Systems!$R$2:$R$179)-B5-SUMIFS(Systems!$R$2:$R$179,Systems!$C$2:$C$179,"Land",Systems!$L$2:$L$179,0)</f>
        <v>10</v>
      </c>
      <c r="C6" s="6" t="s">
        <v>82</v>
      </c>
      <c r="D6" s="5" t="s">
        <v>83</v>
      </c>
    </row>
    <row r="7" customFormat="false" ht="15" hidden="false" customHeight="true" outlineLevel="0" collapsed="false">
      <c r="A7" s="6" t="s">
        <v>42</v>
      </c>
      <c r="B7" s="14" t="n">
        <f aca="false">'Needs Checklist'!B3</f>
        <v>0.485028917841418</v>
      </c>
      <c r="C7" s="6" t="s">
        <v>84</v>
      </c>
      <c r="D7" s="5" t="s">
        <v>85</v>
      </c>
    </row>
    <row r="8" customFormat="false" ht="15" hidden="false" customHeight="true" outlineLevel="0" collapsed="false">
      <c r="A8" s="6" t="s">
        <v>86</v>
      </c>
      <c r="B8" s="15" t="n">
        <f aca="false">SUMPRODUCT(Systems!$G$2:$G$179,Systems!$R$2:$R$179)</f>
        <v>73110</v>
      </c>
      <c r="C8" s="6" t="s">
        <v>87</v>
      </c>
      <c r="D8" s="5" t="s">
        <v>88</v>
      </c>
    </row>
    <row r="9" customFormat="false" ht="15" hidden="false" customHeight="true" outlineLevel="0" collapsed="false">
      <c r="A9" s="6" t="s">
        <v>89</v>
      </c>
      <c r="B9" s="15" t="n">
        <f aca="false">SUMPRODUCT(Systems!$I$2:$I$179,Systems!$R$2:$R$179)</f>
        <v>67765</v>
      </c>
      <c r="C9" s="6" t="s">
        <v>87</v>
      </c>
      <c r="D9" s="5" t="s">
        <v>90</v>
      </c>
    </row>
    <row r="10" customFormat="false" ht="15" hidden="false" customHeight="true" outlineLevel="0" collapsed="false">
      <c r="A10" s="6" t="s">
        <v>91</v>
      </c>
      <c r="B10" s="9" t="n">
        <f aca="false">SUMPRODUCT(Systems!$J$2:$J$179,Systems!$R$2:$R$179)</f>
        <v>123</v>
      </c>
      <c r="C10" s="6" t="s">
        <v>64</v>
      </c>
      <c r="D10" s="5" t="s">
        <v>92</v>
      </c>
    </row>
    <row r="11" customFormat="false" ht="15" hidden="false" customHeight="true" outlineLevel="0" collapsed="false">
      <c r="A11" s="6" t="s">
        <v>93</v>
      </c>
      <c r="B11" s="16" t="n">
        <f aca="false">'Needs Checklist'!C16</f>
        <v>50</v>
      </c>
      <c r="C11" s="6" t="s">
        <v>94</v>
      </c>
      <c r="D11" s="5" t="s">
        <v>95</v>
      </c>
    </row>
    <row r="12" customFormat="false" ht="15" hidden="false" customHeight="true" outlineLevel="0" collapsed="false">
      <c r="A12" s="6" t="s">
        <v>96</v>
      </c>
      <c r="B12" s="16" t="n">
        <f aca="false">'Needs Checklist'!D16</f>
        <v>9.67</v>
      </c>
      <c r="C12" s="6" t="s">
        <v>94</v>
      </c>
      <c r="D12" s="5" t="s">
        <v>97</v>
      </c>
    </row>
    <row r="13" customFormat="false" ht="15" hidden="false" customHeight="true" outlineLevel="0" collapsed="false">
      <c r="A13" s="6" t="s">
        <v>98</v>
      </c>
      <c r="B13" s="9" t="n">
        <f aca="false">SUMIFS(Flows!$J$2:$J$1500,Flows!$D$2:$D$1500,"Land area",Flows!$C$2:$C$1500,"Output")</f>
        <v>43560</v>
      </c>
      <c r="C13" s="6" t="s">
        <v>56</v>
      </c>
      <c r="D13" s="5" t="s">
        <v>99</v>
      </c>
    </row>
    <row r="14" customFormat="false" ht="15" hidden="false" customHeight="true" outlineLevel="0" collapsed="false">
      <c r="A14" s="6" t="s">
        <v>100</v>
      </c>
      <c r="B14" s="9" t="n">
        <f aca="false">SUMPRODUCT(Systems!$L$2:$L$179,Systems!$R$2:$R$179)</f>
        <v>1427</v>
      </c>
      <c r="C14" s="6" t="s">
        <v>56</v>
      </c>
      <c r="D14" s="5" t="s">
        <v>101</v>
      </c>
    </row>
    <row r="15" customFormat="false" ht="15" hidden="false" customHeight="true" outlineLevel="0" collapsed="false">
      <c r="A15" s="6" t="s">
        <v>102</v>
      </c>
      <c r="B15" s="10" t="n">
        <f aca="false">IF(B13=0,0,B14/B13)</f>
        <v>0.0327594123048669</v>
      </c>
      <c r="C15" s="6" t="s">
        <v>84</v>
      </c>
      <c r="D15" s="5" t="s">
        <v>103</v>
      </c>
    </row>
    <row r="16" customFormat="false" ht="15" hidden="false" customHeight="true" outlineLevel="0" collapsed="false">
      <c r="A16" s="6" t="s">
        <v>104</v>
      </c>
      <c r="B16" s="9" t="n">
        <f aca="false">SUMIFS(Flows!$J$2:$J$1500,Flows!$D$2:$D$1500,"Water storage",Flows!$C$2:$C$1500,"Output")</f>
        <v>0</v>
      </c>
      <c r="C16" s="6" t="s">
        <v>50</v>
      </c>
      <c r="D16" s="5" t="s">
        <v>105</v>
      </c>
    </row>
    <row r="17" customFormat="false" ht="15" hidden="false" customHeight="true" outlineLevel="0" collapsed="false">
      <c r="A17" s="6" t="s">
        <v>106</v>
      </c>
      <c r="B17" s="17" t="n">
        <f aca="false">IFERROR(B16/(('Needs Checklist'!D6+'Needs Checklist'!D7)/7),0)</f>
        <v>0</v>
      </c>
      <c r="C17" s="6" t="s">
        <v>107</v>
      </c>
      <c r="D17" s="5" t="s">
        <v>108</v>
      </c>
    </row>
    <row r="18" customFormat="false" ht="15" hidden="false" customHeight="true" outlineLevel="0" collapsed="false">
      <c r="A18" s="6" t="s">
        <v>109</v>
      </c>
      <c r="B18" s="17" t="n">
        <f aca="false">SUMIFS(Flows!$J$2:$J$1500,Flows!$D$2:$D$1500,"Battery storage",Flows!$C$2:$C$1500,"Output")</f>
        <v>0</v>
      </c>
      <c r="C18" s="6" t="s">
        <v>60</v>
      </c>
      <c r="D18" s="5" t="s">
        <v>110</v>
      </c>
    </row>
    <row r="19" customFormat="false" ht="15" hidden="false" customHeight="true" outlineLevel="0" collapsed="false">
      <c r="A19" s="6" t="s">
        <v>111</v>
      </c>
      <c r="B19" s="17" t="n">
        <f aca="false">IFERROR(B18/('Needs Checklist'!D11/7),0)</f>
        <v>0</v>
      </c>
      <c r="C19" s="6" t="s">
        <v>107</v>
      </c>
      <c r="D19" s="5" t="s">
        <v>112</v>
      </c>
    </row>
    <row r="20" customFormat="false" ht="15" hidden="false" customHeight="true" outlineLevel="0" collapsed="false">
      <c r="A20" s="6" t="s">
        <v>113</v>
      </c>
      <c r="B20" s="9" t="n">
        <f aca="false">SUMIFS(Flows!$J$2:$J$1500,Flows!$D$2:$D$1500,"Food storage",Flows!$C$2:$C$1500,"Output")</f>
        <v>0</v>
      </c>
      <c r="C20" s="6" t="s">
        <v>114</v>
      </c>
      <c r="D20" s="5" t="s">
        <v>115</v>
      </c>
    </row>
    <row r="21" customFormat="false" ht="15" hidden="false" customHeight="true" outlineLevel="0" collapsed="false">
      <c r="A21" s="6" t="s">
        <v>116</v>
      </c>
      <c r="B21" s="15" t="n">
        <f aca="false">SUMIFS(Flows!$J$2:$J$1500,Flows!$D$2:$D$1500,"Capital",Flows!$C$2:$C$1500,"Output")</f>
        <v>0</v>
      </c>
      <c r="C21" s="6" t="s">
        <v>117</v>
      </c>
      <c r="D21" s="5" t="s">
        <v>118</v>
      </c>
    </row>
    <row r="22" customFormat="false" ht="15" hidden="false" customHeight="true" outlineLevel="0" collapsed="false">
      <c r="A22" s="6" t="s">
        <v>119</v>
      </c>
      <c r="B22" s="15" t="n">
        <f aca="false">SUMIFS(Flows!$J$2:$J$1500,Flows!$D$2:$D$1500,"Capital",Flows!$C$2:$C$1500,"Input")</f>
        <v>0</v>
      </c>
      <c r="C22" s="6" t="s">
        <v>117</v>
      </c>
      <c r="D22" s="5" t="s">
        <v>120</v>
      </c>
    </row>
    <row r="23" customFormat="false" ht="15" hidden="false" customHeight="true" outlineLevel="0" collapsed="false">
      <c r="A23" s="6" t="s">
        <v>121</v>
      </c>
      <c r="B23" s="18" t="n">
        <f aca="false">B21-B22</f>
        <v>0</v>
      </c>
      <c r="C23" s="6" t="s">
        <v>117</v>
      </c>
      <c r="D23" s="5" t="s">
        <v>122</v>
      </c>
    </row>
    <row r="24" customFormat="false" ht="15" hidden="false" customHeight="true" outlineLevel="0" collapsed="false">
      <c r="A24" s="6" t="s">
        <v>123</v>
      </c>
      <c r="B24" s="9" t="n">
        <f aca="false">SUMIFS(Flows!$J$2:$J$1500,Flows!$D$2:$D$1500,"Wellbeing",Flows!$C$2:$C$1500,"Output")</f>
        <v>10</v>
      </c>
      <c r="C24" s="6" t="s">
        <v>124</v>
      </c>
      <c r="D24" s="5" t="s">
        <v>125</v>
      </c>
    </row>
    <row r="25" customFormat="false" ht="15" hidden="false" customHeight="true" outlineLevel="0" collapsed="false">
      <c r="A25" s="6" t="s">
        <v>126</v>
      </c>
      <c r="B25" s="13" t="n">
        <f aca="false">COUNTIF(Resources!$L$2:$L$64,"Deficit")</f>
        <v>18</v>
      </c>
      <c r="C25" s="6" t="s">
        <v>127</v>
      </c>
      <c r="D25" s="5" t="s">
        <v>128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X17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1" width="9"/>
    <col collapsed="false" customWidth="true" hidden="false" outlineLevel="0" max="2" min="2" style="1" width="40"/>
    <col collapsed="false" customWidth="true" hidden="false" outlineLevel="0" max="3" min="3" style="1" width="30"/>
    <col collapsed="false" customWidth="true" hidden="false" outlineLevel="0" max="4" min="4" style="1" width="26"/>
    <col collapsed="false" customWidth="true" hidden="false" outlineLevel="0" max="5" min="5" style="1" width="24"/>
    <col collapsed="false" customWidth="true" hidden="false" outlineLevel="0" max="6" min="6" style="1" width="50"/>
    <col collapsed="false" customWidth="true" hidden="false" outlineLevel="0" max="7" min="7" style="1" width="12"/>
    <col collapsed="false" customWidth="true" hidden="false" outlineLevel="0" max="8" min="8" style="1" width="11"/>
    <col collapsed="false" customWidth="true" hidden="false" outlineLevel="0" max="9" min="9" style="1" width="12"/>
    <col collapsed="false" customWidth="true" hidden="false" outlineLevel="0" max="11" min="10" style="1" width="10"/>
    <col collapsed="false" customWidth="true" hidden="false" outlineLevel="0" max="12" min="12" style="1" width="11"/>
    <col collapsed="false" customWidth="true" hidden="false" outlineLevel="0" max="13" min="13" style="1" width="9"/>
    <col collapsed="false" customWidth="true" hidden="false" outlineLevel="0" max="14" min="14" style="1" width="11"/>
    <col collapsed="false" customWidth="true" hidden="false" outlineLevel="0" max="15" min="15" style="1" width="13"/>
    <col collapsed="false" customWidth="true" hidden="false" outlineLevel="0" max="16" min="16" style="1" width="11"/>
    <col collapsed="false" customWidth="true" hidden="false" outlineLevel="0" max="18" min="17" style="1" width="10"/>
    <col collapsed="false" customWidth="true" hidden="false" outlineLevel="0" max="20" min="19" style="1" width="8"/>
    <col collapsed="false" customWidth="true" hidden="false" outlineLevel="0" max="22" min="21" style="1" width="32"/>
    <col collapsed="false" customWidth="true" hidden="false" outlineLevel="0" max="23" min="23" style="1" width="11"/>
    <col collapsed="false" customWidth="true" hidden="false" outlineLevel="0" max="24" min="24" style="1" width="60"/>
  </cols>
  <sheetData>
    <row r="1" customFormat="false" ht="51.75" hidden="false" customHeight="true" outlineLevel="0" collapsed="false">
      <c r="A1" s="8" t="s">
        <v>129</v>
      </c>
      <c r="B1" s="8" t="s">
        <v>130</v>
      </c>
      <c r="C1" s="8" t="s">
        <v>131</v>
      </c>
      <c r="D1" s="8" t="s">
        <v>132</v>
      </c>
      <c r="E1" s="8" t="s">
        <v>133</v>
      </c>
      <c r="F1" s="8" t="s">
        <v>134</v>
      </c>
      <c r="G1" s="8" t="s">
        <v>135</v>
      </c>
      <c r="H1" s="8" t="s">
        <v>136</v>
      </c>
      <c r="I1" s="8" t="s">
        <v>137</v>
      </c>
      <c r="J1" s="8" t="s">
        <v>138</v>
      </c>
      <c r="K1" s="8" t="s">
        <v>139</v>
      </c>
      <c r="L1" s="8" t="s">
        <v>140</v>
      </c>
      <c r="M1" s="8" t="s">
        <v>141</v>
      </c>
      <c r="N1" s="8" t="s">
        <v>142</v>
      </c>
      <c r="O1" s="8" t="s">
        <v>143</v>
      </c>
      <c r="P1" s="8" t="s">
        <v>144</v>
      </c>
      <c r="Q1" s="8" t="s">
        <v>145</v>
      </c>
      <c r="R1" s="8" t="s">
        <v>146</v>
      </c>
      <c r="S1" s="8" t="s">
        <v>147</v>
      </c>
      <c r="T1" s="8" t="s">
        <v>148</v>
      </c>
      <c r="U1" s="8" t="s">
        <v>149</v>
      </c>
      <c r="V1" s="8" t="s">
        <v>150</v>
      </c>
      <c r="W1" s="8" t="s">
        <v>151</v>
      </c>
      <c r="X1" s="8" t="s">
        <v>152</v>
      </c>
    </row>
    <row r="2" customFormat="false" ht="26.25" hidden="false" customHeight="true" outlineLevel="0" collapsed="false">
      <c r="A2" s="19" t="s">
        <v>153</v>
      </c>
      <c r="B2" s="19" t="s">
        <v>154</v>
      </c>
      <c r="C2" s="19" t="s">
        <v>155</v>
      </c>
      <c r="D2" s="19" t="s">
        <v>156</v>
      </c>
      <c r="E2" s="19" t="s">
        <v>157</v>
      </c>
      <c r="F2" s="20" t="s">
        <v>158</v>
      </c>
      <c r="G2" s="21" t="n">
        <v>450</v>
      </c>
      <c r="H2" s="21" t="n">
        <v>300</v>
      </c>
      <c r="I2" s="22" t="n">
        <f aca="false">IF(H2="",G2,MIN(G2,H2))</f>
        <v>300</v>
      </c>
      <c r="J2" s="23" t="n">
        <v>2</v>
      </c>
      <c r="K2" s="23" t="n">
        <v>0.1</v>
      </c>
      <c r="L2" s="23" t="n">
        <v>4</v>
      </c>
      <c r="M2" s="23" t="n">
        <v>5</v>
      </c>
      <c r="N2" s="23"/>
      <c r="O2" s="23"/>
      <c r="P2" s="23"/>
      <c r="Q2" s="24"/>
      <c r="R2" s="25" t="n">
        <v>0</v>
      </c>
      <c r="S2" s="19" t="n">
        <f aca="false">COUNTIFS(Flows!$B$2:$B$1500,$B2,Flows!$C$2:$C$1500,"Input")</f>
        <v>2</v>
      </c>
      <c r="T2" s="19" t="n">
        <f aca="false">COUNTIFS(Flows!$B$2:$B$1500,$B2,Flows!$C$2:$C$1500,"Output")</f>
        <v>2</v>
      </c>
      <c r="U2" s="19" t="s">
        <v>59</v>
      </c>
      <c r="V2" s="19" t="s">
        <v>59</v>
      </c>
      <c r="W2" s="19" t="s">
        <v>159</v>
      </c>
      <c r="X2" s="19" t="s">
        <v>160</v>
      </c>
    </row>
    <row r="3" customFormat="false" ht="15" hidden="false" customHeight="true" outlineLevel="0" collapsed="false">
      <c r="A3" s="19" t="s">
        <v>161</v>
      </c>
      <c r="B3" s="19" t="s">
        <v>162</v>
      </c>
      <c r="C3" s="19" t="s">
        <v>163</v>
      </c>
      <c r="D3" s="19" t="s">
        <v>163</v>
      </c>
      <c r="E3" s="19" t="s">
        <v>157</v>
      </c>
      <c r="F3" s="20" t="s">
        <v>164</v>
      </c>
      <c r="G3" s="21" t="n">
        <v>500</v>
      </c>
      <c r="H3" s="21" t="n">
        <v>300</v>
      </c>
      <c r="I3" s="22" t="n">
        <f aca="false">IF(H3="",G3,MIN(G3,H3))</f>
        <v>300</v>
      </c>
      <c r="J3" s="23" t="n">
        <v>3</v>
      </c>
      <c r="K3" s="23" t="n">
        <v>0.05</v>
      </c>
      <c r="L3" s="23" t="n">
        <v>30</v>
      </c>
      <c r="M3" s="23" t="n">
        <v>25</v>
      </c>
      <c r="N3" s="23"/>
      <c r="O3" s="23"/>
      <c r="P3" s="23"/>
      <c r="Q3" s="24"/>
      <c r="R3" s="25" t="n">
        <v>1</v>
      </c>
      <c r="S3" s="19" t="n">
        <f aca="false">COUNTIFS(Flows!$B$2:$B$1500,$B3,Flows!$C$2:$C$1500,"Input")</f>
        <v>2</v>
      </c>
      <c r="T3" s="19" t="n">
        <f aca="false">COUNTIFS(Flows!$B$2:$B$1500,$B3,Flows!$C$2:$C$1500,"Output")</f>
        <v>1</v>
      </c>
      <c r="U3" s="19" t="s">
        <v>165</v>
      </c>
      <c r="V3" s="19" t="s">
        <v>59</v>
      </c>
      <c r="W3" s="19" t="s">
        <v>159</v>
      </c>
      <c r="X3" s="19"/>
    </row>
    <row r="4" customFormat="false" ht="26.25" hidden="false" customHeight="true" outlineLevel="0" collapsed="false">
      <c r="A4" s="19" t="s">
        <v>166</v>
      </c>
      <c r="B4" s="19" t="s">
        <v>167</v>
      </c>
      <c r="C4" s="19" t="s">
        <v>168</v>
      </c>
      <c r="D4" s="19" t="s">
        <v>168</v>
      </c>
      <c r="E4" s="19" t="s">
        <v>157</v>
      </c>
      <c r="F4" s="20" t="s">
        <v>169</v>
      </c>
      <c r="G4" s="21" t="n">
        <v>35000</v>
      </c>
      <c r="H4" s="21"/>
      <c r="I4" s="22" t="n">
        <f aca="false">IF(H4="",G4,MIN(G4,H4))</f>
        <v>35000</v>
      </c>
      <c r="J4" s="23" t="n">
        <v>40</v>
      </c>
      <c r="K4" s="23" t="n">
        <v>4</v>
      </c>
      <c r="L4" s="23" t="n">
        <v>100</v>
      </c>
      <c r="M4" s="23" t="n">
        <v>15</v>
      </c>
      <c r="N4" s="23"/>
      <c r="O4" s="23"/>
      <c r="P4" s="23"/>
      <c r="Q4" s="24"/>
      <c r="R4" s="25" t="n">
        <v>0</v>
      </c>
      <c r="S4" s="19" t="n">
        <f aca="false">COUNTIFS(Flows!$B$2:$B$1500,$B4,Flows!$C$2:$C$1500,"Input")</f>
        <v>2</v>
      </c>
      <c r="T4" s="19" t="n">
        <f aca="false">COUNTIFS(Flows!$B$2:$B$1500,$B4,Flows!$C$2:$C$1500,"Output")</f>
        <v>3</v>
      </c>
      <c r="U4" s="19" t="s">
        <v>170</v>
      </c>
      <c r="V4" s="19" t="s">
        <v>171</v>
      </c>
      <c r="W4" s="19" t="s">
        <v>172</v>
      </c>
      <c r="X4" s="19"/>
    </row>
    <row r="5" customFormat="false" ht="26.25" hidden="false" customHeight="true" outlineLevel="0" collapsed="false">
      <c r="A5" s="19" t="s">
        <v>173</v>
      </c>
      <c r="B5" s="19" t="s">
        <v>174</v>
      </c>
      <c r="C5" s="19" t="s">
        <v>175</v>
      </c>
      <c r="D5" s="19" t="s">
        <v>168</v>
      </c>
      <c r="E5" s="19" t="s">
        <v>157</v>
      </c>
      <c r="F5" s="20" t="s">
        <v>176</v>
      </c>
      <c r="G5" s="21" t="n">
        <v>400</v>
      </c>
      <c r="H5" s="21" t="n">
        <v>60</v>
      </c>
      <c r="I5" s="22" t="n">
        <f aca="false">IF(H5="",G5,MIN(G5,H5))</f>
        <v>60</v>
      </c>
      <c r="J5" s="23" t="n">
        <v>2</v>
      </c>
      <c r="K5" s="23" t="n">
        <v>2</v>
      </c>
      <c r="L5" s="23" t="n">
        <v>20</v>
      </c>
      <c r="M5" s="23" t="n">
        <v>10</v>
      </c>
      <c r="N5" s="23"/>
      <c r="O5" s="23"/>
      <c r="P5" s="23"/>
      <c r="Q5" s="24"/>
      <c r="R5" s="25" t="n">
        <v>0</v>
      </c>
      <c r="S5" s="19" t="n">
        <f aca="false">COUNTIFS(Flows!$B$2:$B$1500,$B5,Flows!$C$2:$C$1500,"Input")</f>
        <v>3</v>
      </c>
      <c r="T5" s="19" t="n">
        <f aca="false">COUNTIFS(Flows!$B$2:$B$1500,$B5,Flows!$C$2:$C$1500,"Output")</f>
        <v>1</v>
      </c>
      <c r="U5" s="19" t="s">
        <v>177</v>
      </c>
      <c r="V5" s="19" t="s">
        <v>174</v>
      </c>
      <c r="W5" s="19" t="s">
        <v>172</v>
      </c>
      <c r="X5" s="19" t="s">
        <v>178</v>
      </c>
    </row>
    <row r="6" customFormat="false" ht="26.25" hidden="false" customHeight="true" outlineLevel="0" collapsed="false">
      <c r="A6" s="19" t="s">
        <v>179</v>
      </c>
      <c r="B6" s="19" t="s">
        <v>180</v>
      </c>
      <c r="C6" s="19" t="s">
        <v>181</v>
      </c>
      <c r="D6" s="19" t="s">
        <v>182</v>
      </c>
      <c r="E6" s="19" t="s">
        <v>157</v>
      </c>
      <c r="F6" s="20" t="s">
        <v>183</v>
      </c>
      <c r="G6" s="21" t="n">
        <v>300</v>
      </c>
      <c r="H6" s="21" t="n">
        <v>80</v>
      </c>
      <c r="I6" s="22" t="n">
        <f aca="false">IF(H6="",G6,MIN(G6,H6))</f>
        <v>80</v>
      </c>
      <c r="J6" s="23" t="n">
        <v>6</v>
      </c>
      <c r="K6" s="23" t="n">
        <v>2</v>
      </c>
      <c r="L6" s="23" t="n">
        <v>15</v>
      </c>
      <c r="M6" s="23" t="n">
        <v>5</v>
      </c>
      <c r="N6" s="23"/>
      <c r="O6" s="23"/>
      <c r="P6" s="23"/>
      <c r="Q6" s="24"/>
      <c r="R6" s="25" t="n">
        <v>0</v>
      </c>
      <c r="S6" s="19" t="n">
        <f aca="false">COUNTIFS(Flows!$B$2:$B$1500,$B6,Flows!$C$2:$C$1500,"Input")</f>
        <v>4</v>
      </c>
      <c r="T6" s="19" t="n">
        <f aca="false">COUNTIFS(Flows!$B$2:$B$1500,$B6,Flows!$C$2:$C$1500,"Output")</f>
        <v>2</v>
      </c>
      <c r="U6" s="19" t="s">
        <v>184</v>
      </c>
      <c r="V6" s="19" t="s">
        <v>185</v>
      </c>
      <c r="W6" s="19" t="s">
        <v>172</v>
      </c>
      <c r="X6" s="19" t="s">
        <v>186</v>
      </c>
    </row>
    <row r="7" customFormat="false" ht="15" hidden="false" customHeight="true" outlineLevel="0" collapsed="false">
      <c r="A7" s="19" t="s">
        <v>187</v>
      </c>
      <c r="B7" s="19" t="s">
        <v>188</v>
      </c>
      <c r="C7" s="19" t="s">
        <v>55</v>
      </c>
      <c r="D7" s="19" t="s">
        <v>55</v>
      </c>
      <c r="E7" s="19" t="s">
        <v>157</v>
      </c>
      <c r="F7" s="20" t="s">
        <v>189</v>
      </c>
      <c r="G7" s="21" t="n">
        <v>120000</v>
      </c>
      <c r="H7" s="21" t="n">
        <v>55000</v>
      </c>
      <c r="I7" s="22" t="n">
        <f aca="false">IF(H7="",G7,MIN(G7,H7))</f>
        <v>55000</v>
      </c>
      <c r="J7" s="23" t="n">
        <v>1500</v>
      </c>
      <c r="K7" s="23" t="n">
        <v>1</v>
      </c>
      <c r="L7" s="23" t="n">
        <v>900</v>
      </c>
      <c r="M7" s="23" t="n">
        <v>60</v>
      </c>
      <c r="N7" s="23" t="n">
        <v>800</v>
      </c>
      <c r="O7" s="23" t="n">
        <v>0.3</v>
      </c>
      <c r="P7" s="23"/>
      <c r="Q7" s="24"/>
      <c r="R7" s="25" t="n">
        <v>0</v>
      </c>
      <c r="S7" s="19" t="n">
        <f aca="false">COUNTIFS(Flows!$B$2:$B$1500,$B7,Flows!$C$2:$C$1500,"Input")</f>
        <v>4</v>
      </c>
      <c r="T7" s="19" t="n">
        <f aca="false">COUNTIFS(Flows!$B$2:$B$1500,$B7,Flows!$C$2:$C$1500,"Output")</f>
        <v>2</v>
      </c>
      <c r="U7" s="19" t="s">
        <v>190</v>
      </c>
      <c r="V7" s="19" t="s">
        <v>55</v>
      </c>
      <c r="W7" s="19" t="s">
        <v>159</v>
      </c>
      <c r="X7" s="19" t="s">
        <v>191</v>
      </c>
    </row>
    <row r="8" customFormat="false" ht="15" hidden="false" customHeight="true" outlineLevel="0" collapsed="false">
      <c r="A8" s="19" t="s">
        <v>192</v>
      </c>
      <c r="B8" s="19" t="s">
        <v>193</v>
      </c>
      <c r="C8" s="19" t="s">
        <v>194</v>
      </c>
      <c r="D8" s="19" t="s">
        <v>194</v>
      </c>
      <c r="E8" s="19" t="s">
        <v>157</v>
      </c>
      <c r="F8" s="20" t="s">
        <v>195</v>
      </c>
      <c r="G8" s="21" t="n">
        <v>420000</v>
      </c>
      <c r="H8" s="21"/>
      <c r="I8" s="22" t="n">
        <f aca="false">IF(H8="",G8,MIN(G8,H8))</f>
        <v>420000</v>
      </c>
      <c r="J8" s="23" t="n">
        <v>0</v>
      </c>
      <c r="K8" s="23" t="n">
        <v>2</v>
      </c>
      <c r="L8" s="23" t="n">
        <v>2000</v>
      </c>
      <c r="M8" s="23" t="n">
        <v>70</v>
      </c>
      <c r="N8" s="23" t="n">
        <v>2000</v>
      </c>
      <c r="O8" s="23" t="n">
        <v>0.25</v>
      </c>
      <c r="P8" s="23"/>
      <c r="Q8" s="24"/>
      <c r="R8" s="25" t="n">
        <v>0</v>
      </c>
      <c r="S8" s="19" t="n">
        <f aca="false">COUNTIFS(Flows!$B$2:$B$1500,$B8,Flows!$C$2:$C$1500,"Input")</f>
        <v>4</v>
      </c>
      <c r="T8" s="19" t="n">
        <f aca="false">COUNTIFS(Flows!$B$2:$B$1500,$B8,Flows!$C$2:$C$1500,"Output")</f>
        <v>6</v>
      </c>
      <c r="U8" s="19" t="s">
        <v>190</v>
      </c>
      <c r="V8" s="19" t="s">
        <v>196</v>
      </c>
      <c r="W8" s="19" t="s">
        <v>159</v>
      </c>
      <c r="X8" s="19" t="s">
        <v>197</v>
      </c>
    </row>
    <row r="9" customFormat="false" ht="15" hidden="false" customHeight="true" outlineLevel="0" collapsed="false">
      <c r="A9" s="19" t="s">
        <v>198</v>
      </c>
      <c r="B9" s="19" t="s">
        <v>199</v>
      </c>
      <c r="C9" s="19" t="s">
        <v>200</v>
      </c>
      <c r="D9" s="19" t="s">
        <v>200</v>
      </c>
      <c r="E9" s="19" t="s">
        <v>157</v>
      </c>
      <c r="F9" s="20" t="s">
        <v>201</v>
      </c>
      <c r="G9" s="21" t="n">
        <v>800</v>
      </c>
      <c r="H9" s="21" t="n">
        <v>300</v>
      </c>
      <c r="I9" s="22" t="n">
        <f aca="false">IF(H9="",G9,MIN(G9,H9))</f>
        <v>300</v>
      </c>
      <c r="J9" s="23" t="n">
        <v>3</v>
      </c>
      <c r="K9" s="23" t="n">
        <v>0.25</v>
      </c>
      <c r="L9" s="23" t="n">
        <v>210</v>
      </c>
      <c r="M9" s="23" t="n">
        <v>5</v>
      </c>
      <c r="N9" s="23" t="n">
        <v>210</v>
      </c>
      <c r="O9" s="23" t="n">
        <v>1.2</v>
      </c>
      <c r="P9" s="23"/>
      <c r="Q9" s="24"/>
      <c r="R9" s="25" t="n">
        <v>1</v>
      </c>
      <c r="S9" s="19" t="n">
        <f aca="false">COUNTIFS(Flows!$B$2:$B$1500,$B9,Flows!$C$2:$C$1500,"Input")</f>
        <v>3</v>
      </c>
      <c r="T9" s="19" t="n">
        <f aca="false">COUNTIFS(Flows!$B$2:$B$1500,$B9,Flows!$C$2:$C$1500,"Output")</f>
        <v>1</v>
      </c>
      <c r="U9" s="19" t="s">
        <v>71</v>
      </c>
      <c r="V9" s="19" t="s">
        <v>55</v>
      </c>
      <c r="W9" s="19" t="s">
        <v>159</v>
      </c>
      <c r="X9" s="19"/>
    </row>
    <row r="10" customFormat="false" ht="26.25" hidden="false" customHeight="true" outlineLevel="0" collapsed="false">
      <c r="A10" s="19" t="s">
        <v>202</v>
      </c>
      <c r="B10" s="19" t="s">
        <v>203</v>
      </c>
      <c r="C10" s="19" t="s">
        <v>204</v>
      </c>
      <c r="D10" s="19" t="s">
        <v>204</v>
      </c>
      <c r="E10" s="19" t="s">
        <v>157</v>
      </c>
      <c r="F10" s="20" t="s">
        <v>205</v>
      </c>
      <c r="G10" s="21" t="n">
        <v>65000</v>
      </c>
      <c r="H10" s="21"/>
      <c r="I10" s="22" t="n">
        <f aca="false">IF(H10="",G10,MIN(G10,H10))</f>
        <v>65000</v>
      </c>
      <c r="J10" s="23" t="n">
        <v>2</v>
      </c>
      <c r="K10" s="23" t="n">
        <v>0.5</v>
      </c>
      <c r="L10" s="23" t="n">
        <v>150</v>
      </c>
      <c r="M10" s="23" t="n">
        <v>20</v>
      </c>
      <c r="N10" s="23" t="n">
        <v>150</v>
      </c>
      <c r="O10" s="23" t="n">
        <v>0.6</v>
      </c>
      <c r="P10" s="23"/>
      <c r="Q10" s="24"/>
      <c r="R10" s="25" t="n">
        <v>0</v>
      </c>
      <c r="S10" s="19" t="n">
        <f aca="false">COUNTIFS(Flows!$B$2:$B$1500,$B10,Flows!$C$2:$C$1500,"Input")</f>
        <v>4</v>
      </c>
      <c r="T10" s="19" t="n">
        <f aca="false">COUNTIFS(Flows!$B$2:$B$1500,$B10,Flows!$C$2:$C$1500,"Output")</f>
        <v>2</v>
      </c>
      <c r="U10" s="19" t="s">
        <v>206</v>
      </c>
      <c r="V10" s="19" t="s">
        <v>55</v>
      </c>
      <c r="W10" s="19" t="s">
        <v>172</v>
      </c>
      <c r="X10" s="19"/>
    </row>
    <row r="11" customFormat="false" ht="15" hidden="false" customHeight="true" outlineLevel="0" collapsed="false">
      <c r="A11" s="19" t="s">
        <v>207</v>
      </c>
      <c r="B11" s="19" t="s">
        <v>208</v>
      </c>
      <c r="C11" s="19" t="s">
        <v>209</v>
      </c>
      <c r="D11" s="19" t="s">
        <v>209</v>
      </c>
      <c r="E11" s="19" t="s">
        <v>157</v>
      </c>
      <c r="F11" s="20" t="s">
        <v>210</v>
      </c>
      <c r="G11" s="21" t="n">
        <v>80000</v>
      </c>
      <c r="H11" s="21" t="n">
        <v>25000</v>
      </c>
      <c r="I11" s="22" t="n">
        <f aca="false">IF(H11="",G11,MIN(G11,H11))</f>
        <v>25000</v>
      </c>
      <c r="J11" s="23" t="n">
        <v>300</v>
      </c>
      <c r="K11" s="23" t="n">
        <v>1</v>
      </c>
      <c r="L11" s="23" t="n">
        <v>80</v>
      </c>
      <c r="M11" s="23" t="n">
        <v>15</v>
      </c>
      <c r="N11" s="23" t="n">
        <v>60</v>
      </c>
      <c r="O11" s="23" t="n">
        <v>0.8</v>
      </c>
      <c r="P11" s="23"/>
      <c r="Q11" s="24"/>
      <c r="R11" s="25" t="n">
        <v>0</v>
      </c>
      <c r="S11" s="19" t="n">
        <f aca="false">COUNTIFS(Flows!$B$2:$B$1500,$B11,Flows!$C$2:$C$1500,"Input")</f>
        <v>5</v>
      </c>
      <c r="T11" s="19" t="n">
        <f aca="false">COUNTIFS(Flows!$B$2:$B$1500,$B11,Flows!$C$2:$C$1500,"Output")</f>
        <v>2</v>
      </c>
      <c r="U11" s="19" t="s">
        <v>190</v>
      </c>
      <c r="V11" s="19" t="s">
        <v>204</v>
      </c>
      <c r="W11" s="19" t="s">
        <v>172</v>
      </c>
      <c r="X11" s="19"/>
    </row>
    <row r="12" customFormat="false" ht="26.25" hidden="false" customHeight="true" outlineLevel="0" collapsed="false">
      <c r="A12" s="19" t="s">
        <v>211</v>
      </c>
      <c r="B12" s="19" t="s">
        <v>212</v>
      </c>
      <c r="C12" s="19" t="s">
        <v>213</v>
      </c>
      <c r="D12" s="19" t="s">
        <v>214</v>
      </c>
      <c r="E12" s="19" t="s">
        <v>157</v>
      </c>
      <c r="F12" s="20" t="s">
        <v>215</v>
      </c>
      <c r="G12" s="21" t="n">
        <v>50</v>
      </c>
      <c r="H12" s="21" t="n">
        <v>20</v>
      </c>
      <c r="I12" s="22" t="n">
        <f aca="false">IF(H12="",G12,MIN(G12,H12))</f>
        <v>20</v>
      </c>
      <c r="J12" s="23" t="n">
        <v>4</v>
      </c>
      <c r="K12" s="23" t="n">
        <v>1.5</v>
      </c>
      <c r="L12" s="23" t="n">
        <v>400</v>
      </c>
      <c r="M12" s="23" t="n">
        <v>10</v>
      </c>
      <c r="N12" s="23"/>
      <c r="O12" s="23"/>
      <c r="P12" s="23"/>
      <c r="Q12" s="24"/>
      <c r="R12" s="25" t="n">
        <v>0</v>
      </c>
      <c r="S12" s="19" t="n">
        <f aca="false">COUNTIFS(Flows!$B$2:$B$1500,$B12,Flows!$C$2:$C$1500,"Input")</f>
        <v>3</v>
      </c>
      <c r="T12" s="19" t="n">
        <f aca="false">COUNTIFS(Flows!$B$2:$B$1500,$B12,Flows!$C$2:$C$1500,"Output")</f>
        <v>1</v>
      </c>
      <c r="U12" s="19" t="s">
        <v>71</v>
      </c>
      <c r="V12" s="19" t="s">
        <v>216</v>
      </c>
      <c r="W12" s="19" t="s">
        <v>172</v>
      </c>
      <c r="X12" s="19"/>
    </row>
    <row r="13" customFormat="false" ht="15" hidden="false" customHeight="true" outlineLevel="0" collapsed="false">
      <c r="A13" s="19" t="s">
        <v>217</v>
      </c>
      <c r="B13" s="19" t="s">
        <v>218</v>
      </c>
      <c r="C13" s="19" t="s">
        <v>213</v>
      </c>
      <c r="D13" s="19" t="s">
        <v>213</v>
      </c>
      <c r="E13" s="19" t="s">
        <v>157</v>
      </c>
      <c r="F13" s="20" t="s">
        <v>219</v>
      </c>
      <c r="G13" s="21" t="n">
        <v>150</v>
      </c>
      <c r="H13" s="21" t="n">
        <v>50</v>
      </c>
      <c r="I13" s="22" t="n">
        <f aca="false">IF(H13="",G13,MIN(G13,H13))</f>
        <v>50</v>
      </c>
      <c r="J13" s="23" t="n">
        <v>4</v>
      </c>
      <c r="K13" s="23" t="n">
        <v>3</v>
      </c>
      <c r="L13" s="23" t="n">
        <v>50</v>
      </c>
      <c r="M13" s="23" t="n">
        <v>20</v>
      </c>
      <c r="N13" s="23"/>
      <c r="O13" s="23"/>
      <c r="P13" s="23"/>
      <c r="Q13" s="24"/>
      <c r="R13" s="25" t="n">
        <v>0</v>
      </c>
      <c r="S13" s="19" t="n">
        <f aca="false">COUNTIFS(Flows!$B$2:$B$1500,$B13,Flows!$C$2:$C$1500,"Input")</f>
        <v>1</v>
      </c>
      <c r="T13" s="19" t="n">
        <f aca="false">COUNTIFS(Flows!$B$2:$B$1500,$B13,Flows!$C$2:$C$1500,"Output")</f>
        <v>1</v>
      </c>
      <c r="U13" s="19" t="s">
        <v>177</v>
      </c>
      <c r="V13" s="19" t="s">
        <v>177</v>
      </c>
      <c r="W13" s="19" t="s">
        <v>172</v>
      </c>
      <c r="X13" s="19" t="s">
        <v>220</v>
      </c>
    </row>
    <row r="14" customFormat="false" ht="15" hidden="false" customHeight="true" outlineLevel="0" collapsed="false">
      <c r="A14" s="19" t="s">
        <v>221</v>
      </c>
      <c r="B14" s="19" t="s">
        <v>222</v>
      </c>
      <c r="C14" s="19" t="s">
        <v>223</v>
      </c>
      <c r="D14" s="19" t="s">
        <v>168</v>
      </c>
      <c r="E14" s="19" t="s">
        <v>157</v>
      </c>
      <c r="F14" s="20" t="s">
        <v>224</v>
      </c>
      <c r="G14" s="21" t="n">
        <v>300</v>
      </c>
      <c r="H14" s="21" t="n">
        <v>50</v>
      </c>
      <c r="I14" s="22" t="n">
        <f aca="false">IF(H14="",G14,MIN(G14,H14))</f>
        <v>50</v>
      </c>
      <c r="J14" s="23" t="n">
        <v>2</v>
      </c>
      <c r="K14" s="23" t="n">
        <v>0.5</v>
      </c>
      <c r="L14" s="23" t="n">
        <v>30</v>
      </c>
      <c r="M14" s="23" t="n">
        <v>15</v>
      </c>
      <c r="N14" s="23"/>
      <c r="O14" s="23"/>
      <c r="P14" s="23"/>
      <c r="Q14" s="24"/>
      <c r="R14" s="25" t="n">
        <v>0</v>
      </c>
      <c r="S14" s="19" t="n">
        <f aca="false">COUNTIFS(Flows!$B$2:$B$1500,$B14,Flows!$C$2:$C$1500,"Input")</f>
        <v>2</v>
      </c>
      <c r="T14" s="19" t="n">
        <f aca="false">COUNTIFS(Flows!$B$2:$B$1500,$B14,Flows!$C$2:$C$1500,"Output")</f>
        <v>3</v>
      </c>
      <c r="U14" s="19" t="s">
        <v>177</v>
      </c>
      <c r="V14" s="19" t="s">
        <v>225</v>
      </c>
      <c r="W14" s="19" t="s">
        <v>172</v>
      </c>
      <c r="X14" s="19" t="s">
        <v>226</v>
      </c>
    </row>
    <row r="15" customFormat="false" ht="15" hidden="false" customHeight="true" outlineLevel="0" collapsed="false">
      <c r="A15" s="19" t="s">
        <v>227</v>
      </c>
      <c r="B15" s="19" t="s">
        <v>228</v>
      </c>
      <c r="C15" s="19" t="s">
        <v>229</v>
      </c>
      <c r="D15" s="19" t="s">
        <v>230</v>
      </c>
      <c r="E15" s="19" t="s">
        <v>157</v>
      </c>
      <c r="F15" s="20" t="s">
        <v>231</v>
      </c>
      <c r="G15" s="21" t="n">
        <v>1500</v>
      </c>
      <c r="H15" s="21"/>
      <c r="I15" s="22" t="n">
        <f aca="false">IF(H15="",G15,MIN(G15,H15))</f>
        <v>1500</v>
      </c>
      <c r="J15" s="23" t="n">
        <v>20</v>
      </c>
      <c r="K15" s="23" t="n">
        <v>3.5</v>
      </c>
      <c r="L15" s="23" t="n">
        <v>0</v>
      </c>
      <c r="M15" s="23" t="n">
        <v>10</v>
      </c>
      <c r="N15" s="23"/>
      <c r="O15" s="23"/>
      <c r="P15" s="23"/>
      <c r="Q15" s="24"/>
      <c r="R15" s="25" t="n">
        <v>0</v>
      </c>
      <c r="S15" s="19" t="n">
        <f aca="false">COUNTIFS(Flows!$B$2:$B$1500,$B15,Flows!$C$2:$C$1500,"Input")</f>
        <v>3</v>
      </c>
      <c r="T15" s="19" t="n">
        <f aca="false">COUNTIFS(Flows!$B$2:$B$1500,$B15,Flows!$C$2:$C$1500,"Output")</f>
        <v>3</v>
      </c>
      <c r="U15" s="19" t="s">
        <v>232</v>
      </c>
      <c r="V15" s="19" t="s">
        <v>233</v>
      </c>
      <c r="W15" s="19" t="s">
        <v>172</v>
      </c>
      <c r="X15" s="19"/>
    </row>
    <row r="16" customFormat="false" ht="15" hidden="false" customHeight="true" outlineLevel="0" collapsed="false">
      <c r="A16" s="19" t="s">
        <v>234</v>
      </c>
      <c r="B16" s="19" t="s">
        <v>235</v>
      </c>
      <c r="C16" s="19" t="s">
        <v>236</v>
      </c>
      <c r="D16" s="19" t="s">
        <v>237</v>
      </c>
      <c r="E16" s="19" t="s">
        <v>157</v>
      </c>
      <c r="F16" s="20" t="s">
        <v>238</v>
      </c>
      <c r="G16" s="21" t="n">
        <v>100</v>
      </c>
      <c r="H16" s="21"/>
      <c r="I16" s="22" t="n">
        <f aca="false">IF(H16="",G16,MIN(G16,H16))</f>
        <v>100</v>
      </c>
      <c r="J16" s="23" t="n">
        <v>3</v>
      </c>
      <c r="K16" s="23" t="n">
        <v>1</v>
      </c>
      <c r="L16" s="23" t="n">
        <v>20</v>
      </c>
      <c r="M16" s="23" t="n">
        <v>0.15</v>
      </c>
      <c r="N16" s="23"/>
      <c r="O16" s="23"/>
      <c r="P16" s="23"/>
      <c r="Q16" s="24"/>
      <c r="R16" s="25" t="n">
        <v>0</v>
      </c>
      <c r="S16" s="19" t="n">
        <f aca="false">COUNTIFS(Flows!$B$2:$B$1500,$B16,Flows!$C$2:$C$1500,"Input")</f>
        <v>3</v>
      </c>
      <c r="T16" s="19" t="n">
        <f aca="false">COUNTIFS(Flows!$B$2:$B$1500,$B16,Flows!$C$2:$C$1500,"Output")</f>
        <v>1</v>
      </c>
      <c r="U16" s="19" t="s">
        <v>239</v>
      </c>
      <c r="V16" s="19" t="s">
        <v>240</v>
      </c>
      <c r="W16" s="19" t="s">
        <v>172</v>
      </c>
      <c r="X16" s="19"/>
    </row>
    <row r="17" customFormat="false" ht="15" hidden="false" customHeight="true" outlineLevel="0" collapsed="false">
      <c r="A17" s="19" t="s">
        <v>241</v>
      </c>
      <c r="B17" s="19" t="s">
        <v>242</v>
      </c>
      <c r="C17" s="19" t="s">
        <v>243</v>
      </c>
      <c r="D17" s="19" t="s">
        <v>243</v>
      </c>
      <c r="E17" s="19" t="s">
        <v>157</v>
      </c>
      <c r="F17" s="20" t="s">
        <v>244</v>
      </c>
      <c r="G17" s="21" t="n">
        <v>500</v>
      </c>
      <c r="H17" s="21" t="n">
        <v>200</v>
      </c>
      <c r="I17" s="22" t="n">
        <f aca="false">IF(H17="",G17,MIN(G17,H17))</f>
        <v>200</v>
      </c>
      <c r="J17" s="23" t="n">
        <v>6</v>
      </c>
      <c r="K17" s="23" t="n">
        <v>0.5</v>
      </c>
      <c r="L17" s="23" t="n">
        <v>10</v>
      </c>
      <c r="M17" s="23" t="n">
        <v>10</v>
      </c>
      <c r="N17" s="23"/>
      <c r="O17" s="23"/>
      <c r="P17" s="23"/>
      <c r="Q17" s="24"/>
      <c r="R17" s="25" t="n">
        <v>0</v>
      </c>
      <c r="S17" s="19" t="n">
        <f aca="false">COUNTIFS(Flows!$B$2:$B$1500,$B17,Flows!$C$2:$C$1500,"Input")</f>
        <v>3</v>
      </c>
      <c r="T17" s="19" t="n">
        <f aca="false">COUNTIFS(Flows!$B$2:$B$1500,$B17,Flows!$C$2:$C$1500,"Output")</f>
        <v>2</v>
      </c>
      <c r="U17" s="19" t="s">
        <v>245</v>
      </c>
      <c r="V17" s="19" t="s">
        <v>246</v>
      </c>
      <c r="W17" s="19" t="s">
        <v>172</v>
      </c>
      <c r="X17" s="19" t="s">
        <v>247</v>
      </c>
    </row>
    <row r="18" customFormat="false" ht="15" hidden="false" customHeight="true" outlineLevel="0" collapsed="false">
      <c r="A18" s="19" t="s">
        <v>248</v>
      </c>
      <c r="B18" s="19" t="s">
        <v>249</v>
      </c>
      <c r="C18" s="19" t="s">
        <v>250</v>
      </c>
      <c r="D18" s="19" t="s">
        <v>243</v>
      </c>
      <c r="E18" s="19" t="s">
        <v>157</v>
      </c>
      <c r="F18" s="20" t="s">
        <v>251</v>
      </c>
      <c r="G18" s="21" t="n">
        <v>180</v>
      </c>
      <c r="H18" s="21" t="n">
        <v>60</v>
      </c>
      <c r="I18" s="22" t="n">
        <f aca="false">IF(H18="",G18,MIN(G18,H18))</f>
        <v>60</v>
      </c>
      <c r="J18" s="23" t="n">
        <v>2</v>
      </c>
      <c r="K18" s="23" t="n">
        <v>0.5</v>
      </c>
      <c r="L18" s="23" t="n">
        <v>6</v>
      </c>
      <c r="M18" s="23" t="n">
        <v>5</v>
      </c>
      <c r="N18" s="23"/>
      <c r="O18" s="23"/>
      <c r="P18" s="23"/>
      <c r="Q18" s="24"/>
      <c r="R18" s="25" t="n">
        <v>0</v>
      </c>
      <c r="S18" s="19" t="n">
        <f aca="false">COUNTIFS(Flows!$B$2:$B$1500,$B18,Flows!$C$2:$C$1500,"Input")</f>
        <v>3</v>
      </c>
      <c r="T18" s="19" t="n">
        <f aca="false">COUNTIFS(Flows!$B$2:$B$1500,$B18,Flows!$C$2:$C$1500,"Output")</f>
        <v>2</v>
      </c>
      <c r="U18" s="19" t="s">
        <v>252</v>
      </c>
      <c r="V18" s="19" t="s">
        <v>253</v>
      </c>
      <c r="W18" s="19" t="s">
        <v>172</v>
      </c>
      <c r="X18" s="19"/>
    </row>
    <row r="19" customFormat="false" ht="15" hidden="false" customHeight="true" outlineLevel="0" collapsed="false">
      <c r="A19" s="19" t="s">
        <v>254</v>
      </c>
      <c r="B19" s="19" t="s">
        <v>255</v>
      </c>
      <c r="C19" s="19" t="s">
        <v>236</v>
      </c>
      <c r="D19" s="19" t="s">
        <v>237</v>
      </c>
      <c r="E19" s="19" t="s">
        <v>157</v>
      </c>
      <c r="F19" s="20" t="s">
        <v>256</v>
      </c>
      <c r="G19" s="21" t="n">
        <v>25</v>
      </c>
      <c r="H19" s="21"/>
      <c r="I19" s="22" t="n">
        <f aca="false">IF(H19="",G19,MIN(G19,H19))</f>
        <v>25</v>
      </c>
      <c r="J19" s="23" t="n">
        <v>0.5</v>
      </c>
      <c r="K19" s="23" t="n">
        <v>0.15</v>
      </c>
      <c r="L19" s="23" t="n">
        <v>10</v>
      </c>
      <c r="M19" s="23" t="n">
        <v>5</v>
      </c>
      <c r="N19" s="23"/>
      <c r="O19" s="23"/>
      <c r="P19" s="23"/>
      <c r="Q19" s="24"/>
      <c r="R19" s="25" t="n">
        <v>0</v>
      </c>
      <c r="S19" s="19" t="n">
        <f aca="false">COUNTIFS(Flows!$B$2:$B$1500,$B19,Flows!$C$2:$C$1500,"Input")</f>
        <v>6</v>
      </c>
      <c r="T19" s="19" t="n">
        <f aca="false">COUNTIFS(Flows!$B$2:$B$1500,$B19,Flows!$C$2:$C$1500,"Output")</f>
        <v>2</v>
      </c>
      <c r="U19" s="19" t="s">
        <v>257</v>
      </c>
      <c r="V19" s="19" t="s">
        <v>258</v>
      </c>
      <c r="W19" s="19" t="s">
        <v>159</v>
      </c>
      <c r="X19" s="19" t="s">
        <v>259</v>
      </c>
    </row>
    <row r="20" customFormat="false" ht="15" hidden="false" customHeight="true" outlineLevel="0" collapsed="false">
      <c r="A20" s="19" t="s">
        <v>260</v>
      </c>
      <c r="B20" s="19" t="s">
        <v>261</v>
      </c>
      <c r="C20" s="19" t="s">
        <v>262</v>
      </c>
      <c r="D20" s="19" t="s">
        <v>262</v>
      </c>
      <c r="E20" s="19" t="s">
        <v>157</v>
      </c>
      <c r="F20" s="20" t="s">
        <v>263</v>
      </c>
      <c r="G20" s="21" t="n">
        <v>33000</v>
      </c>
      <c r="H20" s="21"/>
      <c r="I20" s="22" t="n">
        <f aca="false">IF(H20="",G20,MIN(G20,H20))</f>
        <v>33000</v>
      </c>
      <c r="J20" s="23" t="n">
        <v>1</v>
      </c>
      <c r="K20" s="23" t="n">
        <v>0.1</v>
      </c>
      <c r="L20" s="23" t="n">
        <v>100</v>
      </c>
      <c r="M20" s="23" t="n">
        <v>15</v>
      </c>
      <c r="N20" s="23"/>
      <c r="O20" s="23"/>
      <c r="P20" s="23"/>
      <c r="Q20" s="24"/>
      <c r="R20" s="25" t="n">
        <v>0</v>
      </c>
      <c r="S20" s="19" t="n">
        <f aca="false">COUNTIFS(Flows!$B$2:$B$1500,$B20,Flows!$C$2:$C$1500,"Input")</f>
        <v>4</v>
      </c>
      <c r="T20" s="19" t="n">
        <f aca="false">COUNTIFS(Flows!$B$2:$B$1500,$B20,Flows!$C$2:$C$1500,"Output")</f>
        <v>1</v>
      </c>
      <c r="U20" s="19" t="s">
        <v>264</v>
      </c>
      <c r="V20" s="19" t="s">
        <v>61</v>
      </c>
      <c r="W20" s="19" t="s">
        <v>172</v>
      </c>
      <c r="X20" s="19"/>
    </row>
    <row r="21" customFormat="false" ht="15" hidden="false" customHeight="true" outlineLevel="0" collapsed="false">
      <c r="A21" s="19" t="s">
        <v>265</v>
      </c>
      <c r="B21" s="19" t="s">
        <v>266</v>
      </c>
      <c r="C21" s="19" t="s">
        <v>267</v>
      </c>
      <c r="D21" s="19" t="s">
        <v>267</v>
      </c>
      <c r="E21" s="19" t="s">
        <v>157</v>
      </c>
      <c r="F21" s="20" t="s">
        <v>268</v>
      </c>
      <c r="G21" s="21" t="n">
        <v>48000</v>
      </c>
      <c r="H21" s="21"/>
      <c r="I21" s="22" t="n">
        <f aca="false">IF(H21="",G21,MIN(G21,H21))</f>
        <v>48000</v>
      </c>
      <c r="J21" s="23" t="n">
        <v>1</v>
      </c>
      <c r="K21" s="23" t="n">
        <v>0.2</v>
      </c>
      <c r="L21" s="23" t="n">
        <v>150</v>
      </c>
      <c r="M21" s="23" t="n">
        <v>12</v>
      </c>
      <c r="N21" s="23"/>
      <c r="O21" s="23"/>
      <c r="P21" s="23"/>
      <c r="Q21" s="24"/>
      <c r="R21" s="25" t="n">
        <v>0</v>
      </c>
      <c r="S21" s="19" t="n">
        <f aca="false">COUNTIFS(Flows!$B$2:$B$1500,$B21,Flows!$C$2:$C$1500,"Input")</f>
        <v>3</v>
      </c>
      <c r="T21" s="19" t="n">
        <f aca="false">COUNTIFS(Flows!$B$2:$B$1500,$B21,Flows!$C$2:$C$1500,"Output")</f>
        <v>1</v>
      </c>
      <c r="U21" s="19" t="s">
        <v>269</v>
      </c>
      <c r="V21" s="19" t="s">
        <v>61</v>
      </c>
      <c r="W21" s="19" t="s">
        <v>159</v>
      </c>
      <c r="X21" s="19" t="s">
        <v>270</v>
      </c>
    </row>
    <row r="22" customFormat="false" ht="15" hidden="false" customHeight="true" outlineLevel="0" collapsed="false">
      <c r="A22" s="19" t="s">
        <v>271</v>
      </c>
      <c r="B22" s="19" t="s">
        <v>272</v>
      </c>
      <c r="C22" s="19" t="s">
        <v>61</v>
      </c>
      <c r="D22" s="19" t="s">
        <v>61</v>
      </c>
      <c r="E22" s="19" t="s">
        <v>157</v>
      </c>
      <c r="F22" s="20" t="s">
        <v>273</v>
      </c>
      <c r="G22" s="21" t="n">
        <v>600</v>
      </c>
      <c r="H22" s="21" t="n">
        <v>150</v>
      </c>
      <c r="I22" s="22" t="n">
        <f aca="false">IF(H22="",G22,MIN(G22,H22))</f>
        <v>150</v>
      </c>
      <c r="J22" s="23" t="n">
        <v>1</v>
      </c>
      <c r="K22" s="23" t="n">
        <v>0.2</v>
      </c>
      <c r="L22" s="23" t="n">
        <v>10</v>
      </c>
      <c r="M22" s="23" t="n">
        <v>10</v>
      </c>
      <c r="N22" s="23"/>
      <c r="O22" s="23"/>
      <c r="P22" s="23"/>
      <c r="Q22" s="24"/>
      <c r="R22" s="25" t="n">
        <v>0</v>
      </c>
      <c r="S22" s="19" t="n">
        <f aca="false">COUNTIFS(Flows!$B$2:$B$1500,$B22,Flows!$C$2:$C$1500,"Input")</f>
        <v>3</v>
      </c>
      <c r="T22" s="19" t="n">
        <f aca="false">COUNTIFS(Flows!$B$2:$B$1500,$B22,Flows!$C$2:$C$1500,"Output")</f>
        <v>2</v>
      </c>
      <c r="U22" s="19" t="s">
        <v>71</v>
      </c>
      <c r="V22" s="19" t="s">
        <v>274</v>
      </c>
      <c r="W22" s="19" t="s">
        <v>159</v>
      </c>
      <c r="X22" s="19" t="s">
        <v>275</v>
      </c>
    </row>
    <row r="23" customFormat="false" ht="15" hidden="false" customHeight="true" outlineLevel="0" collapsed="false">
      <c r="A23" s="19" t="s">
        <v>276</v>
      </c>
      <c r="B23" s="19" t="s">
        <v>277</v>
      </c>
      <c r="C23" s="19" t="s">
        <v>278</v>
      </c>
      <c r="D23" s="19" t="s">
        <v>278</v>
      </c>
      <c r="E23" s="19" t="s">
        <v>157</v>
      </c>
      <c r="F23" s="20" t="s">
        <v>279</v>
      </c>
      <c r="G23" s="21" t="n">
        <v>350</v>
      </c>
      <c r="H23" s="21"/>
      <c r="I23" s="22" t="n">
        <f aca="false">IF(H23="",G23,MIN(G23,H23))</f>
        <v>350</v>
      </c>
      <c r="J23" s="23" t="n">
        <v>0.5</v>
      </c>
      <c r="K23" s="23" t="n">
        <v>0.25</v>
      </c>
      <c r="L23" s="23" t="n">
        <v>2</v>
      </c>
      <c r="M23" s="23" t="n">
        <v>10</v>
      </c>
      <c r="N23" s="23"/>
      <c r="O23" s="23"/>
      <c r="P23" s="23"/>
      <c r="Q23" s="24"/>
      <c r="R23" s="25" t="n">
        <v>0</v>
      </c>
      <c r="S23" s="19" t="n">
        <f aca="false">COUNTIFS(Flows!$B$2:$B$1500,$B23,Flows!$C$2:$C$1500,"Input")</f>
        <v>2</v>
      </c>
      <c r="T23" s="19" t="n">
        <f aca="false">COUNTIFS(Flows!$B$2:$B$1500,$B23,Flows!$C$2:$C$1500,"Output")</f>
        <v>1</v>
      </c>
      <c r="U23" s="19" t="s">
        <v>280</v>
      </c>
      <c r="V23" s="19" t="s">
        <v>51</v>
      </c>
      <c r="W23" s="19" t="s">
        <v>159</v>
      </c>
      <c r="X23" s="19"/>
    </row>
    <row r="24" customFormat="false" ht="15" hidden="false" customHeight="true" outlineLevel="0" collapsed="false">
      <c r="A24" s="19" t="s">
        <v>281</v>
      </c>
      <c r="B24" s="19" t="s">
        <v>282</v>
      </c>
      <c r="C24" s="19" t="s">
        <v>278</v>
      </c>
      <c r="D24" s="19" t="s">
        <v>278</v>
      </c>
      <c r="E24" s="19" t="s">
        <v>157</v>
      </c>
      <c r="F24" s="20" t="s">
        <v>283</v>
      </c>
      <c r="G24" s="21" t="n">
        <v>150</v>
      </c>
      <c r="H24" s="21"/>
      <c r="I24" s="22" t="n">
        <f aca="false">IF(H24="",G24,MIN(G24,H24))</f>
        <v>150</v>
      </c>
      <c r="J24" s="23" t="n">
        <v>0.25</v>
      </c>
      <c r="K24" s="23" t="n">
        <v>0.1</v>
      </c>
      <c r="L24" s="23" t="n">
        <v>2</v>
      </c>
      <c r="M24" s="23" t="n">
        <v>5</v>
      </c>
      <c r="N24" s="23"/>
      <c r="O24" s="23"/>
      <c r="P24" s="23"/>
      <c r="Q24" s="24"/>
      <c r="R24" s="25" t="n">
        <v>0</v>
      </c>
      <c r="S24" s="19" t="n">
        <f aca="false">COUNTIFS(Flows!$B$2:$B$1500,$B24,Flows!$C$2:$C$1500,"Input")</f>
        <v>3</v>
      </c>
      <c r="T24" s="19" t="n">
        <f aca="false">COUNTIFS(Flows!$B$2:$B$1500,$B24,Flows!$C$2:$C$1500,"Output")</f>
        <v>1</v>
      </c>
      <c r="U24" s="19" t="s">
        <v>49</v>
      </c>
      <c r="V24" s="19" t="s">
        <v>51</v>
      </c>
      <c r="W24" s="19" t="s">
        <v>172</v>
      </c>
      <c r="X24" s="19"/>
    </row>
    <row r="25" customFormat="false" ht="15" hidden="false" customHeight="true" outlineLevel="0" collapsed="false">
      <c r="A25" s="19" t="s">
        <v>284</v>
      </c>
      <c r="B25" s="19" t="s">
        <v>285</v>
      </c>
      <c r="C25" s="19" t="s">
        <v>286</v>
      </c>
      <c r="D25" s="19" t="s">
        <v>286</v>
      </c>
      <c r="E25" s="19" t="s">
        <v>157</v>
      </c>
      <c r="F25" s="20" t="s">
        <v>287</v>
      </c>
      <c r="G25" s="21" t="n">
        <v>1200</v>
      </c>
      <c r="H25" s="21" t="n">
        <v>500</v>
      </c>
      <c r="I25" s="22" t="n">
        <f aca="false">IF(H25="",G25,MIN(G25,H25))</f>
        <v>500</v>
      </c>
      <c r="J25" s="23" t="n">
        <v>12</v>
      </c>
      <c r="K25" s="23" t="n">
        <v>0.25</v>
      </c>
      <c r="L25" s="23" t="n">
        <v>20</v>
      </c>
      <c r="M25" s="23" t="n">
        <v>20</v>
      </c>
      <c r="N25" s="23"/>
      <c r="O25" s="23"/>
      <c r="P25" s="23" t="n">
        <v>1000</v>
      </c>
      <c r="Q25" s="24" t="n">
        <v>0.8</v>
      </c>
      <c r="R25" s="25" t="n">
        <v>0</v>
      </c>
      <c r="S25" s="19" t="n">
        <f aca="false">COUNTIFS(Flows!$B$2:$B$1500,$B25,Flows!$C$2:$C$1500,"Input")</f>
        <v>3</v>
      </c>
      <c r="T25" s="19" t="n">
        <f aca="false">COUNTIFS(Flows!$B$2:$B$1500,$B25,Flows!$C$2:$C$1500,"Output")</f>
        <v>2</v>
      </c>
      <c r="U25" s="19" t="s">
        <v>288</v>
      </c>
      <c r="V25" s="19" t="s">
        <v>49</v>
      </c>
      <c r="W25" s="19" t="s">
        <v>159</v>
      </c>
      <c r="X25" s="19" t="s">
        <v>289</v>
      </c>
    </row>
    <row r="26" customFormat="false" ht="15" hidden="false" customHeight="true" outlineLevel="0" collapsed="false">
      <c r="A26" s="19" t="s">
        <v>290</v>
      </c>
      <c r="B26" s="19" t="s">
        <v>291</v>
      </c>
      <c r="C26" s="19" t="s">
        <v>292</v>
      </c>
      <c r="D26" s="19" t="s">
        <v>292</v>
      </c>
      <c r="E26" s="19" t="s">
        <v>157</v>
      </c>
      <c r="F26" s="20" t="s">
        <v>293</v>
      </c>
      <c r="G26" s="21" t="n">
        <v>4500</v>
      </c>
      <c r="H26" s="21" t="n">
        <v>1500</v>
      </c>
      <c r="I26" s="22" t="n">
        <f aca="false">IF(H26="",G26,MIN(G26,H26))</f>
        <v>1500</v>
      </c>
      <c r="J26" s="23" t="n">
        <v>16</v>
      </c>
      <c r="K26" s="23" t="n">
        <v>0.1</v>
      </c>
      <c r="L26" s="23" t="n">
        <v>40</v>
      </c>
      <c r="M26" s="23" t="n">
        <v>20</v>
      </c>
      <c r="N26" s="23"/>
      <c r="O26" s="23"/>
      <c r="P26" s="23"/>
      <c r="Q26" s="24"/>
      <c r="R26" s="25" t="n">
        <v>0</v>
      </c>
      <c r="S26" s="19" t="n">
        <f aca="false">COUNTIFS(Flows!$B$2:$B$1500,$B26,Flows!$C$2:$C$1500,"Input")</f>
        <v>3</v>
      </c>
      <c r="T26" s="19" t="n">
        <f aca="false">COUNTIFS(Flows!$B$2:$B$1500,$B26,Flows!$C$2:$C$1500,"Output")</f>
        <v>1</v>
      </c>
      <c r="U26" s="19" t="s">
        <v>49</v>
      </c>
      <c r="V26" s="19" t="s">
        <v>49</v>
      </c>
      <c r="W26" s="19" t="s">
        <v>172</v>
      </c>
      <c r="X26" s="19" t="s">
        <v>294</v>
      </c>
    </row>
    <row r="27" customFormat="false" ht="15" hidden="false" customHeight="true" outlineLevel="0" collapsed="false">
      <c r="A27" s="19" t="s">
        <v>295</v>
      </c>
      <c r="B27" s="19" t="s">
        <v>296</v>
      </c>
      <c r="C27" s="19" t="s">
        <v>297</v>
      </c>
      <c r="D27" s="19" t="s">
        <v>297</v>
      </c>
      <c r="E27" s="19" t="s">
        <v>157</v>
      </c>
      <c r="F27" s="20" t="s">
        <v>298</v>
      </c>
      <c r="G27" s="21" t="n">
        <v>300</v>
      </c>
      <c r="H27" s="21"/>
      <c r="I27" s="22" t="n">
        <f aca="false">IF(H27="",G27,MIN(G27,H27))</f>
        <v>300</v>
      </c>
      <c r="J27" s="23" t="n">
        <v>1</v>
      </c>
      <c r="K27" s="23" t="n">
        <v>0.1</v>
      </c>
      <c r="L27" s="23" t="n">
        <v>2</v>
      </c>
      <c r="M27" s="23" t="n">
        <v>5</v>
      </c>
      <c r="N27" s="23"/>
      <c r="O27" s="23"/>
      <c r="P27" s="23"/>
      <c r="Q27" s="24"/>
      <c r="R27" s="25" t="n">
        <v>0</v>
      </c>
      <c r="S27" s="19" t="n">
        <f aca="false">COUNTIFS(Flows!$B$2:$B$1500,$B27,Flows!$C$2:$C$1500,"Input")</f>
        <v>3</v>
      </c>
      <c r="T27" s="19" t="n">
        <f aca="false">COUNTIFS(Flows!$B$2:$B$1500,$B27,Flows!$C$2:$C$1500,"Output")</f>
        <v>2</v>
      </c>
      <c r="U27" s="19" t="s">
        <v>280</v>
      </c>
      <c r="V27" s="19" t="s">
        <v>51</v>
      </c>
      <c r="W27" s="19" t="s">
        <v>172</v>
      </c>
      <c r="X27" s="19" t="s">
        <v>299</v>
      </c>
    </row>
    <row r="28" customFormat="false" ht="15" hidden="false" customHeight="true" outlineLevel="0" collapsed="false">
      <c r="A28" s="19" t="s">
        <v>300</v>
      </c>
      <c r="B28" s="19" t="s">
        <v>301</v>
      </c>
      <c r="C28" s="19" t="s">
        <v>302</v>
      </c>
      <c r="D28" s="19" t="s">
        <v>302</v>
      </c>
      <c r="E28" s="19" t="s">
        <v>157</v>
      </c>
      <c r="F28" s="20" t="s">
        <v>303</v>
      </c>
      <c r="G28" s="21" t="n">
        <v>0</v>
      </c>
      <c r="H28" s="21"/>
      <c r="I28" s="22" t="n">
        <f aca="false">IF(H28="",G28,MIN(G28,H28))</f>
        <v>0</v>
      </c>
      <c r="J28" s="23" t="n">
        <v>0</v>
      </c>
      <c r="K28" s="23" t="n">
        <v>0</v>
      </c>
      <c r="L28" s="23" t="n">
        <v>0</v>
      </c>
      <c r="M28" s="23" t="n">
        <v>40</v>
      </c>
      <c r="N28" s="23"/>
      <c r="O28" s="23"/>
      <c r="P28" s="23"/>
      <c r="Q28" s="24"/>
      <c r="R28" s="25" t="n">
        <v>0</v>
      </c>
      <c r="S28" s="19" t="n">
        <f aca="false">COUNTIFS(Flows!$B$2:$B$1500,$B28,Flows!$C$2:$C$1500,"Input")</f>
        <v>2</v>
      </c>
      <c r="T28" s="19" t="n">
        <f aca="false">COUNTIFS(Flows!$B$2:$B$1500,$B28,Flows!$C$2:$C$1500,"Output")</f>
        <v>1</v>
      </c>
      <c r="U28" s="19" t="s">
        <v>71</v>
      </c>
      <c r="V28" s="19" t="s">
        <v>269</v>
      </c>
      <c r="W28" s="19" t="s">
        <v>159</v>
      </c>
      <c r="X28" s="19" t="s">
        <v>304</v>
      </c>
    </row>
    <row r="29" customFormat="false" ht="15" hidden="false" customHeight="true" outlineLevel="0" collapsed="false">
      <c r="A29" s="19" t="s">
        <v>305</v>
      </c>
      <c r="B29" s="19" t="s">
        <v>306</v>
      </c>
      <c r="C29" s="19" t="s">
        <v>307</v>
      </c>
      <c r="D29" s="19" t="s">
        <v>307</v>
      </c>
      <c r="E29" s="19" t="s">
        <v>157</v>
      </c>
      <c r="F29" s="20" t="s">
        <v>308</v>
      </c>
      <c r="G29" s="21" t="n">
        <v>0</v>
      </c>
      <c r="H29" s="21"/>
      <c r="I29" s="22" t="n">
        <f aca="false">IF(H29="",G29,MIN(G29,H29))</f>
        <v>0</v>
      </c>
      <c r="J29" s="23" t="n">
        <v>0</v>
      </c>
      <c r="K29" s="23" t="n">
        <v>0</v>
      </c>
      <c r="L29" s="23" t="n">
        <v>0</v>
      </c>
      <c r="M29" s="23" t="n">
        <v>1</v>
      </c>
      <c r="N29" s="23"/>
      <c r="O29" s="23"/>
      <c r="P29" s="23"/>
      <c r="Q29" s="24"/>
      <c r="R29" s="25" t="n">
        <v>0</v>
      </c>
      <c r="S29" s="19" t="n">
        <f aca="false">COUNTIFS(Flows!$B$2:$B$1500,$B29,Flows!$C$2:$C$1500,"Input")</f>
        <v>2</v>
      </c>
      <c r="T29" s="19" t="n">
        <f aca="false">COUNTIFS(Flows!$B$2:$B$1500,$B29,Flows!$C$2:$C$1500,"Output")</f>
        <v>2</v>
      </c>
      <c r="U29" s="19" t="s">
        <v>269</v>
      </c>
      <c r="V29" s="19" t="s">
        <v>52</v>
      </c>
      <c r="W29" s="19" t="s">
        <v>159</v>
      </c>
      <c r="X29" s="19"/>
    </row>
    <row r="30" customFormat="false" ht="15" hidden="false" customHeight="true" outlineLevel="0" collapsed="false">
      <c r="A30" s="19" t="s">
        <v>309</v>
      </c>
      <c r="B30" s="19" t="s">
        <v>310</v>
      </c>
      <c r="C30" s="19" t="s">
        <v>311</v>
      </c>
      <c r="D30" s="19" t="s">
        <v>311</v>
      </c>
      <c r="E30" s="19" t="s">
        <v>157</v>
      </c>
      <c r="F30" s="20" t="s">
        <v>312</v>
      </c>
      <c r="G30" s="21" t="n">
        <v>2500</v>
      </c>
      <c r="H30" s="21"/>
      <c r="I30" s="22" t="n">
        <f aca="false">IF(H30="",G30,MIN(G30,H30))</f>
        <v>2500</v>
      </c>
      <c r="J30" s="23" t="n">
        <v>4</v>
      </c>
      <c r="K30" s="23" t="n">
        <v>0</v>
      </c>
      <c r="L30" s="23" t="n">
        <v>0</v>
      </c>
      <c r="M30" s="23" t="n">
        <v>50</v>
      </c>
      <c r="N30" s="23"/>
      <c r="O30" s="23"/>
      <c r="P30" s="23"/>
      <c r="Q30" s="24"/>
      <c r="R30" s="25" t="n">
        <v>0</v>
      </c>
      <c r="S30" s="19" t="n">
        <f aca="false">COUNTIFS(Flows!$B$2:$B$1500,$B30,Flows!$C$2:$C$1500,"Input")</f>
        <v>1</v>
      </c>
      <c r="T30" s="19" t="n">
        <f aca="false">COUNTIFS(Flows!$B$2:$B$1500,$B30,Flows!$C$2:$C$1500,"Output")</f>
        <v>4</v>
      </c>
      <c r="U30" s="19" t="s">
        <v>269</v>
      </c>
      <c r="V30" s="19" t="s">
        <v>313</v>
      </c>
      <c r="W30" s="19" t="s">
        <v>159</v>
      </c>
      <c r="X30" s="19" t="s">
        <v>314</v>
      </c>
    </row>
    <row r="31" customFormat="false" ht="15" hidden="false" customHeight="true" outlineLevel="0" collapsed="false">
      <c r="A31" s="19" t="s">
        <v>315</v>
      </c>
      <c r="B31" s="19" t="s">
        <v>316</v>
      </c>
      <c r="C31" s="19" t="s">
        <v>307</v>
      </c>
      <c r="D31" s="19" t="s">
        <v>307</v>
      </c>
      <c r="E31" s="19" t="s">
        <v>317</v>
      </c>
      <c r="F31" s="20" t="s">
        <v>318</v>
      </c>
      <c r="G31" s="21" t="n">
        <v>0</v>
      </c>
      <c r="H31" s="21"/>
      <c r="I31" s="22" t="n">
        <f aca="false">IF(H31="",G31,MIN(G31,H31))</f>
        <v>0</v>
      </c>
      <c r="J31" s="23" t="n">
        <v>0</v>
      </c>
      <c r="K31" s="23" t="n">
        <v>0</v>
      </c>
      <c r="L31" s="23" t="n">
        <v>0</v>
      </c>
      <c r="M31" s="23" t="n">
        <v>1</v>
      </c>
      <c r="N31" s="23"/>
      <c r="O31" s="23"/>
      <c r="P31" s="23"/>
      <c r="Q31" s="24"/>
      <c r="R31" s="25" t="n">
        <v>0</v>
      </c>
      <c r="S31" s="19" t="n">
        <f aca="false">COUNTIFS(Flows!$B$2:$B$1500,$B31,Flows!$C$2:$C$1500,"Input")</f>
        <v>2</v>
      </c>
      <c r="T31" s="19" t="n">
        <f aca="false">COUNTIFS(Flows!$B$2:$B$1500,$B31,Flows!$C$2:$C$1500,"Output")</f>
        <v>2</v>
      </c>
      <c r="U31" s="19" t="s">
        <v>319</v>
      </c>
      <c r="V31" s="19" t="s">
        <v>319</v>
      </c>
      <c r="W31" s="19" t="s">
        <v>172</v>
      </c>
      <c r="X31" s="19"/>
    </row>
    <row r="32" customFormat="false" ht="15" hidden="false" customHeight="true" outlineLevel="0" collapsed="false">
      <c r="A32" s="19" t="s">
        <v>320</v>
      </c>
      <c r="B32" s="19" t="s">
        <v>321</v>
      </c>
      <c r="C32" s="19" t="s">
        <v>322</v>
      </c>
      <c r="D32" s="19" t="s">
        <v>323</v>
      </c>
      <c r="E32" s="19" t="s">
        <v>157</v>
      </c>
      <c r="F32" s="20" t="s">
        <v>324</v>
      </c>
      <c r="G32" s="21" t="n">
        <v>0</v>
      </c>
      <c r="H32" s="21"/>
      <c r="I32" s="22" t="n">
        <f aca="false">IF(H32="",G32,MIN(G32,H32))</f>
        <v>0</v>
      </c>
      <c r="J32" s="23" t="n">
        <v>0</v>
      </c>
      <c r="K32" s="23" t="n">
        <v>0.5</v>
      </c>
      <c r="L32" s="23" t="n">
        <v>0</v>
      </c>
      <c r="M32" s="23" t="n">
        <v>1</v>
      </c>
      <c r="N32" s="23"/>
      <c r="O32" s="23"/>
      <c r="P32" s="23"/>
      <c r="Q32" s="24"/>
      <c r="R32" s="25" t="n">
        <v>0</v>
      </c>
      <c r="S32" s="19" t="n">
        <f aca="false">COUNTIFS(Flows!$B$2:$B$1500,$B32,Flows!$C$2:$C$1500,"Input")</f>
        <v>2</v>
      </c>
      <c r="T32" s="19" t="n">
        <f aca="false">COUNTIFS(Flows!$B$2:$B$1500,$B32,Flows!$C$2:$C$1500,"Output")</f>
        <v>2</v>
      </c>
      <c r="U32" s="19" t="s">
        <v>61</v>
      </c>
      <c r="V32" s="19" t="s">
        <v>325</v>
      </c>
      <c r="W32" s="19" t="s">
        <v>172</v>
      </c>
      <c r="X32" s="19"/>
    </row>
    <row r="33" customFormat="false" ht="15" hidden="false" customHeight="true" outlineLevel="0" collapsed="false">
      <c r="A33" s="19" t="s">
        <v>326</v>
      </c>
      <c r="B33" s="19" t="s">
        <v>327</v>
      </c>
      <c r="C33" s="19" t="s">
        <v>286</v>
      </c>
      <c r="D33" s="19" t="s">
        <v>286</v>
      </c>
      <c r="E33" s="19" t="s">
        <v>157</v>
      </c>
      <c r="F33" s="20" t="s">
        <v>328</v>
      </c>
      <c r="G33" s="21" t="n">
        <v>150</v>
      </c>
      <c r="H33" s="21"/>
      <c r="I33" s="22" t="n">
        <f aca="false">IF(H33="",G33,MIN(G33,H33))</f>
        <v>150</v>
      </c>
      <c r="J33" s="23" t="n">
        <v>1</v>
      </c>
      <c r="K33" s="23" t="n">
        <v>0.05</v>
      </c>
      <c r="L33" s="23" t="n">
        <v>16</v>
      </c>
      <c r="M33" s="23" t="n">
        <v>10</v>
      </c>
      <c r="N33" s="23"/>
      <c r="O33" s="23"/>
      <c r="P33" s="23"/>
      <c r="Q33" s="24"/>
      <c r="R33" s="25" t="n">
        <v>0</v>
      </c>
      <c r="S33" s="19" t="n">
        <f aca="false">COUNTIFS(Flows!$B$2:$B$1500,$B33,Flows!$C$2:$C$1500,"Input")</f>
        <v>1</v>
      </c>
      <c r="T33" s="19" t="n">
        <f aca="false">COUNTIFS(Flows!$B$2:$B$1500,$B33,Flows!$C$2:$C$1500,"Output")</f>
        <v>1</v>
      </c>
      <c r="U33" s="19" t="s">
        <v>319</v>
      </c>
      <c r="V33" s="19" t="s">
        <v>329</v>
      </c>
      <c r="W33" s="19" t="s">
        <v>159</v>
      </c>
      <c r="X33" s="19" t="s">
        <v>330</v>
      </c>
    </row>
    <row r="34" customFormat="false" ht="15" hidden="false" customHeight="true" outlineLevel="0" collapsed="false">
      <c r="A34" s="19" t="s">
        <v>331</v>
      </c>
      <c r="B34" s="19" t="s">
        <v>332</v>
      </c>
      <c r="C34" s="19" t="s">
        <v>333</v>
      </c>
      <c r="D34" s="19" t="s">
        <v>333</v>
      </c>
      <c r="E34" s="19" t="s">
        <v>157</v>
      </c>
      <c r="F34" s="20" t="s">
        <v>334</v>
      </c>
      <c r="G34" s="21" t="n">
        <v>8000</v>
      </c>
      <c r="H34" s="21" t="n">
        <v>2500</v>
      </c>
      <c r="I34" s="22" t="n">
        <f aca="false">IF(H34="",G34,MIN(G34,H34))</f>
        <v>2500</v>
      </c>
      <c r="J34" s="23" t="n">
        <v>120</v>
      </c>
      <c r="K34" s="23" t="n">
        <v>3</v>
      </c>
      <c r="L34" s="23" t="n">
        <v>10890</v>
      </c>
      <c r="M34" s="23" t="n">
        <v>40</v>
      </c>
      <c r="N34" s="23"/>
      <c r="O34" s="23"/>
      <c r="P34" s="23"/>
      <c r="Q34" s="24"/>
      <c r="R34" s="25" t="n">
        <v>0</v>
      </c>
      <c r="S34" s="19" t="n">
        <f aca="false">COUNTIFS(Flows!$B$2:$B$1500,$B34,Flows!$C$2:$C$1500,"Input")</f>
        <v>5</v>
      </c>
      <c r="T34" s="19" t="n">
        <f aca="false">COUNTIFS(Flows!$B$2:$B$1500,$B34,Flows!$C$2:$C$1500,"Output")</f>
        <v>4</v>
      </c>
      <c r="U34" s="19" t="s">
        <v>335</v>
      </c>
      <c r="V34" s="19" t="s">
        <v>336</v>
      </c>
      <c r="W34" s="19" t="s">
        <v>172</v>
      </c>
      <c r="X34" s="19" t="s">
        <v>337</v>
      </c>
    </row>
    <row r="35" customFormat="false" ht="15" hidden="false" customHeight="true" outlineLevel="0" collapsed="false">
      <c r="A35" s="19" t="s">
        <v>338</v>
      </c>
      <c r="B35" s="19" t="s">
        <v>339</v>
      </c>
      <c r="C35" s="19" t="s">
        <v>57</v>
      </c>
      <c r="D35" s="19" t="s">
        <v>57</v>
      </c>
      <c r="E35" s="19" t="s">
        <v>157</v>
      </c>
      <c r="F35" s="20" t="s">
        <v>340</v>
      </c>
      <c r="G35" s="21" t="n">
        <v>1500</v>
      </c>
      <c r="H35" s="21" t="n">
        <v>500</v>
      </c>
      <c r="I35" s="22" t="n">
        <f aca="false">IF(H35="",G35,MIN(G35,H35))</f>
        <v>500</v>
      </c>
      <c r="J35" s="23" t="n">
        <v>30</v>
      </c>
      <c r="K35" s="23" t="n">
        <v>0.5</v>
      </c>
      <c r="L35" s="23" t="n">
        <v>30</v>
      </c>
      <c r="M35" s="23" t="n">
        <v>20</v>
      </c>
      <c r="N35" s="23"/>
      <c r="O35" s="23"/>
      <c r="P35" s="23"/>
      <c r="Q35" s="24"/>
      <c r="R35" s="25" t="n">
        <v>1</v>
      </c>
      <c r="S35" s="19" t="n">
        <f aca="false">COUNTIFS(Flows!$B$2:$B$1500,$B35,Flows!$C$2:$C$1500,"Input")</f>
        <v>3</v>
      </c>
      <c r="T35" s="19" t="n">
        <f aca="false">COUNTIFS(Flows!$B$2:$B$1500,$B35,Flows!$C$2:$C$1500,"Output")</f>
        <v>2</v>
      </c>
      <c r="U35" s="19" t="s">
        <v>341</v>
      </c>
      <c r="V35" s="19" t="s">
        <v>57</v>
      </c>
      <c r="W35" s="19" t="s">
        <v>159</v>
      </c>
      <c r="X35" s="19" t="s">
        <v>342</v>
      </c>
    </row>
    <row r="36" customFormat="false" ht="15" hidden="false" customHeight="true" outlineLevel="0" collapsed="false">
      <c r="A36" s="19" t="s">
        <v>343</v>
      </c>
      <c r="B36" s="19" t="s">
        <v>344</v>
      </c>
      <c r="C36" s="19" t="s">
        <v>345</v>
      </c>
      <c r="D36" s="19" t="s">
        <v>345</v>
      </c>
      <c r="E36" s="19" t="s">
        <v>157</v>
      </c>
      <c r="F36" s="20" t="s">
        <v>346</v>
      </c>
      <c r="G36" s="21" t="n">
        <v>100</v>
      </c>
      <c r="H36" s="21" t="n">
        <v>0</v>
      </c>
      <c r="I36" s="22" t="n">
        <f aca="false">IF(H36="",G36,MIN(G36,H36))</f>
        <v>0</v>
      </c>
      <c r="J36" s="23" t="n">
        <v>4</v>
      </c>
      <c r="K36" s="23" t="n">
        <v>1</v>
      </c>
      <c r="L36" s="23" t="n">
        <v>50</v>
      </c>
      <c r="M36" s="23" t="n">
        <v>10</v>
      </c>
      <c r="N36" s="23"/>
      <c r="O36" s="23"/>
      <c r="P36" s="23"/>
      <c r="Q36" s="24"/>
      <c r="R36" s="25" t="n">
        <v>1</v>
      </c>
      <c r="S36" s="19" t="n">
        <f aca="false">COUNTIFS(Flows!$B$2:$B$1500,$B36,Flows!$C$2:$C$1500,"Input")</f>
        <v>5</v>
      </c>
      <c r="T36" s="19" t="n">
        <f aca="false">COUNTIFS(Flows!$B$2:$B$1500,$B36,Flows!$C$2:$C$1500,"Output")</f>
        <v>1</v>
      </c>
      <c r="U36" s="19" t="s">
        <v>347</v>
      </c>
      <c r="V36" s="19" t="s">
        <v>322</v>
      </c>
      <c r="W36" s="19" t="s">
        <v>159</v>
      </c>
      <c r="X36" s="19"/>
    </row>
    <row r="37" customFormat="false" ht="15" hidden="false" customHeight="true" outlineLevel="0" collapsed="false">
      <c r="A37" s="19" t="s">
        <v>348</v>
      </c>
      <c r="B37" s="19" t="s">
        <v>349</v>
      </c>
      <c r="C37" s="19" t="s">
        <v>350</v>
      </c>
      <c r="D37" s="19" t="s">
        <v>350</v>
      </c>
      <c r="E37" s="19" t="s">
        <v>157</v>
      </c>
      <c r="F37" s="20" t="s">
        <v>351</v>
      </c>
      <c r="G37" s="21" t="n">
        <v>250</v>
      </c>
      <c r="H37" s="21" t="n">
        <v>80</v>
      </c>
      <c r="I37" s="22" t="n">
        <f aca="false">IF(H37="",G37,MIN(G37,H37))</f>
        <v>80</v>
      </c>
      <c r="J37" s="23" t="n">
        <v>1</v>
      </c>
      <c r="K37" s="23" t="n">
        <v>0.5</v>
      </c>
      <c r="L37" s="23" t="n">
        <v>10</v>
      </c>
      <c r="M37" s="23" t="n">
        <v>8</v>
      </c>
      <c r="N37" s="23"/>
      <c r="O37" s="23"/>
      <c r="P37" s="23"/>
      <c r="Q37" s="24"/>
      <c r="R37" s="25" t="n">
        <v>0</v>
      </c>
      <c r="S37" s="19" t="n">
        <f aca="false">COUNTIFS(Flows!$B$2:$B$1500,$B37,Flows!$C$2:$C$1500,"Input")</f>
        <v>4</v>
      </c>
      <c r="T37" s="19" t="n">
        <f aca="false">COUNTIFS(Flows!$B$2:$B$1500,$B37,Flows!$C$2:$C$1500,"Output")</f>
        <v>1</v>
      </c>
      <c r="U37" s="19" t="s">
        <v>352</v>
      </c>
      <c r="V37" s="19" t="s">
        <v>322</v>
      </c>
      <c r="W37" s="19" t="s">
        <v>172</v>
      </c>
      <c r="X37" s="19"/>
    </row>
    <row r="38" customFormat="false" ht="15" hidden="false" customHeight="true" outlineLevel="0" collapsed="false">
      <c r="A38" s="19" t="s">
        <v>353</v>
      </c>
      <c r="B38" s="19" t="s">
        <v>354</v>
      </c>
      <c r="C38" s="19" t="s">
        <v>355</v>
      </c>
      <c r="D38" s="19" t="s">
        <v>356</v>
      </c>
      <c r="E38" s="19" t="s">
        <v>157</v>
      </c>
      <c r="F38" s="20" t="s">
        <v>357</v>
      </c>
      <c r="G38" s="21" t="n">
        <v>1000</v>
      </c>
      <c r="H38" s="21" t="n">
        <v>300</v>
      </c>
      <c r="I38" s="22" t="n">
        <f aca="false">IF(H38="",G38,MIN(G38,H38))</f>
        <v>300</v>
      </c>
      <c r="J38" s="23" t="n">
        <v>4</v>
      </c>
      <c r="K38" s="23" t="n">
        <v>0.5</v>
      </c>
      <c r="L38" s="23" t="n">
        <v>10</v>
      </c>
      <c r="M38" s="23" t="n">
        <v>15</v>
      </c>
      <c r="N38" s="23"/>
      <c r="O38" s="23"/>
      <c r="P38" s="23"/>
      <c r="Q38" s="24"/>
      <c r="R38" s="25" t="n">
        <v>0</v>
      </c>
      <c r="S38" s="19" t="n">
        <f aca="false">COUNTIFS(Flows!$B$2:$B$1500,$B38,Flows!$C$2:$C$1500,"Input")</f>
        <v>4</v>
      </c>
      <c r="T38" s="19" t="n">
        <f aca="false">COUNTIFS(Flows!$B$2:$B$1500,$B38,Flows!$C$2:$C$1500,"Output")</f>
        <v>3</v>
      </c>
      <c r="U38" s="19" t="s">
        <v>341</v>
      </c>
      <c r="V38" s="19" t="s">
        <v>358</v>
      </c>
      <c r="W38" s="19" t="s">
        <v>159</v>
      </c>
      <c r="X38" s="19"/>
    </row>
    <row r="39" customFormat="false" ht="15" hidden="false" customHeight="true" outlineLevel="0" collapsed="false">
      <c r="A39" s="19" t="s">
        <v>359</v>
      </c>
      <c r="B39" s="19" t="s">
        <v>360</v>
      </c>
      <c r="C39" s="19" t="s">
        <v>57</v>
      </c>
      <c r="D39" s="19" t="s">
        <v>361</v>
      </c>
      <c r="E39" s="19" t="s">
        <v>157</v>
      </c>
      <c r="F39" s="20" t="s">
        <v>362</v>
      </c>
      <c r="G39" s="21" t="n">
        <v>1400</v>
      </c>
      <c r="H39" s="21"/>
      <c r="I39" s="22" t="n">
        <f aca="false">IF(H39="",G39,MIN(G39,H39))</f>
        <v>1400</v>
      </c>
      <c r="J39" s="23" t="n">
        <v>4</v>
      </c>
      <c r="K39" s="23" t="n">
        <v>0.5</v>
      </c>
      <c r="L39" s="23" t="n">
        <v>10</v>
      </c>
      <c r="M39" s="23" t="n">
        <v>15</v>
      </c>
      <c r="N39" s="23"/>
      <c r="O39" s="23"/>
      <c r="P39" s="23"/>
      <c r="Q39" s="24"/>
      <c r="R39" s="25" t="n">
        <v>0</v>
      </c>
      <c r="S39" s="19" t="n">
        <f aca="false">COUNTIFS(Flows!$B$2:$B$1500,$B39,Flows!$C$2:$C$1500,"Input")</f>
        <v>4</v>
      </c>
      <c r="T39" s="19" t="n">
        <f aca="false">COUNTIFS(Flows!$B$2:$B$1500,$B39,Flows!$C$2:$C$1500,"Output")</f>
        <v>2</v>
      </c>
      <c r="U39" s="19" t="s">
        <v>341</v>
      </c>
      <c r="V39" s="19" t="s">
        <v>57</v>
      </c>
      <c r="W39" s="19" t="s">
        <v>172</v>
      </c>
      <c r="X39" s="19"/>
    </row>
    <row r="40" customFormat="false" ht="15" hidden="false" customHeight="true" outlineLevel="0" collapsed="false">
      <c r="A40" s="19" t="s">
        <v>363</v>
      </c>
      <c r="B40" s="19" t="s">
        <v>364</v>
      </c>
      <c r="C40" s="19" t="s">
        <v>365</v>
      </c>
      <c r="D40" s="19" t="s">
        <v>365</v>
      </c>
      <c r="E40" s="19" t="s">
        <v>157</v>
      </c>
      <c r="F40" s="20" t="s">
        <v>366</v>
      </c>
      <c r="G40" s="21" t="n">
        <v>350</v>
      </c>
      <c r="H40" s="21" t="n">
        <v>100</v>
      </c>
      <c r="I40" s="22" t="n">
        <f aca="false">IF(H40="",G40,MIN(G40,H40))</f>
        <v>100</v>
      </c>
      <c r="J40" s="23" t="n">
        <v>0.25</v>
      </c>
      <c r="K40" s="23" t="n">
        <v>0.1</v>
      </c>
      <c r="L40" s="23" t="n">
        <v>4</v>
      </c>
      <c r="M40" s="23" t="n">
        <v>8</v>
      </c>
      <c r="N40" s="23"/>
      <c r="O40" s="23"/>
      <c r="P40" s="23"/>
      <c r="Q40" s="24"/>
      <c r="R40" s="25" t="n">
        <v>0</v>
      </c>
      <c r="S40" s="19" t="n">
        <f aca="false">COUNTIFS(Flows!$B$2:$B$1500,$B40,Flows!$C$2:$C$1500,"Input")</f>
        <v>2</v>
      </c>
      <c r="T40" s="19" t="n">
        <f aca="false">COUNTIFS(Flows!$B$2:$B$1500,$B40,Flows!$C$2:$C$1500,"Output")</f>
        <v>1</v>
      </c>
      <c r="U40" s="19" t="s">
        <v>165</v>
      </c>
      <c r="V40" s="19" t="s">
        <v>63</v>
      </c>
      <c r="W40" s="19" t="s">
        <v>159</v>
      </c>
      <c r="X40" s="19"/>
    </row>
    <row r="41" customFormat="false" ht="26.25" hidden="false" customHeight="true" outlineLevel="0" collapsed="false">
      <c r="A41" s="19" t="s">
        <v>367</v>
      </c>
      <c r="B41" s="19" t="s">
        <v>368</v>
      </c>
      <c r="C41" s="19" t="s">
        <v>369</v>
      </c>
      <c r="D41" s="19" t="s">
        <v>55</v>
      </c>
      <c r="E41" s="19" t="s">
        <v>157</v>
      </c>
      <c r="F41" s="20" t="s">
        <v>370</v>
      </c>
      <c r="G41" s="21" t="n">
        <v>60000</v>
      </c>
      <c r="H41" s="21" t="n">
        <v>30000</v>
      </c>
      <c r="I41" s="22" t="n">
        <f aca="false">IF(H41="",G41,MIN(G41,H41))</f>
        <v>30000</v>
      </c>
      <c r="J41" s="23" t="n">
        <v>800</v>
      </c>
      <c r="K41" s="23" t="n">
        <v>0.5</v>
      </c>
      <c r="L41" s="23" t="n">
        <v>450</v>
      </c>
      <c r="M41" s="23" t="n">
        <v>40</v>
      </c>
      <c r="N41" s="23" t="n">
        <v>400</v>
      </c>
      <c r="O41" s="23" t="n">
        <v>0.2</v>
      </c>
      <c r="P41" s="23"/>
      <c r="Q41" s="24"/>
      <c r="R41" s="25" t="n">
        <v>0</v>
      </c>
      <c r="S41" s="19" t="n">
        <f aca="false">COUNTIFS(Flows!$B$2:$B$1500,$B41,Flows!$C$2:$C$1500,"Input")</f>
        <v>4</v>
      </c>
      <c r="T41" s="19" t="n">
        <f aca="false">COUNTIFS(Flows!$B$2:$B$1500,$B41,Flows!$C$2:$C$1500,"Output")</f>
        <v>4</v>
      </c>
      <c r="U41" s="19" t="s">
        <v>371</v>
      </c>
      <c r="V41" s="19" t="s">
        <v>372</v>
      </c>
      <c r="W41" s="19" t="s">
        <v>172</v>
      </c>
      <c r="X41" s="19"/>
    </row>
    <row r="42" customFormat="false" ht="15" hidden="false" customHeight="true" outlineLevel="0" collapsed="false">
      <c r="A42" s="19" t="s">
        <v>373</v>
      </c>
      <c r="B42" s="19" t="s">
        <v>374</v>
      </c>
      <c r="C42" s="19" t="s">
        <v>375</v>
      </c>
      <c r="D42" s="19" t="s">
        <v>376</v>
      </c>
      <c r="E42" s="19" t="s">
        <v>317</v>
      </c>
      <c r="F42" s="20" t="s">
        <v>377</v>
      </c>
      <c r="G42" s="21" t="n">
        <v>450</v>
      </c>
      <c r="H42" s="21" t="n">
        <v>250</v>
      </c>
      <c r="I42" s="22" t="n">
        <f aca="false">IF(H42="",G42,MIN(G42,H42))</f>
        <v>250</v>
      </c>
      <c r="J42" s="23" t="n">
        <v>8</v>
      </c>
      <c r="K42" s="23" t="n">
        <v>0.5</v>
      </c>
      <c r="L42" s="23" t="n">
        <v>0</v>
      </c>
      <c r="M42" s="23" t="n">
        <v>10</v>
      </c>
      <c r="N42" s="23"/>
      <c r="O42" s="23"/>
      <c r="P42" s="23"/>
      <c r="Q42" s="24"/>
      <c r="R42" s="25" t="n">
        <v>0</v>
      </c>
      <c r="S42" s="19" t="n">
        <f aca="false">COUNTIFS(Flows!$B$2:$B$1500,$B42,Flows!$C$2:$C$1500,"Input")</f>
        <v>2</v>
      </c>
      <c r="T42" s="19" t="n">
        <f aca="false">COUNTIFS(Flows!$B$2:$B$1500,$B42,Flows!$C$2:$C$1500,"Output")</f>
        <v>2</v>
      </c>
      <c r="U42" s="19" t="s">
        <v>319</v>
      </c>
      <c r="V42" s="19" t="s">
        <v>319</v>
      </c>
      <c r="W42" s="19" t="s">
        <v>172</v>
      </c>
      <c r="X42" s="19" t="s">
        <v>378</v>
      </c>
    </row>
    <row r="43" customFormat="false" ht="15" hidden="false" customHeight="true" outlineLevel="0" collapsed="false">
      <c r="A43" s="19" t="s">
        <v>379</v>
      </c>
      <c r="B43" s="19" t="s">
        <v>380</v>
      </c>
      <c r="C43" s="19" t="s">
        <v>381</v>
      </c>
      <c r="D43" s="19" t="s">
        <v>381</v>
      </c>
      <c r="E43" s="19" t="s">
        <v>157</v>
      </c>
      <c r="F43" s="20" t="s">
        <v>382</v>
      </c>
      <c r="G43" s="21" t="n">
        <v>9000</v>
      </c>
      <c r="H43" s="21"/>
      <c r="I43" s="22" t="n">
        <f aca="false">IF(H43="",G43,MIN(G43,H43))</f>
        <v>9000</v>
      </c>
      <c r="J43" s="23" t="n">
        <v>2</v>
      </c>
      <c r="K43" s="23" t="n">
        <v>0.2</v>
      </c>
      <c r="L43" s="23" t="n">
        <v>40</v>
      </c>
      <c r="M43" s="23" t="n">
        <v>12</v>
      </c>
      <c r="N43" s="23"/>
      <c r="O43" s="23"/>
      <c r="P43" s="23"/>
      <c r="Q43" s="24"/>
      <c r="R43" s="25" t="n">
        <v>0</v>
      </c>
      <c r="S43" s="19" t="n">
        <f aca="false">COUNTIFS(Flows!$B$2:$B$1500,$B43,Flows!$C$2:$C$1500,"Input")</f>
        <v>3</v>
      </c>
      <c r="T43" s="19" t="n">
        <f aca="false">COUNTIFS(Flows!$B$2:$B$1500,$B43,Flows!$C$2:$C$1500,"Output")</f>
        <v>1</v>
      </c>
      <c r="U43" s="19" t="s">
        <v>371</v>
      </c>
      <c r="V43" s="19" t="s">
        <v>61</v>
      </c>
      <c r="W43" s="19" t="s">
        <v>172</v>
      </c>
      <c r="X43" s="19"/>
    </row>
    <row r="44" customFormat="false" ht="15" hidden="false" customHeight="true" outlineLevel="0" collapsed="false">
      <c r="A44" s="19" t="s">
        <v>383</v>
      </c>
      <c r="B44" s="19" t="s">
        <v>384</v>
      </c>
      <c r="C44" s="19" t="s">
        <v>385</v>
      </c>
      <c r="D44" s="19" t="s">
        <v>385</v>
      </c>
      <c r="E44" s="19" t="s">
        <v>317</v>
      </c>
      <c r="F44" s="20" t="s">
        <v>386</v>
      </c>
      <c r="G44" s="21" t="n">
        <v>15</v>
      </c>
      <c r="H44" s="21" t="n">
        <v>5</v>
      </c>
      <c r="I44" s="22" t="n">
        <f aca="false">IF(H44="",G44,MIN(G44,H44))</f>
        <v>5</v>
      </c>
      <c r="J44" s="23" t="n">
        <v>0.5</v>
      </c>
      <c r="K44" s="23" t="n">
        <v>0.1</v>
      </c>
      <c r="L44" s="23" t="n">
        <v>10</v>
      </c>
      <c r="M44" s="23" t="n">
        <v>2</v>
      </c>
      <c r="N44" s="23"/>
      <c r="O44" s="23"/>
      <c r="P44" s="23"/>
      <c r="Q44" s="24"/>
      <c r="R44" s="25" t="n">
        <v>0</v>
      </c>
      <c r="S44" s="19" t="n">
        <f aca="false">COUNTIFS(Flows!$B$2:$B$1500,$B44,Flows!$C$2:$C$1500,"Input")</f>
        <v>3</v>
      </c>
      <c r="T44" s="19" t="n">
        <f aca="false">COUNTIFS(Flows!$B$2:$B$1500,$B44,Flows!$C$2:$C$1500,"Output")</f>
        <v>3</v>
      </c>
      <c r="U44" s="19" t="s">
        <v>319</v>
      </c>
      <c r="V44" s="19" t="s">
        <v>319</v>
      </c>
      <c r="W44" s="19" t="s">
        <v>172</v>
      </c>
      <c r="X44" s="19"/>
    </row>
    <row r="45" customFormat="false" ht="15" hidden="false" customHeight="true" outlineLevel="0" collapsed="false">
      <c r="A45" s="19" t="s">
        <v>387</v>
      </c>
      <c r="B45" s="19" t="s">
        <v>388</v>
      </c>
      <c r="C45" s="19" t="s">
        <v>389</v>
      </c>
      <c r="D45" s="19" t="s">
        <v>389</v>
      </c>
      <c r="E45" s="19" t="s">
        <v>317</v>
      </c>
      <c r="F45" s="20" t="s">
        <v>390</v>
      </c>
      <c r="G45" s="21" t="n">
        <v>5</v>
      </c>
      <c r="H45" s="21" t="n">
        <v>3</v>
      </c>
      <c r="I45" s="22" t="n">
        <f aca="false">IF(H45="",G45,MIN(G45,H45))</f>
        <v>3</v>
      </c>
      <c r="J45" s="23" t="n">
        <v>0.25</v>
      </c>
      <c r="K45" s="23" t="n">
        <v>0.1</v>
      </c>
      <c r="L45" s="23" t="n">
        <v>10</v>
      </c>
      <c r="M45" s="23" t="n">
        <v>1</v>
      </c>
      <c r="N45" s="23"/>
      <c r="O45" s="23"/>
      <c r="P45" s="23"/>
      <c r="Q45" s="24"/>
      <c r="R45" s="25" t="n">
        <v>0</v>
      </c>
      <c r="S45" s="19" t="n">
        <f aca="false">COUNTIFS(Flows!$B$2:$B$1500,$B45,Flows!$C$2:$C$1500,"Input")</f>
        <v>3</v>
      </c>
      <c r="T45" s="19" t="n">
        <f aca="false">COUNTIFS(Flows!$B$2:$B$1500,$B45,Flows!$C$2:$C$1500,"Output")</f>
        <v>3</v>
      </c>
      <c r="U45" s="19" t="s">
        <v>319</v>
      </c>
      <c r="V45" s="19" t="s">
        <v>319</v>
      </c>
      <c r="W45" s="19" t="s">
        <v>172</v>
      </c>
      <c r="X45" s="19"/>
    </row>
    <row r="46" customFormat="false" ht="26.25" hidden="false" customHeight="true" outlineLevel="0" collapsed="false">
      <c r="A46" s="19" t="s">
        <v>391</v>
      </c>
      <c r="B46" s="19" t="s">
        <v>392</v>
      </c>
      <c r="C46" s="19" t="s">
        <v>385</v>
      </c>
      <c r="D46" s="19" t="s">
        <v>393</v>
      </c>
      <c r="E46" s="19" t="s">
        <v>157</v>
      </c>
      <c r="F46" s="20" t="s">
        <v>394</v>
      </c>
      <c r="G46" s="21" t="n">
        <v>20</v>
      </c>
      <c r="H46" s="21" t="n">
        <v>5</v>
      </c>
      <c r="I46" s="22" t="n">
        <f aca="false">IF(H46="",G46,MIN(G46,H46))</f>
        <v>5</v>
      </c>
      <c r="J46" s="23" t="n">
        <v>0.5</v>
      </c>
      <c r="K46" s="23" t="n">
        <v>0.05</v>
      </c>
      <c r="L46" s="23" t="n">
        <v>9</v>
      </c>
      <c r="M46" s="23" t="n">
        <v>20</v>
      </c>
      <c r="N46" s="23"/>
      <c r="O46" s="23"/>
      <c r="P46" s="23"/>
      <c r="Q46" s="24"/>
      <c r="R46" s="25" t="n">
        <v>0</v>
      </c>
      <c r="S46" s="19" t="n">
        <f aca="false">COUNTIFS(Flows!$B$2:$B$1500,$B46,Flows!$C$2:$C$1500,"Input")</f>
        <v>3</v>
      </c>
      <c r="T46" s="19" t="n">
        <f aca="false">COUNTIFS(Flows!$B$2:$B$1500,$B46,Flows!$C$2:$C$1500,"Output")</f>
        <v>3</v>
      </c>
      <c r="U46" s="19" t="s">
        <v>395</v>
      </c>
      <c r="V46" s="19" t="s">
        <v>396</v>
      </c>
      <c r="W46" s="19" t="s">
        <v>172</v>
      </c>
      <c r="X46" s="19"/>
    </row>
    <row r="47" customFormat="false" ht="15" hidden="false" customHeight="true" outlineLevel="0" collapsed="false">
      <c r="A47" s="19" t="s">
        <v>397</v>
      </c>
      <c r="B47" s="19" t="s">
        <v>398</v>
      </c>
      <c r="C47" s="19" t="s">
        <v>385</v>
      </c>
      <c r="D47" s="19" t="s">
        <v>385</v>
      </c>
      <c r="E47" s="19" t="s">
        <v>317</v>
      </c>
      <c r="F47" s="20" t="s">
        <v>399</v>
      </c>
      <c r="G47" s="21" t="n">
        <v>25</v>
      </c>
      <c r="H47" s="21" t="n">
        <v>10</v>
      </c>
      <c r="I47" s="22" t="n">
        <f aca="false">IF(H47="",G47,MIN(G47,H47))</f>
        <v>10</v>
      </c>
      <c r="J47" s="23" t="n">
        <v>1</v>
      </c>
      <c r="K47" s="23" t="n">
        <v>0.05</v>
      </c>
      <c r="L47" s="23" t="n">
        <v>36</v>
      </c>
      <c r="M47" s="23" t="n">
        <v>20</v>
      </c>
      <c r="N47" s="23"/>
      <c r="O47" s="23"/>
      <c r="P47" s="23"/>
      <c r="Q47" s="24"/>
      <c r="R47" s="25" t="n">
        <v>0</v>
      </c>
      <c r="S47" s="19" t="n">
        <f aca="false">COUNTIFS(Flows!$B$2:$B$1500,$B47,Flows!$C$2:$C$1500,"Input")</f>
        <v>3</v>
      </c>
      <c r="T47" s="19" t="n">
        <f aca="false">COUNTIFS(Flows!$B$2:$B$1500,$B47,Flows!$C$2:$C$1500,"Output")</f>
        <v>2</v>
      </c>
      <c r="U47" s="19" t="s">
        <v>319</v>
      </c>
      <c r="V47" s="19" t="s">
        <v>319</v>
      </c>
      <c r="W47" s="19" t="s">
        <v>172</v>
      </c>
      <c r="X47" s="19"/>
    </row>
    <row r="48" customFormat="false" ht="15" hidden="false" customHeight="true" outlineLevel="0" collapsed="false">
      <c r="A48" s="19" t="s">
        <v>400</v>
      </c>
      <c r="B48" s="19" t="s">
        <v>401</v>
      </c>
      <c r="C48" s="19" t="s">
        <v>402</v>
      </c>
      <c r="D48" s="19" t="s">
        <v>402</v>
      </c>
      <c r="E48" s="19" t="s">
        <v>157</v>
      </c>
      <c r="F48" s="20" t="s">
        <v>403</v>
      </c>
      <c r="G48" s="21" t="n">
        <v>60</v>
      </c>
      <c r="H48" s="21" t="n">
        <v>15</v>
      </c>
      <c r="I48" s="22" t="n">
        <f aca="false">IF(H48="",G48,MIN(G48,H48))</f>
        <v>15</v>
      </c>
      <c r="J48" s="23" t="n">
        <v>2</v>
      </c>
      <c r="K48" s="23" t="n">
        <v>0.05</v>
      </c>
      <c r="L48" s="23" t="n">
        <v>400</v>
      </c>
      <c r="M48" s="23" t="n">
        <v>80</v>
      </c>
      <c r="N48" s="23"/>
      <c r="O48" s="23"/>
      <c r="P48" s="23"/>
      <c r="Q48" s="24"/>
      <c r="R48" s="25" t="n">
        <v>0</v>
      </c>
      <c r="S48" s="19" t="n">
        <f aca="false">COUNTIFS(Flows!$B$2:$B$1500,$B48,Flows!$C$2:$C$1500,"Input")</f>
        <v>3</v>
      </c>
      <c r="T48" s="19" t="n">
        <f aca="false">COUNTIFS(Flows!$B$2:$B$1500,$B48,Flows!$C$2:$C$1500,"Output")</f>
        <v>3</v>
      </c>
      <c r="U48" s="19" t="s">
        <v>71</v>
      </c>
      <c r="V48" s="19" t="s">
        <v>404</v>
      </c>
      <c r="W48" s="19" t="s">
        <v>172</v>
      </c>
      <c r="X48" s="19"/>
    </row>
    <row r="49" customFormat="false" ht="15" hidden="false" customHeight="true" outlineLevel="0" collapsed="false">
      <c r="A49" s="19" t="s">
        <v>405</v>
      </c>
      <c r="B49" s="19" t="s">
        <v>406</v>
      </c>
      <c r="C49" s="19" t="s">
        <v>322</v>
      </c>
      <c r="D49" s="19" t="s">
        <v>407</v>
      </c>
      <c r="E49" s="19" t="s">
        <v>157</v>
      </c>
      <c r="F49" s="20" t="s">
        <v>408</v>
      </c>
      <c r="G49" s="21" t="n">
        <v>60</v>
      </c>
      <c r="H49" s="21" t="n">
        <v>20</v>
      </c>
      <c r="I49" s="22" t="n">
        <f aca="false">IF(H49="",G49,MIN(G49,H49))</f>
        <v>20</v>
      </c>
      <c r="J49" s="23" t="n">
        <v>1</v>
      </c>
      <c r="K49" s="23" t="n">
        <v>0.25</v>
      </c>
      <c r="L49" s="23" t="n">
        <v>6</v>
      </c>
      <c r="M49" s="23" t="n">
        <v>5</v>
      </c>
      <c r="N49" s="23"/>
      <c r="O49" s="23"/>
      <c r="P49" s="23"/>
      <c r="Q49" s="24"/>
      <c r="R49" s="25" t="n">
        <v>0</v>
      </c>
      <c r="S49" s="19" t="n">
        <f aca="false">COUNTIFS(Flows!$B$2:$B$1500,$B49,Flows!$C$2:$C$1500,"Input")</f>
        <v>4</v>
      </c>
      <c r="T49" s="19" t="n">
        <f aca="false">COUNTIFS(Flows!$B$2:$B$1500,$B49,Flows!$C$2:$C$1500,"Output")</f>
        <v>1</v>
      </c>
      <c r="U49" s="19" t="s">
        <v>409</v>
      </c>
      <c r="V49" s="19" t="s">
        <v>410</v>
      </c>
      <c r="W49" s="19" t="s">
        <v>172</v>
      </c>
      <c r="X49" s="19"/>
    </row>
    <row r="50" customFormat="false" ht="15" hidden="false" customHeight="true" outlineLevel="0" collapsed="false">
      <c r="A50" s="19" t="s">
        <v>411</v>
      </c>
      <c r="B50" s="19" t="s">
        <v>412</v>
      </c>
      <c r="C50" s="19" t="s">
        <v>413</v>
      </c>
      <c r="D50" s="19" t="s">
        <v>413</v>
      </c>
      <c r="E50" s="19" t="s">
        <v>157</v>
      </c>
      <c r="F50" s="20" t="s">
        <v>414</v>
      </c>
      <c r="G50" s="21" t="n">
        <v>4000</v>
      </c>
      <c r="H50" s="21" t="n">
        <v>1500</v>
      </c>
      <c r="I50" s="22" t="n">
        <f aca="false">IF(H50="",G50,MIN(G50,H50))</f>
        <v>1500</v>
      </c>
      <c r="J50" s="23" t="n">
        <v>60</v>
      </c>
      <c r="K50" s="23" t="n">
        <v>0.5</v>
      </c>
      <c r="L50" s="23" t="n">
        <v>120</v>
      </c>
      <c r="M50" s="23" t="n">
        <v>30</v>
      </c>
      <c r="N50" s="23"/>
      <c r="O50" s="23"/>
      <c r="P50" s="23"/>
      <c r="Q50" s="24"/>
      <c r="R50" s="25" t="n">
        <v>0</v>
      </c>
      <c r="S50" s="19" t="n">
        <f aca="false">COUNTIFS(Flows!$B$2:$B$1500,$B50,Flows!$C$2:$C$1500,"Input")</f>
        <v>2</v>
      </c>
      <c r="T50" s="19" t="n">
        <f aca="false">COUNTIFS(Flows!$B$2:$B$1500,$B50,Flows!$C$2:$C$1500,"Output")</f>
        <v>3</v>
      </c>
      <c r="U50" s="19" t="s">
        <v>415</v>
      </c>
      <c r="V50" s="19" t="s">
        <v>416</v>
      </c>
      <c r="W50" s="19" t="s">
        <v>172</v>
      </c>
      <c r="X50" s="19"/>
    </row>
    <row r="51" customFormat="false" ht="15" hidden="false" customHeight="true" outlineLevel="0" collapsed="false">
      <c r="A51" s="19" t="s">
        <v>417</v>
      </c>
      <c r="B51" s="19" t="s">
        <v>418</v>
      </c>
      <c r="C51" s="19" t="s">
        <v>236</v>
      </c>
      <c r="D51" s="19" t="s">
        <v>237</v>
      </c>
      <c r="E51" s="19" t="s">
        <v>157</v>
      </c>
      <c r="F51" s="20" t="s">
        <v>419</v>
      </c>
      <c r="G51" s="21" t="n">
        <v>30</v>
      </c>
      <c r="H51" s="21"/>
      <c r="I51" s="22" t="n">
        <f aca="false">IF(H51="",G51,MIN(G51,H51))</f>
        <v>30</v>
      </c>
      <c r="J51" s="23" t="n">
        <v>0.5</v>
      </c>
      <c r="K51" s="23" t="n">
        <v>0.2</v>
      </c>
      <c r="L51" s="23" t="n">
        <v>15</v>
      </c>
      <c r="M51" s="23" t="n">
        <v>8</v>
      </c>
      <c r="N51" s="23"/>
      <c r="O51" s="23"/>
      <c r="P51" s="23"/>
      <c r="Q51" s="24"/>
      <c r="R51" s="25" t="n">
        <v>0</v>
      </c>
      <c r="S51" s="19" t="n">
        <f aca="false">COUNTIFS(Flows!$B$2:$B$1500,$B51,Flows!$C$2:$C$1500,"Input")</f>
        <v>4</v>
      </c>
      <c r="T51" s="19" t="n">
        <f aca="false">COUNTIFS(Flows!$B$2:$B$1500,$B51,Flows!$C$2:$C$1500,"Output")</f>
        <v>3</v>
      </c>
      <c r="U51" s="19" t="s">
        <v>420</v>
      </c>
      <c r="V51" s="19" t="s">
        <v>421</v>
      </c>
      <c r="W51" s="19" t="s">
        <v>172</v>
      </c>
      <c r="X51" s="19" t="s">
        <v>422</v>
      </c>
    </row>
    <row r="52" customFormat="false" ht="15" hidden="false" customHeight="true" outlineLevel="0" collapsed="false">
      <c r="A52" s="19" t="s">
        <v>423</v>
      </c>
      <c r="B52" s="19" t="s">
        <v>424</v>
      </c>
      <c r="C52" s="19" t="s">
        <v>425</v>
      </c>
      <c r="D52" s="19" t="s">
        <v>426</v>
      </c>
      <c r="E52" s="19" t="s">
        <v>157</v>
      </c>
      <c r="F52" s="20" t="s">
        <v>427</v>
      </c>
      <c r="G52" s="21" t="n">
        <v>15</v>
      </c>
      <c r="H52" s="21"/>
      <c r="I52" s="22" t="n">
        <f aca="false">IF(H52="",G52,MIN(G52,H52))</f>
        <v>15</v>
      </c>
      <c r="J52" s="23" t="n">
        <v>1</v>
      </c>
      <c r="K52" s="23" t="n">
        <v>0.3</v>
      </c>
      <c r="L52" s="23" t="n">
        <v>25</v>
      </c>
      <c r="M52" s="23" t="n">
        <v>0.5</v>
      </c>
      <c r="N52" s="23"/>
      <c r="O52" s="23"/>
      <c r="P52" s="23"/>
      <c r="Q52" s="24"/>
      <c r="R52" s="25" t="n">
        <v>0</v>
      </c>
      <c r="S52" s="19" t="n">
        <f aca="false">COUNTIFS(Flows!$B$2:$B$1500,$B52,Flows!$C$2:$C$1500,"Input")</f>
        <v>6</v>
      </c>
      <c r="T52" s="19" t="n">
        <f aca="false">COUNTIFS(Flows!$B$2:$B$1500,$B52,Flows!$C$2:$C$1500,"Output")</f>
        <v>2</v>
      </c>
      <c r="U52" s="19" t="s">
        <v>428</v>
      </c>
      <c r="V52" s="19" t="s">
        <v>429</v>
      </c>
      <c r="W52" s="19" t="s">
        <v>172</v>
      </c>
      <c r="X52" s="19" t="s">
        <v>430</v>
      </c>
    </row>
    <row r="53" customFormat="false" ht="15" hidden="false" customHeight="true" outlineLevel="0" collapsed="false">
      <c r="A53" s="19" t="s">
        <v>431</v>
      </c>
      <c r="B53" s="19" t="s">
        <v>432</v>
      </c>
      <c r="C53" s="19" t="s">
        <v>433</v>
      </c>
      <c r="D53" s="19" t="s">
        <v>434</v>
      </c>
      <c r="E53" s="19" t="s">
        <v>157</v>
      </c>
      <c r="F53" s="20" t="s">
        <v>435</v>
      </c>
      <c r="G53" s="21" t="n">
        <v>0</v>
      </c>
      <c r="H53" s="21"/>
      <c r="I53" s="22" t="n">
        <f aca="false">IF(H53="",G53,MIN(G53,H53))</f>
        <v>0</v>
      </c>
      <c r="J53" s="23" t="n">
        <v>0</v>
      </c>
      <c r="K53" s="23" t="n">
        <v>0</v>
      </c>
      <c r="L53" s="23" t="n">
        <v>0</v>
      </c>
      <c r="M53" s="23" t="n">
        <v>1</v>
      </c>
      <c r="N53" s="23"/>
      <c r="O53" s="23"/>
      <c r="P53" s="23"/>
      <c r="Q53" s="24"/>
      <c r="R53" s="25" t="n">
        <v>0</v>
      </c>
      <c r="S53" s="19" t="n">
        <f aca="false">COUNTIFS(Flows!$B$2:$B$1500,$B53,Flows!$C$2:$C$1500,"Input")</f>
        <v>1</v>
      </c>
      <c r="T53" s="19" t="n">
        <f aca="false">COUNTIFS(Flows!$B$2:$B$1500,$B53,Flows!$C$2:$C$1500,"Output")</f>
        <v>1</v>
      </c>
      <c r="U53" s="19" t="s">
        <v>436</v>
      </c>
      <c r="V53" s="19" t="s">
        <v>437</v>
      </c>
      <c r="W53" s="19" t="s">
        <v>172</v>
      </c>
      <c r="X53" s="19"/>
    </row>
    <row r="54" customFormat="false" ht="15" hidden="false" customHeight="true" outlineLevel="0" collapsed="false">
      <c r="A54" s="19" t="s">
        <v>438</v>
      </c>
      <c r="B54" s="19" t="s">
        <v>439</v>
      </c>
      <c r="C54" s="19" t="s">
        <v>389</v>
      </c>
      <c r="D54" s="19" t="s">
        <v>440</v>
      </c>
      <c r="E54" s="19" t="s">
        <v>157</v>
      </c>
      <c r="F54" s="20" t="s">
        <v>441</v>
      </c>
      <c r="G54" s="21" t="n">
        <v>10</v>
      </c>
      <c r="H54" s="21" t="n">
        <v>3</v>
      </c>
      <c r="I54" s="22" t="n">
        <f aca="false">IF(H54="",G54,MIN(G54,H54))</f>
        <v>3</v>
      </c>
      <c r="J54" s="23" t="n">
        <v>0.5</v>
      </c>
      <c r="K54" s="23" t="n">
        <v>0.1</v>
      </c>
      <c r="L54" s="23" t="n">
        <v>20</v>
      </c>
      <c r="M54" s="23" t="n">
        <v>0.5</v>
      </c>
      <c r="N54" s="23"/>
      <c r="O54" s="23"/>
      <c r="P54" s="23"/>
      <c r="Q54" s="24"/>
      <c r="R54" s="25" t="n">
        <v>0</v>
      </c>
      <c r="S54" s="19" t="n">
        <f aca="false">COUNTIFS(Flows!$B$2:$B$1500,$B54,Flows!$C$2:$C$1500,"Input")</f>
        <v>4</v>
      </c>
      <c r="T54" s="19" t="n">
        <f aca="false">COUNTIFS(Flows!$B$2:$B$1500,$B54,Flows!$C$2:$C$1500,"Output")</f>
        <v>3</v>
      </c>
      <c r="U54" s="19" t="s">
        <v>442</v>
      </c>
      <c r="V54" s="19" t="s">
        <v>443</v>
      </c>
      <c r="W54" s="19" t="s">
        <v>172</v>
      </c>
      <c r="X54" s="19"/>
    </row>
    <row r="55" customFormat="false" ht="15" hidden="false" customHeight="true" outlineLevel="0" collapsed="false">
      <c r="A55" s="19" t="s">
        <v>444</v>
      </c>
      <c r="B55" s="19" t="s">
        <v>445</v>
      </c>
      <c r="C55" s="19" t="s">
        <v>389</v>
      </c>
      <c r="D55" s="19" t="s">
        <v>446</v>
      </c>
      <c r="E55" s="19" t="s">
        <v>317</v>
      </c>
      <c r="F55" s="20" t="s">
        <v>447</v>
      </c>
      <c r="G55" s="21" t="n">
        <v>8</v>
      </c>
      <c r="H55" s="21" t="n">
        <v>3</v>
      </c>
      <c r="I55" s="22" t="n">
        <f aca="false">IF(H55="",G55,MIN(G55,H55))</f>
        <v>3</v>
      </c>
      <c r="J55" s="23" t="n">
        <v>0.25</v>
      </c>
      <c r="K55" s="23" t="n">
        <v>0.05</v>
      </c>
      <c r="L55" s="23" t="n">
        <v>4</v>
      </c>
      <c r="M55" s="23" t="n">
        <v>5</v>
      </c>
      <c r="N55" s="23"/>
      <c r="O55" s="23"/>
      <c r="P55" s="23"/>
      <c r="Q55" s="24"/>
      <c r="R55" s="25" t="n">
        <v>0</v>
      </c>
      <c r="S55" s="19" t="n">
        <f aca="false">COUNTIFS(Flows!$B$2:$B$1500,$B55,Flows!$C$2:$C$1500,"Input")</f>
        <v>3</v>
      </c>
      <c r="T55" s="19" t="n">
        <f aca="false">COUNTIFS(Flows!$B$2:$B$1500,$B55,Flows!$C$2:$C$1500,"Output")</f>
        <v>3</v>
      </c>
      <c r="U55" s="19" t="s">
        <v>319</v>
      </c>
      <c r="V55" s="19" t="s">
        <v>319</v>
      </c>
      <c r="W55" s="19" t="s">
        <v>172</v>
      </c>
      <c r="X55" s="19"/>
    </row>
    <row r="56" customFormat="false" ht="15" hidden="false" customHeight="true" outlineLevel="0" collapsed="false">
      <c r="A56" s="19" t="s">
        <v>448</v>
      </c>
      <c r="B56" s="19" t="s">
        <v>449</v>
      </c>
      <c r="C56" s="19" t="s">
        <v>200</v>
      </c>
      <c r="D56" s="19" t="s">
        <v>200</v>
      </c>
      <c r="E56" s="19" t="s">
        <v>157</v>
      </c>
      <c r="F56" s="20" t="s">
        <v>450</v>
      </c>
      <c r="G56" s="21" t="n">
        <v>2500</v>
      </c>
      <c r="H56" s="21" t="n">
        <v>700</v>
      </c>
      <c r="I56" s="22" t="n">
        <f aca="false">IF(H56="",G56,MIN(G56,H56))</f>
        <v>700</v>
      </c>
      <c r="J56" s="23" t="n">
        <v>8</v>
      </c>
      <c r="K56" s="23" t="n">
        <v>0.5</v>
      </c>
      <c r="L56" s="23" t="n">
        <v>260</v>
      </c>
      <c r="M56" s="23" t="n">
        <v>8</v>
      </c>
      <c r="N56" s="23" t="n">
        <v>250</v>
      </c>
      <c r="O56" s="23" t="n">
        <v>1</v>
      </c>
      <c r="P56" s="23"/>
      <c r="Q56" s="24"/>
      <c r="R56" s="25" t="n">
        <v>0</v>
      </c>
      <c r="S56" s="19" t="n">
        <f aca="false">COUNTIFS(Flows!$B$2:$B$1500,$B56,Flows!$C$2:$C$1500,"Input")</f>
        <v>4</v>
      </c>
      <c r="T56" s="19" t="n">
        <f aca="false">COUNTIFS(Flows!$B$2:$B$1500,$B56,Flows!$C$2:$C$1500,"Output")</f>
        <v>1</v>
      </c>
      <c r="U56" s="19" t="s">
        <v>71</v>
      </c>
      <c r="V56" s="19" t="s">
        <v>55</v>
      </c>
      <c r="W56" s="19" t="s">
        <v>172</v>
      </c>
      <c r="X56" s="19"/>
    </row>
    <row r="57" customFormat="false" ht="15" hidden="false" customHeight="true" outlineLevel="0" collapsed="false">
      <c r="A57" s="19" t="s">
        <v>451</v>
      </c>
      <c r="B57" s="19" t="s">
        <v>452</v>
      </c>
      <c r="C57" s="19" t="s">
        <v>200</v>
      </c>
      <c r="D57" s="19" t="s">
        <v>200</v>
      </c>
      <c r="E57" s="19" t="s">
        <v>157</v>
      </c>
      <c r="F57" s="20" t="s">
        <v>453</v>
      </c>
      <c r="G57" s="21" t="n">
        <v>18000</v>
      </c>
      <c r="H57" s="21" t="n">
        <v>6000</v>
      </c>
      <c r="I57" s="22" t="n">
        <f aca="false">IF(H57="",G57,MIN(G57,H57))</f>
        <v>6000</v>
      </c>
      <c r="J57" s="23" t="n">
        <v>40</v>
      </c>
      <c r="K57" s="23" t="n">
        <v>0.5</v>
      </c>
      <c r="L57" s="23" t="n">
        <v>320</v>
      </c>
      <c r="M57" s="23" t="n">
        <v>20</v>
      </c>
      <c r="N57" s="23" t="n">
        <v>314</v>
      </c>
      <c r="O57" s="23" t="n">
        <v>0.6</v>
      </c>
      <c r="P57" s="23"/>
      <c r="Q57" s="24"/>
      <c r="R57" s="25" t="n">
        <v>0</v>
      </c>
      <c r="S57" s="19" t="n">
        <f aca="false">COUNTIFS(Flows!$B$2:$B$1500,$B57,Flows!$C$2:$C$1500,"Input")</f>
        <v>3</v>
      </c>
      <c r="T57" s="19" t="n">
        <f aca="false">COUNTIFS(Flows!$B$2:$B$1500,$B57,Flows!$C$2:$C$1500,"Output")</f>
        <v>2</v>
      </c>
      <c r="U57" s="19" t="s">
        <v>319</v>
      </c>
      <c r="V57" s="19" t="s">
        <v>55</v>
      </c>
      <c r="W57" s="19" t="s">
        <v>159</v>
      </c>
      <c r="X57" s="19"/>
    </row>
    <row r="58" customFormat="false" ht="15" hidden="false" customHeight="true" outlineLevel="0" collapsed="false">
      <c r="A58" s="19" t="s">
        <v>454</v>
      </c>
      <c r="B58" s="19" t="s">
        <v>455</v>
      </c>
      <c r="C58" s="19" t="s">
        <v>456</v>
      </c>
      <c r="D58" s="19" t="s">
        <v>456</v>
      </c>
      <c r="E58" s="19" t="s">
        <v>157</v>
      </c>
      <c r="F58" s="20" t="s">
        <v>457</v>
      </c>
      <c r="G58" s="21" t="n">
        <v>180</v>
      </c>
      <c r="H58" s="21" t="n">
        <v>60</v>
      </c>
      <c r="I58" s="22" t="n">
        <f aca="false">IF(H58="",G58,MIN(G58,H58))</f>
        <v>60</v>
      </c>
      <c r="J58" s="23" t="n">
        <v>0</v>
      </c>
      <c r="K58" s="23" t="n">
        <v>0.5</v>
      </c>
      <c r="L58" s="23" t="n">
        <v>0</v>
      </c>
      <c r="M58" s="23" t="n">
        <v>20</v>
      </c>
      <c r="N58" s="23"/>
      <c r="O58" s="23"/>
      <c r="P58" s="23"/>
      <c r="Q58" s="24"/>
      <c r="R58" s="25" t="n">
        <v>0</v>
      </c>
      <c r="S58" s="19" t="n">
        <f aca="false">COUNTIFS(Flows!$B$2:$B$1500,$B58,Flows!$C$2:$C$1500,"Input")</f>
        <v>2</v>
      </c>
      <c r="T58" s="19" t="n">
        <f aca="false">COUNTIFS(Flows!$B$2:$B$1500,$B58,Flows!$C$2:$C$1500,"Output")</f>
        <v>2</v>
      </c>
      <c r="U58" s="19" t="s">
        <v>71</v>
      </c>
      <c r="V58" s="19" t="s">
        <v>458</v>
      </c>
      <c r="W58" s="19" t="s">
        <v>172</v>
      </c>
      <c r="X58" s="19"/>
    </row>
    <row r="59" customFormat="false" ht="15" hidden="false" customHeight="true" outlineLevel="0" collapsed="false">
      <c r="A59" s="19" t="s">
        <v>459</v>
      </c>
      <c r="B59" s="19" t="s">
        <v>460</v>
      </c>
      <c r="C59" s="19" t="s">
        <v>456</v>
      </c>
      <c r="D59" s="19" t="s">
        <v>456</v>
      </c>
      <c r="E59" s="19" t="s">
        <v>157</v>
      </c>
      <c r="F59" s="20" t="s">
        <v>461</v>
      </c>
      <c r="G59" s="21" t="n">
        <v>400</v>
      </c>
      <c r="H59" s="21" t="n">
        <v>100</v>
      </c>
      <c r="I59" s="22" t="n">
        <f aca="false">IF(H59="",G59,MIN(G59,H59))</f>
        <v>100</v>
      </c>
      <c r="J59" s="23" t="n">
        <v>2</v>
      </c>
      <c r="K59" s="23" t="n">
        <v>1</v>
      </c>
      <c r="L59" s="23" t="n">
        <v>10</v>
      </c>
      <c r="M59" s="23" t="n">
        <v>20</v>
      </c>
      <c r="N59" s="23"/>
      <c r="O59" s="23"/>
      <c r="P59" s="23"/>
      <c r="Q59" s="24"/>
      <c r="R59" s="25" t="n">
        <v>0</v>
      </c>
      <c r="S59" s="19" t="n">
        <f aca="false">COUNTIFS(Flows!$B$2:$B$1500,$B59,Flows!$C$2:$C$1500,"Input")</f>
        <v>1</v>
      </c>
      <c r="T59" s="19" t="n">
        <f aca="false">COUNTIFS(Flows!$B$2:$B$1500,$B59,Flows!$C$2:$C$1500,"Output")</f>
        <v>1</v>
      </c>
      <c r="U59" s="19" t="s">
        <v>71</v>
      </c>
      <c r="V59" s="19" t="s">
        <v>462</v>
      </c>
      <c r="W59" s="19" t="s">
        <v>172</v>
      </c>
      <c r="X59" s="19"/>
    </row>
    <row r="60" customFormat="false" ht="15" hidden="false" customHeight="true" outlineLevel="0" collapsed="false">
      <c r="A60" s="19" t="s">
        <v>463</v>
      </c>
      <c r="B60" s="19" t="s">
        <v>464</v>
      </c>
      <c r="C60" s="19" t="s">
        <v>365</v>
      </c>
      <c r="D60" s="19" t="s">
        <v>465</v>
      </c>
      <c r="E60" s="19" t="s">
        <v>157</v>
      </c>
      <c r="F60" s="20" t="s">
        <v>466</v>
      </c>
      <c r="G60" s="21" t="n">
        <v>600</v>
      </c>
      <c r="H60" s="21" t="n">
        <v>150</v>
      </c>
      <c r="I60" s="22" t="n">
        <f aca="false">IF(H60="",G60,MIN(G60,H60))</f>
        <v>150</v>
      </c>
      <c r="J60" s="23" t="n">
        <v>1</v>
      </c>
      <c r="K60" s="23" t="n">
        <v>0.25</v>
      </c>
      <c r="L60" s="23" t="n">
        <v>10</v>
      </c>
      <c r="M60" s="23" t="n">
        <v>10</v>
      </c>
      <c r="N60" s="23"/>
      <c r="O60" s="23"/>
      <c r="P60" s="23"/>
      <c r="Q60" s="24"/>
      <c r="R60" s="25" t="n">
        <v>0</v>
      </c>
      <c r="S60" s="19" t="n">
        <f aca="false">COUNTIFS(Flows!$B$2:$B$1500,$B60,Flows!$C$2:$C$1500,"Input")</f>
        <v>2</v>
      </c>
      <c r="T60" s="19" t="n">
        <f aca="false">COUNTIFS(Flows!$B$2:$B$1500,$B60,Flows!$C$2:$C$1500,"Output")</f>
        <v>1</v>
      </c>
      <c r="U60" s="19" t="s">
        <v>371</v>
      </c>
      <c r="V60" s="19" t="s">
        <v>63</v>
      </c>
      <c r="W60" s="19" t="s">
        <v>172</v>
      </c>
      <c r="X60" s="19"/>
    </row>
    <row r="61" customFormat="false" ht="26.25" hidden="false" customHeight="true" outlineLevel="0" collapsed="false">
      <c r="A61" s="19" t="s">
        <v>467</v>
      </c>
      <c r="B61" s="19" t="s">
        <v>468</v>
      </c>
      <c r="C61" s="19" t="s">
        <v>469</v>
      </c>
      <c r="D61" s="19" t="s">
        <v>470</v>
      </c>
      <c r="E61" s="19" t="s">
        <v>157</v>
      </c>
      <c r="F61" s="20" t="s">
        <v>471</v>
      </c>
      <c r="G61" s="21" t="n">
        <v>1000</v>
      </c>
      <c r="H61" s="21" t="n">
        <v>400</v>
      </c>
      <c r="I61" s="22" t="n">
        <f aca="false">IF(H61="",G61,MIN(G61,H61))</f>
        <v>400</v>
      </c>
      <c r="J61" s="23" t="n">
        <v>12</v>
      </c>
      <c r="K61" s="23" t="n">
        <v>1</v>
      </c>
      <c r="L61" s="23" t="n">
        <v>40</v>
      </c>
      <c r="M61" s="23" t="n">
        <v>10</v>
      </c>
      <c r="N61" s="23"/>
      <c r="O61" s="23"/>
      <c r="P61" s="23"/>
      <c r="Q61" s="24"/>
      <c r="R61" s="25" t="n">
        <v>0</v>
      </c>
      <c r="S61" s="19" t="n">
        <f aca="false">COUNTIFS(Flows!$B$2:$B$1500,$B61,Flows!$C$2:$C$1500,"Input")</f>
        <v>5</v>
      </c>
      <c r="T61" s="19" t="n">
        <f aca="false">COUNTIFS(Flows!$B$2:$B$1500,$B61,Flows!$C$2:$C$1500,"Output")</f>
        <v>3</v>
      </c>
      <c r="U61" s="19" t="s">
        <v>472</v>
      </c>
      <c r="V61" s="19" t="s">
        <v>473</v>
      </c>
      <c r="W61" s="19" t="s">
        <v>172</v>
      </c>
      <c r="X61" s="19" t="s">
        <v>474</v>
      </c>
    </row>
    <row r="62" customFormat="false" ht="15" hidden="false" customHeight="true" outlineLevel="0" collapsed="false">
      <c r="A62" s="19" t="s">
        <v>475</v>
      </c>
      <c r="B62" s="19" t="s">
        <v>476</v>
      </c>
      <c r="C62" s="19" t="s">
        <v>477</v>
      </c>
      <c r="D62" s="19" t="s">
        <v>478</v>
      </c>
      <c r="E62" s="19" t="s">
        <v>157</v>
      </c>
      <c r="F62" s="20" t="s">
        <v>479</v>
      </c>
      <c r="G62" s="21" t="n">
        <v>900</v>
      </c>
      <c r="H62" s="21"/>
      <c r="I62" s="22" t="n">
        <f aca="false">IF(H62="",G62,MIN(G62,H62))</f>
        <v>900</v>
      </c>
      <c r="J62" s="23" t="n">
        <v>0.25</v>
      </c>
      <c r="K62" s="23" t="n">
        <v>0.05</v>
      </c>
      <c r="L62" s="23" t="n">
        <v>4</v>
      </c>
      <c r="M62" s="23" t="n">
        <v>8</v>
      </c>
      <c r="N62" s="23"/>
      <c r="O62" s="23"/>
      <c r="P62" s="23"/>
      <c r="Q62" s="24"/>
      <c r="R62" s="25" t="n">
        <v>0</v>
      </c>
      <c r="S62" s="19" t="n">
        <f aca="false">COUNTIFS(Flows!$B$2:$B$1500,$B62,Flows!$C$2:$C$1500,"Input")</f>
        <v>2</v>
      </c>
      <c r="T62" s="19" t="n">
        <f aca="false">COUNTIFS(Flows!$B$2:$B$1500,$B62,Flows!$C$2:$C$1500,"Output")</f>
        <v>1</v>
      </c>
      <c r="U62" s="19" t="s">
        <v>59</v>
      </c>
      <c r="V62" s="19" t="s">
        <v>69</v>
      </c>
      <c r="W62" s="19" t="s">
        <v>172</v>
      </c>
      <c r="X62" s="19" t="s">
        <v>480</v>
      </c>
    </row>
    <row r="63" customFormat="false" ht="15" hidden="false" customHeight="true" outlineLevel="0" collapsed="false">
      <c r="A63" s="19" t="s">
        <v>481</v>
      </c>
      <c r="B63" s="19" t="s">
        <v>482</v>
      </c>
      <c r="C63" s="19" t="s">
        <v>69</v>
      </c>
      <c r="D63" s="19" t="s">
        <v>483</v>
      </c>
      <c r="E63" s="19" t="s">
        <v>157</v>
      </c>
      <c r="F63" s="20" t="s">
        <v>484</v>
      </c>
      <c r="G63" s="21" t="n">
        <v>60</v>
      </c>
      <c r="H63" s="21"/>
      <c r="I63" s="22" t="n">
        <f aca="false">IF(H63="",G63,MIN(G63,H63))</f>
        <v>60</v>
      </c>
      <c r="J63" s="23" t="n">
        <v>0</v>
      </c>
      <c r="K63" s="23" t="n">
        <v>0</v>
      </c>
      <c r="L63" s="23" t="n">
        <v>0</v>
      </c>
      <c r="M63" s="23" t="n">
        <v>5</v>
      </c>
      <c r="N63" s="23"/>
      <c r="O63" s="23"/>
      <c r="P63" s="23"/>
      <c r="Q63" s="24"/>
      <c r="R63" s="25" t="n">
        <v>0</v>
      </c>
      <c r="S63" s="19" t="n">
        <f aca="false">COUNTIFS(Flows!$B$2:$B$1500,$B63,Flows!$C$2:$C$1500,"Input")</f>
        <v>1</v>
      </c>
      <c r="T63" s="19" t="n">
        <f aca="false">COUNTIFS(Flows!$B$2:$B$1500,$B63,Flows!$C$2:$C$1500,"Output")</f>
        <v>1</v>
      </c>
      <c r="U63" s="19" t="s">
        <v>59</v>
      </c>
      <c r="V63" s="19" t="s">
        <v>69</v>
      </c>
      <c r="W63" s="19" t="s">
        <v>172</v>
      </c>
      <c r="X63" s="19" t="s">
        <v>485</v>
      </c>
    </row>
    <row r="64" customFormat="false" ht="26.25" hidden="false" customHeight="true" outlineLevel="0" collapsed="false">
      <c r="A64" s="19" t="s">
        <v>486</v>
      </c>
      <c r="B64" s="19" t="s">
        <v>487</v>
      </c>
      <c r="C64" s="19" t="s">
        <v>69</v>
      </c>
      <c r="D64" s="19" t="s">
        <v>488</v>
      </c>
      <c r="E64" s="19" t="s">
        <v>157</v>
      </c>
      <c r="F64" s="20" t="s">
        <v>489</v>
      </c>
      <c r="G64" s="21" t="n">
        <v>250</v>
      </c>
      <c r="H64" s="21"/>
      <c r="I64" s="22" t="n">
        <f aca="false">IF(H64="",G64,MIN(G64,H64))</f>
        <v>250</v>
      </c>
      <c r="J64" s="23" t="n">
        <v>1</v>
      </c>
      <c r="K64" s="23" t="n">
        <v>0.05</v>
      </c>
      <c r="L64" s="23" t="n">
        <v>3</v>
      </c>
      <c r="M64" s="23" t="n">
        <v>8</v>
      </c>
      <c r="N64" s="23"/>
      <c r="O64" s="23"/>
      <c r="P64" s="23"/>
      <c r="Q64" s="24"/>
      <c r="R64" s="25" t="n">
        <v>0</v>
      </c>
      <c r="S64" s="19" t="n">
        <f aca="false">COUNTIFS(Flows!$B$2:$B$1500,$B64,Flows!$C$2:$C$1500,"Input")</f>
        <v>2</v>
      </c>
      <c r="T64" s="19" t="n">
        <f aca="false">COUNTIFS(Flows!$B$2:$B$1500,$B64,Flows!$C$2:$C$1500,"Output")</f>
        <v>2</v>
      </c>
      <c r="U64" s="19" t="s">
        <v>59</v>
      </c>
      <c r="V64" s="19" t="s">
        <v>490</v>
      </c>
      <c r="W64" s="19" t="s">
        <v>159</v>
      </c>
      <c r="X64" s="19"/>
    </row>
    <row r="65" customFormat="false" ht="15" hidden="false" customHeight="true" outlineLevel="0" collapsed="false">
      <c r="A65" s="19" t="s">
        <v>491</v>
      </c>
      <c r="B65" s="19" t="s">
        <v>492</v>
      </c>
      <c r="C65" s="19" t="s">
        <v>493</v>
      </c>
      <c r="D65" s="19" t="s">
        <v>494</v>
      </c>
      <c r="E65" s="19" t="s">
        <v>157</v>
      </c>
      <c r="F65" s="20" t="s">
        <v>495</v>
      </c>
      <c r="G65" s="21" t="n">
        <v>20</v>
      </c>
      <c r="H65" s="21"/>
      <c r="I65" s="22" t="n">
        <f aca="false">IF(H65="",G65,MIN(G65,H65))</f>
        <v>20</v>
      </c>
      <c r="J65" s="23" t="n">
        <v>0</v>
      </c>
      <c r="K65" s="23" t="n">
        <v>0</v>
      </c>
      <c r="L65" s="23" t="n">
        <v>0</v>
      </c>
      <c r="M65" s="23" t="n">
        <v>15</v>
      </c>
      <c r="N65" s="23"/>
      <c r="O65" s="23"/>
      <c r="P65" s="23"/>
      <c r="Q65" s="24"/>
      <c r="R65" s="25" t="n">
        <v>0</v>
      </c>
      <c r="S65" s="19" t="n">
        <f aca="false">COUNTIFS(Flows!$B$2:$B$1500,$B65,Flows!$C$2:$C$1500,"Input")</f>
        <v>1</v>
      </c>
      <c r="T65" s="19" t="n">
        <f aca="false">COUNTIFS(Flows!$B$2:$B$1500,$B65,Flows!$C$2:$C$1500,"Output")</f>
        <v>1</v>
      </c>
      <c r="U65" s="19" t="s">
        <v>59</v>
      </c>
      <c r="V65" s="19" t="s">
        <v>462</v>
      </c>
      <c r="W65" s="19" t="s">
        <v>496</v>
      </c>
      <c r="X65" s="19"/>
    </row>
    <row r="66" customFormat="false" ht="15" hidden="false" customHeight="true" outlineLevel="0" collapsed="false">
      <c r="A66" s="19" t="s">
        <v>497</v>
      </c>
      <c r="B66" s="19" t="s">
        <v>498</v>
      </c>
      <c r="C66" s="19" t="s">
        <v>402</v>
      </c>
      <c r="D66" s="19" t="s">
        <v>499</v>
      </c>
      <c r="E66" s="19" t="s">
        <v>317</v>
      </c>
      <c r="F66" s="20" t="s">
        <v>500</v>
      </c>
      <c r="G66" s="21" t="n">
        <v>40</v>
      </c>
      <c r="H66" s="21" t="n">
        <v>10</v>
      </c>
      <c r="I66" s="22" t="n">
        <f aca="false">IF(H66="",G66,MIN(G66,H66))</f>
        <v>10</v>
      </c>
      <c r="J66" s="23" t="n">
        <v>2</v>
      </c>
      <c r="K66" s="23" t="n">
        <v>0.05</v>
      </c>
      <c r="L66" s="23" t="n">
        <v>600</v>
      </c>
      <c r="M66" s="23" t="n">
        <v>150</v>
      </c>
      <c r="N66" s="23"/>
      <c r="O66" s="23"/>
      <c r="P66" s="23"/>
      <c r="Q66" s="24"/>
      <c r="R66" s="25" t="n">
        <v>1</v>
      </c>
      <c r="S66" s="19" t="n">
        <f aca="false">COUNTIFS(Flows!$B$2:$B$1500,$B66,Flows!$C$2:$C$1500,"Input")</f>
        <v>3</v>
      </c>
      <c r="T66" s="19" t="n">
        <f aca="false">COUNTIFS(Flows!$B$2:$B$1500,$B66,Flows!$C$2:$C$1500,"Output")</f>
        <v>4</v>
      </c>
      <c r="U66" s="19" t="s">
        <v>319</v>
      </c>
      <c r="V66" s="19" t="s">
        <v>319</v>
      </c>
      <c r="W66" s="19" t="s">
        <v>172</v>
      </c>
      <c r="X66" s="19" t="s">
        <v>501</v>
      </c>
    </row>
    <row r="67" customFormat="false" ht="15" hidden="false" customHeight="true" outlineLevel="0" collapsed="false">
      <c r="A67" s="19" t="s">
        <v>502</v>
      </c>
      <c r="B67" s="19" t="s">
        <v>503</v>
      </c>
      <c r="C67" s="19" t="s">
        <v>504</v>
      </c>
      <c r="D67" s="19" t="s">
        <v>505</v>
      </c>
      <c r="E67" s="19" t="s">
        <v>157</v>
      </c>
      <c r="F67" s="20" t="s">
        <v>506</v>
      </c>
      <c r="G67" s="21" t="n">
        <v>2500</v>
      </c>
      <c r="H67" s="21" t="n">
        <v>600</v>
      </c>
      <c r="I67" s="22" t="n">
        <f aca="false">IF(H67="",G67,MIN(G67,H67))</f>
        <v>600</v>
      </c>
      <c r="J67" s="23" t="n">
        <v>60</v>
      </c>
      <c r="K67" s="23" t="n">
        <v>0.5</v>
      </c>
      <c r="L67" s="23" t="n">
        <v>30</v>
      </c>
      <c r="M67" s="23" t="n">
        <v>30</v>
      </c>
      <c r="N67" s="23"/>
      <c r="O67" s="23"/>
      <c r="P67" s="23"/>
      <c r="Q67" s="24"/>
      <c r="R67" s="25" t="n">
        <v>0</v>
      </c>
      <c r="S67" s="19" t="n">
        <f aca="false">COUNTIFS(Flows!$B$2:$B$1500,$B67,Flows!$C$2:$C$1500,"Input")</f>
        <v>2</v>
      </c>
      <c r="T67" s="19" t="n">
        <f aca="false">COUNTIFS(Flows!$B$2:$B$1500,$B67,Flows!$C$2:$C$1500,"Output")</f>
        <v>1</v>
      </c>
      <c r="U67" s="19" t="s">
        <v>177</v>
      </c>
      <c r="V67" s="19" t="s">
        <v>67</v>
      </c>
      <c r="W67" s="19" t="s">
        <v>159</v>
      </c>
      <c r="X67" s="19"/>
    </row>
    <row r="68" customFormat="false" ht="15" hidden="false" customHeight="true" outlineLevel="0" collapsed="false">
      <c r="A68" s="19" t="s">
        <v>507</v>
      </c>
      <c r="B68" s="19" t="s">
        <v>508</v>
      </c>
      <c r="C68" s="19" t="s">
        <v>509</v>
      </c>
      <c r="D68" s="19" t="s">
        <v>510</v>
      </c>
      <c r="E68" s="19" t="s">
        <v>157</v>
      </c>
      <c r="F68" s="20" t="s">
        <v>511</v>
      </c>
      <c r="G68" s="21" t="n">
        <v>900</v>
      </c>
      <c r="H68" s="21"/>
      <c r="I68" s="22" t="n">
        <f aca="false">IF(H68="",G68,MIN(G68,H68))</f>
        <v>900</v>
      </c>
      <c r="J68" s="23" t="n">
        <v>6</v>
      </c>
      <c r="K68" s="23" t="n">
        <v>0.25</v>
      </c>
      <c r="L68" s="23" t="n">
        <v>6</v>
      </c>
      <c r="M68" s="23" t="n">
        <v>20</v>
      </c>
      <c r="N68" s="23"/>
      <c r="O68" s="23"/>
      <c r="P68" s="23"/>
      <c r="Q68" s="24"/>
      <c r="R68" s="25" t="n">
        <v>0</v>
      </c>
      <c r="S68" s="19" t="n">
        <f aca="false">COUNTIFS(Flows!$B$2:$B$1500,$B68,Flows!$C$2:$C$1500,"Input")</f>
        <v>2</v>
      </c>
      <c r="T68" s="19" t="n">
        <f aca="false">COUNTIFS(Flows!$B$2:$B$1500,$B68,Flows!$C$2:$C$1500,"Output")</f>
        <v>2</v>
      </c>
      <c r="U68" s="19" t="s">
        <v>177</v>
      </c>
      <c r="V68" s="19" t="s">
        <v>225</v>
      </c>
      <c r="W68" s="19" t="s">
        <v>159</v>
      </c>
      <c r="X68" s="19"/>
    </row>
    <row r="69" customFormat="false" ht="26.25" hidden="false" customHeight="true" outlineLevel="0" collapsed="false">
      <c r="A69" s="19" t="s">
        <v>512</v>
      </c>
      <c r="B69" s="19" t="s">
        <v>513</v>
      </c>
      <c r="C69" s="19" t="s">
        <v>514</v>
      </c>
      <c r="D69" s="19" t="s">
        <v>182</v>
      </c>
      <c r="E69" s="19" t="s">
        <v>157</v>
      </c>
      <c r="F69" s="20" t="s">
        <v>515</v>
      </c>
      <c r="G69" s="21" t="n">
        <v>250</v>
      </c>
      <c r="H69" s="21" t="n">
        <v>80</v>
      </c>
      <c r="I69" s="22" t="n">
        <f aca="false">IF(H69="",G69,MIN(G69,H69))</f>
        <v>80</v>
      </c>
      <c r="J69" s="23" t="n">
        <v>3</v>
      </c>
      <c r="K69" s="23" t="n">
        <v>1</v>
      </c>
      <c r="L69" s="23" t="n">
        <v>20</v>
      </c>
      <c r="M69" s="23" t="n">
        <v>10</v>
      </c>
      <c r="N69" s="23"/>
      <c r="O69" s="23"/>
      <c r="P69" s="23"/>
      <c r="Q69" s="24"/>
      <c r="R69" s="25" t="n">
        <v>0</v>
      </c>
      <c r="S69" s="19" t="n">
        <f aca="false">COUNTIFS(Flows!$B$2:$B$1500,$B69,Flows!$C$2:$C$1500,"Input")</f>
        <v>3</v>
      </c>
      <c r="T69" s="19" t="n">
        <f aca="false">COUNTIFS(Flows!$B$2:$B$1500,$B69,Flows!$C$2:$C$1500,"Output")</f>
        <v>3</v>
      </c>
      <c r="U69" s="19" t="s">
        <v>516</v>
      </c>
      <c r="V69" s="19" t="s">
        <v>517</v>
      </c>
      <c r="W69" s="19" t="s">
        <v>172</v>
      </c>
      <c r="X69" s="19"/>
    </row>
    <row r="70" customFormat="false" ht="15" hidden="false" customHeight="true" outlineLevel="0" collapsed="false">
      <c r="A70" s="19" t="s">
        <v>518</v>
      </c>
      <c r="B70" s="19" t="s">
        <v>519</v>
      </c>
      <c r="C70" s="19" t="s">
        <v>520</v>
      </c>
      <c r="D70" s="19" t="s">
        <v>521</v>
      </c>
      <c r="E70" s="19" t="s">
        <v>317</v>
      </c>
      <c r="F70" s="20" t="s">
        <v>522</v>
      </c>
      <c r="G70" s="21" t="n">
        <v>50000</v>
      </c>
      <c r="H70" s="21"/>
      <c r="I70" s="22" t="n">
        <f aca="false">IF(H70="",G70,MIN(G70,H70))</f>
        <v>50000</v>
      </c>
      <c r="J70" s="23" t="n">
        <v>40</v>
      </c>
      <c r="K70" s="23" t="n">
        <v>0</v>
      </c>
      <c r="L70" s="23" t="n">
        <v>0</v>
      </c>
      <c r="M70" s="23" t="n">
        <v>100</v>
      </c>
      <c r="N70" s="23"/>
      <c r="O70" s="23"/>
      <c r="P70" s="23"/>
      <c r="Q70" s="24"/>
      <c r="R70" s="25" t="n">
        <v>1</v>
      </c>
      <c r="S70" s="19" t="n">
        <f aca="false">COUNTIFS(Flows!$B$2:$B$1500,$B70,Flows!$C$2:$C$1500,"Input")</f>
        <v>0</v>
      </c>
      <c r="T70" s="19" t="n">
        <f aca="false">COUNTIFS(Flows!$B$2:$B$1500,$B70,Flows!$C$2:$C$1500,"Output")</f>
        <v>1</v>
      </c>
      <c r="U70" s="19" t="s">
        <v>319</v>
      </c>
      <c r="V70" s="19" t="s">
        <v>319</v>
      </c>
      <c r="W70" s="19" t="s">
        <v>172</v>
      </c>
      <c r="X70" s="19" t="s">
        <v>523</v>
      </c>
    </row>
    <row r="71" customFormat="false" ht="15" hidden="false" customHeight="true" outlineLevel="0" collapsed="false">
      <c r="A71" s="19" t="s">
        <v>524</v>
      </c>
      <c r="B71" s="19" t="s">
        <v>525</v>
      </c>
      <c r="C71" s="19" t="s">
        <v>520</v>
      </c>
      <c r="D71" s="19" t="s">
        <v>520</v>
      </c>
      <c r="E71" s="19" t="s">
        <v>157</v>
      </c>
      <c r="F71" s="20" t="s">
        <v>526</v>
      </c>
      <c r="G71" s="21" t="n">
        <v>10000</v>
      </c>
      <c r="H71" s="21"/>
      <c r="I71" s="22" t="n">
        <f aca="false">IF(H71="",G71,MIN(G71,H71))</f>
        <v>10000</v>
      </c>
      <c r="J71" s="23" t="n">
        <v>20</v>
      </c>
      <c r="K71" s="23" t="n">
        <v>0</v>
      </c>
      <c r="L71" s="23" t="n">
        <v>0</v>
      </c>
      <c r="M71" s="23" t="n">
        <v>30</v>
      </c>
      <c r="N71" s="23"/>
      <c r="O71" s="23"/>
      <c r="P71" s="23"/>
      <c r="Q71" s="24"/>
      <c r="R71" s="25" t="n">
        <v>0</v>
      </c>
      <c r="S71" s="19" t="n">
        <f aca="false">COUNTIFS(Flows!$B$2:$B$1500,$B71,Flows!$C$2:$C$1500,"Input")</f>
        <v>1</v>
      </c>
      <c r="T71" s="19" t="n">
        <f aca="false">COUNTIFS(Flows!$B$2:$B$1500,$B71,Flows!$C$2:$C$1500,"Output")</f>
        <v>1</v>
      </c>
      <c r="U71" s="19" t="s">
        <v>269</v>
      </c>
      <c r="V71" s="19" t="s">
        <v>319</v>
      </c>
      <c r="W71" s="19" t="s">
        <v>172</v>
      </c>
      <c r="X71" s="19" t="s">
        <v>527</v>
      </c>
    </row>
    <row r="72" customFormat="false" ht="15" hidden="false" customHeight="true" outlineLevel="0" collapsed="false">
      <c r="A72" s="19" t="s">
        <v>528</v>
      </c>
      <c r="B72" s="19" t="s">
        <v>165</v>
      </c>
      <c r="C72" s="19" t="s">
        <v>520</v>
      </c>
      <c r="D72" s="19" t="s">
        <v>520</v>
      </c>
      <c r="E72" s="19" t="s">
        <v>157</v>
      </c>
      <c r="F72" s="20" t="s">
        <v>529</v>
      </c>
      <c r="G72" s="21" t="n">
        <v>0</v>
      </c>
      <c r="H72" s="21"/>
      <c r="I72" s="22" t="n">
        <f aca="false">IF(H72="",G72,MIN(G72,H72))</f>
        <v>0</v>
      </c>
      <c r="J72" s="23" t="n">
        <v>0</v>
      </c>
      <c r="K72" s="23" t="n">
        <v>0</v>
      </c>
      <c r="L72" s="23" t="n">
        <v>0</v>
      </c>
      <c r="M72" s="23" t="n">
        <v>100</v>
      </c>
      <c r="N72" s="23"/>
      <c r="O72" s="23"/>
      <c r="P72" s="23"/>
      <c r="Q72" s="24"/>
      <c r="R72" s="25" t="n">
        <v>1</v>
      </c>
      <c r="S72" s="19" t="n">
        <f aca="false">COUNTIFS(Flows!$B$2:$B$1500,$B72,Flows!$C$2:$C$1500,"Input")</f>
        <v>0</v>
      </c>
      <c r="T72" s="19" t="n">
        <f aca="false">COUNTIFS(Flows!$B$2:$B$1500,$B72,Flows!$C$2:$C$1500,"Output")</f>
        <v>1</v>
      </c>
      <c r="U72" s="19" t="s">
        <v>319</v>
      </c>
      <c r="V72" s="19" t="s">
        <v>67</v>
      </c>
      <c r="W72" s="19" t="s">
        <v>172</v>
      </c>
      <c r="X72" s="19" t="s">
        <v>530</v>
      </c>
    </row>
    <row r="73" customFormat="false" ht="15" hidden="false" customHeight="true" outlineLevel="0" collapsed="false">
      <c r="A73" s="19" t="s">
        <v>531</v>
      </c>
      <c r="B73" s="19" t="s">
        <v>532</v>
      </c>
      <c r="C73" s="19" t="s">
        <v>434</v>
      </c>
      <c r="D73" s="19" t="s">
        <v>533</v>
      </c>
      <c r="E73" s="19" t="s">
        <v>157</v>
      </c>
      <c r="F73" s="20" t="s">
        <v>534</v>
      </c>
      <c r="G73" s="21" t="n">
        <v>30</v>
      </c>
      <c r="H73" s="21" t="n">
        <v>10</v>
      </c>
      <c r="I73" s="22" t="n">
        <f aca="false">IF(H73="",G73,MIN(G73,H73))</f>
        <v>10</v>
      </c>
      <c r="J73" s="23" t="n">
        <v>1</v>
      </c>
      <c r="K73" s="23" t="n">
        <v>0.05</v>
      </c>
      <c r="L73" s="23" t="n">
        <v>1</v>
      </c>
      <c r="M73" s="23" t="n">
        <v>10</v>
      </c>
      <c r="N73" s="23"/>
      <c r="O73" s="23"/>
      <c r="P73" s="23"/>
      <c r="Q73" s="24"/>
      <c r="R73" s="25" t="n">
        <v>0</v>
      </c>
      <c r="S73" s="19" t="n">
        <f aca="false">COUNTIFS(Flows!$B$2:$B$1500,$B73,Flows!$C$2:$C$1500,"Input")</f>
        <v>2</v>
      </c>
      <c r="T73" s="19" t="n">
        <f aca="false">COUNTIFS(Flows!$B$2:$B$1500,$B73,Flows!$C$2:$C$1500,"Output")</f>
        <v>2</v>
      </c>
      <c r="U73" s="19" t="s">
        <v>415</v>
      </c>
      <c r="V73" s="19" t="s">
        <v>462</v>
      </c>
      <c r="W73" s="19" t="s">
        <v>172</v>
      </c>
      <c r="X73" s="19"/>
    </row>
    <row r="74" customFormat="false" ht="15" hidden="false" customHeight="true" outlineLevel="0" collapsed="false">
      <c r="A74" s="19" t="s">
        <v>535</v>
      </c>
      <c r="B74" s="19" t="s">
        <v>536</v>
      </c>
      <c r="C74" s="19" t="s">
        <v>434</v>
      </c>
      <c r="D74" s="19" t="s">
        <v>533</v>
      </c>
      <c r="E74" s="19" t="s">
        <v>157</v>
      </c>
      <c r="F74" s="20" t="s">
        <v>537</v>
      </c>
      <c r="G74" s="21" t="n">
        <v>0</v>
      </c>
      <c r="H74" s="21"/>
      <c r="I74" s="22" t="n">
        <f aca="false">IF(H74="",G74,MIN(G74,H74))</f>
        <v>0</v>
      </c>
      <c r="J74" s="23" t="n">
        <v>0</v>
      </c>
      <c r="K74" s="23" t="n">
        <v>0</v>
      </c>
      <c r="L74" s="23" t="n">
        <v>0</v>
      </c>
      <c r="M74" s="23" t="n">
        <v>5</v>
      </c>
      <c r="N74" s="23"/>
      <c r="O74" s="23"/>
      <c r="P74" s="23"/>
      <c r="Q74" s="24"/>
      <c r="R74" s="25" t="n">
        <v>0</v>
      </c>
      <c r="S74" s="19" t="n">
        <f aca="false">COUNTIFS(Flows!$B$2:$B$1500,$B74,Flows!$C$2:$C$1500,"Input")</f>
        <v>3</v>
      </c>
      <c r="T74" s="19" t="n">
        <f aca="false">COUNTIFS(Flows!$B$2:$B$1500,$B74,Flows!$C$2:$C$1500,"Output")</f>
        <v>2</v>
      </c>
      <c r="U74" s="19" t="s">
        <v>538</v>
      </c>
      <c r="V74" s="19" t="s">
        <v>462</v>
      </c>
      <c r="W74" s="19" t="s">
        <v>172</v>
      </c>
      <c r="X74" s="19"/>
    </row>
    <row r="75" customFormat="false" ht="26.25" hidden="false" customHeight="true" outlineLevel="0" collapsed="false">
      <c r="A75" s="19" t="s">
        <v>539</v>
      </c>
      <c r="B75" s="19" t="s">
        <v>540</v>
      </c>
      <c r="C75" s="19" t="s">
        <v>541</v>
      </c>
      <c r="D75" s="19"/>
      <c r="E75" s="19" t="s">
        <v>542</v>
      </c>
      <c r="F75" s="20" t="s">
        <v>543</v>
      </c>
      <c r="G75" s="21" t="n">
        <v>0</v>
      </c>
      <c r="H75" s="21"/>
      <c r="I75" s="22" t="n">
        <f aca="false">IF(H75="",G75,MIN(G75,H75))</f>
        <v>0</v>
      </c>
      <c r="J75" s="23" t="n">
        <v>0</v>
      </c>
      <c r="K75" s="23" t="n">
        <v>0</v>
      </c>
      <c r="L75" s="23" t="n">
        <v>0</v>
      </c>
      <c r="M75" s="23" t="n">
        <v>80</v>
      </c>
      <c r="N75" s="23"/>
      <c r="O75" s="23"/>
      <c r="P75" s="23"/>
      <c r="Q75" s="24"/>
      <c r="R75" s="25" t="n">
        <v>1</v>
      </c>
      <c r="S75" s="19" t="n">
        <f aca="false">COUNTIFS(Flows!$B$2:$B$1500,$B75,Flows!$C$2:$C$1500,"Input")</f>
        <v>9</v>
      </c>
      <c r="T75" s="19" t="n">
        <f aca="false">COUNTIFS(Flows!$B$2:$B$1500,$B75,Flows!$C$2:$C$1500,"Output")</f>
        <v>4</v>
      </c>
      <c r="U75" s="19"/>
      <c r="V75" s="19"/>
      <c r="W75" s="19" t="s">
        <v>159</v>
      </c>
      <c r="X75" s="19" t="s">
        <v>544</v>
      </c>
    </row>
    <row r="76" customFormat="false" ht="15" hidden="false" customHeight="true" outlineLevel="0" collapsed="false">
      <c r="A76" s="19" t="s">
        <v>545</v>
      </c>
      <c r="B76" s="19" t="s">
        <v>546</v>
      </c>
      <c r="C76" s="19" t="s">
        <v>236</v>
      </c>
      <c r="D76" s="19"/>
      <c r="E76" s="19" t="s">
        <v>542</v>
      </c>
      <c r="F76" s="20" t="s">
        <v>547</v>
      </c>
      <c r="G76" s="21" t="n">
        <v>2500</v>
      </c>
      <c r="H76" s="21" t="n">
        <v>800</v>
      </c>
      <c r="I76" s="22" t="n">
        <f aca="false">IF(H76="",G76,MIN(G76,H76))</f>
        <v>800</v>
      </c>
      <c r="J76" s="23" t="n">
        <v>20</v>
      </c>
      <c r="K76" s="23" t="n">
        <v>2</v>
      </c>
      <c r="L76" s="23" t="n">
        <v>150</v>
      </c>
      <c r="M76" s="23" t="n">
        <v>15</v>
      </c>
      <c r="N76" s="23"/>
      <c r="O76" s="23"/>
      <c r="P76" s="23"/>
      <c r="Q76" s="24"/>
      <c r="R76" s="25" t="n">
        <v>1</v>
      </c>
      <c r="S76" s="19" t="n">
        <f aca="false">COUNTIFS(Flows!$B$2:$B$1500,$B76,Flows!$C$2:$C$1500,"Input")</f>
        <v>7</v>
      </c>
      <c r="T76" s="19" t="n">
        <f aca="false">COUNTIFS(Flows!$B$2:$B$1500,$B76,Flows!$C$2:$C$1500,"Output")</f>
        <v>3</v>
      </c>
      <c r="U76" s="19"/>
      <c r="V76" s="19"/>
      <c r="W76" s="19" t="s">
        <v>159</v>
      </c>
      <c r="X76" s="19"/>
    </row>
    <row r="77" customFormat="false" ht="15" hidden="false" customHeight="true" outlineLevel="0" collapsed="false">
      <c r="A77" s="19" t="s">
        <v>548</v>
      </c>
      <c r="B77" s="19" t="s">
        <v>549</v>
      </c>
      <c r="C77" s="19" t="s">
        <v>61</v>
      </c>
      <c r="D77" s="19"/>
      <c r="E77" s="19" t="s">
        <v>542</v>
      </c>
      <c r="F77" s="20" t="s">
        <v>550</v>
      </c>
      <c r="G77" s="21" t="n">
        <v>2500</v>
      </c>
      <c r="H77" s="21" t="n">
        <v>800</v>
      </c>
      <c r="I77" s="22" t="n">
        <f aca="false">IF(H77="",G77,MIN(G77,H77))</f>
        <v>800</v>
      </c>
      <c r="J77" s="23" t="n">
        <v>2</v>
      </c>
      <c r="K77" s="23" t="n">
        <v>0.2</v>
      </c>
      <c r="L77" s="23" t="n">
        <v>15</v>
      </c>
      <c r="M77" s="23" t="n">
        <v>10</v>
      </c>
      <c r="N77" s="23"/>
      <c r="O77" s="23"/>
      <c r="P77" s="23"/>
      <c r="Q77" s="24"/>
      <c r="R77" s="25" t="n">
        <v>1</v>
      </c>
      <c r="S77" s="19" t="n">
        <f aca="false">COUNTIFS(Flows!$B$2:$B$1500,$B77,Flows!$C$2:$C$1500,"Input")</f>
        <v>3</v>
      </c>
      <c r="T77" s="19" t="n">
        <f aca="false">COUNTIFS(Flows!$B$2:$B$1500,$B77,Flows!$C$2:$C$1500,"Output")</f>
        <v>2</v>
      </c>
      <c r="U77" s="19"/>
      <c r="V77" s="19"/>
      <c r="W77" s="19" t="s">
        <v>172</v>
      </c>
      <c r="X77" s="19"/>
    </row>
    <row r="78" customFormat="false" ht="15" hidden="false" customHeight="true" outlineLevel="0" collapsed="false">
      <c r="A78" s="19" t="s">
        <v>551</v>
      </c>
      <c r="B78" s="19" t="s">
        <v>552</v>
      </c>
      <c r="C78" s="19" t="s">
        <v>402</v>
      </c>
      <c r="D78" s="19"/>
      <c r="E78" s="19" t="s">
        <v>542</v>
      </c>
      <c r="F78" s="20" t="s">
        <v>553</v>
      </c>
      <c r="G78" s="21" t="n">
        <v>20</v>
      </c>
      <c r="H78" s="21" t="n">
        <v>5</v>
      </c>
      <c r="I78" s="22" t="n">
        <f aca="false">IF(H78="",G78,MIN(G78,H78))</f>
        <v>5</v>
      </c>
      <c r="J78" s="23" t="n">
        <v>1</v>
      </c>
      <c r="K78" s="23" t="n">
        <v>0.02</v>
      </c>
      <c r="L78" s="23" t="n">
        <v>300</v>
      </c>
      <c r="M78" s="23" t="n">
        <v>30</v>
      </c>
      <c r="N78" s="23"/>
      <c r="O78" s="23"/>
      <c r="P78" s="23"/>
      <c r="Q78" s="24"/>
      <c r="R78" s="25" t="n">
        <v>1</v>
      </c>
      <c r="S78" s="19" t="n">
        <f aca="false">COUNTIFS(Flows!$B$2:$B$1500,$B78,Flows!$C$2:$C$1500,"Input")</f>
        <v>3</v>
      </c>
      <c r="T78" s="19" t="n">
        <f aca="false">COUNTIFS(Flows!$B$2:$B$1500,$B78,Flows!$C$2:$C$1500,"Output")</f>
        <v>3</v>
      </c>
      <c r="U78" s="19"/>
      <c r="V78" s="19"/>
      <c r="W78" s="19" t="s">
        <v>172</v>
      </c>
      <c r="X78" s="19" t="s">
        <v>554</v>
      </c>
    </row>
    <row r="79" customFormat="false" ht="15" hidden="false" customHeight="true" outlineLevel="0" collapsed="false">
      <c r="A79" s="19" t="s">
        <v>555</v>
      </c>
      <c r="B79" s="19" t="s">
        <v>556</v>
      </c>
      <c r="C79" s="19" t="s">
        <v>557</v>
      </c>
      <c r="D79" s="19"/>
      <c r="E79" s="19" t="s">
        <v>558</v>
      </c>
      <c r="F79" s="20" t="s">
        <v>559</v>
      </c>
      <c r="G79" s="21" t="n">
        <v>150</v>
      </c>
      <c r="H79" s="21" t="n">
        <v>50</v>
      </c>
      <c r="I79" s="22" t="n">
        <f aca="false">IF(H79="",G79,MIN(G79,H79))</f>
        <v>50</v>
      </c>
      <c r="J79" s="23" t="n">
        <v>2</v>
      </c>
      <c r="K79" s="23" t="n">
        <v>0.5</v>
      </c>
      <c r="L79" s="23" t="n">
        <v>32</v>
      </c>
      <c r="M79" s="23" t="n">
        <v>10</v>
      </c>
      <c r="N79" s="23"/>
      <c r="O79" s="23"/>
      <c r="P79" s="23"/>
      <c r="Q79" s="24"/>
      <c r="R79" s="25" t="n">
        <v>1</v>
      </c>
      <c r="S79" s="19" t="n">
        <f aca="false">COUNTIFS(Flows!$B$2:$B$1500,$B79,Flows!$C$2:$C$1500,"Input")</f>
        <v>8</v>
      </c>
      <c r="T79" s="19" t="n">
        <f aca="false">COUNTIFS(Flows!$B$2:$B$1500,$B79,Flows!$C$2:$C$1500,"Output")</f>
        <v>1</v>
      </c>
      <c r="U79" s="19" t="s">
        <v>560</v>
      </c>
      <c r="V79" s="19" t="s">
        <v>561</v>
      </c>
      <c r="W79" s="19" t="s">
        <v>159</v>
      </c>
      <c r="X79" s="19" t="s">
        <v>562</v>
      </c>
    </row>
    <row r="80" customFormat="false" ht="15" hidden="false" customHeight="true" outlineLevel="0" collapsed="false">
      <c r="A80" s="19" t="s">
        <v>563</v>
      </c>
      <c r="B80" s="19" t="s">
        <v>564</v>
      </c>
      <c r="C80" s="19" t="s">
        <v>565</v>
      </c>
      <c r="D80" s="19"/>
      <c r="E80" s="19" t="s">
        <v>542</v>
      </c>
      <c r="F80" s="20" t="s">
        <v>566</v>
      </c>
      <c r="G80" s="21" t="n">
        <v>15000</v>
      </c>
      <c r="H80" s="21"/>
      <c r="I80" s="22" t="n">
        <f aca="false">IF(H80="",G80,MIN(G80,H80))</f>
        <v>15000</v>
      </c>
      <c r="J80" s="23" t="n">
        <v>16</v>
      </c>
      <c r="K80" s="23" t="n">
        <v>0.1</v>
      </c>
      <c r="L80" s="23" t="n">
        <v>10</v>
      </c>
      <c r="M80" s="23" t="n">
        <v>30</v>
      </c>
      <c r="N80" s="23"/>
      <c r="O80" s="23"/>
      <c r="P80" s="23"/>
      <c r="Q80" s="24"/>
      <c r="R80" s="25" t="n">
        <v>1</v>
      </c>
      <c r="S80" s="19" t="n">
        <f aca="false">COUNTIFS(Flows!$B$2:$B$1500,$B80,Flows!$C$2:$C$1500,"Input")</f>
        <v>2</v>
      </c>
      <c r="T80" s="19" t="n">
        <f aca="false">COUNTIFS(Flows!$B$2:$B$1500,$B80,Flows!$C$2:$C$1500,"Output")</f>
        <v>1</v>
      </c>
      <c r="U80" s="19"/>
      <c r="V80" s="19"/>
      <c r="W80" s="19" t="s">
        <v>172</v>
      </c>
      <c r="X80" s="19" t="s">
        <v>567</v>
      </c>
    </row>
    <row r="81" customFormat="false" ht="15" hidden="false" customHeight="true" outlineLevel="0" collapsed="false">
      <c r="A81" s="19" t="s">
        <v>568</v>
      </c>
      <c r="B81" s="19" t="s">
        <v>569</v>
      </c>
      <c r="C81" s="19" t="s">
        <v>55</v>
      </c>
      <c r="D81" s="19"/>
      <c r="E81" s="19" t="s">
        <v>570</v>
      </c>
      <c r="F81" s="20" t="s">
        <v>571</v>
      </c>
      <c r="G81" s="21" t="n">
        <v>85000</v>
      </c>
      <c r="H81" s="21" t="n">
        <v>35000</v>
      </c>
      <c r="I81" s="22" t="n">
        <f aca="false">IF(H81="",G81,MIN(G81,H81))</f>
        <v>35000</v>
      </c>
      <c r="J81" s="23" t="n">
        <v>600</v>
      </c>
      <c r="K81" s="23" t="n">
        <v>0.5</v>
      </c>
      <c r="L81" s="23" t="n">
        <v>300</v>
      </c>
      <c r="M81" s="23" t="n">
        <v>30</v>
      </c>
      <c r="N81" s="23" t="n">
        <v>250</v>
      </c>
      <c r="O81" s="23" t="n">
        <v>0.25</v>
      </c>
      <c r="P81" s="23"/>
      <c r="Q81" s="24"/>
      <c r="R81" s="25" t="n">
        <v>0</v>
      </c>
      <c r="S81" s="19" t="n">
        <f aca="false">COUNTIFS(Flows!$B$2:$B$1500,$B81,Flows!$C$2:$C$1500,"Input")</f>
        <v>4</v>
      </c>
      <c r="T81" s="19" t="n">
        <f aca="false">COUNTIFS(Flows!$B$2:$B$1500,$B81,Flows!$C$2:$C$1500,"Output")</f>
        <v>2</v>
      </c>
      <c r="U81" s="19"/>
      <c r="V81" s="19"/>
      <c r="W81" s="19" t="s">
        <v>172</v>
      </c>
      <c r="X81" s="19"/>
    </row>
    <row r="82" customFormat="false" ht="26.25" hidden="false" customHeight="true" outlineLevel="0" collapsed="false">
      <c r="A82" s="19" t="s">
        <v>572</v>
      </c>
      <c r="B82" s="19" t="s">
        <v>573</v>
      </c>
      <c r="C82" s="19" t="s">
        <v>55</v>
      </c>
      <c r="D82" s="19"/>
      <c r="E82" s="19" t="s">
        <v>570</v>
      </c>
      <c r="F82" s="20" t="s">
        <v>574</v>
      </c>
      <c r="G82" s="21" t="n">
        <v>300000</v>
      </c>
      <c r="H82" s="21" t="n">
        <v>120000</v>
      </c>
      <c r="I82" s="22" t="n">
        <f aca="false">IF(H82="",G82,MIN(G82,H82))</f>
        <v>120000</v>
      </c>
      <c r="J82" s="23" t="n">
        <v>3000</v>
      </c>
      <c r="K82" s="23" t="n">
        <v>1.5</v>
      </c>
      <c r="L82" s="23" t="n">
        <v>1400</v>
      </c>
      <c r="M82" s="23" t="n">
        <v>100</v>
      </c>
      <c r="N82" s="23" t="n">
        <v>1200</v>
      </c>
      <c r="O82" s="23" t="n">
        <v>0.08</v>
      </c>
      <c r="P82" s="23"/>
      <c r="Q82" s="24"/>
      <c r="R82" s="25" t="n">
        <v>0</v>
      </c>
      <c r="S82" s="19" t="n">
        <f aca="false">COUNTIFS(Flows!$B$2:$B$1500,$B82,Flows!$C$2:$C$1500,"Input")</f>
        <v>5</v>
      </c>
      <c r="T82" s="19" t="n">
        <f aca="false">COUNTIFS(Flows!$B$2:$B$1500,$B82,Flows!$C$2:$C$1500,"Output")</f>
        <v>5</v>
      </c>
      <c r="U82" s="19"/>
      <c r="V82" s="19"/>
      <c r="W82" s="19" t="s">
        <v>172</v>
      </c>
      <c r="X82" s="19"/>
    </row>
    <row r="83" customFormat="false" ht="26.25" hidden="false" customHeight="true" outlineLevel="0" collapsed="false">
      <c r="A83" s="19" t="s">
        <v>575</v>
      </c>
      <c r="B83" s="19" t="s">
        <v>576</v>
      </c>
      <c r="C83" s="19" t="s">
        <v>55</v>
      </c>
      <c r="D83" s="19"/>
      <c r="E83" s="19" t="s">
        <v>570</v>
      </c>
      <c r="F83" s="20" t="s">
        <v>577</v>
      </c>
      <c r="G83" s="21" t="n">
        <v>90000</v>
      </c>
      <c r="H83" s="21" t="n">
        <v>25000</v>
      </c>
      <c r="I83" s="22" t="n">
        <f aca="false">IF(H83="",G83,MIN(G83,H83))</f>
        <v>25000</v>
      </c>
      <c r="J83" s="23" t="n">
        <v>2500</v>
      </c>
      <c r="K83" s="23" t="n">
        <v>0.5</v>
      </c>
      <c r="L83" s="23" t="n">
        <v>700</v>
      </c>
      <c r="M83" s="23" t="n">
        <v>100</v>
      </c>
      <c r="N83" s="23" t="n">
        <v>600</v>
      </c>
      <c r="O83" s="23" t="n">
        <v>0.22</v>
      </c>
      <c r="P83" s="23"/>
      <c r="Q83" s="24"/>
      <c r="R83" s="25" t="n">
        <v>0</v>
      </c>
      <c r="S83" s="19" t="n">
        <f aca="false">COUNTIFS(Flows!$B$2:$B$1500,$B83,Flows!$C$2:$C$1500,"Input")</f>
        <v>4</v>
      </c>
      <c r="T83" s="19" t="n">
        <f aca="false">COUNTIFS(Flows!$B$2:$B$1500,$B83,Flows!$C$2:$C$1500,"Output")</f>
        <v>2</v>
      </c>
      <c r="U83" s="19"/>
      <c r="V83" s="19"/>
      <c r="W83" s="19" t="s">
        <v>172</v>
      </c>
      <c r="X83" s="19"/>
    </row>
    <row r="84" customFormat="false" ht="15" hidden="false" customHeight="true" outlineLevel="0" collapsed="false">
      <c r="A84" s="19" t="s">
        <v>578</v>
      </c>
      <c r="B84" s="19" t="s">
        <v>579</v>
      </c>
      <c r="C84" s="19" t="s">
        <v>55</v>
      </c>
      <c r="D84" s="19"/>
      <c r="E84" s="19" t="s">
        <v>570</v>
      </c>
      <c r="F84" s="20" t="s">
        <v>580</v>
      </c>
      <c r="G84" s="21" t="n">
        <v>200000</v>
      </c>
      <c r="H84" s="21" t="n">
        <v>70000</v>
      </c>
      <c r="I84" s="22" t="n">
        <f aca="false">IF(H84="",G84,MIN(G84,H84))</f>
        <v>70000</v>
      </c>
      <c r="J84" s="23" t="n">
        <v>2000</v>
      </c>
      <c r="K84" s="23" t="n">
        <v>1</v>
      </c>
      <c r="L84" s="23" t="n">
        <v>1100</v>
      </c>
      <c r="M84" s="23" t="n">
        <v>80</v>
      </c>
      <c r="N84" s="23" t="n">
        <v>1000</v>
      </c>
      <c r="O84" s="23" t="n">
        <v>0.12</v>
      </c>
      <c r="P84" s="23"/>
      <c r="Q84" s="24"/>
      <c r="R84" s="25" t="n">
        <v>0</v>
      </c>
      <c r="S84" s="19" t="n">
        <f aca="false">COUNTIFS(Flows!$B$2:$B$1500,$B84,Flows!$C$2:$C$1500,"Input")</f>
        <v>4</v>
      </c>
      <c r="T84" s="19" t="n">
        <f aca="false">COUNTIFS(Flows!$B$2:$B$1500,$B84,Flows!$C$2:$C$1500,"Output")</f>
        <v>2</v>
      </c>
      <c r="U84" s="19"/>
      <c r="V84" s="19"/>
      <c r="W84" s="19" t="s">
        <v>172</v>
      </c>
      <c r="X84" s="19" t="s">
        <v>581</v>
      </c>
    </row>
    <row r="85" customFormat="false" ht="15" hidden="false" customHeight="true" outlineLevel="0" collapsed="false">
      <c r="A85" s="19" t="s">
        <v>582</v>
      </c>
      <c r="B85" s="19" t="s">
        <v>583</v>
      </c>
      <c r="C85" s="19" t="s">
        <v>55</v>
      </c>
      <c r="D85" s="19"/>
      <c r="E85" s="19" t="s">
        <v>570</v>
      </c>
      <c r="F85" s="20" t="s">
        <v>584</v>
      </c>
      <c r="G85" s="21" t="n">
        <v>150000</v>
      </c>
      <c r="H85" s="21" t="n">
        <v>60000</v>
      </c>
      <c r="I85" s="22" t="n">
        <f aca="false">IF(H85="",G85,MIN(G85,H85))</f>
        <v>60000</v>
      </c>
      <c r="J85" s="23" t="n">
        <v>1500</v>
      </c>
      <c r="K85" s="23" t="n">
        <v>1</v>
      </c>
      <c r="L85" s="23" t="n">
        <v>800</v>
      </c>
      <c r="M85" s="23" t="n">
        <v>80</v>
      </c>
      <c r="N85" s="23" t="n">
        <v>700</v>
      </c>
      <c r="O85" s="23" t="n">
        <v>0.28</v>
      </c>
      <c r="P85" s="23"/>
      <c r="Q85" s="24"/>
      <c r="R85" s="25" t="n">
        <v>0</v>
      </c>
      <c r="S85" s="19" t="n">
        <f aca="false">COUNTIFS(Flows!$B$2:$B$1500,$B85,Flows!$C$2:$C$1500,"Input")</f>
        <v>3</v>
      </c>
      <c r="T85" s="19" t="n">
        <f aca="false">COUNTIFS(Flows!$B$2:$B$1500,$B85,Flows!$C$2:$C$1500,"Output")</f>
        <v>2</v>
      </c>
      <c r="U85" s="19"/>
      <c r="V85" s="19"/>
      <c r="W85" s="19" t="s">
        <v>172</v>
      </c>
      <c r="X85" s="19"/>
    </row>
    <row r="86" customFormat="false" ht="15" hidden="false" customHeight="true" outlineLevel="0" collapsed="false">
      <c r="A86" s="19" t="s">
        <v>585</v>
      </c>
      <c r="B86" s="19" t="s">
        <v>586</v>
      </c>
      <c r="C86" s="19" t="s">
        <v>55</v>
      </c>
      <c r="D86" s="19"/>
      <c r="E86" s="19" t="s">
        <v>570</v>
      </c>
      <c r="F86" s="20" t="s">
        <v>587</v>
      </c>
      <c r="G86" s="21" t="n">
        <v>60000</v>
      </c>
      <c r="H86" s="21" t="n">
        <v>30000</v>
      </c>
      <c r="I86" s="22" t="n">
        <f aca="false">IF(H86="",G86,MIN(G86,H86))</f>
        <v>30000</v>
      </c>
      <c r="J86" s="23" t="n">
        <v>400</v>
      </c>
      <c r="K86" s="23" t="n">
        <v>0.5</v>
      </c>
      <c r="L86" s="23" t="n">
        <v>330</v>
      </c>
      <c r="M86" s="23" t="n">
        <v>40</v>
      </c>
      <c r="N86" s="23" t="n">
        <v>320</v>
      </c>
      <c r="O86" s="23" t="n">
        <v>0.3</v>
      </c>
      <c r="P86" s="23"/>
      <c r="Q86" s="24"/>
      <c r="R86" s="25" t="n">
        <v>0</v>
      </c>
      <c r="S86" s="19" t="n">
        <f aca="false">COUNTIFS(Flows!$B$2:$B$1500,$B86,Flows!$C$2:$C$1500,"Input")</f>
        <v>3</v>
      </c>
      <c r="T86" s="19" t="n">
        <f aca="false">COUNTIFS(Flows!$B$2:$B$1500,$B86,Flows!$C$2:$C$1500,"Output")</f>
        <v>2</v>
      </c>
      <c r="U86" s="19"/>
      <c r="V86" s="19"/>
      <c r="W86" s="19" t="s">
        <v>172</v>
      </c>
      <c r="X86" s="19"/>
    </row>
    <row r="87" customFormat="false" ht="15" hidden="false" customHeight="true" outlineLevel="0" collapsed="false">
      <c r="A87" s="19" t="s">
        <v>588</v>
      </c>
      <c r="B87" s="19" t="s">
        <v>589</v>
      </c>
      <c r="C87" s="19" t="s">
        <v>55</v>
      </c>
      <c r="D87" s="19"/>
      <c r="E87" s="19" t="s">
        <v>570</v>
      </c>
      <c r="F87" s="20" t="s">
        <v>590</v>
      </c>
      <c r="G87" s="21" t="n">
        <v>90000</v>
      </c>
      <c r="H87" s="21" t="n">
        <v>40000</v>
      </c>
      <c r="I87" s="22" t="n">
        <f aca="false">IF(H87="",G87,MIN(G87,H87))</f>
        <v>40000</v>
      </c>
      <c r="J87" s="23" t="n">
        <v>1000</v>
      </c>
      <c r="K87" s="23" t="n">
        <v>1</v>
      </c>
      <c r="L87" s="23" t="n">
        <v>750</v>
      </c>
      <c r="M87" s="23" t="n">
        <v>50</v>
      </c>
      <c r="N87" s="23" t="n">
        <v>700</v>
      </c>
      <c r="O87" s="23" t="n">
        <v>0.2</v>
      </c>
      <c r="P87" s="23"/>
      <c r="Q87" s="24"/>
      <c r="R87" s="25" t="n">
        <v>0</v>
      </c>
      <c r="S87" s="19" t="n">
        <f aca="false">COUNTIFS(Flows!$B$2:$B$1500,$B87,Flows!$C$2:$C$1500,"Input")</f>
        <v>3</v>
      </c>
      <c r="T87" s="19" t="n">
        <f aca="false">COUNTIFS(Flows!$B$2:$B$1500,$B87,Flows!$C$2:$C$1500,"Output")</f>
        <v>2</v>
      </c>
      <c r="U87" s="19"/>
      <c r="V87" s="19"/>
      <c r="W87" s="19" t="s">
        <v>172</v>
      </c>
      <c r="X87" s="19"/>
    </row>
    <row r="88" customFormat="false" ht="15" hidden="false" customHeight="true" outlineLevel="0" collapsed="false">
      <c r="A88" s="19" t="s">
        <v>591</v>
      </c>
      <c r="B88" s="19" t="s">
        <v>592</v>
      </c>
      <c r="C88" s="19" t="s">
        <v>200</v>
      </c>
      <c r="D88" s="19"/>
      <c r="E88" s="19" t="s">
        <v>570</v>
      </c>
      <c r="F88" s="20" t="s">
        <v>593</v>
      </c>
      <c r="G88" s="21" t="n">
        <v>1500</v>
      </c>
      <c r="H88" s="21" t="n">
        <v>600</v>
      </c>
      <c r="I88" s="22" t="n">
        <f aca="false">IF(H88="",G88,MIN(G88,H88))</f>
        <v>600</v>
      </c>
      <c r="J88" s="23" t="n">
        <v>4</v>
      </c>
      <c r="K88" s="23" t="n">
        <v>0.25</v>
      </c>
      <c r="L88" s="23" t="n">
        <v>230</v>
      </c>
      <c r="M88" s="23" t="n">
        <v>8</v>
      </c>
      <c r="N88" s="23" t="n">
        <v>224</v>
      </c>
      <c r="O88" s="23" t="n">
        <v>1.3</v>
      </c>
      <c r="P88" s="23"/>
      <c r="Q88" s="24"/>
      <c r="R88" s="25" t="n">
        <v>0</v>
      </c>
      <c r="S88" s="19" t="n">
        <f aca="false">COUNTIFS(Flows!$B$2:$B$1500,$B88,Flows!$C$2:$C$1500,"Input")</f>
        <v>3</v>
      </c>
      <c r="T88" s="19" t="n">
        <f aca="false">COUNTIFS(Flows!$B$2:$B$1500,$B88,Flows!$C$2:$C$1500,"Output")</f>
        <v>1</v>
      </c>
      <c r="U88" s="19"/>
      <c r="V88" s="19"/>
      <c r="W88" s="19" t="s">
        <v>159</v>
      </c>
      <c r="X88" s="19"/>
    </row>
    <row r="89" customFormat="false" ht="15" hidden="false" customHeight="true" outlineLevel="0" collapsed="false">
      <c r="A89" s="19" t="s">
        <v>594</v>
      </c>
      <c r="B89" s="19" t="s">
        <v>595</v>
      </c>
      <c r="C89" s="19" t="s">
        <v>55</v>
      </c>
      <c r="D89" s="19"/>
      <c r="E89" s="19" t="s">
        <v>570</v>
      </c>
      <c r="F89" s="20" t="s">
        <v>596</v>
      </c>
      <c r="G89" s="21" t="n">
        <v>12000</v>
      </c>
      <c r="H89" s="21" t="n">
        <v>3000</v>
      </c>
      <c r="I89" s="22" t="n">
        <f aca="false">IF(H89="",G89,MIN(G89,H89))</f>
        <v>3000</v>
      </c>
      <c r="J89" s="23" t="n">
        <v>800</v>
      </c>
      <c r="K89" s="23" t="n">
        <v>0.25</v>
      </c>
      <c r="L89" s="23" t="n">
        <v>260</v>
      </c>
      <c r="M89" s="23" t="n">
        <v>60</v>
      </c>
      <c r="N89" s="23" t="n">
        <v>200</v>
      </c>
      <c r="O89" s="23" t="n">
        <v>0.25</v>
      </c>
      <c r="P89" s="23"/>
      <c r="Q89" s="24"/>
      <c r="R89" s="25" t="n">
        <v>0</v>
      </c>
      <c r="S89" s="19" t="n">
        <f aca="false">COUNTIFS(Flows!$B$2:$B$1500,$B89,Flows!$C$2:$C$1500,"Input")</f>
        <v>4</v>
      </c>
      <c r="T89" s="19" t="n">
        <f aca="false">COUNTIFS(Flows!$B$2:$B$1500,$B89,Flows!$C$2:$C$1500,"Output")</f>
        <v>2</v>
      </c>
      <c r="U89" s="19"/>
      <c r="V89" s="19"/>
      <c r="W89" s="19" t="s">
        <v>172</v>
      </c>
      <c r="X89" s="19"/>
    </row>
    <row r="90" customFormat="false" ht="15" hidden="false" customHeight="true" outlineLevel="0" collapsed="false">
      <c r="A90" s="19" t="s">
        <v>597</v>
      </c>
      <c r="B90" s="19" t="s">
        <v>598</v>
      </c>
      <c r="C90" s="19" t="s">
        <v>200</v>
      </c>
      <c r="D90" s="19"/>
      <c r="E90" s="19" t="s">
        <v>570</v>
      </c>
      <c r="F90" s="20" t="s">
        <v>599</v>
      </c>
      <c r="G90" s="21" t="n">
        <v>250</v>
      </c>
      <c r="H90" s="21" t="n">
        <v>80</v>
      </c>
      <c r="I90" s="22" t="n">
        <f aca="false">IF(H90="",G90,MIN(G90,H90))</f>
        <v>80</v>
      </c>
      <c r="J90" s="23" t="n">
        <v>1</v>
      </c>
      <c r="K90" s="23" t="n">
        <v>0.1</v>
      </c>
      <c r="L90" s="23" t="n">
        <v>60</v>
      </c>
      <c r="M90" s="23" t="n">
        <v>3</v>
      </c>
      <c r="N90" s="23" t="n">
        <v>40</v>
      </c>
      <c r="O90" s="23" t="n">
        <v>3</v>
      </c>
      <c r="P90" s="23"/>
      <c r="Q90" s="24"/>
      <c r="R90" s="25" t="n">
        <v>0</v>
      </c>
      <c r="S90" s="19" t="n">
        <f aca="false">COUNTIFS(Flows!$B$2:$B$1500,$B90,Flows!$C$2:$C$1500,"Input")</f>
        <v>3</v>
      </c>
      <c r="T90" s="19" t="n">
        <f aca="false">COUNTIFS(Flows!$B$2:$B$1500,$B90,Flows!$C$2:$C$1500,"Output")</f>
        <v>1</v>
      </c>
      <c r="U90" s="19"/>
      <c r="V90" s="19"/>
      <c r="W90" s="19" t="s">
        <v>172</v>
      </c>
      <c r="X90" s="19" t="s">
        <v>600</v>
      </c>
    </row>
    <row r="91" customFormat="false" ht="26.25" hidden="false" customHeight="true" outlineLevel="0" collapsed="false">
      <c r="A91" s="19" t="s">
        <v>601</v>
      </c>
      <c r="B91" s="19" t="s">
        <v>602</v>
      </c>
      <c r="C91" s="19" t="s">
        <v>55</v>
      </c>
      <c r="D91" s="19"/>
      <c r="E91" s="19" t="s">
        <v>570</v>
      </c>
      <c r="F91" s="20" t="s">
        <v>603</v>
      </c>
      <c r="G91" s="21" t="n">
        <v>525000</v>
      </c>
      <c r="H91" s="21"/>
      <c r="I91" s="22" t="n">
        <f aca="false">IF(H91="",G91,MIN(G91,H91))</f>
        <v>525000</v>
      </c>
      <c r="J91" s="23" t="n">
        <v>0</v>
      </c>
      <c r="K91" s="23" t="n">
        <v>1</v>
      </c>
      <c r="L91" s="23" t="n">
        <v>1600</v>
      </c>
      <c r="M91" s="23" t="n">
        <v>80</v>
      </c>
      <c r="N91" s="23" t="n">
        <v>1500</v>
      </c>
      <c r="O91" s="23" t="n">
        <v>0.05</v>
      </c>
      <c r="P91" s="23"/>
      <c r="Q91" s="24"/>
      <c r="R91" s="25" t="n">
        <v>0</v>
      </c>
      <c r="S91" s="19" t="n">
        <f aca="false">COUNTIFS(Flows!$B$2:$B$1500,$B91,Flows!$C$2:$C$1500,"Input")</f>
        <v>4</v>
      </c>
      <c r="T91" s="19" t="n">
        <f aca="false">COUNTIFS(Flows!$B$2:$B$1500,$B91,Flows!$C$2:$C$1500,"Output")</f>
        <v>2</v>
      </c>
      <c r="U91" s="19"/>
      <c r="V91" s="19"/>
      <c r="W91" s="19" t="s">
        <v>159</v>
      </c>
      <c r="X91" s="19"/>
    </row>
    <row r="92" customFormat="false" ht="15" hidden="false" customHeight="true" outlineLevel="0" collapsed="false">
      <c r="A92" s="19" t="s">
        <v>604</v>
      </c>
      <c r="B92" s="19" t="s">
        <v>605</v>
      </c>
      <c r="C92" s="19" t="s">
        <v>55</v>
      </c>
      <c r="D92" s="19"/>
      <c r="E92" s="19" t="s">
        <v>570</v>
      </c>
      <c r="F92" s="20" t="s">
        <v>606</v>
      </c>
      <c r="G92" s="21" t="n">
        <v>15000</v>
      </c>
      <c r="H92" s="21" t="n">
        <v>5000</v>
      </c>
      <c r="I92" s="22" t="n">
        <f aca="false">IF(H92="",G92,MIN(G92,H92))</f>
        <v>5000</v>
      </c>
      <c r="J92" s="23" t="n">
        <v>200</v>
      </c>
      <c r="K92" s="23" t="n">
        <v>0.5</v>
      </c>
      <c r="L92" s="23" t="n">
        <v>150</v>
      </c>
      <c r="M92" s="23" t="n">
        <v>25</v>
      </c>
      <c r="N92" s="23" t="n">
        <v>250</v>
      </c>
      <c r="O92" s="23" t="n">
        <v>0.45</v>
      </c>
      <c r="P92" s="23"/>
      <c r="Q92" s="24"/>
      <c r="R92" s="25" t="n">
        <v>0</v>
      </c>
      <c r="S92" s="19" t="n">
        <f aca="false">COUNTIFS(Flows!$B$2:$B$1500,$B92,Flows!$C$2:$C$1500,"Input")</f>
        <v>3</v>
      </c>
      <c r="T92" s="19" t="n">
        <f aca="false">COUNTIFS(Flows!$B$2:$B$1500,$B92,Flows!$C$2:$C$1500,"Output")</f>
        <v>3</v>
      </c>
      <c r="U92" s="19"/>
      <c r="V92" s="19"/>
      <c r="W92" s="19" t="s">
        <v>172</v>
      </c>
      <c r="X92" s="19" t="s">
        <v>607</v>
      </c>
    </row>
    <row r="93" customFormat="false" ht="15" hidden="false" customHeight="true" outlineLevel="0" collapsed="false">
      <c r="A93" s="19" t="s">
        <v>608</v>
      </c>
      <c r="B93" s="19" t="s">
        <v>609</v>
      </c>
      <c r="C93" s="19" t="s">
        <v>155</v>
      </c>
      <c r="D93" s="19"/>
      <c r="E93" s="19" t="s">
        <v>570</v>
      </c>
      <c r="F93" s="20" t="s">
        <v>610</v>
      </c>
      <c r="G93" s="21" t="n">
        <v>3500</v>
      </c>
      <c r="H93" s="21" t="n">
        <v>2500</v>
      </c>
      <c r="I93" s="22" t="n">
        <f aca="false">IF(H93="",G93,MIN(G93,H93))</f>
        <v>2500</v>
      </c>
      <c r="J93" s="23" t="n">
        <v>4</v>
      </c>
      <c r="K93" s="23" t="n">
        <v>0.05</v>
      </c>
      <c r="L93" s="23" t="n">
        <v>6</v>
      </c>
      <c r="M93" s="23" t="n">
        <v>12</v>
      </c>
      <c r="N93" s="23"/>
      <c r="O93" s="23"/>
      <c r="P93" s="23"/>
      <c r="Q93" s="24"/>
      <c r="R93" s="25" t="n">
        <v>0</v>
      </c>
      <c r="S93" s="19" t="n">
        <f aca="false">COUNTIFS(Flows!$B$2:$B$1500,$B93,Flows!$C$2:$C$1500,"Input")</f>
        <v>2</v>
      </c>
      <c r="T93" s="19" t="n">
        <f aca="false">COUNTIFS(Flows!$B$2:$B$1500,$B93,Flows!$C$2:$C$1500,"Output")</f>
        <v>2</v>
      </c>
      <c r="U93" s="19"/>
      <c r="V93" s="19"/>
      <c r="W93" s="19" t="s">
        <v>159</v>
      </c>
      <c r="X93" s="19"/>
    </row>
    <row r="94" customFormat="false" ht="15" hidden="false" customHeight="true" outlineLevel="0" collapsed="false">
      <c r="A94" s="19" t="s">
        <v>611</v>
      </c>
      <c r="B94" s="19" t="s">
        <v>612</v>
      </c>
      <c r="C94" s="19" t="s">
        <v>613</v>
      </c>
      <c r="D94" s="19"/>
      <c r="E94" s="19" t="s">
        <v>570</v>
      </c>
      <c r="F94" s="20" t="s">
        <v>614</v>
      </c>
      <c r="G94" s="21" t="n">
        <v>6000</v>
      </c>
      <c r="H94" s="21" t="n">
        <v>3500</v>
      </c>
      <c r="I94" s="22" t="n">
        <f aca="false">IF(H94="",G94,MIN(G94,H94))</f>
        <v>3500</v>
      </c>
      <c r="J94" s="23" t="n">
        <v>24</v>
      </c>
      <c r="K94" s="23" t="n">
        <v>0.25</v>
      </c>
      <c r="L94" s="23" t="n">
        <v>100</v>
      </c>
      <c r="M94" s="23" t="n">
        <v>20</v>
      </c>
      <c r="N94" s="23"/>
      <c r="O94" s="23"/>
      <c r="P94" s="23"/>
      <c r="Q94" s="24"/>
      <c r="R94" s="25" t="n">
        <v>0</v>
      </c>
      <c r="S94" s="19" t="n">
        <f aca="false">COUNTIFS(Flows!$B$2:$B$1500,$B94,Flows!$C$2:$C$1500,"Input")</f>
        <v>2</v>
      </c>
      <c r="T94" s="19" t="n">
        <f aca="false">COUNTIFS(Flows!$B$2:$B$1500,$B94,Flows!$C$2:$C$1500,"Output")</f>
        <v>1</v>
      </c>
      <c r="U94" s="19"/>
      <c r="V94" s="19"/>
      <c r="W94" s="19" t="s">
        <v>172</v>
      </c>
      <c r="X94" s="19"/>
    </row>
    <row r="95" customFormat="false" ht="15" hidden="false" customHeight="true" outlineLevel="0" collapsed="false">
      <c r="A95" s="19" t="s">
        <v>615</v>
      </c>
      <c r="B95" s="19" t="s">
        <v>616</v>
      </c>
      <c r="C95" s="19" t="s">
        <v>617</v>
      </c>
      <c r="D95" s="19"/>
      <c r="E95" s="19" t="s">
        <v>570</v>
      </c>
      <c r="F95" s="20" t="s">
        <v>618</v>
      </c>
      <c r="G95" s="21" t="n">
        <v>4500</v>
      </c>
      <c r="H95" s="21" t="n">
        <v>2000</v>
      </c>
      <c r="I95" s="22" t="n">
        <f aca="false">IF(H95="",G95,MIN(G95,H95))</f>
        <v>2000</v>
      </c>
      <c r="J95" s="23" t="n">
        <v>40</v>
      </c>
      <c r="K95" s="23" t="n">
        <v>0.5</v>
      </c>
      <c r="L95" s="23" t="n">
        <v>20</v>
      </c>
      <c r="M95" s="23" t="n">
        <v>20</v>
      </c>
      <c r="N95" s="23"/>
      <c r="O95" s="23"/>
      <c r="P95" s="23"/>
      <c r="Q95" s="24"/>
      <c r="R95" s="25" t="n">
        <v>0</v>
      </c>
      <c r="S95" s="19" t="n">
        <f aca="false">COUNTIFS(Flows!$B$2:$B$1500,$B95,Flows!$C$2:$C$1500,"Input")</f>
        <v>2</v>
      </c>
      <c r="T95" s="19" t="n">
        <f aca="false">COUNTIFS(Flows!$B$2:$B$1500,$B95,Flows!$C$2:$C$1500,"Output")</f>
        <v>1</v>
      </c>
      <c r="U95" s="19"/>
      <c r="V95" s="19"/>
      <c r="W95" s="19" t="s">
        <v>172</v>
      </c>
      <c r="X95" s="19"/>
    </row>
    <row r="96" customFormat="false" ht="15" hidden="false" customHeight="true" outlineLevel="0" collapsed="false">
      <c r="A96" s="19" t="s">
        <v>619</v>
      </c>
      <c r="B96" s="19" t="s">
        <v>620</v>
      </c>
      <c r="C96" s="19" t="s">
        <v>311</v>
      </c>
      <c r="D96" s="19"/>
      <c r="E96" s="19" t="s">
        <v>570</v>
      </c>
      <c r="F96" s="20" t="s">
        <v>621</v>
      </c>
      <c r="G96" s="21" t="n">
        <v>900</v>
      </c>
      <c r="H96" s="21"/>
      <c r="I96" s="22" t="n">
        <f aca="false">IF(H96="",G96,MIN(G96,H96))</f>
        <v>900</v>
      </c>
      <c r="J96" s="23" t="n">
        <v>1</v>
      </c>
      <c r="K96" s="23" t="n">
        <v>0.25</v>
      </c>
      <c r="L96" s="23" t="n">
        <v>6</v>
      </c>
      <c r="M96" s="23" t="n">
        <v>8</v>
      </c>
      <c r="N96" s="23"/>
      <c r="O96" s="23"/>
      <c r="P96" s="23"/>
      <c r="Q96" s="24"/>
      <c r="R96" s="25" t="n">
        <v>0</v>
      </c>
      <c r="S96" s="19" t="n">
        <f aca="false">COUNTIFS(Flows!$B$2:$B$1500,$B96,Flows!$C$2:$C$1500,"Input")</f>
        <v>2</v>
      </c>
      <c r="T96" s="19" t="n">
        <f aca="false">COUNTIFS(Flows!$B$2:$B$1500,$B96,Flows!$C$2:$C$1500,"Output")</f>
        <v>1</v>
      </c>
      <c r="U96" s="19"/>
      <c r="V96" s="19"/>
      <c r="W96" s="19" t="s">
        <v>159</v>
      </c>
      <c r="X96" s="19"/>
    </row>
    <row r="97" customFormat="false" ht="15" hidden="false" customHeight="true" outlineLevel="0" collapsed="false">
      <c r="A97" s="19" t="s">
        <v>622</v>
      </c>
      <c r="B97" s="19" t="s">
        <v>623</v>
      </c>
      <c r="C97" s="19" t="s">
        <v>613</v>
      </c>
      <c r="D97" s="19"/>
      <c r="E97" s="19" t="s">
        <v>570</v>
      </c>
      <c r="F97" s="20" t="s">
        <v>624</v>
      </c>
      <c r="G97" s="21" t="n">
        <v>5000</v>
      </c>
      <c r="H97" s="21"/>
      <c r="I97" s="22" t="n">
        <f aca="false">IF(H97="",G97,MIN(G97,H97))</f>
        <v>5000</v>
      </c>
      <c r="J97" s="23" t="n">
        <v>8</v>
      </c>
      <c r="K97" s="23" t="n">
        <v>0.25</v>
      </c>
      <c r="L97" s="23" t="n">
        <v>10</v>
      </c>
      <c r="M97" s="23" t="n">
        <v>20</v>
      </c>
      <c r="N97" s="23"/>
      <c r="O97" s="23"/>
      <c r="P97" s="23"/>
      <c r="Q97" s="24"/>
      <c r="R97" s="25" t="n">
        <v>0</v>
      </c>
      <c r="S97" s="19" t="n">
        <f aca="false">COUNTIFS(Flows!$B$2:$B$1500,$B97,Flows!$C$2:$C$1500,"Input")</f>
        <v>2</v>
      </c>
      <c r="T97" s="19" t="n">
        <f aca="false">COUNTIFS(Flows!$B$2:$B$1500,$B97,Flows!$C$2:$C$1500,"Output")</f>
        <v>1</v>
      </c>
      <c r="U97" s="19"/>
      <c r="V97" s="19"/>
      <c r="W97" s="19" t="s">
        <v>172</v>
      </c>
      <c r="X97" s="19"/>
    </row>
    <row r="98" customFormat="false" ht="26.25" hidden="false" customHeight="true" outlineLevel="0" collapsed="false">
      <c r="A98" s="19" t="s">
        <v>625</v>
      </c>
      <c r="B98" s="19" t="s">
        <v>626</v>
      </c>
      <c r="C98" s="19" t="s">
        <v>613</v>
      </c>
      <c r="D98" s="19"/>
      <c r="E98" s="19" t="s">
        <v>570</v>
      </c>
      <c r="F98" s="20" t="s">
        <v>627</v>
      </c>
      <c r="G98" s="21" t="n">
        <v>1500</v>
      </c>
      <c r="H98" s="21" t="n">
        <v>1100</v>
      </c>
      <c r="I98" s="22" t="n">
        <f aca="false">IF(H98="",G98,MIN(G98,H98))</f>
        <v>1100</v>
      </c>
      <c r="J98" s="23" t="n">
        <v>6</v>
      </c>
      <c r="K98" s="23" t="n">
        <v>0.05</v>
      </c>
      <c r="L98" s="23" t="n">
        <v>2</v>
      </c>
      <c r="M98" s="23" t="n">
        <v>12</v>
      </c>
      <c r="N98" s="23"/>
      <c r="O98" s="23"/>
      <c r="P98" s="23"/>
      <c r="Q98" s="24"/>
      <c r="R98" s="25" t="n">
        <v>0</v>
      </c>
      <c r="S98" s="19" t="n">
        <f aca="false">COUNTIFS(Flows!$B$2:$B$1500,$B98,Flows!$C$2:$C$1500,"Input")</f>
        <v>2</v>
      </c>
      <c r="T98" s="19" t="n">
        <f aca="false">COUNTIFS(Flows!$B$2:$B$1500,$B98,Flows!$C$2:$C$1500,"Output")</f>
        <v>1</v>
      </c>
      <c r="U98" s="19"/>
      <c r="V98" s="19"/>
      <c r="W98" s="19" t="s">
        <v>172</v>
      </c>
      <c r="X98" s="19" t="s">
        <v>628</v>
      </c>
    </row>
    <row r="99" customFormat="false" ht="15" hidden="false" customHeight="true" outlineLevel="0" collapsed="false">
      <c r="A99" s="19" t="s">
        <v>629</v>
      </c>
      <c r="B99" s="19" t="s">
        <v>630</v>
      </c>
      <c r="C99" s="19" t="s">
        <v>613</v>
      </c>
      <c r="D99" s="19"/>
      <c r="E99" s="19" t="s">
        <v>570</v>
      </c>
      <c r="F99" s="20" t="s">
        <v>631</v>
      </c>
      <c r="G99" s="21" t="n">
        <v>800</v>
      </c>
      <c r="H99" s="21"/>
      <c r="I99" s="22" t="n">
        <f aca="false">IF(H99="",G99,MIN(G99,H99))</f>
        <v>800</v>
      </c>
      <c r="J99" s="23" t="n">
        <v>0.25</v>
      </c>
      <c r="K99" s="23" t="n">
        <v>0.05</v>
      </c>
      <c r="L99" s="23" t="n">
        <v>1</v>
      </c>
      <c r="M99" s="23" t="n">
        <v>8</v>
      </c>
      <c r="N99" s="23"/>
      <c r="O99" s="23"/>
      <c r="P99" s="23"/>
      <c r="Q99" s="24"/>
      <c r="R99" s="25" t="n">
        <v>0</v>
      </c>
      <c r="S99" s="19" t="n">
        <f aca="false">COUNTIFS(Flows!$B$2:$B$1500,$B99,Flows!$C$2:$C$1500,"Input")</f>
        <v>2</v>
      </c>
      <c r="T99" s="19" t="n">
        <f aca="false">COUNTIFS(Flows!$B$2:$B$1500,$B99,Flows!$C$2:$C$1500,"Output")</f>
        <v>2</v>
      </c>
      <c r="U99" s="19"/>
      <c r="V99" s="19"/>
      <c r="W99" s="19" t="s">
        <v>172</v>
      </c>
      <c r="X99" s="19"/>
    </row>
    <row r="100" customFormat="false" ht="15" hidden="false" customHeight="true" outlineLevel="0" collapsed="false">
      <c r="A100" s="19" t="s">
        <v>632</v>
      </c>
      <c r="B100" s="19" t="s">
        <v>633</v>
      </c>
      <c r="C100" s="19" t="s">
        <v>163</v>
      </c>
      <c r="D100" s="19"/>
      <c r="E100" s="19" t="s">
        <v>570</v>
      </c>
      <c r="F100" s="20" t="s">
        <v>634</v>
      </c>
      <c r="G100" s="21" t="n">
        <v>18000</v>
      </c>
      <c r="H100" s="21" t="n">
        <v>9000</v>
      </c>
      <c r="I100" s="22" t="n">
        <f aca="false">IF(H100="",G100,MIN(G100,H100))</f>
        <v>9000</v>
      </c>
      <c r="J100" s="23" t="n">
        <v>60</v>
      </c>
      <c r="K100" s="23" t="n">
        <v>0.1</v>
      </c>
      <c r="L100" s="23" t="n">
        <v>350</v>
      </c>
      <c r="M100" s="23" t="n">
        <v>25</v>
      </c>
      <c r="N100" s="23"/>
      <c r="O100" s="23"/>
      <c r="P100" s="23"/>
      <c r="Q100" s="24"/>
      <c r="R100" s="25" t="n">
        <v>0</v>
      </c>
      <c r="S100" s="19" t="n">
        <f aca="false">COUNTIFS(Flows!$B$2:$B$1500,$B100,Flows!$C$2:$C$1500,"Input")</f>
        <v>2</v>
      </c>
      <c r="T100" s="19" t="n">
        <f aca="false">COUNTIFS(Flows!$B$2:$B$1500,$B100,Flows!$C$2:$C$1500,"Output")</f>
        <v>1</v>
      </c>
      <c r="U100" s="19"/>
      <c r="V100" s="19"/>
      <c r="W100" s="19" t="s">
        <v>159</v>
      </c>
      <c r="X100" s="19"/>
    </row>
    <row r="101" customFormat="false" ht="15" hidden="false" customHeight="true" outlineLevel="0" collapsed="false">
      <c r="A101" s="19" t="s">
        <v>635</v>
      </c>
      <c r="B101" s="19" t="s">
        <v>636</v>
      </c>
      <c r="C101" s="19" t="s">
        <v>493</v>
      </c>
      <c r="D101" s="19"/>
      <c r="E101" s="19" t="s">
        <v>570</v>
      </c>
      <c r="F101" s="20" t="s">
        <v>637</v>
      </c>
      <c r="G101" s="21" t="n">
        <v>450</v>
      </c>
      <c r="H101" s="21" t="n">
        <v>150</v>
      </c>
      <c r="I101" s="22" t="n">
        <f aca="false">IF(H101="",G101,MIN(G101,H101))</f>
        <v>150</v>
      </c>
      <c r="J101" s="23" t="n">
        <v>2</v>
      </c>
      <c r="K101" s="23" t="n">
        <v>0.1</v>
      </c>
      <c r="L101" s="23" t="n">
        <v>8</v>
      </c>
      <c r="M101" s="23" t="n">
        <v>10</v>
      </c>
      <c r="N101" s="23"/>
      <c r="O101" s="23"/>
      <c r="P101" s="23"/>
      <c r="Q101" s="24"/>
      <c r="R101" s="25" t="n">
        <v>0</v>
      </c>
      <c r="S101" s="19" t="n">
        <f aca="false">COUNTIFS(Flows!$B$2:$B$1500,$B101,Flows!$C$2:$C$1500,"Input")</f>
        <v>2</v>
      </c>
      <c r="T101" s="19" t="n">
        <f aca="false">COUNTIFS(Flows!$B$2:$B$1500,$B101,Flows!$C$2:$C$1500,"Output")</f>
        <v>2</v>
      </c>
      <c r="U101" s="19"/>
      <c r="V101" s="19"/>
      <c r="W101" s="19" t="s">
        <v>159</v>
      </c>
      <c r="X101" s="19" t="s">
        <v>638</v>
      </c>
    </row>
    <row r="102" customFormat="false" ht="26.25" hidden="false" customHeight="true" outlineLevel="0" collapsed="false">
      <c r="A102" s="19" t="s">
        <v>639</v>
      </c>
      <c r="B102" s="19" t="s">
        <v>640</v>
      </c>
      <c r="C102" s="19" t="s">
        <v>641</v>
      </c>
      <c r="D102" s="19"/>
      <c r="E102" s="19" t="s">
        <v>570</v>
      </c>
      <c r="F102" s="20" t="s">
        <v>642</v>
      </c>
      <c r="G102" s="21" t="n">
        <v>4500</v>
      </c>
      <c r="H102" s="21" t="n">
        <v>2500</v>
      </c>
      <c r="I102" s="22" t="n">
        <f aca="false">IF(H102="",G102,MIN(G102,H102))</f>
        <v>2500</v>
      </c>
      <c r="J102" s="23" t="n">
        <v>8</v>
      </c>
      <c r="K102" s="23" t="n">
        <v>0.1</v>
      </c>
      <c r="L102" s="23" t="n">
        <v>4</v>
      </c>
      <c r="M102" s="23" t="n">
        <v>15</v>
      </c>
      <c r="N102" s="23"/>
      <c r="O102" s="23"/>
      <c r="P102" s="23"/>
      <c r="Q102" s="24"/>
      <c r="R102" s="25" t="n">
        <v>0</v>
      </c>
      <c r="S102" s="19" t="n">
        <f aca="false">COUNTIFS(Flows!$B$2:$B$1500,$B102,Flows!$C$2:$C$1500,"Input")</f>
        <v>2</v>
      </c>
      <c r="T102" s="19" t="n">
        <f aca="false">COUNTIFS(Flows!$B$2:$B$1500,$B102,Flows!$C$2:$C$1500,"Output")</f>
        <v>2</v>
      </c>
      <c r="U102" s="19"/>
      <c r="V102" s="19"/>
      <c r="W102" s="19" t="s">
        <v>159</v>
      </c>
      <c r="X102" s="19" t="s">
        <v>643</v>
      </c>
    </row>
    <row r="103" customFormat="false" ht="15" hidden="false" customHeight="true" outlineLevel="0" collapsed="false">
      <c r="A103" s="19" t="s">
        <v>644</v>
      </c>
      <c r="B103" s="19" t="s">
        <v>645</v>
      </c>
      <c r="C103" s="19" t="s">
        <v>646</v>
      </c>
      <c r="D103" s="19"/>
      <c r="E103" s="19" t="s">
        <v>570</v>
      </c>
      <c r="F103" s="20" t="s">
        <v>647</v>
      </c>
      <c r="G103" s="21" t="n">
        <v>1500</v>
      </c>
      <c r="H103" s="21"/>
      <c r="I103" s="22" t="n">
        <f aca="false">IF(H103="",G103,MIN(G103,H103))</f>
        <v>1500</v>
      </c>
      <c r="J103" s="23" t="n">
        <v>2</v>
      </c>
      <c r="K103" s="23" t="n">
        <v>0</v>
      </c>
      <c r="L103" s="23" t="n">
        <v>40</v>
      </c>
      <c r="M103" s="23" t="n">
        <v>30</v>
      </c>
      <c r="N103" s="23"/>
      <c r="O103" s="23"/>
      <c r="P103" s="23"/>
      <c r="Q103" s="24"/>
      <c r="R103" s="25" t="n">
        <v>0</v>
      </c>
      <c r="S103" s="19" t="n">
        <f aca="false">COUNTIFS(Flows!$B$2:$B$1500,$B103,Flows!$C$2:$C$1500,"Input")</f>
        <v>1</v>
      </c>
      <c r="T103" s="19" t="n">
        <f aca="false">COUNTIFS(Flows!$B$2:$B$1500,$B103,Flows!$C$2:$C$1500,"Output")</f>
        <v>1</v>
      </c>
      <c r="U103" s="19"/>
      <c r="V103" s="19"/>
      <c r="W103" s="19" t="s">
        <v>172</v>
      </c>
      <c r="X103" s="19"/>
    </row>
    <row r="104" customFormat="false" ht="15" hidden="false" customHeight="true" outlineLevel="0" collapsed="false">
      <c r="A104" s="19" t="s">
        <v>648</v>
      </c>
      <c r="B104" s="19" t="s">
        <v>649</v>
      </c>
      <c r="C104" s="19" t="s">
        <v>565</v>
      </c>
      <c r="D104" s="19"/>
      <c r="E104" s="19" t="s">
        <v>570</v>
      </c>
      <c r="F104" s="20" t="s">
        <v>650</v>
      </c>
      <c r="G104" s="21" t="n">
        <v>3000</v>
      </c>
      <c r="H104" s="21" t="n">
        <v>1200</v>
      </c>
      <c r="I104" s="22" t="n">
        <f aca="false">IF(H104="",G104,MIN(G104,H104))</f>
        <v>1200</v>
      </c>
      <c r="J104" s="23" t="n">
        <v>40</v>
      </c>
      <c r="K104" s="23" t="n">
        <v>0.1</v>
      </c>
      <c r="L104" s="23" t="n">
        <v>10</v>
      </c>
      <c r="M104" s="23" t="n">
        <v>30</v>
      </c>
      <c r="N104" s="23"/>
      <c r="O104" s="23"/>
      <c r="P104" s="23"/>
      <c r="Q104" s="24"/>
      <c r="R104" s="25" t="n">
        <v>0</v>
      </c>
      <c r="S104" s="19" t="n">
        <f aca="false">COUNTIFS(Flows!$B$2:$B$1500,$B104,Flows!$C$2:$C$1500,"Input")</f>
        <v>1</v>
      </c>
      <c r="T104" s="19" t="n">
        <f aca="false">COUNTIFS(Flows!$B$2:$B$1500,$B104,Flows!$C$2:$C$1500,"Output")</f>
        <v>1</v>
      </c>
      <c r="U104" s="19"/>
      <c r="V104" s="19"/>
      <c r="W104" s="19" t="s">
        <v>172</v>
      </c>
      <c r="X104" s="19"/>
    </row>
    <row r="105" customFormat="false" ht="15" hidden="false" customHeight="true" outlineLevel="0" collapsed="false">
      <c r="A105" s="19" t="s">
        <v>651</v>
      </c>
      <c r="B105" s="19" t="s">
        <v>652</v>
      </c>
      <c r="C105" s="19" t="s">
        <v>653</v>
      </c>
      <c r="D105" s="19"/>
      <c r="E105" s="19" t="s">
        <v>570</v>
      </c>
      <c r="F105" s="20" t="s">
        <v>654</v>
      </c>
      <c r="G105" s="21" t="n">
        <v>600</v>
      </c>
      <c r="H105" s="21" t="n">
        <v>200</v>
      </c>
      <c r="I105" s="22" t="n">
        <f aca="false">IF(H105="",G105,MIN(G105,H105))</f>
        <v>200</v>
      </c>
      <c r="J105" s="23" t="n">
        <v>16</v>
      </c>
      <c r="K105" s="23" t="n">
        <v>0.25</v>
      </c>
      <c r="L105" s="23" t="n">
        <v>100</v>
      </c>
      <c r="M105" s="23" t="n">
        <v>20</v>
      </c>
      <c r="N105" s="23"/>
      <c r="O105" s="23"/>
      <c r="P105" s="23"/>
      <c r="Q105" s="24"/>
      <c r="R105" s="25" t="n">
        <v>0</v>
      </c>
      <c r="S105" s="19" t="n">
        <f aca="false">COUNTIFS(Flows!$B$2:$B$1500,$B105,Flows!$C$2:$C$1500,"Input")</f>
        <v>2</v>
      </c>
      <c r="T105" s="19" t="n">
        <f aca="false">COUNTIFS(Flows!$B$2:$B$1500,$B105,Flows!$C$2:$C$1500,"Output")</f>
        <v>1</v>
      </c>
      <c r="U105" s="19"/>
      <c r="V105" s="19"/>
      <c r="W105" s="19" t="s">
        <v>172</v>
      </c>
      <c r="X105" s="19" t="s">
        <v>655</v>
      </c>
    </row>
    <row r="106" customFormat="false" ht="15" hidden="false" customHeight="true" outlineLevel="0" collapsed="false">
      <c r="A106" s="19" t="s">
        <v>656</v>
      </c>
      <c r="B106" s="19" t="s">
        <v>657</v>
      </c>
      <c r="C106" s="19" t="s">
        <v>658</v>
      </c>
      <c r="D106" s="19"/>
      <c r="E106" s="19" t="s">
        <v>570</v>
      </c>
      <c r="F106" s="20" t="s">
        <v>659</v>
      </c>
      <c r="G106" s="21" t="n">
        <v>6000</v>
      </c>
      <c r="H106" s="21" t="n">
        <v>2000</v>
      </c>
      <c r="I106" s="22" t="n">
        <f aca="false">IF(H106="",G106,MIN(G106,H106))</f>
        <v>2000</v>
      </c>
      <c r="J106" s="23" t="n">
        <v>80</v>
      </c>
      <c r="K106" s="23" t="n">
        <v>0.5</v>
      </c>
      <c r="L106" s="23" t="n">
        <v>4400</v>
      </c>
      <c r="M106" s="23" t="n">
        <v>40</v>
      </c>
      <c r="N106" s="23"/>
      <c r="O106" s="23"/>
      <c r="P106" s="23" t="n">
        <v>20000</v>
      </c>
      <c r="Q106" s="24" t="n">
        <v>0.15</v>
      </c>
      <c r="R106" s="25" t="n">
        <v>0</v>
      </c>
      <c r="S106" s="19" t="n">
        <f aca="false">COUNTIFS(Flows!$B$2:$B$1500,$B106,Flows!$C$2:$C$1500,"Input")</f>
        <v>2</v>
      </c>
      <c r="T106" s="19" t="n">
        <f aca="false">COUNTIFS(Flows!$B$2:$B$1500,$B106,Flows!$C$2:$C$1500,"Output")</f>
        <v>5</v>
      </c>
      <c r="U106" s="19"/>
      <c r="V106" s="19"/>
      <c r="W106" s="19" t="s">
        <v>172</v>
      </c>
      <c r="X106" s="19" t="s">
        <v>660</v>
      </c>
    </row>
    <row r="107" customFormat="false" ht="15" hidden="false" customHeight="true" outlineLevel="0" collapsed="false">
      <c r="A107" s="19" t="s">
        <v>661</v>
      </c>
      <c r="B107" s="19" t="s">
        <v>662</v>
      </c>
      <c r="C107" s="19" t="s">
        <v>286</v>
      </c>
      <c r="D107" s="19"/>
      <c r="E107" s="19" t="s">
        <v>570</v>
      </c>
      <c r="F107" s="20" t="s">
        <v>663</v>
      </c>
      <c r="G107" s="21" t="n">
        <v>5000</v>
      </c>
      <c r="H107" s="21" t="n">
        <v>3500</v>
      </c>
      <c r="I107" s="22" t="n">
        <f aca="false">IF(H107="",G107,MIN(G107,H107))</f>
        <v>3500</v>
      </c>
      <c r="J107" s="23" t="n">
        <v>16</v>
      </c>
      <c r="K107" s="23" t="n">
        <v>0.05</v>
      </c>
      <c r="L107" s="23" t="n">
        <v>80</v>
      </c>
      <c r="M107" s="23" t="n">
        <v>30</v>
      </c>
      <c r="N107" s="23"/>
      <c r="O107" s="23"/>
      <c r="P107" s="23"/>
      <c r="Q107" s="24"/>
      <c r="R107" s="25" t="n">
        <v>0</v>
      </c>
      <c r="S107" s="19" t="n">
        <f aca="false">COUNTIFS(Flows!$B$2:$B$1500,$B107,Flows!$C$2:$C$1500,"Input")</f>
        <v>1</v>
      </c>
      <c r="T107" s="19" t="n">
        <f aca="false">COUNTIFS(Flows!$B$2:$B$1500,$B107,Flows!$C$2:$C$1500,"Output")</f>
        <v>1</v>
      </c>
      <c r="U107" s="19"/>
      <c r="V107" s="19"/>
      <c r="W107" s="19" t="s">
        <v>159</v>
      </c>
      <c r="X107" s="19"/>
    </row>
    <row r="108" customFormat="false" ht="15" hidden="false" customHeight="true" outlineLevel="0" collapsed="false">
      <c r="A108" s="19" t="s">
        <v>664</v>
      </c>
      <c r="B108" s="19" t="s">
        <v>665</v>
      </c>
      <c r="C108" s="19" t="s">
        <v>666</v>
      </c>
      <c r="D108" s="19"/>
      <c r="E108" s="19" t="s">
        <v>570</v>
      </c>
      <c r="F108" s="20" t="s">
        <v>667</v>
      </c>
      <c r="G108" s="21" t="n">
        <v>3000</v>
      </c>
      <c r="H108" s="21" t="n">
        <v>500</v>
      </c>
      <c r="I108" s="22" t="n">
        <f aca="false">IF(H108="",G108,MIN(G108,H108))</f>
        <v>500</v>
      </c>
      <c r="J108" s="23" t="n">
        <v>60</v>
      </c>
      <c r="K108" s="23" t="n">
        <v>0.25</v>
      </c>
      <c r="L108" s="23" t="n">
        <v>5000</v>
      </c>
      <c r="M108" s="23" t="n">
        <v>50</v>
      </c>
      <c r="N108" s="23"/>
      <c r="O108" s="23"/>
      <c r="P108" s="23" t="n">
        <v>20000</v>
      </c>
      <c r="Q108" s="24" t="n">
        <v>0.25</v>
      </c>
      <c r="R108" s="25" t="n">
        <v>0</v>
      </c>
      <c r="S108" s="19" t="n">
        <f aca="false">COUNTIFS(Flows!$B$2:$B$1500,$B108,Flows!$C$2:$C$1500,"Input")</f>
        <v>2</v>
      </c>
      <c r="T108" s="19" t="n">
        <f aca="false">COUNTIFS(Flows!$B$2:$B$1500,$B108,Flows!$C$2:$C$1500,"Output")</f>
        <v>2</v>
      </c>
      <c r="U108" s="19"/>
      <c r="V108" s="19"/>
      <c r="W108" s="19" t="s">
        <v>172</v>
      </c>
      <c r="X108" s="19" t="s">
        <v>668</v>
      </c>
    </row>
    <row r="109" customFormat="false" ht="15" hidden="false" customHeight="true" outlineLevel="0" collapsed="false">
      <c r="A109" s="19" t="s">
        <v>669</v>
      </c>
      <c r="B109" s="19" t="s">
        <v>670</v>
      </c>
      <c r="C109" s="19" t="s">
        <v>671</v>
      </c>
      <c r="D109" s="19"/>
      <c r="E109" s="19" t="s">
        <v>570</v>
      </c>
      <c r="F109" s="20" t="s">
        <v>672</v>
      </c>
      <c r="G109" s="21" t="n">
        <v>5000</v>
      </c>
      <c r="H109" s="21"/>
      <c r="I109" s="22" t="n">
        <f aca="false">IF(H109="",G109,MIN(G109,H109))</f>
        <v>5000</v>
      </c>
      <c r="J109" s="23" t="n">
        <v>8</v>
      </c>
      <c r="K109" s="23" t="n">
        <v>0</v>
      </c>
      <c r="L109" s="23" t="n">
        <v>10</v>
      </c>
      <c r="M109" s="23" t="n">
        <v>50</v>
      </c>
      <c r="N109" s="23"/>
      <c r="O109" s="23"/>
      <c r="P109" s="23"/>
      <c r="Q109" s="24"/>
      <c r="R109" s="25" t="n">
        <v>0</v>
      </c>
      <c r="S109" s="19" t="n">
        <f aca="false">COUNTIFS(Flows!$B$2:$B$1500,$B109,Flows!$C$2:$C$1500,"Input")</f>
        <v>1</v>
      </c>
      <c r="T109" s="19" t="n">
        <f aca="false">COUNTIFS(Flows!$B$2:$B$1500,$B109,Flows!$C$2:$C$1500,"Output")</f>
        <v>2</v>
      </c>
      <c r="U109" s="19"/>
      <c r="V109" s="19"/>
      <c r="W109" s="19" t="s">
        <v>159</v>
      </c>
      <c r="X109" s="19"/>
    </row>
    <row r="110" customFormat="false" ht="15" hidden="false" customHeight="true" outlineLevel="0" collapsed="false">
      <c r="A110" s="19" t="s">
        <v>673</v>
      </c>
      <c r="B110" s="19" t="s">
        <v>674</v>
      </c>
      <c r="C110" s="19" t="s">
        <v>675</v>
      </c>
      <c r="D110" s="19"/>
      <c r="E110" s="19" t="s">
        <v>570</v>
      </c>
      <c r="F110" s="20" t="s">
        <v>676</v>
      </c>
      <c r="G110" s="21" t="n">
        <v>400</v>
      </c>
      <c r="H110" s="21"/>
      <c r="I110" s="22" t="n">
        <f aca="false">IF(H110="",G110,MIN(G110,H110))</f>
        <v>400</v>
      </c>
      <c r="J110" s="23" t="n">
        <v>1</v>
      </c>
      <c r="K110" s="23" t="n">
        <v>0.05</v>
      </c>
      <c r="L110" s="23" t="n">
        <v>1</v>
      </c>
      <c r="M110" s="23" t="n">
        <v>10</v>
      </c>
      <c r="N110" s="23"/>
      <c r="O110" s="23"/>
      <c r="P110" s="23"/>
      <c r="Q110" s="24"/>
      <c r="R110" s="25" t="n">
        <v>0</v>
      </c>
      <c r="S110" s="19" t="n">
        <f aca="false">COUNTIFS(Flows!$B$2:$B$1500,$B110,Flows!$C$2:$C$1500,"Input")</f>
        <v>3</v>
      </c>
      <c r="T110" s="19" t="n">
        <f aca="false">COUNTIFS(Flows!$B$2:$B$1500,$B110,Flows!$C$2:$C$1500,"Output")</f>
        <v>1</v>
      </c>
      <c r="U110" s="19"/>
      <c r="V110" s="19"/>
      <c r="W110" s="19" t="s">
        <v>172</v>
      </c>
      <c r="X110" s="19"/>
    </row>
    <row r="111" customFormat="false" ht="15" hidden="false" customHeight="true" outlineLevel="0" collapsed="false">
      <c r="A111" s="19" t="s">
        <v>677</v>
      </c>
      <c r="B111" s="19" t="s">
        <v>678</v>
      </c>
      <c r="C111" s="19" t="s">
        <v>675</v>
      </c>
      <c r="D111" s="19"/>
      <c r="E111" s="19" t="s">
        <v>570</v>
      </c>
      <c r="F111" s="20" t="s">
        <v>679</v>
      </c>
      <c r="G111" s="21" t="n">
        <v>400</v>
      </c>
      <c r="H111" s="21" t="n">
        <v>150</v>
      </c>
      <c r="I111" s="22" t="n">
        <f aca="false">IF(H111="",G111,MIN(G111,H111))</f>
        <v>150</v>
      </c>
      <c r="J111" s="23" t="n">
        <v>8</v>
      </c>
      <c r="K111" s="23" t="n">
        <v>0.25</v>
      </c>
      <c r="L111" s="23" t="n">
        <v>10</v>
      </c>
      <c r="M111" s="23" t="n">
        <v>20</v>
      </c>
      <c r="N111" s="23"/>
      <c r="O111" s="23"/>
      <c r="P111" s="23"/>
      <c r="Q111" s="24"/>
      <c r="R111" s="25" t="n">
        <v>0</v>
      </c>
      <c r="S111" s="19" t="n">
        <f aca="false">COUNTIFS(Flows!$B$2:$B$1500,$B111,Flows!$C$2:$C$1500,"Input")</f>
        <v>2</v>
      </c>
      <c r="T111" s="19" t="n">
        <f aca="false">COUNTIFS(Flows!$B$2:$B$1500,$B111,Flows!$C$2:$C$1500,"Output")</f>
        <v>1</v>
      </c>
      <c r="U111" s="19"/>
      <c r="V111" s="19"/>
      <c r="W111" s="19" t="s">
        <v>172</v>
      </c>
      <c r="X111" s="19"/>
    </row>
    <row r="112" customFormat="false" ht="15" hidden="false" customHeight="true" outlineLevel="0" collapsed="false">
      <c r="A112" s="19" t="s">
        <v>680</v>
      </c>
      <c r="B112" s="19" t="s">
        <v>681</v>
      </c>
      <c r="C112" s="19" t="s">
        <v>682</v>
      </c>
      <c r="D112" s="19"/>
      <c r="E112" s="19" t="s">
        <v>570</v>
      </c>
      <c r="F112" s="20" t="s">
        <v>683</v>
      </c>
      <c r="G112" s="21" t="n">
        <v>300</v>
      </c>
      <c r="H112" s="21" t="n">
        <v>80</v>
      </c>
      <c r="I112" s="22" t="n">
        <f aca="false">IF(H112="",G112,MIN(G112,H112))</f>
        <v>80</v>
      </c>
      <c r="J112" s="23" t="n">
        <v>2</v>
      </c>
      <c r="K112" s="23" t="n">
        <v>0.1</v>
      </c>
      <c r="L112" s="23" t="n">
        <v>10</v>
      </c>
      <c r="M112" s="23" t="n">
        <v>10</v>
      </c>
      <c r="N112" s="23"/>
      <c r="O112" s="23"/>
      <c r="P112" s="23"/>
      <c r="Q112" s="24"/>
      <c r="R112" s="25" t="n">
        <v>0</v>
      </c>
      <c r="S112" s="19" t="n">
        <f aca="false">COUNTIFS(Flows!$B$2:$B$1500,$B112,Flows!$C$2:$C$1500,"Input")</f>
        <v>3</v>
      </c>
      <c r="T112" s="19" t="n">
        <f aca="false">COUNTIFS(Flows!$B$2:$B$1500,$B112,Flows!$C$2:$C$1500,"Output")</f>
        <v>1</v>
      </c>
      <c r="U112" s="19"/>
      <c r="V112" s="19"/>
      <c r="W112" s="19" t="s">
        <v>172</v>
      </c>
      <c r="X112" s="19"/>
    </row>
    <row r="113" customFormat="false" ht="15" hidden="false" customHeight="true" outlineLevel="0" collapsed="false">
      <c r="A113" s="19" t="s">
        <v>684</v>
      </c>
      <c r="B113" s="19" t="s">
        <v>685</v>
      </c>
      <c r="C113" s="19" t="s">
        <v>686</v>
      </c>
      <c r="D113" s="19"/>
      <c r="E113" s="19" t="s">
        <v>570</v>
      </c>
      <c r="F113" s="20" t="s">
        <v>687</v>
      </c>
      <c r="G113" s="21" t="n">
        <v>4000</v>
      </c>
      <c r="H113" s="21" t="n">
        <v>1500</v>
      </c>
      <c r="I113" s="22" t="n">
        <f aca="false">IF(H113="",G113,MIN(G113,H113))</f>
        <v>1500</v>
      </c>
      <c r="J113" s="23" t="n">
        <v>60</v>
      </c>
      <c r="K113" s="23" t="n">
        <v>0.25</v>
      </c>
      <c r="L113" s="23" t="n">
        <v>400</v>
      </c>
      <c r="M113" s="23" t="n">
        <v>30</v>
      </c>
      <c r="N113" s="23"/>
      <c r="O113" s="23"/>
      <c r="P113" s="23"/>
      <c r="Q113" s="24"/>
      <c r="R113" s="25" t="n">
        <v>0</v>
      </c>
      <c r="S113" s="19" t="n">
        <f aca="false">COUNTIFS(Flows!$B$2:$B$1500,$B113,Flows!$C$2:$C$1500,"Input")</f>
        <v>2</v>
      </c>
      <c r="T113" s="19" t="n">
        <f aca="false">COUNTIFS(Flows!$B$2:$B$1500,$B113,Flows!$C$2:$C$1500,"Output")</f>
        <v>3</v>
      </c>
      <c r="U113" s="19"/>
      <c r="V113" s="19"/>
      <c r="W113" s="19" t="s">
        <v>172</v>
      </c>
      <c r="X113" s="19"/>
    </row>
    <row r="114" customFormat="false" ht="15" hidden="false" customHeight="true" outlineLevel="0" collapsed="false">
      <c r="A114" s="19" t="s">
        <v>688</v>
      </c>
      <c r="B114" s="19" t="s">
        <v>689</v>
      </c>
      <c r="C114" s="19" t="s">
        <v>690</v>
      </c>
      <c r="D114" s="19"/>
      <c r="E114" s="19" t="s">
        <v>570</v>
      </c>
      <c r="F114" s="20" t="s">
        <v>691</v>
      </c>
      <c r="G114" s="21" t="n">
        <v>10000</v>
      </c>
      <c r="H114" s="21"/>
      <c r="I114" s="22" t="n">
        <f aca="false">IF(H114="",G114,MIN(G114,H114))</f>
        <v>10000</v>
      </c>
      <c r="J114" s="23" t="n">
        <v>40</v>
      </c>
      <c r="K114" s="23" t="n">
        <v>0.05</v>
      </c>
      <c r="L114" s="23" t="n">
        <v>1500</v>
      </c>
      <c r="M114" s="23" t="n">
        <v>30</v>
      </c>
      <c r="N114" s="23"/>
      <c r="O114" s="23"/>
      <c r="P114" s="23"/>
      <c r="Q114" s="24"/>
      <c r="R114" s="25" t="n">
        <v>0</v>
      </c>
      <c r="S114" s="19" t="n">
        <f aca="false">COUNTIFS(Flows!$B$2:$B$1500,$B114,Flows!$C$2:$C$1500,"Input")</f>
        <v>4</v>
      </c>
      <c r="T114" s="19" t="n">
        <f aca="false">COUNTIFS(Flows!$B$2:$B$1500,$B114,Flows!$C$2:$C$1500,"Output")</f>
        <v>1</v>
      </c>
      <c r="U114" s="19"/>
      <c r="V114" s="19"/>
      <c r="W114" s="19" t="s">
        <v>159</v>
      </c>
      <c r="X114" s="19"/>
    </row>
    <row r="115" customFormat="false" ht="15" hidden="false" customHeight="true" outlineLevel="0" collapsed="false">
      <c r="A115" s="19" t="s">
        <v>692</v>
      </c>
      <c r="B115" s="19" t="s">
        <v>693</v>
      </c>
      <c r="C115" s="19" t="s">
        <v>302</v>
      </c>
      <c r="D115" s="19"/>
      <c r="E115" s="19" t="s">
        <v>570</v>
      </c>
      <c r="F115" s="20" t="s">
        <v>694</v>
      </c>
      <c r="G115" s="21" t="n">
        <v>0</v>
      </c>
      <c r="H115" s="21"/>
      <c r="I115" s="22" t="n">
        <f aca="false">IF(H115="",G115,MIN(G115,H115))</f>
        <v>0</v>
      </c>
      <c r="J115" s="23" t="n">
        <v>0</v>
      </c>
      <c r="K115" s="23" t="n">
        <v>0</v>
      </c>
      <c r="L115" s="23" t="n">
        <v>0</v>
      </c>
      <c r="M115" s="23" t="n">
        <v>1</v>
      </c>
      <c r="N115" s="23"/>
      <c r="O115" s="23"/>
      <c r="P115" s="23"/>
      <c r="Q115" s="24"/>
      <c r="R115" s="25" t="n">
        <v>0</v>
      </c>
      <c r="S115" s="19" t="n">
        <f aca="false">COUNTIFS(Flows!$B$2:$B$1500,$B115,Flows!$C$2:$C$1500,"Input")</f>
        <v>2</v>
      </c>
      <c r="T115" s="19" t="n">
        <f aca="false">COUNTIFS(Flows!$B$2:$B$1500,$B115,Flows!$C$2:$C$1500,"Output")</f>
        <v>5</v>
      </c>
      <c r="U115" s="19"/>
      <c r="V115" s="19"/>
      <c r="W115" s="19" t="s">
        <v>172</v>
      </c>
      <c r="X115" s="19"/>
    </row>
    <row r="116" customFormat="false" ht="15" hidden="false" customHeight="true" outlineLevel="0" collapsed="false">
      <c r="A116" s="19" t="s">
        <v>695</v>
      </c>
      <c r="B116" s="19" t="s">
        <v>696</v>
      </c>
      <c r="C116" s="19" t="s">
        <v>302</v>
      </c>
      <c r="D116" s="19"/>
      <c r="E116" s="19" t="s">
        <v>570</v>
      </c>
      <c r="F116" s="20" t="s">
        <v>697</v>
      </c>
      <c r="G116" s="21" t="n">
        <v>0</v>
      </c>
      <c r="H116" s="21"/>
      <c r="I116" s="22" t="n">
        <f aca="false">IF(H116="",G116,MIN(G116,H116))</f>
        <v>0</v>
      </c>
      <c r="J116" s="23" t="n">
        <v>0</v>
      </c>
      <c r="K116" s="23" t="n">
        <v>0</v>
      </c>
      <c r="L116" s="23" t="n">
        <v>0</v>
      </c>
      <c r="M116" s="23" t="n">
        <v>1</v>
      </c>
      <c r="N116" s="23"/>
      <c r="O116" s="23"/>
      <c r="P116" s="23"/>
      <c r="Q116" s="24"/>
      <c r="R116" s="25" t="n">
        <v>0</v>
      </c>
      <c r="S116" s="19" t="n">
        <f aca="false">COUNTIFS(Flows!$B$2:$B$1500,$B116,Flows!$C$2:$C$1500,"Input")</f>
        <v>1</v>
      </c>
      <c r="T116" s="19" t="n">
        <f aca="false">COUNTIFS(Flows!$B$2:$B$1500,$B116,Flows!$C$2:$C$1500,"Output")</f>
        <v>1</v>
      </c>
      <c r="U116" s="19"/>
      <c r="V116" s="19"/>
      <c r="W116" s="19" t="s">
        <v>172</v>
      </c>
      <c r="X116" s="19"/>
    </row>
    <row r="117" customFormat="false" ht="26.25" hidden="false" customHeight="true" outlineLevel="0" collapsed="false">
      <c r="A117" s="19" t="s">
        <v>698</v>
      </c>
      <c r="B117" s="19" t="s">
        <v>699</v>
      </c>
      <c r="C117" s="19" t="s">
        <v>700</v>
      </c>
      <c r="D117" s="19"/>
      <c r="E117" s="19" t="s">
        <v>570</v>
      </c>
      <c r="F117" s="20" t="s">
        <v>701</v>
      </c>
      <c r="G117" s="21" t="n">
        <v>3000</v>
      </c>
      <c r="H117" s="21" t="n">
        <v>800</v>
      </c>
      <c r="I117" s="22" t="n">
        <f aca="false">IF(H117="",G117,MIN(G117,H117))</f>
        <v>800</v>
      </c>
      <c r="J117" s="23" t="n">
        <v>80</v>
      </c>
      <c r="K117" s="23" t="n">
        <v>0.1</v>
      </c>
      <c r="L117" s="23" t="n">
        <v>100</v>
      </c>
      <c r="M117" s="23" t="n">
        <v>50</v>
      </c>
      <c r="N117" s="23"/>
      <c r="O117" s="23"/>
      <c r="P117" s="23"/>
      <c r="Q117" s="24"/>
      <c r="R117" s="25" t="n">
        <v>0</v>
      </c>
      <c r="S117" s="19" t="n">
        <f aca="false">COUNTIFS(Flows!$B$2:$B$1500,$B117,Flows!$C$2:$C$1500,"Input")</f>
        <v>1</v>
      </c>
      <c r="T117" s="19" t="n">
        <f aca="false">COUNTIFS(Flows!$B$2:$B$1500,$B117,Flows!$C$2:$C$1500,"Output")</f>
        <v>1</v>
      </c>
      <c r="U117" s="19"/>
      <c r="V117" s="19"/>
      <c r="W117" s="19" t="s">
        <v>172</v>
      </c>
      <c r="X117" s="19"/>
    </row>
    <row r="118" customFormat="false" ht="15" hidden="false" customHeight="true" outlineLevel="0" collapsed="false">
      <c r="A118" s="19" t="s">
        <v>702</v>
      </c>
      <c r="B118" s="19" t="s">
        <v>703</v>
      </c>
      <c r="C118" s="19" t="s">
        <v>704</v>
      </c>
      <c r="D118" s="19"/>
      <c r="E118" s="19" t="s">
        <v>570</v>
      </c>
      <c r="F118" s="20" t="s">
        <v>705</v>
      </c>
      <c r="G118" s="21" t="n">
        <v>200</v>
      </c>
      <c r="H118" s="21" t="n">
        <v>60</v>
      </c>
      <c r="I118" s="22" t="n">
        <f aca="false">IF(H118="",G118,MIN(G118,H118))</f>
        <v>60</v>
      </c>
      <c r="J118" s="23" t="n">
        <v>4</v>
      </c>
      <c r="K118" s="23" t="n">
        <v>0.25</v>
      </c>
      <c r="L118" s="23" t="n">
        <v>8</v>
      </c>
      <c r="M118" s="23" t="n">
        <v>10</v>
      </c>
      <c r="N118" s="23"/>
      <c r="O118" s="23"/>
      <c r="P118" s="23"/>
      <c r="Q118" s="24"/>
      <c r="R118" s="25" t="n">
        <v>0</v>
      </c>
      <c r="S118" s="19" t="n">
        <f aca="false">COUNTIFS(Flows!$B$2:$B$1500,$B118,Flows!$C$2:$C$1500,"Input")</f>
        <v>2</v>
      </c>
      <c r="T118" s="19" t="n">
        <f aca="false">COUNTIFS(Flows!$B$2:$B$1500,$B118,Flows!$C$2:$C$1500,"Output")</f>
        <v>1</v>
      </c>
      <c r="U118" s="19"/>
      <c r="V118" s="19"/>
      <c r="W118" s="19" t="s">
        <v>172</v>
      </c>
      <c r="X118" s="19"/>
    </row>
    <row r="119" customFormat="false" ht="15" hidden="false" customHeight="true" outlineLevel="0" collapsed="false">
      <c r="A119" s="19" t="s">
        <v>706</v>
      </c>
      <c r="B119" s="19" t="s">
        <v>707</v>
      </c>
      <c r="C119" s="19" t="s">
        <v>708</v>
      </c>
      <c r="D119" s="19"/>
      <c r="E119" s="19" t="s">
        <v>570</v>
      </c>
      <c r="F119" s="20" t="s">
        <v>709</v>
      </c>
      <c r="G119" s="21" t="n">
        <v>350</v>
      </c>
      <c r="H119" s="21"/>
      <c r="I119" s="22" t="n">
        <f aca="false">IF(H119="",G119,MIN(G119,H119))</f>
        <v>350</v>
      </c>
      <c r="J119" s="23" t="n">
        <v>0</v>
      </c>
      <c r="K119" s="23" t="n">
        <v>1</v>
      </c>
      <c r="L119" s="23" t="n">
        <v>0</v>
      </c>
      <c r="M119" s="23" t="n">
        <v>30</v>
      </c>
      <c r="N119" s="23"/>
      <c r="O119" s="23"/>
      <c r="P119" s="23"/>
      <c r="Q119" s="24"/>
      <c r="R119" s="25" t="n">
        <v>0</v>
      </c>
      <c r="S119" s="19" t="n">
        <f aca="false">COUNTIFS(Flows!$B$2:$B$1500,$B119,Flows!$C$2:$C$1500,"Input")</f>
        <v>2</v>
      </c>
      <c r="T119" s="19" t="n">
        <f aca="false">COUNTIFS(Flows!$B$2:$B$1500,$B119,Flows!$C$2:$C$1500,"Output")</f>
        <v>1</v>
      </c>
      <c r="U119" s="19"/>
      <c r="V119" s="19"/>
      <c r="W119" s="19" t="s">
        <v>172</v>
      </c>
      <c r="X119" s="19"/>
    </row>
    <row r="120" customFormat="false" ht="15" hidden="false" customHeight="true" outlineLevel="0" collapsed="false">
      <c r="A120" s="19" t="s">
        <v>710</v>
      </c>
      <c r="B120" s="19" t="s">
        <v>711</v>
      </c>
      <c r="C120" s="19" t="s">
        <v>712</v>
      </c>
      <c r="D120" s="19"/>
      <c r="E120" s="19" t="s">
        <v>570</v>
      </c>
      <c r="F120" s="20" t="s">
        <v>713</v>
      </c>
      <c r="G120" s="21" t="n">
        <v>3500</v>
      </c>
      <c r="H120" s="21" t="n">
        <v>1200</v>
      </c>
      <c r="I120" s="22" t="n">
        <f aca="false">IF(H120="",G120,MIN(G120,H120))</f>
        <v>1200</v>
      </c>
      <c r="J120" s="23" t="n">
        <v>40</v>
      </c>
      <c r="K120" s="23" t="n">
        <v>2</v>
      </c>
      <c r="L120" s="23" t="n">
        <v>150</v>
      </c>
      <c r="M120" s="23" t="n">
        <v>15</v>
      </c>
      <c r="N120" s="23"/>
      <c r="O120" s="23"/>
      <c r="P120" s="23"/>
      <c r="Q120" s="24"/>
      <c r="R120" s="25" t="n">
        <v>0</v>
      </c>
      <c r="S120" s="19" t="n">
        <f aca="false">COUNTIFS(Flows!$B$2:$B$1500,$B120,Flows!$C$2:$C$1500,"Input")</f>
        <v>4</v>
      </c>
      <c r="T120" s="19" t="n">
        <f aca="false">COUNTIFS(Flows!$B$2:$B$1500,$B120,Flows!$C$2:$C$1500,"Output")</f>
        <v>2</v>
      </c>
      <c r="U120" s="19"/>
      <c r="V120" s="19"/>
      <c r="W120" s="19" t="s">
        <v>172</v>
      </c>
      <c r="X120" s="19"/>
    </row>
    <row r="121" customFormat="false" ht="15" hidden="false" customHeight="true" outlineLevel="0" collapsed="false">
      <c r="A121" s="19" t="s">
        <v>714</v>
      </c>
      <c r="B121" s="19" t="s">
        <v>715</v>
      </c>
      <c r="C121" s="19" t="s">
        <v>712</v>
      </c>
      <c r="D121" s="19"/>
      <c r="E121" s="19" t="s">
        <v>570</v>
      </c>
      <c r="F121" s="20" t="s">
        <v>716</v>
      </c>
      <c r="G121" s="21" t="n">
        <v>150</v>
      </c>
      <c r="H121" s="21" t="n">
        <v>60</v>
      </c>
      <c r="I121" s="22" t="n">
        <f aca="false">IF(H121="",G121,MIN(G121,H121))</f>
        <v>60</v>
      </c>
      <c r="J121" s="23" t="n">
        <v>8</v>
      </c>
      <c r="K121" s="23" t="n">
        <v>0.1</v>
      </c>
      <c r="L121" s="23" t="n">
        <v>40</v>
      </c>
      <c r="M121" s="23" t="n">
        <v>4</v>
      </c>
      <c r="N121" s="23"/>
      <c r="O121" s="23"/>
      <c r="P121" s="23"/>
      <c r="Q121" s="24"/>
      <c r="R121" s="25" t="n">
        <v>0</v>
      </c>
      <c r="S121" s="19" t="n">
        <f aca="false">COUNTIFS(Flows!$B$2:$B$1500,$B121,Flows!$C$2:$C$1500,"Input")</f>
        <v>3</v>
      </c>
      <c r="T121" s="19" t="n">
        <f aca="false">COUNTIFS(Flows!$B$2:$B$1500,$B121,Flows!$C$2:$C$1500,"Output")</f>
        <v>2</v>
      </c>
      <c r="U121" s="19"/>
      <c r="V121" s="19"/>
      <c r="W121" s="19" t="s">
        <v>172</v>
      </c>
      <c r="X121" s="19"/>
    </row>
    <row r="122" customFormat="false" ht="15" hidden="false" customHeight="true" outlineLevel="0" collapsed="false">
      <c r="A122" s="19" t="s">
        <v>717</v>
      </c>
      <c r="B122" s="19" t="s">
        <v>718</v>
      </c>
      <c r="C122" s="19" t="s">
        <v>700</v>
      </c>
      <c r="D122" s="19"/>
      <c r="E122" s="19" t="s">
        <v>570</v>
      </c>
      <c r="F122" s="20" t="s">
        <v>719</v>
      </c>
      <c r="G122" s="21" t="n">
        <v>300</v>
      </c>
      <c r="H122" s="21"/>
      <c r="I122" s="22" t="n">
        <f aca="false">IF(H122="",G122,MIN(G122,H122))</f>
        <v>300</v>
      </c>
      <c r="J122" s="23" t="n">
        <v>0.5</v>
      </c>
      <c r="K122" s="23" t="n">
        <v>0.05</v>
      </c>
      <c r="L122" s="23" t="n">
        <v>10</v>
      </c>
      <c r="M122" s="23" t="n">
        <v>15</v>
      </c>
      <c r="N122" s="23"/>
      <c r="O122" s="23"/>
      <c r="P122" s="23"/>
      <c r="Q122" s="24"/>
      <c r="R122" s="25" t="n">
        <v>0</v>
      </c>
      <c r="S122" s="19" t="n">
        <f aca="false">COUNTIFS(Flows!$B$2:$B$1500,$B122,Flows!$C$2:$C$1500,"Input")</f>
        <v>2</v>
      </c>
      <c r="T122" s="19" t="n">
        <f aca="false">COUNTIFS(Flows!$B$2:$B$1500,$B122,Flows!$C$2:$C$1500,"Output")</f>
        <v>1</v>
      </c>
      <c r="U122" s="19"/>
      <c r="V122" s="19"/>
      <c r="W122" s="19" t="s">
        <v>159</v>
      </c>
      <c r="X122" s="19"/>
    </row>
    <row r="123" customFormat="false" ht="15" hidden="false" customHeight="true" outlineLevel="0" collapsed="false">
      <c r="A123" s="19" t="s">
        <v>720</v>
      </c>
      <c r="B123" s="19" t="s">
        <v>721</v>
      </c>
      <c r="C123" s="19" t="s">
        <v>557</v>
      </c>
      <c r="D123" s="19"/>
      <c r="E123" s="19" t="s">
        <v>570</v>
      </c>
      <c r="F123" s="20" t="s">
        <v>722</v>
      </c>
      <c r="G123" s="21" t="n">
        <v>3000</v>
      </c>
      <c r="H123" s="21" t="n">
        <v>800</v>
      </c>
      <c r="I123" s="22" t="n">
        <f aca="false">IF(H123="",G123,MIN(G123,H123))</f>
        <v>800</v>
      </c>
      <c r="J123" s="23" t="n">
        <v>40</v>
      </c>
      <c r="K123" s="23" t="n">
        <v>3</v>
      </c>
      <c r="L123" s="23" t="n">
        <v>220</v>
      </c>
      <c r="M123" s="23" t="n">
        <v>10</v>
      </c>
      <c r="N123" s="23"/>
      <c r="O123" s="23"/>
      <c r="P123" s="23"/>
      <c r="Q123" s="24"/>
      <c r="R123" s="25" t="n">
        <v>0</v>
      </c>
      <c r="S123" s="19" t="n">
        <f aca="false">COUNTIFS(Flows!$B$2:$B$1500,$B123,Flows!$C$2:$C$1500,"Input")</f>
        <v>5</v>
      </c>
      <c r="T123" s="19" t="n">
        <f aca="false">COUNTIFS(Flows!$B$2:$B$1500,$B123,Flows!$C$2:$C$1500,"Output")</f>
        <v>2</v>
      </c>
      <c r="U123" s="19"/>
      <c r="V123" s="19"/>
      <c r="W123" s="19" t="s">
        <v>172</v>
      </c>
      <c r="X123" s="19"/>
    </row>
    <row r="124" customFormat="false" ht="15" hidden="false" customHeight="true" outlineLevel="0" collapsed="false">
      <c r="A124" s="19" t="s">
        <v>723</v>
      </c>
      <c r="B124" s="19" t="s">
        <v>724</v>
      </c>
      <c r="C124" s="19" t="s">
        <v>557</v>
      </c>
      <c r="D124" s="19"/>
      <c r="E124" s="19" t="s">
        <v>570</v>
      </c>
      <c r="F124" s="20" t="s">
        <v>725</v>
      </c>
      <c r="G124" s="21" t="n">
        <v>300</v>
      </c>
      <c r="H124" s="21" t="n">
        <v>100</v>
      </c>
      <c r="I124" s="22" t="n">
        <f aca="false">IF(H124="",G124,MIN(G124,H124))</f>
        <v>100</v>
      </c>
      <c r="J124" s="23" t="n">
        <v>10</v>
      </c>
      <c r="K124" s="23" t="n">
        <v>0.5</v>
      </c>
      <c r="L124" s="23" t="n">
        <v>4356</v>
      </c>
      <c r="M124" s="23" t="n">
        <v>1</v>
      </c>
      <c r="N124" s="23"/>
      <c r="O124" s="23"/>
      <c r="P124" s="23"/>
      <c r="Q124" s="24"/>
      <c r="R124" s="25" t="n">
        <v>0</v>
      </c>
      <c r="S124" s="19" t="n">
        <f aca="false">COUNTIFS(Flows!$B$2:$B$1500,$B124,Flows!$C$2:$C$1500,"Input")</f>
        <v>4</v>
      </c>
      <c r="T124" s="19" t="n">
        <f aca="false">COUNTIFS(Flows!$B$2:$B$1500,$B124,Flows!$C$2:$C$1500,"Output")</f>
        <v>2</v>
      </c>
      <c r="U124" s="19"/>
      <c r="V124" s="19"/>
      <c r="W124" s="19" t="s">
        <v>172</v>
      </c>
      <c r="X124" s="19" t="s">
        <v>726</v>
      </c>
    </row>
    <row r="125" customFormat="false" ht="15" hidden="false" customHeight="true" outlineLevel="0" collapsed="false">
      <c r="A125" s="19" t="s">
        <v>727</v>
      </c>
      <c r="B125" s="19" t="s">
        <v>728</v>
      </c>
      <c r="C125" s="19" t="s">
        <v>729</v>
      </c>
      <c r="D125" s="19"/>
      <c r="E125" s="19" t="s">
        <v>570</v>
      </c>
      <c r="F125" s="20" t="s">
        <v>730</v>
      </c>
      <c r="G125" s="21" t="n">
        <v>100</v>
      </c>
      <c r="H125" s="21" t="n">
        <v>30</v>
      </c>
      <c r="I125" s="22" t="n">
        <f aca="false">IF(H125="",G125,MIN(G125,H125))</f>
        <v>30</v>
      </c>
      <c r="J125" s="23" t="n">
        <v>8</v>
      </c>
      <c r="K125" s="23" t="n">
        <v>0.5</v>
      </c>
      <c r="L125" s="23" t="n">
        <v>400</v>
      </c>
      <c r="M125" s="23" t="n">
        <v>1</v>
      </c>
      <c r="N125" s="23"/>
      <c r="O125" s="23"/>
      <c r="P125" s="23"/>
      <c r="Q125" s="24"/>
      <c r="R125" s="25" t="n">
        <v>0</v>
      </c>
      <c r="S125" s="19" t="n">
        <f aca="false">COUNTIFS(Flows!$B$2:$B$1500,$B125,Flows!$C$2:$C$1500,"Input")</f>
        <v>5</v>
      </c>
      <c r="T125" s="19" t="n">
        <f aca="false">COUNTIFS(Flows!$B$2:$B$1500,$B125,Flows!$C$2:$C$1500,"Output")</f>
        <v>1</v>
      </c>
      <c r="U125" s="19"/>
      <c r="V125" s="19"/>
      <c r="W125" s="19" t="s">
        <v>159</v>
      </c>
      <c r="X125" s="19" t="s">
        <v>731</v>
      </c>
    </row>
    <row r="126" customFormat="false" ht="15" hidden="false" customHeight="true" outlineLevel="0" collapsed="false">
      <c r="A126" s="19" t="s">
        <v>732</v>
      </c>
      <c r="B126" s="19" t="s">
        <v>733</v>
      </c>
      <c r="C126" s="19" t="s">
        <v>729</v>
      </c>
      <c r="D126" s="19"/>
      <c r="E126" s="19" t="s">
        <v>570</v>
      </c>
      <c r="F126" s="20" t="s">
        <v>734</v>
      </c>
      <c r="G126" s="21" t="n">
        <v>250</v>
      </c>
      <c r="H126" s="21" t="n">
        <v>80</v>
      </c>
      <c r="I126" s="22" t="n">
        <f aca="false">IF(H126="",G126,MIN(G126,H126))</f>
        <v>80</v>
      </c>
      <c r="J126" s="23" t="n">
        <v>2</v>
      </c>
      <c r="K126" s="23" t="n">
        <v>1</v>
      </c>
      <c r="L126" s="23" t="n">
        <v>20</v>
      </c>
      <c r="M126" s="23" t="n">
        <v>8</v>
      </c>
      <c r="N126" s="23"/>
      <c r="O126" s="23"/>
      <c r="P126" s="23"/>
      <c r="Q126" s="24"/>
      <c r="R126" s="25" t="n">
        <v>0</v>
      </c>
      <c r="S126" s="19" t="n">
        <f aca="false">COUNTIFS(Flows!$B$2:$B$1500,$B126,Flows!$C$2:$C$1500,"Input")</f>
        <v>5</v>
      </c>
      <c r="T126" s="19" t="n">
        <f aca="false">COUNTIFS(Flows!$B$2:$B$1500,$B126,Flows!$C$2:$C$1500,"Output")</f>
        <v>1</v>
      </c>
      <c r="U126" s="19"/>
      <c r="V126" s="19"/>
      <c r="W126" s="19" t="s">
        <v>172</v>
      </c>
      <c r="X126" s="19"/>
    </row>
    <row r="127" customFormat="false" ht="15" hidden="false" customHeight="true" outlineLevel="0" collapsed="false">
      <c r="A127" s="19" t="s">
        <v>735</v>
      </c>
      <c r="B127" s="19" t="s">
        <v>736</v>
      </c>
      <c r="C127" s="19" t="s">
        <v>729</v>
      </c>
      <c r="D127" s="19"/>
      <c r="E127" s="19" t="s">
        <v>570</v>
      </c>
      <c r="F127" s="20" t="s">
        <v>737</v>
      </c>
      <c r="G127" s="21" t="n">
        <v>200</v>
      </c>
      <c r="H127" s="21" t="n">
        <v>50</v>
      </c>
      <c r="I127" s="22" t="n">
        <f aca="false">IF(H127="",G127,MIN(G127,H127))</f>
        <v>50</v>
      </c>
      <c r="J127" s="23" t="n">
        <v>12</v>
      </c>
      <c r="K127" s="23" t="n">
        <v>0.5</v>
      </c>
      <c r="L127" s="23" t="n">
        <v>40</v>
      </c>
      <c r="M127" s="23" t="n">
        <v>15</v>
      </c>
      <c r="N127" s="23"/>
      <c r="O127" s="23"/>
      <c r="P127" s="23"/>
      <c r="Q127" s="24"/>
      <c r="R127" s="25" t="n">
        <v>0</v>
      </c>
      <c r="S127" s="19" t="n">
        <f aca="false">COUNTIFS(Flows!$B$2:$B$1500,$B127,Flows!$C$2:$C$1500,"Input")</f>
        <v>5</v>
      </c>
      <c r="T127" s="19" t="n">
        <f aca="false">COUNTIFS(Flows!$B$2:$B$1500,$B127,Flows!$C$2:$C$1500,"Output")</f>
        <v>1</v>
      </c>
      <c r="U127" s="19"/>
      <c r="V127" s="19"/>
      <c r="W127" s="19" t="s">
        <v>172</v>
      </c>
      <c r="X127" s="19"/>
    </row>
    <row r="128" customFormat="false" ht="15" hidden="false" customHeight="true" outlineLevel="0" collapsed="false">
      <c r="A128" s="19" t="s">
        <v>738</v>
      </c>
      <c r="B128" s="19" t="s">
        <v>739</v>
      </c>
      <c r="C128" s="19" t="s">
        <v>729</v>
      </c>
      <c r="D128" s="19"/>
      <c r="E128" s="19" t="s">
        <v>570</v>
      </c>
      <c r="F128" s="20" t="s">
        <v>740</v>
      </c>
      <c r="G128" s="21" t="n">
        <v>150</v>
      </c>
      <c r="H128" s="21" t="n">
        <v>40</v>
      </c>
      <c r="I128" s="22" t="n">
        <f aca="false">IF(H128="",G128,MIN(G128,H128))</f>
        <v>40</v>
      </c>
      <c r="J128" s="23" t="n">
        <v>2</v>
      </c>
      <c r="K128" s="23" t="n">
        <v>0.25</v>
      </c>
      <c r="L128" s="23" t="n">
        <v>12</v>
      </c>
      <c r="M128" s="23" t="n">
        <v>10</v>
      </c>
      <c r="N128" s="23"/>
      <c r="O128" s="23"/>
      <c r="P128" s="23"/>
      <c r="Q128" s="24"/>
      <c r="R128" s="25" t="n">
        <v>0</v>
      </c>
      <c r="S128" s="19" t="n">
        <f aca="false">COUNTIFS(Flows!$B$2:$B$1500,$B128,Flows!$C$2:$C$1500,"Input")</f>
        <v>3</v>
      </c>
      <c r="T128" s="19" t="n">
        <f aca="false">COUNTIFS(Flows!$B$2:$B$1500,$B128,Flows!$C$2:$C$1500,"Output")</f>
        <v>1</v>
      </c>
      <c r="U128" s="19"/>
      <c r="V128" s="19"/>
      <c r="W128" s="19" t="s">
        <v>172</v>
      </c>
      <c r="X128" s="19"/>
    </row>
    <row r="129" customFormat="false" ht="15" hidden="false" customHeight="true" outlineLevel="0" collapsed="false">
      <c r="A129" s="19" t="s">
        <v>741</v>
      </c>
      <c r="B129" s="19" t="s">
        <v>742</v>
      </c>
      <c r="C129" s="19" t="s">
        <v>729</v>
      </c>
      <c r="D129" s="19"/>
      <c r="E129" s="19" t="s">
        <v>570</v>
      </c>
      <c r="F129" s="20" t="s">
        <v>743</v>
      </c>
      <c r="G129" s="21" t="n">
        <v>50</v>
      </c>
      <c r="H129" s="21" t="n">
        <v>0</v>
      </c>
      <c r="I129" s="22" t="n">
        <f aca="false">IF(H129="",G129,MIN(G129,H129))</f>
        <v>0</v>
      </c>
      <c r="J129" s="23" t="n">
        <v>16</v>
      </c>
      <c r="K129" s="23" t="n">
        <v>0.25</v>
      </c>
      <c r="L129" s="23" t="n">
        <v>100</v>
      </c>
      <c r="M129" s="23" t="n">
        <v>15</v>
      </c>
      <c r="N129" s="23"/>
      <c r="O129" s="23"/>
      <c r="P129" s="23"/>
      <c r="Q129" s="24"/>
      <c r="R129" s="25" t="n">
        <v>0</v>
      </c>
      <c r="S129" s="19" t="n">
        <f aca="false">COUNTIFS(Flows!$B$2:$B$1500,$B129,Flows!$C$2:$C$1500,"Input")</f>
        <v>5</v>
      </c>
      <c r="T129" s="19" t="n">
        <f aca="false">COUNTIFS(Flows!$B$2:$B$1500,$B129,Flows!$C$2:$C$1500,"Output")</f>
        <v>1</v>
      </c>
      <c r="U129" s="19"/>
      <c r="V129" s="19"/>
      <c r="W129" s="19" t="s">
        <v>172</v>
      </c>
      <c r="X129" s="19"/>
    </row>
    <row r="130" customFormat="false" ht="15" hidden="false" customHeight="true" outlineLevel="0" collapsed="false">
      <c r="A130" s="19" t="s">
        <v>744</v>
      </c>
      <c r="B130" s="19" t="s">
        <v>745</v>
      </c>
      <c r="C130" s="19" t="s">
        <v>729</v>
      </c>
      <c r="D130" s="19"/>
      <c r="E130" s="19" t="s">
        <v>570</v>
      </c>
      <c r="F130" s="20" t="s">
        <v>746</v>
      </c>
      <c r="G130" s="21" t="n">
        <v>150</v>
      </c>
      <c r="H130" s="21" t="n">
        <v>30</v>
      </c>
      <c r="I130" s="22" t="n">
        <f aca="false">IF(H130="",G130,MIN(G130,H130))</f>
        <v>30</v>
      </c>
      <c r="J130" s="23" t="n">
        <v>8</v>
      </c>
      <c r="K130" s="23" t="n">
        <v>0.25</v>
      </c>
      <c r="L130" s="23" t="n">
        <v>40</v>
      </c>
      <c r="M130" s="23" t="n">
        <v>15</v>
      </c>
      <c r="N130" s="23"/>
      <c r="O130" s="23"/>
      <c r="P130" s="23"/>
      <c r="Q130" s="24"/>
      <c r="R130" s="25" t="n">
        <v>0</v>
      </c>
      <c r="S130" s="19" t="n">
        <f aca="false">COUNTIFS(Flows!$B$2:$B$1500,$B130,Flows!$C$2:$C$1500,"Input")</f>
        <v>3</v>
      </c>
      <c r="T130" s="19" t="n">
        <f aca="false">COUNTIFS(Flows!$B$2:$B$1500,$B130,Flows!$C$2:$C$1500,"Output")</f>
        <v>3</v>
      </c>
      <c r="U130" s="19"/>
      <c r="V130" s="19"/>
      <c r="W130" s="19" t="s">
        <v>172</v>
      </c>
      <c r="X130" s="19"/>
    </row>
    <row r="131" customFormat="false" ht="15" hidden="false" customHeight="true" outlineLevel="0" collapsed="false">
      <c r="A131" s="19" t="s">
        <v>747</v>
      </c>
      <c r="B131" s="19" t="s">
        <v>748</v>
      </c>
      <c r="C131" s="19" t="s">
        <v>385</v>
      </c>
      <c r="D131" s="19"/>
      <c r="E131" s="19" t="s">
        <v>570</v>
      </c>
      <c r="F131" s="20" t="s">
        <v>749</v>
      </c>
      <c r="G131" s="21" t="n">
        <v>50</v>
      </c>
      <c r="H131" s="21" t="n">
        <v>20</v>
      </c>
      <c r="I131" s="22" t="n">
        <f aca="false">IF(H131="",G131,MIN(G131,H131))</f>
        <v>20</v>
      </c>
      <c r="J131" s="23" t="n">
        <v>2</v>
      </c>
      <c r="K131" s="23" t="n">
        <v>0.1</v>
      </c>
      <c r="L131" s="23" t="n">
        <v>300</v>
      </c>
      <c r="M131" s="23" t="n">
        <v>40</v>
      </c>
      <c r="N131" s="23"/>
      <c r="O131" s="23"/>
      <c r="P131" s="23"/>
      <c r="Q131" s="24"/>
      <c r="R131" s="25" t="n">
        <v>0</v>
      </c>
      <c r="S131" s="19" t="n">
        <f aca="false">COUNTIFS(Flows!$B$2:$B$1500,$B131,Flows!$C$2:$C$1500,"Input")</f>
        <v>6</v>
      </c>
      <c r="T131" s="19" t="n">
        <f aca="false">COUNTIFS(Flows!$B$2:$B$1500,$B131,Flows!$C$2:$C$1500,"Output")</f>
        <v>3</v>
      </c>
      <c r="U131" s="19"/>
      <c r="V131" s="19"/>
      <c r="W131" s="19" t="s">
        <v>172</v>
      </c>
      <c r="X131" s="19"/>
    </row>
    <row r="132" customFormat="false" ht="15" hidden="false" customHeight="true" outlineLevel="0" collapsed="false">
      <c r="A132" s="19" t="s">
        <v>750</v>
      </c>
      <c r="B132" s="19" t="s">
        <v>751</v>
      </c>
      <c r="C132" s="19" t="s">
        <v>385</v>
      </c>
      <c r="D132" s="19"/>
      <c r="E132" s="19" t="s">
        <v>570</v>
      </c>
      <c r="F132" s="20" t="s">
        <v>752</v>
      </c>
      <c r="G132" s="21" t="n">
        <v>25</v>
      </c>
      <c r="H132" s="21" t="n">
        <v>8</v>
      </c>
      <c r="I132" s="22" t="n">
        <f aca="false">IF(H132="",G132,MIN(G132,H132))</f>
        <v>8</v>
      </c>
      <c r="J132" s="23" t="n">
        <v>1</v>
      </c>
      <c r="K132" s="23" t="n">
        <v>0.05</v>
      </c>
      <c r="L132" s="23" t="n">
        <v>100</v>
      </c>
      <c r="M132" s="23" t="n">
        <v>40</v>
      </c>
      <c r="N132" s="23"/>
      <c r="O132" s="23"/>
      <c r="P132" s="23"/>
      <c r="Q132" s="24"/>
      <c r="R132" s="25" t="n">
        <v>0</v>
      </c>
      <c r="S132" s="19" t="n">
        <f aca="false">COUNTIFS(Flows!$B$2:$B$1500,$B132,Flows!$C$2:$C$1500,"Input")</f>
        <v>3</v>
      </c>
      <c r="T132" s="19" t="n">
        <f aca="false">COUNTIFS(Flows!$B$2:$B$1500,$B132,Flows!$C$2:$C$1500,"Output")</f>
        <v>2</v>
      </c>
      <c r="U132" s="19"/>
      <c r="V132" s="19"/>
      <c r="W132" s="19" t="s">
        <v>172</v>
      </c>
      <c r="X132" s="19"/>
    </row>
    <row r="133" customFormat="false" ht="15" hidden="false" customHeight="true" outlineLevel="0" collapsed="false">
      <c r="A133" s="19" t="s">
        <v>753</v>
      </c>
      <c r="B133" s="19" t="s">
        <v>754</v>
      </c>
      <c r="C133" s="19" t="s">
        <v>385</v>
      </c>
      <c r="D133" s="19"/>
      <c r="E133" s="19" t="s">
        <v>570</v>
      </c>
      <c r="F133" s="20" t="s">
        <v>755</v>
      </c>
      <c r="G133" s="21" t="n">
        <v>100</v>
      </c>
      <c r="H133" s="21" t="n">
        <v>30</v>
      </c>
      <c r="I133" s="22" t="n">
        <f aca="false">IF(H133="",G133,MIN(G133,H133))</f>
        <v>30</v>
      </c>
      <c r="J133" s="23" t="n">
        <v>4</v>
      </c>
      <c r="K133" s="23" t="n">
        <v>0.25</v>
      </c>
      <c r="L133" s="23" t="n">
        <v>75</v>
      </c>
      <c r="M133" s="23" t="n">
        <v>15</v>
      </c>
      <c r="N133" s="23"/>
      <c r="O133" s="23"/>
      <c r="P133" s="23"/>
      <c r="Q133" s="24"/>
      <c r="R133" s="25" t="n">
        <v>0</v>
      </c>
      <c r="S133" s="19" t="n">
        <f aca="false">COUNTIFS(Flows!$B$2:$B$1500,$B133,Flows!$C$2:$C$1500,"Input")</f>
        <v>5</v>
      </c>
      <c r="T133" s="19" t="n">
        <f aca="false">COUNTIFS(Flows!$B$2:$B$1500,$B133,Flows!$C$2:$C$1500,"Output")</f>
        <v>2</v>
      </c>
      <c r="U133" s="19"/>
      <c r="V133" s="19"/>
      <c r="W133" s="19" t="s">
        <v>172</v>
      </c>
      <c r="X133" s="19"/>
    </row>
    <row r="134" customFormat="false" ht="15" hidden="false" customHeight="true" outlineLevel="0" collapsed="false">
      <c r="A134" s="19" t="s">
        <v>756</v>
      </c>
      <c r="B134" s="19" t="s">
        <v>757</v>
      </c>
      <c r="C134" s="19" t="s">
        <v>385</v>
      </c>
      <c r="D134" s="19"/>
      <c r="E134" s="19" t="s">
        <v>570</v>
      </c>
      <c r="F134" s="20" t="s">
        <v>758</v>
      </c>
      <c r="G134" s="21" t="n">
        <v>20</v>
      </c>
      <c r="H134" s="21" t="n">
        <v>20</v>
      </c>
      <c r="I134" s="22" t="n">
        <f aca="false">IF(H134="",G134,MIN(G134,H134))</f>
        <v>20</v>
      </c>
      <c r="J134" s="23" t="n">
        <v>1</v>
      </c>
      <c r="K134" s="23" t="n">
        <v>0</v>
      </c>
      <c r="L134" s="23" t="n">
        <v>1000</v>
      </c>
      <c r="M134" s="23" t="n">
        <v>1</v>
      </c>
      <c r="N134" s="23"/>
      <c r="O134" s="23"/>
      <c r="P134" s="23"/>
      <c r="Q134" s="24"/>
      <c r="R134" s="25" t="n">
        <v>0</v>
      </c>
      <c r="S134" s="19" t="n">
        <f aca="false">COUNTIFS(Flows!$B$2:$B$1500,$B134,Flows!$C$2:$C$1500,"Input")</f>
        <v>1</v>
      </c>
      <c r="T134" s="19" t="n">
        <f aca="false">COUNTIFS(Flows!$B$2:$B$1500,$B134,Flows!$C$2:$C$1500,"Output")</f>
        <v>3</v>
      </c>
      <c r="U134" s="19"/>
      <c r="V134" s="19"/>
      <c r="W134" s="19" t="s">
        <v>172</v>
      </c>
      <c r="X134" s="19"/>
    </row>
    <row r="135" customFormat="false" ht="15" hidden="false" customHeight="true" outlineLevel="0" collapsed="false">
      <c r="A135" s="19" t="s">
        <v>759</v>
      </c>
      <c r="B135" s="19" t="s">
        <v>760</v>
      </c>
      <c r="C135" s="19" t="s">
        <v>434</v>
      </c>
      <c r="D135" s="19"/>
      <c r="E135" s="19" t="s">
        <v>570</v>
      </c>
      <c r="F135" s="20" t="s">
        <v>761</v>
      </c>
      <c r="G135" s="21" t="n">
        <v>60</v>
      </c>
      <c r="H135" s="21" t="n">
        <v>20</v>
      </c>
      <c r="I135" s="22" t="n">
        <f aca="false">IF(H135="",G135,MIN(G135,H135))</f>
        <v>20</v>
      </c>
      <c r="J135" s="23" t="n">
        <v>1</v>
      </c>
      <c r="K135" s="23" t="n">
        <v>0</v>
      </c>
      <c r="L135" s="23" t="n">
        <v>1</v>
      </c>
      <c r="M135" s="23" t="n">
        <v>15</v>
      </c>
      <c r="N135" s="23"/>
      <c r="O135" s="23"/>
      <c r="P135" s="23"/>
      <c r="Q135" s="24"/>
      <c r="R135" s="25" t="n">
        <v>0</v>
      </c>
      <c r="S135" s="19" t="n">
        <f aca="false">COUNTIFS(Flows!$B$2:$B$1500,$B135,Flows!$C$2:$C$1500,"Input")</f>
        <v>1</v>
      </c>
      <c r="T135" s="19" t="n">
        <f aca="false">COUNTIFS(Flows!$B$2:$B$1500,$B135,Flows!$C$2:$C$1500,"Output")</f>
        <v>2</v>
      </c>
      <c r="U135" s="19"/>
      <c r="V135" s="19"/>
      <c r="W135" s="19" t="s">
        <v>172</v>
      </c>
      <c r="X135" s="19"/>
    </row>
    <row r="136" customFormat="false" ht="15" hidden="false" customHeight="true" outlineLevel="0" collapsed="false">
      <c r="A136" s="19" t="s">
        <v>762</v>
      </c>
      <c r="B136" s="19" t="s">
        <v>763</v>
      </c>
      <c r="C136" s="19" t="s">
        <v>434</v>
      </c>
      <c r="D136" s="19"/>
      <c r="E136" s="19" t="s">
        <v>570</v>
      </c>
      <c r="F136" s="20" t="s">
        <v>764</v>
      </c>
      <c r="G136" s="21" t="n">
        <v>150</v>
      </c>
      <c r="H136" s="21" t="n">
        <v>60</v>
      </c>
      <c r="I136" s="22" t="n">
        <f aca="false">IF(H136="",G136,MIN(G136,H136))</f>
        <v>60</v>
      </c>
      <c r="J136" s="23" t="n">
        <v>6</v>
      </c>
      <c r="K136" s="23" t="n">
        <v>0.1</v>
      </c>
      <c r="L136" s="23" t="n">
        <v>1000</v>
      </c>
      <c r="M136" s="23" t="n">
        <v>10</v>
      </c>
      <c r="N136" s="23"/>
      <c r="O136" s="23"/>
      <c r="P136" s="23"/>
      <c r="Q136" s="24"/>
      <c r="R136" s="25" t="n">
        <v>0</v>
      </c>
      <c r="S136" s="19" t="n">
        <f aca="false">COUNTIFS(Flows!$B$2:$B$1500,$B136,Flows!$C$2:$C$1500,"Input")</f>
        <v>2</v>
      </c>
      <c r="T136" s="19" t="n">
        <f aca="false">COUNTIFS(Flows!$B$2:$B$1500,$B136,Flows!$C$2:$C$1500,"Output")</f>
        <v>3</v>
      </c>
      <c r="U136" s="19"/>
      <c r="V136" s="19"/>
      <c r="W136" s="19" t="s">
        <v>172</v>
      </c>
      <c r="X136" s="19"/>
    </row>
    <row r="137" customFormat="false" ht="15" hidden="false" customHeight="true" outlineLevel="0" collapsed="false">
      <c r="A137" s="19" t="s">
        <v>765</v>
      </c>
      <c r="B137" s="19" t="s">
        <v>766</v>
      </c>
      <c r="C137" s="19" t="s">
        <v>434</v>
      </c>
      <c r="D137" s="19"/>
      <c r="E137" s="19" t="s">
        <v>570</v>
      </c>
      <c r="F137" s="20" t="s">
        <v>767</v>
      </c>
      <c r="G137" s="21" t="n">
        <v>800</v>
      </c>
      <c r="H137" s="21" t="n">
        <v>250</v>
      </c>
      <c r="I137" s="22" t="n">
        <f aca="false">IF(H137="",G137,MIN(G137,H137))</f>
        <v>250</v>
      </c>
      <c r="J137" s="23" t="n">
        <v>20</v>
      </c>
      <c r="K137" s="23" t="n">
        <v>0.25</v>
      </c>
      <c r="L137" s="23" t="n">
        <v>600</v>
      </c>
      <c r="M137" s="23" t="n">
        <v>40</v>
      </c>
      <c r="N137" s="23"/>
      <c r="O137" s="23"/>
      <c r="P137" s="23"/>
      <c r="Q137" s="24"/>
      <c r="R137" s="25" t="n">
        <v>0</v>
      </c>
      <c r="S137" s="19" t="n">
        <f aca="false">COUNTIFS(Flows!$B$2:$B$1500,$B137,Flows!$C$2:$C$1500,"Input")</f>
        <v>3</v>
      </c>
      <c r="T137" s="19" t="n">
        <f aca="false">COUNTIFS(Flows!$B$2:$B$1500,$B137,Flows!$C$2:$C$1500,"Output")</f>
        <v>4</v>
      </c>
      <c r="U137" s="19"/>
      <c r="V137" s="19"/>
      <c r="W137" s="19" t="s">
        <v>172</v>
      </c>
      <c r="X137" s="19"/>
    </row>
    <row r="138" customFormat="false" ht="15" hidden="false" customHeight="true" outlineLevel="0" collapsed="false">
      <c r="A138" s="19" t="s">
        <v>768</v>
      </c>
      <c r="B138" s="19" t="s">
        <v>769</v>
      </c>
      <c r="C138" s="19" t="s">
        <v>770</v>
      </c>
      <c r="D138" s="19"/>
      <c r="E138" s="19" t="s">
        <v>570</v>
      </c>
      <c r="F138" s="20" t="s">
        <v>771</v>
      </c>
      <c r="G138" s="21" t="n">
        <v>40</v>
      </c>
      <c r="H138" s="21" t="n">
        <v>10</v>
      </c>
      <c r="I138" s="22" t="n">
        <f aca="false">IF(H138="",G138,MIN(G138,H138))</f>
        <v>10</v>
      </c>
      <c r="J138" s="23" t="n">
        <v>1</v>
      </c>
      <c r="K138" s="23" t="n">
        <v>0.05</v>
      </c>
      <c r="L138" s="23" t="n">
        <v>1</v>
      </c>
      <c r="M138" s="23" t="n">
        <v>5</v>
      </c>
      <c r="N138" s="23"/>
      <c r="O138" s="23"/>
      <c r="P138" s="23"/>
      <c r="Q138" s="24"/>
      <c r="R138" s="25" t="n">
        <v>0</v>
      </c>
      <c r="S138" s="19" t="n">
        <f aca="false">COUNTIFS(Flows!$B$2:$B$1500,$B138,Flows!$C$2:$C$1500,"Input")</f>
        <v>2</v>
      </c>
      <c r="T138" s="19" t="n">
        <f aca="false">COUNTIFS(Flows!$B$2:$B$1500,$B138,Flows!$C$2:$C$1500,"Output")</f>
        <v>1</v>
      </c>
      <c r="U138" s="19"/>
      <c r="V138" s="19"/>
      <c r="W138" s="19" t="s">
        <v>172</v>
      </c>
      <c r="X138" s="19"/>
    </row>
    <row r="139" customFormat="false" ht="15" hidden="false" customHeight="true" outlineLevel="0" collapsed="false">
      <c r="A139" s="19" t="s">
        <v>772</v>
      </c>
      <c r="B139" s="19" t="s">
        <v>773</v>
      </c>
      <c r="C139" s="19" t="s">
        <v>774</v>
      </c>
      <c r="D139" s="19"/>
      <c r="E139" s="19" t="s">
        <v>570</v>
      </c>
      <c r="F139" s="20" t="s">
        <v>775</v>
      </c>
      <c r="G139" s="21" t="n">
        <v>80</v>
      </c>
      <c r="H139" s="21" t="n">
        <v>30</v>
      </c>
      <c r="I139" s="22" t="n">
        <f aca="false">IF(H139="",G139,MIN(G139,H139))</f>
        <v>30</v>
      </c>
      <c r="J139" s="23" t="n">
        <v>2</v>
      </c>
      <c r="K139" s="23" t="n">
        <v>0.5</v>
      </c>
      <c r="L139" s="23" t="n">
        <v>6</v>
      </c>
      <c r="M139" s="23" t="n">
        <v>5</v>
      </c>
      <c r="N139" s="23"/>
      <c r="O139" s="23"/>
      <c r="P139" s="23"/>
      <c r="Q139" s="24"/>
      <c r="R139" s="25" t="n">
        <v>0</v>
      </c>
      <c r="S139" s="19" t="n">
        <f aca="false">COUNTIFS(Flows!$B$2:$B$1500,$B139,Flows!$C$2:$C$1500,"Input")</f>
        <v>3</v>
      </c>
      <c r="T139" s="19" t="n">
        <f aca="false">COUNTIFS(Flows!$B$2:$B$1500,$B139,Flows!$C$2:$C$1500,"Output")</f>
        <v>2</v>
      </c>
      <c r="U139" s="19"/>
      <c r="V139" s="19"/>
      <c r="W139" s="19" t="s">
        <v>172</v>
      </c>
      <c r="X139" s="19"/>
    </row>
    <row r="140" customFormat="false" ht="15" hidden="false" customHeight="true" outlineLevel="0" collapsed="false">
      <c r="A140" s="19" t="s">
        <v>776</v>
      </c>
      <c r="B140" s="19" t="s">
        <v>777</v>
      </c>
      <c r="C140" s="19" t="s">
        <v>229</v>
      </c>
      <c r="D140" s="19"/>
      <c r="E140" s="19" t="s">
        <v>570</v>
      </c>
      <c r="F140" s="20" t="s">
        <v>778</v>
      </c>
      <c r="G140" s="21" t="n">
        <v>800</v>
      </c>
      <c r="H140" s="21"/>
      <c r="I140" s="22" t="n">
        <f aca="false">IF(H140="",G140,MIN(G140,H140))</f>
        <v>800</v>
      </c>
      <c r="J140" s="23" t="n">
        <v>20</v>
      </c>
      <c r="K140" s="23" t="n">
        <v>7</v>
      </c>
      <c r="L140" s="23" t="n">
        <v>0</v>
      </c>
      <c r="M140" s="23" t="n">
        <v>10</v>
      </c>
      <c r="N140" s="23"/>
      <c r="O140" s="23"/>
      <c r="P140" s="23"/>
      <c r="Q140" s="24"/>
      <c r="R140" s="25" t="n">
        <v>0</v>
      </c>
      <c r="S140" s="19" t="n">
        <f aca="false">COUNTIFS(Flows!$B$2:$B$1500,$B140,Flows!$C$2:$C$1500,"Input")</f>
        <v>5</v>
      </c>
      <c r="T140" s="19" t="n">
        <f aca="false">COUNTIFS(Flows!$B$2:$B$1500,$B140,Flows!$C$2:$C$1500,"Output")</f>
        <v>2</v>
      </c>
      <c r="U140" s="19"/>
      <c r="V140" s="19"/>
      <c r="W140" s="19" t="s">
        <v>159</v>
      </c>
      <c r="X140" s="19" t="s">
        <v>779</v>
      </c>
    </row>
    <row r="141" customFormat="false" ht="15" hidden="false" customHeight="true" outlineLevel="0" collapsed="false">
      <c r="A141" s="19" t="s">
        <v>780</v>
      </c>
      <c r="B141" s="19" t="s">
        <v>781</v>
      </c>
      <c r="C141" s="19" t="s">
        <v>229</v>
      </c>
      <c r="D141" s="19"/>
      <c r="E141" s="19" t="s">
        <v>570</v>
      </c>
      <c r="F141" s="20" t="s">
        <v>782</v>
      </c>
      <c r="G141" s="21" t="n">
        <v>300</v>
      </c>
      <c r="H141" s="21" t="n">
        <v>100</v>
      </c>
      <c r="I141" s="22" t="n">
        <f aca="false">IF(H141="",G141,MIN(G141,H141))</f>
        <v>100</v>
      </c>
      <c r="J141" s="23" t="n">
        <v>8</v>
      </c>
      <c r="K141" s="23" t="n">
        <v>2</v>
      </c>
      <c r="L141" s="23" t="n">
        <v>40</v>
      </c>
      <c r="M141" s="23" t="n">
        <v>5</v>
      </c>
      <c r="N141" s="23"/>
      <c r="O141" s="23"/>
      <c r="P141" s="23"/>
      <c r="Q141" s="24"/>
      <c r="R141" s="25" t="n">
        <v>0</v>
      </c>
      <c r="S141" s="19" t="n">
        <f aca="false">COUNTIFS(Flows!$B$2:$B$1500,$B141,Flows!$C$2:$C$1500,"Input")</f>
        <v>4</v>
      </c>
      <c r="T141" s="19" t="n">
        <f aca="false">COUNTIFS(Flows!$B$2:$B$1500,$B141,Flows!$C$2:$C$1500,"Output")</f>
        <v>2</v>
      </c>
      <c r="U141" s="19"/>
      <c r="V141" s="19"/>
      <c r="W141" s="19" t="s">
        <v>172</v>
      </c>
      <c r="X141" s="19"/>
    </row>
    <row r="142" customFormat="false" ht="15" hidden="false" customHeight="true" outlineLevel="0" collapsed="false">
      <c r="A142" s="19" t="s">
        <v>783</v>
      </c>
      <c r="B142" s="19" t="s">
        <v>784</v>
      </c>
      <c r="C142" s="19" t="s">
        <v>229</v>
      </c>
      <c r="D142" s="19"/>
      <c r="E142" s="19" t="s">
        <v>570</v>
      </c>
      <c r="F142" s="20" t="s">
        <v>785</v>
      </c>
      <c r="G142" s="21" t="n">
        <v>900</v>
      </c>
      <c r="H142" s="21"/>
      <c r="I142" s="22" t="n">
        <f aca="false">IF(H142="",G142,MIN(G142,H142))</f>
        <v>900</v>
      </c>
      <c r="J142" s="23" t="n">
        <v>10</v>
      </c>
      <c r="K142" s="23" t="n">
        <v>2</v>
      </c>
      <c r="L142" s="23" t="n">
        <v>0</v>
      </c>
      <c r="M142" s="23" t="n">
        <v>10</v>
      </c>
      <c r="N142" s="23"/>
      <c r="O142" s="23"/>
      <c r="P142" s="23"/>
      <c r="Q142" s="24"/>
      <c r="R142" s="25" t="n">
        <v>0</v>
      </c>
      <c r="S142" s="19" t="n">
        <f aca="false">COUNTIFS(Flows!$B$2:$B$1500,$B142,Flows!$C$2:$C$1500,"Input")</f>
        <v>5</v>
      </c>
      <c r="T142" s="19" t="n">
        <f aca="false">COUNTIFS(Flows!$B$2:$B$1500,$B142,Flows!$C$2:$C$1500,"Output")</f>
        <v>3</v>
      </c>
      <c r="U142" s="19"/>
      <c r="V142" s="19"/>
      <c r="W142" s="19" t="s">
        <v>172</v>
      </c>
      <c r="X142" s="19"/>
    </row>
    <row r="143" customFormat="false" ht="15" hidden="false" customHeight="true" outlineLevel="0" collapsed="false">
      <c r="A143" s="19" t="s">
        <v>786</v>
      </c>
      <c r="B143" s="19" t="s">
        <v>787</v>
      </c>
      <c r="C143" s="19" t="s">
        <v>236</v>
      </c>
      <c r="D143" s="19"/>
      <c r="E143" s="19" t="s">
        <v>570</v>
      </c>
      <c r="F143" s="20" t="s">
        <v>788</v>
      </c>
      <c r="G143" s="21" t="n">
        <v>200</v>
      </c>
      <c r="H143" s="21" t="n">
        <v>60</v>
      </c>
      <c r="I143" s="22" t="n">
        <f aca="false">IF(H143="",G143,MIN(G143,H143))</f>
        <v>60</v>
      </c>
      <c r="J143" s="23" t="n">
        <v>3</v>
      </c>
      <c r="K143" s="23" t="n">
        <v>1</v>
      </c>
      <c r="L143" s="23" t="n">
        <v>12</v>
      </c>
      <c r="M143" s="23" t="n">
        <v>3</v>
      </c>
      <c r="N143" s="23"/>
      <c r="O143" s="23"/>
      <c r="P143" s="23"/>
      <c r="Q143" s="24"/>
      <c r="R143" s="25" t="n">
        <v>0</v>
      </c>
      <c r="S143" s="19" t="n">
        <f aca="false">COUNTIFS(Flows!$B$2:$B$1500,$B143,Flows!$C$2:$C$1500,"Input")</f>
        <v>3</v>
      </c>
      <c r="T143" s="19" t="n">
        <f aca="false">COUNTIFS(Flows!$B$2:$B$1500,$B143,Flows!$C$2:$C$1500,"Output")</f>
        <v>3</v>
      </c>
      <c r="U143" s="19"/>
      <c r="V143" s="19"/>
      <c r="W143" s="19" t="s">
        <v>172</v>
      </c>
      <c r="X143" s="19" t="s">
        <v>789</v>
      </c>
    </row>
    <row r="144" customFormat="false" ht="15" hidden="false" customHeight="true" outlineLevel="0" collapsed="false">
      <c r="A144" s="19" t="s">
        <v>790</v>
      </c>
      <c r="B144" s="19" t="s">
        <v>791</v>
      </c>
      <c r="C144" s="19" t="s">
        <v>792</v>
      </c>
      <c r="D144" s="19"/>
      <c r="E144" s="19" t="s">
        <v>570</v>
      </c>
      <c r="F144" s="20" t="s">
        <v>793</v>
      </c>
      <c r="G144" s="21" t="n">
        <v>3000</v>
      </c>
      <c r="H144" s="21"/>
      <c r="I144" s="22" t="n">
        <f aca="false">IF(H144="",G144,MIN(G144,H144))</f>
        <v>3000</v>
      </c>
      <c r="J144" s="23" t="n">
        <v>20</v>
      </c>
      <c r="K144" s="23" t="n">
        <v>7</v>
      </c>
      <c r="L144" s="23" t="n">
        <v>0</v>
      </c>
      <c r="M144" s="23" t="n">
        <v>25</v>
      </c>
      <c r="N144" s="23"/>
      <c r="O144" s="23"/>
      <c r="P144" s="23"/>
      <c r="Q144" s="24"/>
      <c r="R144" s="25" t="n">
        <v>0</v>
      </c>
      <c r="S144" s="19" t="n">
        <f aca="false">COUNTIFS(Flows!$B$2:$B$1500,$B144,Flows!$C$2:$C$1500,"Input")</f>
        <v>5</v>
      </c>
      <c r="T144" s="19" t="n">
        <f aca="false">COUNTIFS(Flows!$B$2:$B$1500,$B144,Flows!$C$2:$C$1500,"Output")</f>
        <v>3</v>
      </c>
      <c r="U144" s="19"/>
      <c r="V144" s="19"/>
      <c r="W144" s="19" t="s">
        <v>172</v>
      </c>
      <c r="X144" s="19"/>
    </row>
    <row r="145" customFormat="false" ht="15" hidden="false" customHeight="true" outlineLevel="0" collapsed="false">
      <c r="A145" s="19" t="s">
        <v>794</v>
      </c>
      <c r="B145" s="19" t="s">
        <v>795</v>
      </c>
      <c r="C145" s="19" t="s">
        <v>61</v>
      </c>
      <c r="D145" s="19"/>
      <c r="E145" s="19" t="s">
        <v>570</v>
      </c>
      <c r="F145" s="20" t="s">
        <v>796</v>
      </c>
      <c r="G145" s="21" t="n">
        <v>1800</v>
      </c>
      <c r="H145" s="21"/>
      <c r="I145" s="22" t="n">
        <f aca="false">IF(H145="",G145,MIN(G145,H145))</f>
        <v>1800</v>
      </c>
      <c r="J145" s="23" t="n">
        <v>1</v>
      </c>
      <c r="K145" s="23" t="n">
        <v>0.2</v>
      </c>
      <c r="L145" s="23" t="n">
        <v>12</v>
      </c>
      <c r="M145" s="23" t="n">
        <v>8</v>
      </c>
      <c r="N145" s="23"/>
      <c r="O145" s="23"/>
      <c r="P145" s="23"/>
      <c r="Q145" s="24"/>
      <c r="R145" s="25" t="n">
        <v>0</v>
      </c>
      <c r="S145" s="19" t="n">
        <f aca="false">COUNTIFS(Flows!$B$2:$B$1500,$B145,Flows!$C$2:$C$1500,"Input")</f>
        <v>4</v>
      </c>
      <c r="T145" s="19" t="n">
        <f aca="false">COUNTIFS(Flows!$B$2:$B$1500,$B145,Flows!$C$2:$C$1500,"Output")</f>
        <v>2</v>
      </c>
      <c r="U145" s="19"/>
      <c r="V145" s="19"/>
      <c r="W145" s="19" t="s">
        <v>159</v>
      </c>
      <c r="X145" s="19"/>
    </row>
    <row r="146" customFormat="false" ht="15" hidden="false" customHeight="true" outlineLevel="0" collapsed="false">
      <c r="A146" s="19" t="s">
        <v>797</v>
      </c>
      <c r="B146" s="19" t="s">
        <v>798</v>
      </c>
      <c r="C146" s="19" t="s">
        <v>61</v>
      </c>
      <c r="D146" s="19"/>
      <c r="E146" s="19" t="s">
        <v>570</v>
      </c>
      <c r="F146" s="20" t="s">
        <v>799</v>
      </c>
      <c r="G146" s="21" t="n">
        <v>9000</v>
      </c>
      <c r="H146" s="21"/>
      <c r="I146" s="22" t="n">
        <f aca="false">IF(H146="",G146,MIN(G146,H146))</f>
        <v>9000</v>
      </c>
      <c r="J146" s="23" t="n">
        <v>1</v>
      </c>
      <c r="K146" s="23" t="n">
        <v>0.2</v>
      </c>
      <c r="L146" s="23" t="n">
        <v>150</v>
      </c>
      <c r="M146" s="23" t="n">
        <v>8</v>
      </c>
      <c r="N146" s="23"/>
      <c r="O146" s="23"/>
      <c r="P146" s="23"/>
      <c r="Q146" s="24"/>
      <c r="R146" s="25" t="n">
        <v>0</v>
      </c>
      <c r="S146" s="19" t="n">
        <f aca="false">COUNTIFS(Flows!$B$2:$B$1500,$B146,Flows!$C$2:$C$1500,"Input")</f>
        <v>3</v>
      </c>
      <c r="T146" s="19" t="n">
        <f aca="false">COUNTIFS(Flows!$B$2:$B$1500,$B146,Flows!$C$2:$C$1500,"Output")</f>
        <v>1</v>
      </c>
      <c r="U146" s="19"/>
      <c r="V146" s="19"/>
      <c r="W146" s="19" t="s">
        <v>159</v>
      </c>
      <c r="X146" s="19"/>
    </row>
    <row r="147" customFormat="false" ht="15" hidden="false" customHeight="true" outlineLevel="0" collapsed="false">
      <c r="A147" s="19" t="s">
        <v>800</v>
      </c>
      <c r="B147" s="19" t="s">
        <v>801</v>
      </c>
      <c r="C147" s="19" t="s">
        <v>322</v>
      </c>
      <c r="D147" s="19"/>
      <c r="E147" s="19" t="s">
        <v>570</v>
      </c>
      <c r="F147" s="20" t="s">
        <v>802</v>
      </c>
      <c r="G147" s="21" t="n">
        <v>120</v>
      </c>
      <c r="H147" s="21" t="n">
        <v>30</v>
      </c>
      <c r="I147" s="22" t="n">
        <f aca="false">IF(H147="",G147,MIN(G147,H147))</f>
        <v>30</v>
      </c>
      <c r="J147" s="23" t="n">
        <v>1</v>
      </c>
      <c r="K147" s="23" t="n">
        <v>0.25</v>
      </c>
      <c r="L147" s="23" t="n">
        <v>6</v>
      </c>
      <c r="M147" s="23" t="n">
        <v>10</v>
      </c>
      <c r="N147" s="23"/>
      <c r="O147" s="23"/>
      <c r="P147" s="23"/>
      <c r="Q147" s="24"/>
      <c r="R147" s="25" t="n">
        <v>0</v>
      </c>
      <c r="S147" s="19" t="n">
        <f aca="false">COUNTIFS(Flows!$B$2:$B$1500,$B147,Flows!$C$2:$C$1500,"Input")</f>
        <v>5</v>
      </c>
      <c r="T147" s="19" t="n">
        <f aca="false">COUNTIFS(Flows!$B$2:$B$1500,$B147,Flows!$C$2:$C$1500,"Output")</f>
        <v>2</v>
      </c>
      <c r="U147" s="19"/>
      <c r="V147" s="19"/>
      <c r="W147" s="19" t="s">
        <v>172</v>
      </c>
      <c r="X147" s="19"/>
    </row>
    <row r="148" customFormat="false" ht="15" hidden="false" customHeight="true" outlineLevel="0" collapsed="false">
      <c r="A148" s="19" t="s">
        <v>803</v>
      </c>
      <c r="B148" s="19" t="s">
        <v>804</v>
      </c>
      <c r="C148" s="19" t="s">
        <v>322</v>
      </c>
      <c r="D148" s="19"/>
      <c r="E148" s="19" t="s">
        <v>570</v>
      </c>
      <c r="F148" s="20" t="s">
        <v>805</v>
      </c>
      <c r="G148" s="21" t="n">
        <v>60</v>
      </c>
      <c r="H148" s="21" t="n">
        <v>25</v>
      </c>
      <c r="I148" s="22" t="n">
        <f aca="false">IF(H148="",G148,MIN(G148,H148))</f>
        <v>25</v>
      </c>
      <c r="J148" s="23" t="n">
        <v>0.5</v>
      </c>
      <c r="K148" s="23" t="n">
        <v>0.25</v>
      </c>
      <c r="L148" s="23" t="n">
        <v>2</v>
      </c>
      <c r="M148" s="23" t="n">
        <v>5</v>
      </c>
      <c r="N148" s="23"/>
      <c r="O148" s="23"/>
      <c r="P148" s="23"/>
      <c r="Q148" s="24"/>
      <c r="R148" s="25" t="n">
        <v>0</v>
      </c>
      <c r="S148" s="19" t="n">
        <f aca="false">COUNTIFS(Flows!$B$2:$B$1500,$B148,Flows!$C$2:$C$1500,"Input")</f>
        <v>3</v>
      </c>
      <c r="T148" s="19" t="n">
        <f aca="false">COUNTIFS(Flows!$B$2:$B$1500,$B148,Flows!$C$2:$C$1500,"Output")</f>
        <v>2</v>
      </c>
      <c r="U148" s="19"/>
      <c r="V148" s="19"/>
      <c r="W148" s="19" t="s">
        <v>172</v>
      </c>
      <c r="X148" s="19"/>
    </row>
    <row r="149" customFormat="false" ht="15" hidden="false" customHeight="true" outlineLevel="0" collapsed="false">
      <c r="A149" s="19" t="s">
        <v>806</v>
      </c>
      <c r="B149" s="19" t="s">
        <v>807</v>
      </c>
      <c r="C149" s="19" t="s">
        <v>57</v>
      </c>
      <c r="D149" s="19"/>
      <c r="E149" s="19" t="s">
        <v>570</v>
      </c>
      <c r="F149" s="20" t="s">
        <v>808</v>
      </c>
      <c r="G149" s="21" t="n">
        <v>150</v>
      </c>
      <c r="H149" s="21" t="n">
        <v>40</v>
      </c>
      <c r="I149" s="22" t="n">
        <f aca="false">IF(H149="",G149,MIN(G149,H149))</f>
        <v>40</v>
      </c>
      <c r="J149" s="23" t="n">
        <v>1</v>
      </c>
      <c r="K149" s="23" t="n">
        <v>1</v>
      </c>
      <c r="L149" s="23" t="n">
        <v>4</v>
      </c>
      <c r="M149" s="23" t="n">
        <v>10</v>
      </c>
      <c r="N149" s="23"/>
      <c r="O149" s="23"/>
      <c r="P149" s="23"/>
      <c r="Q149" s="24"/>
      <c r="R149" s="25" t="n">
        <v>0</v>
      </c>
      <c r="S149" s="19" t="n">
        <f aca="false">COUNTIFS(Flows!$B$2:$B$1500,$B149,Flows!$C$2:$C$1500,"Input")</f>
        <v>3</v>
      </c>
      <c r="T149" s="19" t="n">
        <f aca="false">COUNTIFS(Flows!$B$2:$B$1500,$B149,Flows!$C$2:$C$1500,"Output")</f>
        <v>2</v>
      </c>
      <c r="U149" s="19"/>
      <c r="V149" s="19"/>
      <c r="W149" s="19" t="s">
        <v>159</v>
      </c>
      <c r="X149" s="19"/>
    </row>
    <row r="150" customFormat="false" ht="15" hidden="false" customHeight="true" outlineLevel="0" collapsed="false">
      <c r="A150" s="19" t="s">
        <v>809</v>
      </c>
      <c r="B150" s="19" t="s">
        <v>810</v>
      </c>
      <c r="C150" s="19" t="s">
        <v>811</v>
      </c>
      <c r="D150" s="19"/>
      <c r="E150" s="19" t="s">
        <v>570</v>
      </c>
      <c r="F150" s="20" t="s">
        <v>812</v>
      </c>
      <c r="G150" s="21" t="n">
        <v>150</v>
      </c>
      <c r="H150" s="21" t="n">
        <v>60</v>
      </c>
      <c r="I150" s="22" t="n">
        <f aca="false">IF(H150="",G150,MIN(G150,H150))</f>
        <v>60</v>
      </c>
      <c r="J150" s="23" t="n">
        <v>3</v>
      </c>
      <c r="K150" s="23" t="n">
        <v>0.05</v>
      </c>
      <c r="L150" s="23" t="n">
        <v>200</v>
      </c>
      <c r="M150" s="23" t="n">
        <v>8</v>
      </c>
      <c r="N150" s="23"/>
      <c r="O150" s="23"/>
      <c r="P150" s="23"/>
      <c r="Q150" s="24"/>
      <c r="R150" s="25" t="n">
        <v>0</v>
      </c>
      <c r="S150" s="19" t="n">
        <f aca="false">COUNTIFS(Flows!$B$2:$B$1500,$B150,Flows!$C$2:$C$1500,"Input")</f>
        <v>1</v>
      </c>
      <c r="T150" s="19" t="n">
        <f aca="false">COUNTIFS(Flows!$B$2:$B$1500,$B150,Flows!$C$2:$C$1500,"Output")</f>
        <v>2</v>
      </c>
      <c r="U150" s="19"/>
      <c r="V150" s="19"/>
      <c r="W150" s="19" t="s">
        <v>172</v>
      </c>
      <c r="X150" s="19"/>
    </row>
    <row r="151" customFormat="false" ht="15" hidden="false" customHeight="true" outlineLevel="0" collapsed="false">
      <c r="A151" s="19" t="s">
        <v>813</v>
      </c>
      <c r="B151" s="19" t="s">
        <v>814</v>
      </c>
      <c r="C151" s="19" t="s">
        <v>456</v>
      </c>
      <c r="D151" s="19"/>
      <c r="E151" s="19" t="s">
        <v>570</v>
      </c>
      <c r="F151" s="20" t="s">
        <v>815</v>
      </c>
      <c r="G151" s="21" t="n">
        <v>150</v>
      </c>
      <c r="H151" s="21"/>
      <c r="I151" s="22" t="n">
        <f aca="false">IF(H151="",G151,MIN(G151,H151))</f>
        <v>150</v>
      </c>
      <c r="J151" s="23" t="n">
        <v>1</v>
      </c>
      <c r="K151" s="23" t="n">
        <v>0.1</v>
      </c>
      <c r="L151" s="23" t="n">
        <v>0</v>
      </c>
      <c r="M151" s="23" t="n">
        <v>30</v>
      </c>
      <c r="N151" s="23"/>
      <c r="O151" s="23"/>
      <c r="P151" s="23"/>
      <c r="Q151" s="24"/>
      <c r="R151" s="25" t="n">
        <v>0</v>
      </c>
      <c r="S151" s="19" t="n">
        <f aca="false">COUNTIFS(Flows!$B$2:$B$1500,$B151,Flows!$C$2:$C$1500,"Input")</f>
        <v>2</v>
      </c>
      <c r="T151" s="19" t="n">
        <f aca="false">COUNTIFS(Flows!$B$2:$B$1500,$B151,Flows!$C$2:$C$1500,"Output")</f>
        <v>2</v>
      </c>
      <c r="U151" s="19"/>
      <c r="V151" s="19"/>
      <c r="W151" s="19" t="s">
        <v>172</v>
      </c>
      <c r="X151" s="19"/>
    </row>
    <row r="152" customFormat="false" ht="15" hidden="false" customHeight="true" outlineLevel="0" collapsed="false">
      <c r="A152" s="19" t="s">
        <v>816</v>
      </c>
      <c r="B152" s="19" t="s">
        <v>817</v>
      </c>
      <c r="C152" s="19" t="s">
        <v>818</v>
      </c>
      <c r="D152" s="19"/>
      <c r="E152" s="19" t="s">
        <v>570</v>
      </c>
      <c r="F152" s="20" t="s">
        <v>819</v>
      </c>
      <c r="G152" s="21" t="n">
        <v>450</v>
      </c>
      <c r="H152" s="21"/>
      <c r="I152" s="22" t="n">
        <f aca="false">IF(H152="",G152,MIN(G152,H152))</f>
        <v>450</v>
      </c>
      <c r="J152" s="23" t="n">
        <v>1</v>
      </c>
      <c r="K152" s="23" t="n">
        <v>0.2</v>
      </c>
      <c r="L152" s="23" t="n">
        <v>0</v>
      </c>
      <c r="M152" s="23" t="n">
        <v>10</v>
      </c>
      <c r="N152" s="23"/>
      <c r="O152" s="23"/>
      <c r="P152" s="23"/>
      <c r="Q152" s="24"/>
      <c r="R152" s="25" t="n">
        <v>0</v>
      </c>
      <c r="S152" s="19" t="n">
        <f aca="false">COUNTIFS(Flows!$B$2:$B$1500,$B152,Flows!$C$2:$C$1500,"Input")</f>
        <v>3</v>
      </c>
      <c r="T152" s="19" t="n">
        <f aca="false">COUNTIFS(Flows!$B$2:$B$1500,$B152,Flows!$C$2:$C$1500,"Output")</f>
        <v>1</v>
      </c>
      <c r="U152" s="19"/>
      <c r="V152" s="19"/>
      <c r="W152" s="19" t="s">
        <v>172</v>
      </c>
      <c r="X152" s="19"/>
    </row>
    <row r="153" customFormat="false" ht="15" hidden="false" customHeight="true" outlineLevel="0" collapsed="false">
      <c r="A153" s="19" t="s">
        <v>820</v>
      </c>
      <c r="B153" s="19" t="s">
        <v>821</v>
      </c>
      <c r="C153" s="19" t="s">
        <v>818</v>
      </c>
      <c r="D153" s="19"/>
      <c r="E153" s="19" t="s">
        <v>570</v>
      </c>
      <c r="F153" s="20" t="s">
        <v>822</v>
      </c>
      <c r="G153" s="21" t="n">
        <v>1500</v>
      </c>
      <c r="H153" s="21"/>
      <c r="I153" s="22" t="n">
        <f aca="false">IF(H153="",G153,MIN(G153,H153))</f>
        <v>1500</v>
      </c>
      <c r="J153" s="23" t="n">
        <v>2</v>
      </c>
      <c r="K153" s="23" t="n">
        <v>0.2</v>
      </c>
      <c r="L153" s="23" t="n">
        <v>0</v>
      </c>
      <c r="M153" s="23" t="n">
        <v>10</v>
      </c>
      <c r="N153" s="23"/>
      <c r="O153" s="23"/>
      <c r="P153" s="23"/>
      <c r="Q153" s="24"/>
      <c r="R153" s="25" t="n">
        <v>0</v>
      </c>
      <c r="S153" s="19" t="n">
        <f aca="false">COUNTIFS(Flows!$B$2:$B$1500,$B153,Flows!$C$2:$C$1500,"Input")</f>
        <v>4</v>
      </c>
      <c r="T153" s="19" t="n">
        <f aca="false">COUNTIFS(Flows!$B$2:$B$1500,$B153,Flows!$C$2:$C$1500,"Output")</f>
        <v>1</v>
      </c>
      <c r="U153" s="19"/>
      <c r="V153" s="19"/>
      <c r="W153" s="19" t="s">
        <v>172</v>
      </c>
      <c r="X153" s="19"/>
    </row>
    <row r="154" customFormat="false" ht="15" hidden="false" customHeight="true" outlineLevel="0" collapsed="false">
      <c r="A154" s="19" t="s">
        <v>823</v>
      </c>
      <c r="B154" s="19" t="s">
        <v>824</v>
      </c>
      <c r="C154" s="19" t="s">
        <v>456</v>
      </c>
      <c r="D154" s="19"/>
      <c r="E154" s="19" t="s">
        <v>570</v>
      </c>
      <c r="F154" s="20" t="s">
        <v>825</v>
      </c>
      <c r="G154" s="21" t="n">
        <v>300</v>
      </c>
      <c r="H154" s="21"/>
      <c r="I154" s="22" t="n">
        <f aca="false">IF(H154="",G154,MIN(G154,H154))</f>
        <v>300</v>
      </c>
      <c r="J154" s="23" t="n">
        <v>0.5</v>
      </c>
      <c r="K154" s="23" t="n">
        <v>0.1</v>
      </c>
      <c r="L154" s="23" t="n">
        <v>0</v>
      </c>
      <c r="M154" s="23" t="n">
        <v>25</v>
      </c>
      <c r="N154" s="23"/>
      <c r="O154" s="23"/>
      <c r="P154" s="23"/>
      <c r="Q154" s="24"/>
      <c r="R154" s="25" t="n">
        <v>0</v>
      </c>
      <c r="S154" s="19" t="n">
        <f aca="false">COUNTIFS(Flows!$B$2:$B$1500,$B154,Flows!$C$2:$C$1500,"Input")</f>
        <v>2</v>
      </c>
      <c r="T154" s="19" t="n">
        <f aca="false">COUNTIFS(Flows!$B$2:$B$1500,$B154,Flows!$C$2:$C$1500,"Output")</f>
        <v>1</v>
      </c>
      <c r="U154" s="19"/>
      <c r="V154" s="19"/>
      <c r="W154" s="19" t="s">
        <v>172</v>
      </c>
      <c r="X154" s="19" t="s">
        <v>826</v>
      </c>
    </row>
    <row r="155" customFormat="false" ht="15" hidden="false" customHeight="true" outlineLevel="0" collapsed="false">
      <c r="A155" s="19" t="s">
        <v>827</v>
      </c>
      <c r="B155" s="19" t="s">
        <v>828</v>
      </c>
      <c r="C155" s="19" t="s">
        <v>829</v>
      </c>
      <c r="D155" s="19"/>
      <c r="E155" s="19" t="s">
        <v>570</v>
      </c>
      <c r="F155" s="20" t="s">
        <v>830</v>
      </c>
      <c r="G155" s="21" t="n">
        <v>150</v>
      </c>
      <c r="H155" s="21" t="n">
        <v>40</v>
      </c>
      <c r="I155" s="22" t="n">
        <f aca="false">IF(H155="",G155,MIN(G155,H155))</f>
        <v>40</v>
      </c>
      <c r="J155" s="23" t="n">
        <v>2</v>
      </c>
      <c r="K155" s="23" t="n">
        <v>0.1</v>
      </c>
      <c r="L155" s="23" t="n">
        <v>4</v>
      </c>
      <c r="M155" s="23" t="n">
        <v>10</v>
      </c>
      <c r="N155" s="23"/>
      <c r="O155" s="23"/>
      <c r="P155" s="23"/>
      <c r="Q155" s="24"/>
      <c r="R155" s="25" t="n">
        <v>0</v>
      </c>
      <c r="S155" s="19" t="n">
        <f aca="false">COUNTIFS(Flows!$B$2:$B$1500,$B155,Flows!$C$2:$C$1500,"Input")</f>
        <v>2</v>
      </c>
      <c r="T155" s="19" t="n">
        <f aca="false">COUNTIFS(Flows!$B$2:$B$1500,$B155,Flows!$C$2:$C$1500,"Output")</f>
        <v>1</v>
      </c>
      <c r="U155" s="19"/>
      <c r="V155" s="19"/>
      <c r="W155" s="19" t="s">
        <v>159</v>
      </c>
      <c r="X155" s="19"/>
    </row>
    <row r="156" customFormat="false" ht="15" hidden="false" customHeight="true" outlineLevel="0" collapsed="false">
      <c r="A156" s="19" t="s">
        <v>831</v>
      </c>
      <c r="B156" s="19" t="s">
        <v>832</v>
      </c>
      <c r="C156" s="19" t="s">
        <v>829</v>
      </c>
      <c r="D156" s="19"/>
      <c r="E156" s="19" t="s">
        <v>570</v>
      </c>
      <c r="F156" s="20" t="s">
        <v>833</v>
      </c>
      <c r="G156" s="21" t="n">
        <v>900</v>
      </c>
      <c r="H156" s="21"/>
      <c r="I156" s="22" t="n">
        <f aca="false">IF(H156="",G156,MIN(G156,H156))</f>
        <v>900</v>
      </c>
      <c r="J156" s="23" t="n">
        <v>2</v>
      </c>
      <c r="K156" s="23" t="n">
        <v>0.05</v>
      </c>
      <c r="L156" s="23" t="n">
        <v>5</v>
      </c>
      <c r="M156" s="23" t="n">
        <v>20</v>
      </c>
      <c r="N156" s="23"/>
      <c r="O156" s="23"/>
      <c r="P156" s="23"/>
      <c r="Q156" s="24"/>
      <c r="R156" s="25" t="n">
        <v>0</v>
      </c>
      <c r="S156" s="19" t="n">
        <f aca="false">COUNTIFS(Flows!$B$2:$B$1500,$B156,Flows!$C$2:$C$1500,"Input")</f>
        <v>2</v>
      </c>
      <c r="T156" s="19" t="n">
        <f aca="false">COUNTIFS(Flows!$B$2:$B$1500,$B156,Flows!$C$2:$C$1500,"Output")</f>
        <v>1</v>
      </c>
      <c r="U156" s="19"/>
      <c r="V156" s="19"/>
      <c r="W156" s="19" t="s">
        <v>172</v>
      </c>
      <c r="X156" s="19"/>
    </row>
    <row r="157" customFormat="false" ht="15" hidden="false" customHeight="true" outlineLevel="0" collapsed="false">
      <c r="A157" s="19" t="s">
        <v>834</v>
      </c>
      <c r="B157" s="19" t="s">
        <v>835</v>
      </c>
      <c r="C157" s="19" t="s">
        <v>829</v>
      </c>
      <c r="D157" s="19"/>
      <c r="E157" s="19" t="s">
        <v>570</v>
      </c>
      <c r="F157" s="20" t="s">
        <v>836</v>
      </c>
      <c r="G157" s="21" t="n">
        <v>400</v>
      </c>
      <c r="H157" s="21"/>
      <c r="I157" s="22" t="n">
        <f aca="false">IF(H157="",G157,MIN(G157,H157))</f>
        <v>400</v>
      </c>
      <c r="J157" s="23" t="n">
        <v>1</v>
      </c>
      <c r="K157" s="23" t="n">
        <v>0</v>
      </c>
      <c r="L157" s="23" t="n">
        <v>3</v>
      </c>
      <c r="M157" s="23" t="n">
        <v>15</v>
      </c>
      <c r="N157" s="23"/>
      <c r="O157" s="23"/>
      <c r="P157" s="23"/>
      <c r="Q157" s="24"/>
      <c r="R157" s="25" t="n">
        <v>0</v>
      </c>
      <c r="S157" s="19" t="n">
        <f aca="false">COUNTIFS(Flows!$B$2:$B$1500,$B157,Flows!$C$2:$C$1500,"Input")</f>
        <v>1</v>
      </c>
      <c r="T157" s="19" t="n">
        <f aca="false">COUNTIFS(Flows!$B$2:$B$1500,$B157,Flows!$C$2:$C$1500,"Output")</f>
        <v>1</v>
      </c>
      <c r="U157" s="19"/>
      <c r="V157" s="19"/>
      <c r="W157" s="19" t="s">
        <v>172</v>
      </c>
      <c r="X157" s="19"/>
    </row>
    <row r="158" customFormat="false" ht="15" hidden="false" customHeight="true" outlineLevel="0" collapsed="false">
      <c r="A158" s="19" t="s">
        <v>837</v>
      </c>
      <c r="B158" s="19" t="s">
        <v>838</v>
      </c>
      <c r="C158" s="19" t="s">
        <v>829</v>
      </c>
      <c r="D158" s="19"/>
      <c r="E158" s="19" t="s">
        <v>570</v>
      </c>
      <c r="F158" s="20" t="s">
        <v>839</v>
      </c>
      <c r="G158" s="21" t="n">
        <v>800</v>
      </c>
      <c r="H158" s="21" t="n">
        <v>150</v>
      </c>
      <c r="I158" s="22" t="n">
        <f aca="false">IF(H158="",G158,MIN(G158,H158))</f>
        <v>150</v>
      </c>
      <c r="J158" s="23" t="n">
        <v>40</v>
      </c>
      <c r="K158" s="23" t="n">
        <v>0.25</v>
      </c>
      <c r="L158" s="23" t="n">
        <v>30</v>
      </c>
      <c r="M158" s="23" t="n">
        <v>20</v>
      </c>
      <c r="N158" s="23"/>
      <c r="O158" s="23"/>
      <c r="P158" s="23"/>
      <c r="Q158" s="24"/>
      <c r="R158" s="25" t="n">
        <v>0</v>
      </c>
      <c r="S158" s="19" t="n">
        <f aca="false">COUNTIFS(Flows!$B$2:$B$1500,$B158,Flows!$C$2:$C$1500,"Input")</f>
        <v>3</v>
      </c>
      <c r="T158" s="19" t="n">
        <f aca="false">COUNTIFS(Flows!$B$2:$B$1500,$B158,Flows!$C$2:$C$1500,"Output")</f>
        <v>2</v>
      </c>
      <c r="U158" s="19"/>
      <c r="V158" s="19"/>
      <c r="W158" s="19" t="s">
        <v>172</v>
      </c>
      <c r="X158" s="19"/>
    </row>
    <row r="159" customFormat="false" ht="15" hidden="false" customHeight="true" outlineLevel="0" collapsed="false">
      <c r="A159" s="19" t="s">
        <v>840</v>
      </c>
      <c r="B159" s="19" t="s">
        <v>841</v>
      </c>
      <c r="C159" s="19" t="s">
        <v>69</v>
      </c>
      <c r="D159" s="19"/>
      <c r="E159" s="19" t="s">
        <v>570</v>
      </c>
      <c r="F159" s="20" t="s">
        <v>842</v>
      </c>
      <c r="G159" s="21" t="n">
        <v>600</v>
      </c>
      <c r="H159" s="21"/>
      <c r="I159" s="22" t="n">
        <f aca="false">IF(H159="",G159,MIN(G159,H159))</f>
        <v>600</v>
      </c>
      <c r="J159" s="23" t="n">
        <v>4</v>
      </c>
      <c r="K159" s="23" t="n">
        <v>0.25</v>
      </c>
      <c r="L159" s="23" t="n">
        <v>6</v>
      </c>
      <c r="M159" s="23" t="n">
        <v>15</v>
      </c>
      <c r="N159" s="23"/>
      <c r="O159" s="23"/>
      <c r="P159" s="23"/>
      <c r="Q159" s="24"/>
      <c r="R159" s="25" t="n">
        <v>0</v>
      </c>
      <c r="S159" s="19" t="n">
        <f aca="false">COUNTIFS(Flows!$B$2:$B$1500,$B159,Flows!$C$2:$C$1500,"Input")</f>
        <v>3</v>
      </c>
      <c r="T159" s="19" t="n">
        <f aca="false">COUNTIFS(Flows!$B$2:$B$1500,$B159,Flows!$C$2:$C$1500,"Output")</f>
        <v>1</v>
      </c>
      <c r="U159" s="19"/>
      <c r="V159" s="19"/>
      <c r="W159" s="19" t="s">
        <v>172</v>
      </c>
      <c r="X159" s="19"/>
    </row>
    <row r="160" customFormat="false" ht="15" hidden="false" customHeight="true" outlineLevel="0" collapsed="false">
      <c r="A160" s="19" t="s">
        <v>843</v>
      </c>
      <c r="B160" s="19" t="s">
        <v>844</v>
      </c>
      <c r="C160" s="19" t="s">
        <v>845</v>
      </c>
      <c r="D160" s="19"/>
      <c r="E160" s="19" t="s">
        <v>570</v>
      </c>
      <c r="F160" s="20" t="s">
        <v>846</v>
      </c>
      <c r="G160" s="21" t="n">
        <v>3500</v>
      </c>
      <c r="H160" s="21" t="n">
        <v>1500</v>
      </c>
      <c r="I160" s="22" t="n">
        <f aca="false">IF(H160="",G160,MIN(G160,H160))</f>
        <v>1500</v>
      </c>
      <c r="J160" s="23" t="n">
        <v>60</v>
      </c>
      <c r="K160" s="23" t="n">
        <v>0.05</v>
      </c>
      <c r="L160" s="23" t="n">
        <v>300</v>
      </c>
      <c r="M160" s="23" t="n">
        <v>50</v>
      </c>
      <c r="N160" s="23"/>
      <c r="O160" s="23"/>
      <c r="P160" s="23"/>
      <c r="Q160" s="24"/>
      <c r="R160" s="25" t="n">
        <v>0</v>
      </c>
      <c r="S160" s="19" t="n">
        <f aca="false">COUNTIFS(Flows!$B$2:$B$1500,$B160,Flows!$C$2:$C$1500,"Input")</f>
        <v>2</v>
      </c>
      <c r="T160" s="19" t="n">
        <f aca="false">COUNTIFS(Flows!$B$2:$B$1500,$B160,Flows!$C$2:$C$1500,"Output")</f>
        <v>2</v>
      </c>
      <c r="U160" s="19"/>
      <c r="V160" s="19"/>
      <c r="W160" s="19" t="s">
        <v>172</v>
      </c>
      <c r="X160" s="19"/>
    </row>
    <row r="161" customFormat="false" ht="15" hidden="false" customHeight="true" outlineLevel="0" collapsed="false">
      <c r="A161" s="19" t="s">
        <v>847</v>
      </c>
      <c r="B161" s="19" t="s">
        <v>848</v>
      </c>
      <c r="C161" s="19" t="s">
        <v>504</v>
      </c>
      <c r="D161" s="19"/>
      <c r="E161" s="19" t="s">
        <v>570</v>
      </c>
      <c r="F161" s="20" t="s">
        <v>849</v>
      </c>
      <c r="G161" s="21" t="n">
        <v>18000</v>
      </c>
      <c r="H161" s="21" t="n">
        <v>6000</v>
      </c>
      <c r="I161" s="22" t="n">
        <f aca="false">IF(H161="",G161,MIN(G161,H161))</f>
        <v>6000</v>
      </c>
      <c r="J161" s="23" t="n">
        <v>200</v>
      </c>
      <c r="K161" s="23" t="n">
        <v>0.25</v>
      </c>
      <c r="L161" s="23" t="n">
        <v>30</v>
      </c>
      <c r="M161" s="23" t="n">
        <v>80</v>
      </c>
      <c r="N161" s="23"/>
      <c r="O161" s="23"/>
      <c r="P161" s="23"/>
      <c r="Q161" s="24"/>
      <c r="R161" s="25" t="n">
        <v>0</v>
      </c>
      <c r="S161" s="19" t="n">
        <f aca="false">COUNTIFS(Flows!$B$2:$B$1500,$B161,Flows!$C$2:$C$1500,"Input")</f>
        <v>2</v>
      </c>
      <c r="T161" s="19" t="n">
        <f aca="false">COUNTIFS(Flows!$B$2:$B$1500,$B161,Flows!$C$2:$C$1500,"Output")</f>
        <v>1</v>
      </c>
      <c r="U161" s="19"/>
      <c r="V161" s="19"/>
      <c r="W161" s="19" t="s">
        <v>172</v>
      </c>
      <c r="X161" s="19"/>
    </row>
    <row r="162" customFormat="false" ht="15" hidden="false" customHeight="true" outlineLevel="0" collapsed="false">
      <c r="A162" s="19" t="s">
        <v>850</v>
      </c>
      <c r="B162" s="19" t="s">
        <v>851</v>
      </c>
      <c r="C162" s="19" t="s">
        <v>504</v>
      </c>
      <c r="D162" s="19"/>
      <c r="E162" s="19" t="s">
        <v>570</v>
      </c>
      <c r="F162" s="20" t="s">
        <v>852</v>
      </c>
      <c r="G162" s="21" t="n">
        <v>3000</v>
      </c>
      <c r="H162" s="21"/>
      <c r="I162" s="22" t="n">
        <f aca="false">IF(H162="",G162,MIN(G162,H162))</f>
        <v>3000</v>
      </c>
      <c r="J162" s="23" t="n">
        <v>8</v>
      </c>
      <c r="K162" s="23" t="n">
        <v>0.5</v>
      </c>
      <c r="L162" s="23" t="n">
        <v>6</v>
      </c>
      <c r="M162" s="23" t="n">
        <v>20</v>
      </c>
      <c r="N162" s="23"/>
      <c r="O162" s="23"/>
      <c r="P162" s="23"/>
      <c r="Q162" s="24"/>
      <c r="R162" s="25" t="n">
        <v>0</v>
      </c>
      <c r="S162" s="19" t="n">
        <f aca="false">COUNTIFS(Flows!$B$2:$B$1500,$B162,Flows!$C$2:$C$1500,"Input")</f>
        <v>3</v>
      </c>
      <c r="T162" s="19" t="n">
        <f aca="false">COUNTIFS(Flows!$B$2:$B$1500,$B162,Flows!$C$2:$C$1500,"Output")</f>
        <v>1</v>
      </c>
      <c r="U162" s="19"/>
      <c r="V162" s="19"/>
      <c r="W162" s="19" t="s">
        <v>159</v>
      </c>
      <c r="X162" s="19"/>
    </row>
    <row r="163" customFormat="false" ht="15" hidden="false" customHeight="true" outlineLevel="0" collapsed="false">
      <c r="A163" s="19" t="s">
        <v>853</v>
      </c>
      <c r="B163" s="19" t="s">
        <v>854</v>
      </c>
      <c r="C163" s="19" t="s">
        <v>855</v>
      </c>
      <c r="D163" s="19"/>
      <c r="E163" s="19" t="s">
        <v>570</v>
      </c>
      <c r="F163" s="20" t="s">
        <v>856</v>
      </c>
      <c r="G163" s="21" t="n">
        <v>600</v>
      </c>
      <c r="H163" s="21" t="n">
        <v>150</v>
      </c>
      <c r="I163" s="22" t="n">
        <f aca="false">IF(H163="",G163,MIN(G163,H163))</f>
        <v>150</v>
      </c>
      <c r="J163" s="23" t="n">
        <v>8</v>
      </c>
      <c r="K163" s="23" t="n">
        <v>0.05</v>
      </c>
      <c r="L163" s="23" t="n">
        <v>30</v>
      </c>
      <c r="M163" s="23" t="n">
        <v>20</v>
      </c>
      <c r="N163" s="23"/>
      <c r="O163" s="23"/>
      <c r="P163" s="23"/>
      <c r="Q163" s="24"/>
      <c r="R163" s="25" t="n">
        <v>0</v>
      </c>
      <c r="S163" s="19" t="n">
        <f aca="false">COUNTIFS(Flows!$B$2:$B$1500,$B163,Flows!$C$2:$C$1500,"Input")</f>
        <v>2</v>
      </c>
      <c r="T163" s="19" t="n">
        <f aca="false">COUNTIFS(Flows!$B$2:$B$1500,$B163,Flows!$C$2:$C$1500,"Output")</f>
        <v>1</v>
      </c>
      <c r="U163" s="19"/>
      <c r="V163" s="19"/>
      <c r="W163" s="19" t="s">
        <v>172</v>
      </c>
      <c r="X163" s="19"/>
    </row>
    <row r="164" customFormat="false" ht="15" hidden="false" customHeight="true" outlineLevel="0" collapsed="false">
      <c r="A164" s="19" t="s">
        <v>857</v>
      </c>
      <c r="B164" s="19" t="s">
        <v>858</v>
      </c>
      <c r="C164" s="19" t="s">
        <v>504</v>
      </c>
      <c r="D164" s="19"/>
      <c r="E164" s="19" t="s">
        <v>570</v>
      </c>
      <c r="F164" s="20" t="s">
        <v>859</v>
      </c>
      <c r="G164" s="21" t="n">
        <v>1500</v>
      </c>
      <c r="H164" s="21"/>
      <c r="I164" s="22" t="n">
        <f aca="false">IF(H164="",G164,MIN(G164,H164))</f>
        <v>1500</v>
      </c>
      <c r="J164" s="23" t="n">
        <v>6</v>
      </c>
      <c r="K164" s="23" t="n">
        <v>0.05</v>
      </c>
      <c r="L164" s="23" t="n">
        <v>2</v>
      </c>
      <c r="M164" s="23" t="n">
        <v>20</v>
      </c>
      <c r="N164" s="23"/>
      <c r="O164" s="23"/>
      <c r="P164" s="23"/>
      <c r="Q164" s="24"/>
      <c r="R164" s="25" t="n">
        <v>0</v>
      </c>
      <c r="S164" s="19" t="n">
        <f aca="false">COUNTIFS(Flows!$B$2:$B$1500,$B164,Flows!$C$2:$C$1500,"Input")</f>
        <v>2</v>
      </c>
      <c r="T164" s="19" t="n">
        <f aca="false">COUNTIFS(Flows!$B$2:$B$1500,$B164,Flows!$C$2:$C$1500,"Output")</f>
        <v>1</v>
      </c>
      <c r="U164" s="19"/>
      <c r="V164" s="19"/>
      <c r="W164" s="19" t="s">
        <v>159</v>
      </c>
      <c r="X164" s="19"/>
    </row>
    <row r="165" customFormat="false" ht="15" hidden="false" customHeight="true" outlineLevel="0" collapsed="false">
      <c r="A165" s="19" t="s">
        <v>860</v>
      </c>
      <c r="B165" s="19" t="s">
        <v>861</v>
      </c>
      <c r="C165" s="19" t="s">
        <v>213</v>
      </c>
      <c r="D165" s="19"/>
      <c r="E165" s="19" t="s">
        <v>570</v>
      </c>
      <c r="F165" s="20" t="s">
        <v>862</v>
      </c>
      <c r="G165" s="21" t="n">
        <v>500</v>
      </c>
      <c r="H165" s="21" t="n">
        <v>200</v>
      </c>
      <c r="I165" s="22" t="n">
        <f aca="false">IF(H165="",G165,MIN(G165,H165))</f>
        <v>200</v>
      </c>
      <c r="J165" s="23" t="n">
        <v>20</v>
      </c>
      <c r="K165" s="23" t="n">
        <v>0.5</v>
      </c>
      <c r="L165" s="23" t="n">
        <v>10890</v>
      </c>
      <c r="M165" s="23" t="n">
        <v>50</v>
      </c>
      <c r="N165" s="23"/>
      <c r="O165" s="23"/>
      <c r="P165" s="23"/>
      <c r="Q165" s="24"/>
      <c r="R165" s="25" t="n">
        <v>0</v>
      </c>
      <c r="S165" s="19" t="n">
        <f aca="false">COUNTIFS(Flows!$B$2:$B$1500,$B165,Flows!$C$2:$C$1500,"Input")</f>
        <v>2</v>
      </c>
      <c r="T165" s="19" t="n">
        <f aca="false">COUNTIFS(Flows!$B$2:$B$1500,$B165,Flows!$C$2:$C$1500,"Output")</f>
        <v>3</v>
      </c>
      <c r="U165" s="19"/>
      <c r="V165" s="19"/>
      <c r="W165" s="19" t="s">
        <v>172</v>
      </c>
      <c r="X165" s="19"/>
    </row>
    <row r="166" customFormat="false" ht="15" hidden="false" customHeight="true" outlineLevel="0" collapsed="false">
      <c r="A166" s="19" t="s">
        <v>863</v>
      </c>
      <c r="B166" s="19" t="s">
        <v>864</v>
      </c>
      <c r="C166" s="19" t="s">
        <v>520</v>
      </c>
      <c r="D166" s="19"/>
      <c r="E166" s="19" t="s">
        <v>570</v>
      </c>
      <c r="F166" s="20" t="s">
        <v>865</v>
      </c>
      <c r="G166" s="21" t="n">
        <v>0</v>
      </c>
      <c r="H166" s="21"/>
      <c r="I166" s="22" t="n">
        <f aca="false">IF(H166="",G166,MIN(G166,H166))</f>
        <v>0</v>
      </c>
      <c r="J166" s="23" t="n">
        <v>0</v>
      </c>
      <c r="K166" s="23" t="n">
        <v>0</v>
      </c>
      <c r="L166" s="23" t="n">
        <v>0</v>
      </c>
      <c r="M166" s="23" t="n">
        <v>100</v>
      </c>
      <c r="N166" s="23"/>
      <c r="O166" s="23"/>
      <c r="P166" s="23"/>
      <c r="Q166" s="24"/>
      <c r="R166" s="25" t="n">
        <v>1</v>
      </c>
      <c r="S166" s="19" t="n">
        <f aca="false">COUNTIFS(Flows!$B$2:$B$1500,$B166,Flows!$C$2:$C$1500,"Input")</f>
        <v>0</v>
      </c>
      <c r="T166" s="19" t="n">
        <f aca="false">COUNTIFS(Flows!$B$2:$B$1500,$B166,Flows!$C$2:$C$1500,"Output")</f>
        <v>1</v>
      </c>
      <c r="U166" s="19"/>
      <c r="V166" s="19"/>
      <c r="W166" s="19" t="s">
        <v>172</v>
      </c>
      <c r="X166" s="19" t="s">
        <v>866</v>
      </c>
    </row>
    <row r="167" customFormat="false" ht="15" hidden="false" customHeight="true" outlineLevel="0" collapsed="false">
      <c r="A167" s="19" t="s">
        <v>867</v>
      </c>
      <c r="B167" s="19" t="s">
        <v>868</v>
      </c>
      <c r="C167" s="19" t="s">
        <v>520</v>
      </c>
      <c r="D167" s="19"/>
      <c r="E167" s="19" t="s">
        <v>570</v>
      </c>
      <c r="F167" s="20" t="s">
        <v>869</v>
      </c>
      <c r="G167" s="21" t="n">
        <v>0</v>
      </c>
      <c r="H167" s="21"/>
      <c r="I167" s="22" t="n">
        <f aca="false">IF(H167="",G167,MIN(G167,H167))</f>
        <v>0</v>
      </c>
      <c r="J167" s="23" t="n">
        <v>0</v>
      </c>
      <c r="K167" s="23" t="n">
        <v>0</v>
      </c>
      <c r="L167" s="23" t="n">
        <v>0</v>
      </c>
      <c r="M167" s="23" t="n">
        <v>100</v>
      </c>
      <c r="N167" s="23"/>
      <c r="O167" s="23"/>
      <c r="P167" s="23"/>
      <c r="Q167" s="24"/>
      <c r="R167" s="25" t="n">
        <v>0</v>
      </c>
      <c r="S167" s="19" t="n">
        <f aca="false">COUNTIFS(Flows!$B$2:$B$1500,$B167,Flows!$C$2:$C$1500,"Input")</f>
        <v>0</v>
      </c>
      <c r="T167" s="19" t="n">
        <f aca="false">COUNTIFS(Flows!$B$2:$B$1500,$B167,Flows!$C$2:$C$1500,"Output")</f>
        <v>1</v>
      </c>
      <c r="U167" s="19"/>
      <c r="V167" s="19"/>
      <c r="W167" s="19" t="s">
        <v>172</v>
      </c>
      <c r="X167" s="19"/>
    </row>
    <row r="168" customFormat="false" ht="15" hidden="false" customHeight="true" outlineLevel="0" collapsed="false">
      <c r="A168" s="19" t="s">
        <v>870</v>
      </c>
      <c r="B168" s="19" t="s">
        <v>871</v>
      </c>
      <c r="C168" s="19" t="s">
        <v>520</v>
      </c>
      <c r="D168" s="19"/>
      <c r="E168" s="19" t="s">
        <v>570</v>
      </c>
      <c r="F168" s="20" t="s">
        <v>872</v>
      </c>
      <c r="G168" s="21" t="n">
        <v>0</v>
      </c>
      <c r="H168" s="21"/>
      <c r="I168" s="22" t="n">
        <f aca="false">IF(H168="",G168,MIN(G168,H168))</f>
        <v>0</v>
      </c>
      <c r="J168" s="23" t="n">
        <v>0</v>
      </c>
      <c r="K168" s="23" t="n">
        <v>0</v>
      </c>
      <c r="L168" s="23" t="n">
        <v>0</v>
      </c>
      <c r="M168" s="23" t="n">
        <v>100</v>
      </c>
      <c r="N168" s="23"/>
      <c r="O168" s="23"/>
      <c r="P168" s="23"/>
      <c r="Q168" s="24"/>
      <c r="R168" s="25" t="n">
        <v>0</v>
      </c>
      <c r="S168" s="19" t="n">
        <f aca="false">COUNTIFS(Flows!$B$2:$B$1500,$B168,Flows!$C$2:$C$1500,"Input")</f>
        <v>0</v>
      </c>
      <c r="T168" s="19" t="n">
        <f aca="false">COUNTIFS(Flows!$B$2:$B$1500,$B168,Flows!$C$2:$C$1500,"Output")</f>
        <v>2</v>
      </c>
      <c r="U168" s="19"/>
      <c r="V168" s="19"/>
      <c r="W168" s="19" t="s">
        <v>172</v>
      </c>
      <c r="X168" s="19"/>
    </row>
    <row r="169" customFormat="false" ht="15" hidden="false" customHeight="true" outlineLevel="0" collapsed="false">
      <c r="A169" s="19" t="s">
        <v>873</v>
      </c>
      <c r="B169" s="19" t="s">
        <v>874</v>
      </c>
      <c r="C169" s="19" t="s">
        <v>520</v>
      </c>
      <c r="D169" s="19"/>
      <c r="E169" s="19" t="s">
        <v>570</v>
      </c>
      <c r="F169" s="20" t="s">
        <v>875</v>
      </c>
      <c r="G169" s="21" t="n">
        <v>800</v>
      </c>
      <c r="H169" s="21" t="n">
        <v>300</v>
      </c>
      <c r="I169" s="22" t="n">
        <f aca="false">IF(H169="",G169,MIN(G169,H169))</f>
        <v>300</v>
      </c>
      <c r="J169" s="23" t="n">
        <v>20</v>
      </c>
      <c r="K169" s="23" t="n">
        <v>0.5</v>
      </c>
      <c r="L169" s="23" t="n">
        <v>43560</v>
      </c>
      <c r="M169" s="23" t="n">
        <v>20</v>
      </c>
      <c r="N169" s="23"/>
      <c r="O169" s="23"/>
      <c r="P169" s="23"/>
      <c r="Q169" s="24"/>
      <c r="R169" s="25" t="n">
        <v>0</v>
      </c>
      <c r="S169" s="19" t="n">
        <f aca="false">COUNTIFS(Flows!$B$2:$B$1500,$B169,Flows!$C$2:$C$1500,"Input")</f>
        <v>3</v>
      </c>
      <c r="T169" s="19" t="n">
        <f aca="false">COUNTIFS(Flows!$B$2:$B$1500,$B169,Flows!$C$2:$C$1500,"Output")</f>
        <v>3</v>
      </c>
      <c r="U169" s="19"/>
      <c r="V169" s="19"/>
      <c r="W169" s="19" t="s">
        <v>172</v>
      </c>
      <c r="X169" s="19"/>
    </row>
    <row r="170" customFormat="false" ht="26.25" hidden="false" customHeight="true" outlineLevel="0" collapsed="false">
      <c r="A170" s="19" t="s">
        <v>876</v>
      </c>
      <c r="B170" s="19" t="s">
        <v>877</v>
      </c>
      <c r="C170" s="19" t="s">
        <v>286</v>
      </c>
      <c r="D170" s="19"/>
      <c r="E170" s="19" t="s">
        <v>878</v>
      </c>
      <c r="F170" s="20" t="s">
        <v>879</v>
      </c>
      <c r="G170" s="21" t="n">
        <v>120</v>
      </c>
      <c r="H170" s="21" t="n">
        <v>60</v>
      </c>
      <c r="I170" s="22" t="n">
        <f aca="false">IF(H170="",G170,MIN(G170,H170))</f>
        <v>60</v>
      </c>
      <c r="J170" s="23" t="n">
        <v>1</v>
      </c>
      <c r="K170" s="23" t="n">
        <v>0.1</v>
      </c>
      <c r="L170" s="23" t="n">
        <v>4</v>
      </c>
      <c r="M170" s="23" t="n">
        <v>10</v>
      </c>
      <c r="N170" s="23"/>
      <c r="O170" s="23"/>
      <c r="P170" s="23" t="n">
        <v>100</v>
      </c>
      <c r="Q170" s="24" t="n">
        <v>0.8</v>
      </c>
      <c r="R170" s="25" t="n">
        <v>0</v>
      </c>
      <c r="S170" s="19" t="n">
        <f aca="false">COUNTIFS(Flows!$B$2:$B$1500,$B170,Flows!$C$2:$C$1500,"Input")</f>
        <v>2</v>
      </c>
      <c r="T170" s="19" t="n">
        <f aca="false">COUNTIFS(Flows!$B$2:$B$1500,$B170,Flows!$C$2:$C$1500,"Output")</f>
        <v>2</v>
      </c>
      <c r="U170" s="19" t="s">
        <v>864</v>
      </c>
      <c r="V170" s="19" t="s">
        <v>49</v>
      </c>
      <c r="W170" s="19" t="s">
        <v>159</v>
      </c>
      <c r="X170" s="19" t="s">
        <v>880</v>
      </c>
    </row>
    <row r="171" customFormat="false" ht="15" hidden="false" customHeight="true" outlineLevel="0" collapsed="false">
      <c r="A171" s="19" t="s">
        <v>881</v>
      </c>
      <c r="B171" s="19" t="s">
        <v>882</v>
      </c>
      <c r="C171" s="19" t="s">
        <v>883</v>
      </c>
      <c r="D171" s="19"/>
      <c r="E171" s="19" t="s">
        <v>878</v>
      </c>
      <c r="F171" s="20" t="s">
        <v>884</v>
      </c>
      <c r="G171" s="21" t="n">
        <v>2500</v>
      </c>
      <c r="H171" s="21"/>
      <c r="I171" s="22" t="n">
        <f aca="false">IF(H171="",G171,MIN(G171,H171))</f>
        <v>2500</v>
      </c>
      <c r="J171" s="23" t="n">
        <v>4</v>
      </c>
      <c r="K171" s="23" t="n">
        <v>2</v>
      </c>
      <c r="L171" s="23" t="n">
        <v>16</v>
      </c>
      <c r="M171" s="23" t="n">
        <v>10</v>
      </c>
      <c r="N171" s="23"/>
      <c r="O171" s="23"/>
      <c r="P171" s="23"/>
      <c r="Q171" s="24"/>
      <c r="R171" s="25" t="n">
        <v>0</v>
      </c>
      <c r="S171" s="19" t="n">
        <f aca="false">COUNTIFS(Flows!$B$2:$B$1500,$B171,Flows!$C$2:$C$1500,"Input")</f>
        <v>3</v>
      </c>
      <c r="T171" s="19" t="n">
        <f aca="false">COUNTIFS(Flows!$B$2:$B$1500,$B171,Flows!$C$2:$C$1500,"Output")</f>
        <v>1</v>
      </c>
      <c r="U171" s="19" t="s">
        <v>885</v>
      </c>
      <c r="V171" s="19" t="s">
        <v>170</v>
      </c>
      <c r="W171" s="19" t="s">
        <v>172</v>
      </c>
      <c r="X171" s="19" t="s">
        <v>886</v>
      </c>
    </row>
    <row r="172" customFormat="false" ht="26.25" hidden="false" customHeight="true" outlineLevel="0" collapsed="false">
      <c r="A172" s="19" t="s">
        <v>887</v>
      </c>
      <c r="B172" s="19" t="s">
        <v>888</v>
      </c>
      <c r="C172" s="19" t="s">
        <v>302</v>
      </c>
      <c r="D172" s="19"/>
      <c r="E172" s="19" t="s">
        <v>878</v>
      </c>
      <c r="F172" s="20" t="s">
        <v>889</v>
      </c>
      <c r="G172" s="21" t="n">
        <v>0</v>
      </c>
      <c r="H172" s="21"/>
      <c r="I172" s="22" t="n">
        <f aca="false">IF(H172="",G172,MIN(G172,H172))</f>
        <v>0</v>
      </c>
      <c r="J172" s="23" t="n">
        <v>0</v>
      </c>
      <c r="K172" s="23" t="n">
        <v>0</v>
      </c>
      <c r="L172" s="23" t="n">
        <v>0</v>
      </c>
      <c r="M172" s="23" t="n">
        <v>40</v>
      </c>
      <c r="N172" s="23"/>
      <c r="O172" s="23"/>
      <c r="P172" s="23"/>
      <c r="Q172" s="24"/>
      <c r="R172" s="25" t="n">
        <v>0</v>
      </c>
      <c r="S172" s="19" t="n">
        <f aca="false">COUNTIFS(Flows!$B$2:$B$1500,$B172,Flows!$C$2:$C$1500,"Input")</f>
        <v>2</v>
      </c>
      <c r="T172" s="19" t="n">
        <f aca="false">COUNTIFS(Flows!$B$2:$B$1500,$B172,Flows!$C$2:$C$1500,"Output")</f>
        <v>1</v>
      </c>
      <c r="U172" s="19" t="s">
        <v>890</v>
      </c>
      <c r="V172" s="19" t="s">
        <v>269</v>
      </c>
      <c r="W172" s="19" t="s">
        <v>159</v>
      </c>
      <c r="X172" s="19" t="s">
        <v>891</v>
      </c>
    </row>
    <row r="173" customFormat="false" ht="15" hidden="false" customHeight="true" outlineLevel="0" collapsed="false">
      <c r="A173" s="19" t="s">
        <v>892</v>
      </c>
      <c r="B173" s="19" t="s">
        <v>893</v>
      </c>
      <c r="C173" s="19" t="s">
        <v>302</v>
      </c>
      <c r="D173" s="19"/>
      <c r="E173" s="19" t="s">
        <v>878</v>
      </c>
      <c r="F173" s="20" t="s">
        <v>894</v>
      </c>
      <c r="G173" s="21" t="n">
        <v>0</v>
      </c>
      <c r="H173" s="21"/>
      <c r="I173" s="22" t="n">
        <f aca="false">IF(H173="",G173,MIN(G173,H173))</f>
        <v>0</v>
      </c>
      <c r="J173" s="23" t="n">
        <v>0</v>
      </c>
      <c r="K173" s="23" t="n">
        <v>0</v>
      </c>
      <c r="L173" s="23" t="n">
        <v>0</v>
      </c>
      <c r="M173" s="23" t="n">
        <v>40</v>
      </c>
      <c r="N173" s="23"/>
      <c r="O173" s="23"/>
      <c r="P173" s="23"/>
      <c r="Q173" s="24"/>
      <c r="R173" s="25" t="n">
        <v>0</v>
      </c>
      <c r="S173" s="19" t="n">
        <f aca="false">COUNTIFS(Flows!$B$2:$B$1500,$B173,Flows!$C$2:$C$1500,"Input")</f>
        <v>1</v>
      </c>
      <c r="T173" s="19" t="n">
        <f aca="false">COUNTIFS(Flows!$B$2:$B$1500,$B173,Flows!$C$2:$C$1500,"Output")</f>
        <v>1</v>
      </c>
      <c r="U173" s="19" t="s">
        <v>71</v>
      </c>
      <c r="V173" s="19" t="s">
        <v>269</v>
      </c>
      <c r="W173" s="19" t="s">
        <v>159</v>
      </c>
      <c r="X173" s="19" t="s">
        <v>895</v>
      </c>
    </row>
    <row r="174" customFormat="false" ht="26.25" hidden="false" customHeight="true" outlineLevel="0" collapsed="false">
      <c r="A174" s="19" t="s">
        <v>896</v>
      </c>
      <c r="B174" s="19" t="s">
        <v>897</v>
      </c>
      <c r="C174" s="19" t="s">
        <v>729</v>
      </c>
      <c r="D174" s="19"/>
      <c r="E174" s="19" t="s">
        <v>878</v>
      </c>
      <c r="F174" s="20" t="s">
        <v>898</v>
      </c>
      <c r="G174" s="21" t="n">
        <v>400</v>
      </c>
      <c r="H174" s="21" t="n">
        <v>100</v>
      </c>
      <c r="I174" s="22" t="n">
        <f aca="false">IF(H174="",G174,MIN(G174,H174))</f>
        <v>100</v>
      </c>
      <c r="J174" s="23" t="n">
        <v>6</v>
      </c>
      <c r="K174" s="23" t="n">
        <v>0.25</v>
      </c>
      <c r="L174" s="23" t="n">
        <v>500</v>
      </c>
      <c r="M174" s="23" t="n">
        <v>3</v>
      </c>
      <c r="N174" s="23"/>
      <c r="O174" s="23"/>
      <c r="P174" s="23"/>
      <c r="Q174" s="24"/>
      <c r="R174" s="25" t="n">
        <v>0</v>
      </c>
      <c r="S174" s="19" t="n">
        <f aca="false">COUNTIFS(Flows!$B$2:$B$1500,$B174,Flows!$C$2:$C$1500,"Input")</f>
        <v>3</v>
      </c>
      <c r="T174" s="19" t="n">
        <f aca="false">COUNTIFS(Flows!$B$2:$B$1500,$B174,Flows!$C$2:$C$1500,"Output")</f>
        <v>1</v>
      </c>
      <c r="U174" s="19" t="s">
        <v>899</v>
      </c>
      <c r="V174" s="19" t="s">
        <v>900</v>
      </c>
      <c r="W174" s="19" t="s">
        <v>172</v>
      </c>
      <c r="X174" s="19" t="s">
        <v>901</v>
      </c>
    </row>
    <row r="175" customFormat="false" ht="26.25" hidden="false" customHeight="true" outlineLevel="0" collapsed="false">
      <c r="A175" s="19" t="s">
        <v>902</v>
      </c>
      <c r="B175" s="19" t="s">
        <v>903</v>
      </c>
      <c r="C175" s="19" t="s">
        <v>504</v>
      </c>
      <c r="D175" s="19"/>
      <c r="E175" s="19" t="s">
        <v>878</v>
      </c>
      <c r="F175" s="20" t="s">
        <v>904</v>
      </c>
      <c r="G175" s="21" t="n">
        <v>3000</v>
      </c>
      <c r="H175" s="21" t="n">
        <v>1200</v>
      </c>
      <c r="I175" s="22" t="n">
        <f aca="false">IF(H175="",G175,MIN(G175,H175))</f>
        <v>1200</v>
      </c>
      <c r="J175" s="23" t="n">
        <v>30</v>
      </c>
      <c r="K175" s="23" t="n">
        <v>0.05</v>
      </c>
      <c r="L175" s="23" t="n">
        <v>0</v>
      </c>
      <c r="M175" s="23" t="n">
        <v>30</v>
      </c>
      <c r="N175" s="23"/>
      <c r="O175" s="23"/>
      <c r="P175" s="23"/>
      <c r="Q175" s="24"/>
      <c r="R175" s="25" t="n">
        <v>0</v>
      </c>
      <c r="S175" s="19" t="n">
        <f aca="false">COUNTIFS(Flows!$B$2:$B$1500,$B175,Flows!$C$2:$C$1500,"Input")</f>
        <v>1</v>
      </c>
      <c r="T175" s="19" t="n">
        <f aca="false">COUNTIFS(Flows!$B$2:$B$1500,$B175,Flows!$C$2:$C$1500,"Output")</f>
        <v>0</v>
      </c>
      <c r="U175" s="19" t="s">
        <v>71</v>
      </c>
      <c r="V175" s="19" t="s">
        <v>905</v>
      </c>
      <c r="W175" s="19" t="s">
        <v>159</v>
      </c>
      <c r="X175" s="19" t="s">
        <v>906</v>
      </c>
    </row>
    <row r="176" customFormat="false" ht="15" hidden="false" customHeight="true" outlineLevel="0" collapsed="false">
      <c r="A176" s="19" t="s">
        <v>907</v>
      </c>
      <c r="B176" s="19" t="s">
        <v>908</v>
      </c>
      <c r="C176" s="19" t="s">
        <v>520</v>
      </c>
      <c r="D176" s="19"/>
      <c r="E176" s="19" t="s">
        <v>878</v>
      </c>
      <c r="F176" s="20" t="s">
        <v>909</v>
      </c>
      <c r="G176" s="21" t="n">
        <v>100000</v>
      </c>
      <c r="H176" s="21"/>
      <c r="I176" s="22" t="n">
        <f aca="false">IF(H176="",G176,MIN(G176,H176))</f>
        <v>100000</v>
      </c>
      <c r="J176" s="23" t="n">
        <v>0</v>
      </c>
      <c r="K176" s="23" t="n">
        <v>0</v>
      </c>
      <c r="L176" s="23" t="n">
        <v>0</v>
      </c>
      <c r="M176" s="23" t="n">
        <v>100</v>
      </c>
      <c r="N176" s="23"/>
      <c r="O176" s="23"/>
      <c r="P176" s="23"/>
      <c r="Q176" s="24"/>
      <c r="R176" s="25" t="n">
        <v>0</v>
      </c>
      <c r="S176" s="19" t="n">
        <f aca="false">COUNTIFS(Flows!$B$2:$B$1500,$B176,Flows!$C$2:$C$1500,"Input")</f>
        <v>0</v>
      </c>
      <c r="T176" s="19" t="n">
        <f aca="false">COUNTIFS(Flows!$B$2:$B$1500,$B176,Flows!$C$2:$C$1500,"Output")</f>
        <v>1</v>
      </c>
      <c r="U176" s="19" t="s">
        <v>319</v>
      </c>
      <c r="V176" s="19" t="s">
        <v>910</v>
      </c>
      <c r="W176" s="19" t="s">
        <v>159</v>
      </c>
      <c r="X176" s="19" t="s">
        <v>911</v>
      </c>
    </row>
    <row r="177" customFormat="false" ht="15" hidden="false" customHeight="true" outlineLevel="0" collapsed="false">
      <c r="A177" s="19" t="s">
        <v>912</v>
      </c>
      <c r="B177" s="19" t="s">
        <v>913</v>
      </c>
      <c r="C177" s="19" t="s">
        <v>456</v>
      </c>
      <c r="D177" s="19"/>
      <c r="E177" s="19" t="s">
        <v>878</v>
      </c>
      <c r="F177" s="20" t="s">
        <v>914</v>
      </c>
      <c r="G177" s="21" t="n">
        <v>40</v>
      </c>
      <c r="H177" s="21" t="n">
        <v>15</v>
      </c>
      <c r="I177" s="22" t="n">
        <f aca="false">IF(H177="",G177,MIN(G177,H177))</f>
        <v>15</v>
      </c>
      <c r="J177" s="23" t="n">
        <v>1</v>
      </c>
      <c r="K177" s="23" t="n">
        <v>0.5</v>
      </c>
      <c r="L177" s="23" t="n">
        <v>20</v>
      </c>
      <c r="M177" s="23" t="n">
        <v>10</v>
      </c>
      <c r="N177" s="23"/>
      <c r="O177" s="23"/>
      <c r="P177" s="23"/>
      <c r="Q177" s="24"/>
      <c r="R177" s="25" t="n">
        <v>0</v>
      </c>
      <c r="S177" s="19" t="n">
        <f aca="false">COUNTIFS(Flows!$B$2:$B$1500,$B177,Flows!$C$2:$C$1500,"Input")</f>
        <v>1</v>
      </c>
      <c r="T177" s="19" t="n">
        <f aca="false">COUNTIFS(Flows!$B$2:$B$1500,$B177,Flows!$C$2:$C$1500,"Output")</f>
        <v>1</v>
      </c>
      <c r="U177" s="19" t="s">
        <v>71</v>
      </c>
      <c r="V177" s="19" t="s">
        <v>462</v>
      </c>
      <c r="W177" s="19" t="s">
        <v>159</v>
      </c>
      <c r="X177" s="19" t="s">
        <v>915</v>
      </c>
    </row>
    <row r="178" customFormat="false" ht="26.25" hidden="false" customHeight="true" outlineLevel="0" collapsed="false">
      <c r="A178" s="19" t="s">
        <v>916</v>
      </c>
      <c r="B178" s="19" t="s">
        <v>917</v>
      </c>
      <c r="C178" s="19" t="s">
        <v>504</v>
      </c>
      <c r="D178" s="19"/>
      <c r="E178" s="19" t="s">
        <v>918</v>
      </c>
      <c r="F178" s="20" t="s">
        <v>919</v>
      </c>
      <c r="G178" s="21" t="n">
        <v>300</v>
      </c>
      <c r="H178" s="21"/>
      <c r="I178" s="22" t="n">
        <f aca="false">IF(H178="",G178,MIN(G178,H178))</f>
        <v>300</v>
      </c>
      <c r="J178" s="23" t="n">
        <v>0</v>
      </c>
      <c r="K178" s="23" t="n">
        <v>0.1</v>
      </c>
      <c r="L178" s="23" t="n">
        <v>0</v>
      </c>
      <c r="M178" s="23" t="n">
        <v>10</v>
      </c>
      <c r="N178" s="23"/>
      <c r="O178" s="23"/>
      <c r="P178" s="23"/>
      <c r="Q178" s="24"/>
      <c r="R178" s="25" t="n">
        <v>0</v>
      </c>
      <c r="S178" s="19" t="n">
        <f aca="false">COUNTIFS(Flows!$B$2:$B$1500,$B178,Flows!$C$2:$C$1500,"Input")</f>
        <v>1</v>
      </c>
      <c r="T178" s="19" t="n">
        <f aca="false">COUNTIFS(Flows!$B$2:$B$1500,$B178,Flows!$C$2:$C$1500,"Output")</f>
        <v>0</v>
      </c>
      <c r="U178" s="19" t="s">
        <v>71</v>
      </c>
      <c r="V178" s="19" t="s">
        <v>905</v>
      </c>
      <c r="W178" s="19" t="s">
        <v>172</v>
      </c>
      <c r="X178" s="19" t="s">
        <v>920</v>
      </c>
    </row>
    <row r="179" customFormat="false" ht="26.25" hidden="false" customHeight="true" outlineLevel="0" collapsed="false">
      <c r="A179" s="19" t="s">
        <v>921</v>
      </c>
      <c r="B179" s="19" t="s">
        <v>922</v>
      </c>
      <c r="C179" s="19" t="s">
        <v>456</v>
      </c>
      <c r="D179" s="19"/>
      <c r="E179" s="19" t="s">
        <v>923</v>
      </c>
      <c r="F179" s="20" t="s">
        <v>924</v>
      </c>
      <c r="G179" s="21" t="n">
        <v>200</v>
      </c>
      <c r="H179" s="21" t="n">
        <v>100</v>
      </c>
      <c r="I179" s="22" t="n">
        <f aca="false">IF(H179="",G179,MIN(G179,H179))</f>
        <v>100</v>
      </c>
      <c r="J179" s="23" t="n">
        <v>4</v>
      </c>
      <c r="K179" s="23" t="n">
        <v>2</v>
      </c>
      <c r="L179" s="23" t="n">
        <v>16</v>
      </c>
      <c r="M179" s="23" t="n">
        <v>10</v>
      </c>
      <c r="N179" s="23"/>
      <c r="O179" s="23"/>
      <c r="P179" s="23"/>
      <c r="Q179" s="24"/>
      <c r="R179" s="25" t="n">
        <v>0</v>
      </c>
      <c r="S179" s="19" t="n">
        <f aca="false">COUNTIFS(Flows!$B$2:$B$1500,$B179,Flows!$C$2:$C$1500,"Input")</f>
        <v>2</v>
      </c>
      <c r="T179" s="19" t="n">
        <f aca="false">COUNTIFS(Flows!$B$2:$B$1500,$B179,Flows!$C$2:$C$1500,"Output")</f>
        <v>0</v>
      </c>
      <c r="U179" s="19" t="s">
        <v>890</v>
      </c>
      <c r="V179" s="19" t="s">
        <v>925</v>
      </c>
      <c r="W179" s="19" t="s">
        <v>172</v>
      </c>
      <c r="X179" s="19" t="s">
        <v>926</v>
      </c>
    </row>
  </sheetData>
  <dataValidations count="1">
    <dataValidation allowBlank="true" errorStyle="stop" operator="between" showDropDown="false" showErrorMessage="false" showInputMessage="false" sqref="R2:R179" type="whole">
      <formula1>0</formula1>
      <formula2>1000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8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1" width="9"/>
    <col collapsed="false" customWidth="true" hidden="false" outlineLevel="0" max="2" min="2" style="1" width="40"/>
    <col collapsed="false" customWidth="true" hidden="false" outlineLevel="0" max="3" min="3" style="1" width="9"/>
    <col collapsed="false" customWidth="true" hidden="false" outlineLevel="0" max="4" min="4" style="1" width="26"/>
    <col collapsed="false" customWidth="true" hidden="false" outlineLevel="0" max="5" min="5" style="1" width="13"/>
    <col collapsed="false" customWidth="true" hidden="false" outlineLevel="0" max="6" min="6" style="1" width="10"/>
    <col collapsed="false" customWidth="true" hidden="false" outlineLevel="0" max="7" min="7" style="1" width="11"/>
    <col collapsed="false" customWidth="true" hidden="false" outlineLevel="0" max="8" min="8" style="1" width="13"/>
    <col collapsed="false" customWidth="true" hidden="false" outlineLevel="0" max="9" min="9" style="1" width="9"/>
    <col collapsed="false" customWidth="true" hidden="false" outlineLevel="0" max="10" min="10" style="1" width="14"/>
    <col collapsed="false" customWidth="true" hidden="false" outlineLevel="0" max="11" min="11" style="1" width="20"/>
    <col collapsed="false" customWidth="true" hidden="false" outlineLevel="0" max="12" min="12" style="1" width="14"/>
    <col collapsed="false" customWidth="true" hidden="false" outlineLevel="0" max="13" min="13" style="1" width="30"/>
    <col collapsed="false" customWidth="true" hidden="false" outlineLevel="0" max="14" min="14" style="1" width="50"/>
  </cols>
  <sheetData>
    <row r="1" customFormat="false" ht="39" hidden="false" customHeight="true" outlineLevel="0" collapsed="false">
      <c r="A1" s="8" t="s">
        <v>927</v>
      </c>
      <c r="B1" s="8" t="s">
        <v>130</v>
      </c>
      <c r="C1" s="8" t="s">
        <v>928</v>
      </c>
      <c r="D1" s="8" t="s">
        <v>929</v>
      </c>
      <c r="E1" s="8" t="s">
        <v>930</v>
      </c>
      <c r="F1" s="8" t="s">
        <v>44</v>
      </c>
      <c r="G1" s="8" t="s">
        <v>931</v>
      </c>
      <c r="H1" s="8" t="s">
        <v>932</v>
      </c>
      <c r="I1" s="8" t="s">
        <v>146</v>
      </c>
      <c r="J1" s="8" t="s">
        <v>933</v>
      </c>
      <c r="K1" s="8" t="s">
        <v>934</v>
      </c>
      <c r="L1" s="8" t="s">
        <v>935</v>
      </c>
      <c r="M1" s="8" t="s">
        <v>936</v>
      </c>
      <c r="N1" s="8" t="s">
        <v>152</v>
      </c>
    </row>
    <row r="2" customFormat="false" ht="15" hidden="false" customHeight="true" outlineLevel="0" collapsed="false">
      <c r="A2" s="6" t="s">
        <v>937</v>
      </c>
      <c r="B2" s="6" t="s">
        <v>154</v>
      </c>
      <c r="C2" s="6" t="s">
        <v>938</v>
      </c>
      <c r="D2" s="6" t="s">
        <v>71</v>
      </c>
      <c r="E2" s="26" t="n">
        <v>0.1</v>
      </c>
      <c r="F2" s="6" t="str">
        <f aca="false">IFERROR(INDEX(Resources!$B$2:$B$64,MATCH($D2,Resources!$A$2:$A$64,0)),"?")</f>
        <v>hours</v>
      </c>
      <c r="G2" s="6" t="s">
        <v>939</v>
      </c>
      <c r="H2" s="27" t="n">
        <f aca="false">E2*INDEX(Assumptions!$D$17:$D$23,MATCH(G2,Assumptions!$B$17:$B$23,0))</f>
        <v>0.1</v>
      </c>
      <c r="I2" s="6" t="n">
        <f aca="false">IFERROR(INDEX(Systems!$R$2:$R$179,MATCH($B2,Systems!$B$2:$B$179,0)),0)</f>
        <v>0</v>
      </c>
      <c r="J2" s="27" t="n">
        <f aca="false">H2*I2</f>
        <v>0</v>
      </c>
      <c r="K2" s="6" t="str">
        <f aca="false">IFERROR(IF(INDEX(Resources!$D$2:$D$64,MATCH($D2,Resources!$A$2:$A$64,0))="","",INDEX(Resources!$D$2:$D$64,MATCH($D2,Resources!$A$2:$A$64,0))),"")</f>
        <v>Est. Required Labor</v>
      </c>
      <c r="L2" s="28" t="n">
        <f aca="false">IF(K2="","",J2*INDEX(Resources!$E$2:$E$64,MATCH($D2,Resources!$A$2:$A$64,0)))</f>
        <v>0</v>
      </c>
      <c r="M2" s="6" t="str">
        <f aca="false">B2&amp;"|"&amp;D2&amp;"|"&amp;C2</f>
        <v>2kwh Lead Acid Battery|Labor|Input</v>
      </c>
      <c r="N2" s="6" t="s">
        <v>940</v>
      </c>
    </row>
    <row r="3" customFormat="false" ht="15" hidden="false" customHeight="true" outlineLevel="0" collapsed="false">
      <c r="A3" s="6" t="s">
        <v>941</v>
      </c>
      <c r="B3" s="6" t="s">
        <v>154</v>
      </c>
      <c r="C3" s="6" t="s">
        <v>938</v>
      </c>
      <c r="D3" s="6" t="s">
        <v>59</v>
      </c>
      <c r="E3" s="26" t="n">
        <v>8.75</v>
      </c>
      <c r="F3" s="6" t="str">
        <f aca="false">IFERROR(INDEX(Resources!$B$2:$B$64,MATCH($D3,Resources!$A$2:$A$64,0)),"?")</f>
        <v>kWh</v>
      </c>
      <c r="G3" s="6" t="s">
        <v>939</v>
      </c>
      <c r="H3" s="27" t="n">
        <f aca="false">E3*INDEX(Assumptions!$D$17:$D$23,MATCH(G3,Assumptions!$B$17:$B$23,0))</f>
        <v>8.75</v>
      </c>
      <c r="I3" s="6" t="n">
        <f aca="false">IFERROR(INDEX(Systems!$R$2:$R$179,MATCH($B3,Systems!$B$2:$B$179,0)),0)</f>
        <v>0</v>
      </c>
      <c r="J3" s="27" t="n">
        <f aca="false">H3*I3</f>
        <v>0</v>
      </c>
      <c r="K3" s="6" t="str">
        <f aca="false">IFERROR(IF(INDEX(Resources!$D$2:$D$64,MATCH($D3,Resources!$A$2:$A$64,0))="","",INDEX(Resources!$D$2:$D$64,MATCH($D3,Resources!$A$2:$A$64,0))),"")</f>
        <v>Electricity</v>
      </c>
      <c r="L3" s="28" t="n">
        <f aca="false">IF(K3="","",J3*INDEX(Resources!$E$2:$E$64,MATCH($D3,Resources!$A$2:$A$64,0)))</f>
        <v>0</v>
      </c>
      <c r="M3" s="6" t="str">
        <f aca="false">B3&amp;"|"&amp;D3&amp;"|"&amp;C3</f>
        <v>2kwh Lead Acid Battery|Electricity|Input</v>
      </c>
    </row>
    <row r="4" customFormat="false" ht="15" hidden="false" customHeight="true" outlineLevel="0" collapsed="false">
      <c r="A4" s="6" t="s">
        <v>942</v>
      </c>
      <c r="B4" s="6" t="s">
        <v>154</v>
      </c>
      <c r="C4" s="6" t="s">
        <v>943</v>
      </c>
      <c r="D4" s="6" t="s">
        <v>59</v>
      </c>
      <c r="E4" s="26" t="n">
        <v>7</v>
      </c>
      <c r="F4" s="6" t="str">
        <f aca="false">IFERROR(INDEX(Resources!$B$2:$B$64,MATCH($D4,Resources!$A$2:$A$64,0)),"?")</f>
        <v>kWh</v>
      </c>
      <c r="G4" s="6" t="s">
        <v>939</v>
      </c>
      <c r="H4" s="27" t="n">
        <f aca="false">E4*INDEX(Assumptions!$D$17:$D$23,MATCH(G4,Assumptions!$B$17:$B$23,0))</f>
        <v>7</v>
      </c>
      <c r="I4" s="6" t="n">
        <f aca="false">IFERROR(INDEX(Systems!$R$2:$R$179,MATCH($B4,Systems!$B$2:$B$179,0)),0)</f>
        <v>0</v>
      </c>
      <c r="J4" s="27" t="n">
        <f aca="false">H4*I4</f>
        <v>0</v>
      </c>
      <c r="K4" s="6" t="str">
        <f aca="false">IFERROR(IF(INDEX(Resources!$D$2:$D$64,MATCH($D4,Resources!$A$2:$A$64,0))="","",INDEX(Resources!$D$2:$D$64,MATCH($D4,Resources!$A$2:$A$64,0))),"")</f>
        <v>Electricity</v>
      </c>
      <c r="L4" s="28" t="n">
        <f aca="false">IF(K4="","",J4*INDEX(Resources!$E$2:$E$64,MATCH($D4,Resources!$A$2:$A$64,0)))</f>
        <v>0</v>
      </c>
      <c r="M4" s="6" t="str">
        <f aca="false">B4&amp;"|"&amp;D4&amp;"|"&amp;C4</f>
        <v>2kwh Lead Acid Battery|Electricity|Output</v>
      </c>
    </row>
    <row r="5" customFormat="false" ht="15" hidden="false" customHeight="true" outlineLevel="0" collapsed="false">
      <c r="A5" s="6" t="s">
        <v>944</v>
      </c>
      <c r="B5" s="6" t="s">
        <v>154</v>
      </c>
      <c r="C5" s="6" t="s">
        <v>943</v>
      </c>
      <c r="D5" s="6" t="s">
        <v>109</v>
      </c>
      <c r="E5" s="26" t="n">
        <v>1</v>
      </c>
      <c r="F5" s="6" t="str">
        <f aca="false">IFERROR(INDEX(Resources!$B$2:$B$64,MATCH($D5,Resources!$A$2:$A$64,0)),"?")</f>
        <v>kWh</v>
      </c>
      <c r="G5" s="6" t="s">
        <v>945</v>
      </c>
      <c r="H5" s="27" t="n">
        <f aca="false">E5*INDEX(Assumptions!$D$17:$D$23,MATCH(G5,Assumptions!$B$17:$B$23,0))</f>
        <v>1</v>
      </c>
      <c r="I5" s="6" t="n">
        <f aca="false">IFERROR(INDEX(Systems!$R$2:$R$179,MATCH($B5,Systems!$B$2:$B$179,0)),0)</f>
        <v>0</v>
      </c>
      <c r="J5" s="27" t="n">
        <f aca="false">H5*I5</f>
        <v>0</v>
      </c>
      <c r="K5" s="6" t="str">
        <f aca="false">IFERROR(IF(INDEX(Resources!$D$2:$D$64,MATCH($D5,Resources!$A$2:$A$64,0))="","",INDEX(Resources!$D$2:$D$64,MATCH($D5,Resources!$A$2:$A$64,0))),"")</f>
        <v/>
      </c>
      <c r="L5" s="28" t="str">
        <f aca="false">IF(K5="","",J5*INDEX(Resources!$E$2:$E$64,MATCH($D5,Resources!$A$2:$A$64,0)))</f>
        <v/>
      </c>
      <c r="M5" s="6" t="str">
        <f aca="false">B5&amp;"|"&amp;D5&amp;"|"&amp;C5</f>
        <v>2kwh Lead Acid Battery|Battery storage|Output</v>
      </c>
    </row>
    <row r="6" customFormat="false" ht="15" hidden="false" customHeight="true" outlineLevel="0" collapsed="false">
      <c r="A6" s="6" t="s">
        <v>946</v>
      </c>
      <c r="B6" s="6" t="s">
        <v>162</v>
      </c>
      <c r="C6" s="6" t="s">
        <v>938</v>
      </c>
      <c r="D6" s="6" t="s">
        <v>71</v>
      </c>
      <c r="E6" s="26" t="n">
        <v>0.05</v>
      </c>
      <c r="F6" s="6" t="str">
        <f aca="false">IFERROR(INDEX(Resources!$B$2:$B$64,MATCH($D6,Resources!$A$2:$A$64,0)),"?")</f>
        <v>hours</v>
      </c>
      <c r="G6" s="6" t="s">
        <v>939</v>
      </c>
      <c r="H6" s="27" t="n">
        <f aca="false">E6*INDEX(Assumptions!$D$17:$D$23,MATCH(G6,Assumptions!$B$17:$B$23,0))</f>
        <v>0.05</v>
      </c>
      <c r="I6" s="6" t="n">
        <f aca="false">IFERROR(INDEX(Systems!$R$2:$R$179,MATCH($B6,Systems!$B$2:$B$179,0)),0)</f>
        <v>1</v>
      </c>
      <c r="J6" s="27" t="n">
        <f aca="false">H6*I6</f>
        <v>0.05</v>
      </c>
      <c r="K6" s="6" t="str">
        <f aca="false">IFERROR(IF(INDEX(Resources!$D$2:$D$64,MATCH($D6,Resources!$A$2:$A$64,0))="","",INDEX(Resources!$D$2:$D$64,MATCH($D6,Resources!$A$2:$A$64,0))),"")</f>
        <v>Est. Required Labor</v>
      </c>
      <c r="L6" s="28" t="n">
        <f aca="false">IF(K6="","",J6*INDEX(Resources!$E$2:$E$64,MATCH($D6,Resources!$A$2:$A$64,0)))</f>
        <v>0.05</v>
      </c>
      <c r="M6" s="6" t="str">
        <f aca="false">B6&amp;"|"&amp;D6&amp;"|"&amp;C6</f>
        <v>500W Photovoltaic Panels|Labor|Input</v>
      </c>
      <c r="N6" s="6" t="s">
        <v>940</v>
      </c>
    </row>
    <row r="7" customFormat="false" ht="15" hidden="false" customHeight="true" outlineLevel="0" collapsed="false">
      <c r="A7" s="6" t="s">
        <v>947</v>
      </c>
      <c r="B7" s="6" t="s">
        <v>162</v>
      </c>
      <c r="C7" s="6" t="s">
        <v>938</v>
      </c>
      <c r="D7" s="6" t="s">
        <v>165</v>
      </c>
      <c r="E7" s="29" t="n">
        <f aca="false">Assumptions!$C$6*7</f>
        <v>35</v>
      </c>
      <c r="F7" s="6" t="str">
        <f aca="false">IFERROR(INDEX(Resources!$B$2:$B$64,MATCH($D7,Resources!$A$2:$A$64,0)),"?")</f>
        <v>sun-hours</v>
      </c>
      <c r="G7" s="6" t="s">
        <v>939</v>
      </c>
      <c r="H7" s="27" t="n">
        <f aca="false">E7*INDEX(Assumptions!$D$17:$D$23,MATCH(G7,Assumptions!$B$17:$B$23,0))</f>
        <v>35</v>
      </c>
      <c r="I7" s="6" t="n">
        <f aca="false">IFERROR(INDEX(Systems!$R$2:$R$179,MATCH($B7,Systems!$B$2:$B$179,0)),0)</f>
        <v>1</v>
      </c>
      <c r="J7" s="27" t="n">
        <f aca="false">H7*I7</f>
        <v>35</v>
      </c>
      <c r="K7" s="6" t="str">
        <f aca="false">IFERROR(IF(INDEX(Resources!$D$2:$D$64,MATCH($D7,Resources!$A$2:$A$64,0))="","",INDEX(Resources!$D$2:$D$64,MATCH($D7,Resources!$A$2:$A$64,0))),"")</f>
        <v/>
      </c>
      <c r="L7" s="28" t="str">
        <f aca="false">IF(K7="","",J7*INDEX(Resources!$E$2:$E$64,MATCH($D7,Resources!$A$2:$A$64,0)))</f>
        <v/>
      </c>
      <c r="M7" s="6" t="str">
        <f aca="false">B7&amp;"|"&amp;D7&amp;"|"&amp;C7</f>
        <v>500W Photovoltaic Panels|Sunlight|Input</v>
      </c>
      <c r="N7" s="6" t="s">
        <v>948</v>
      </c>
    </row>
    <row r="8" customFormat="false" ht="15" hidden="false" customHeight="true" outlineLevel="0" collapsed="false">
      <c r="A8" s="6" t="s">
        <v>949</v>
      </c>
      <c r="B8" s="6" t="s">
        <v>162</v>
      </c>
      <c r="C8" s="6" t="s">
        <v>943</v>
      </c>
      <c r="D8" s="6" t="s">
        <v>59</v>
      </c>
      <c r="E8" s="29" t="n">
        <f aca="false">0.5*Assumptions!$C$6*7*Assumptions!$C$7</f>
        <v>14</v>
      </c>
      <c r="F8" s="6" t="str">
        <f aca="false">IFERROR(INDEX(Resources!$B$2:$B$64,MATCH($D8,Resources!$A$2:$A$64,0)),"?")</f>
        <v>kWh</v>
      </c>
      <c r="G8" s="6" t="s">
        <v>939</v>
      </c>
      <c r="H8" s="27" t="n">
        <f aca="false">E8*INDEX(Assumptions!$D$17:$D$23,MATCH(G8,Assumptions!$B$17:$B$23,0))</f>
        <v>14</v>
      </c>
      <c r="I8" s="6" t="n">
        <f aca="false">IFERROR(INDEX(Systems!$R$2:$R$179,MATCH($B8,Systems!$B$2:$B$179,0)),0)</f>
        <v>1</v>
      </c>
      <c r="J8" s="27" t="n">
        <f aca="false">H8*I8</f>
        <v>14</v>
      </c>
      <c r="K8" s="6" t="str">
        <f aca="false">IFERROR(IF(INDEX(Resources!$D$2:$D$64,MATCH($D8,Resources!$A$2:$A$64,0))="","",INDEX(Resources!$D$2:$D$64,MATCH($D8,Resources!$A$2:$A$64,0))),"")</f>
        <v>Electricity</v>
      </c>
      <c r="L8" s="28" t="n">
        <f aca="false">IF(K8="","",J8*INDEX(Resources!$E$2:$E$64,MATCH($D8,Resources!$A$2:$A$64,0)))</f>
        <v>14</v>
      </c>
      <c r="M8" s="6" t="str">
        <f aca="false">B8&amp;"|"&amp;D8&amp;"|"&amp;C8</f>
        <v>500W Photovoltaic Panels|Electricity|Output</v>
      </c>
      <c r="N8" s="6" t="s">
        <v>950</v>
      </c>
    </row>
    <row r="9" customFormat="false" ht="15" hidden="false" customHeight="true" outlineLevel="0" collapsed="false">
      <c r="A9" s="6" t="s">
        <v>951</v>
      </c>
      <c r="B9" s="6" t="s">
        <v>167</v>
      </c>
      <c r="C9" s="6" t="s">
        <v>938</v>
      </c>
      <c r="D9" s="6" t="s">
        <v>71</v>
      </c>
      <c r="E9" s="26" t="n">
        <v>4</v>
      </c>
      <c r="F9" s="6" t="str">
        <f aca="false">IFERROR(INDEX(Resources!$B$2:$B$64,MATCH($D9,Resources!$A$2:$A$64,0)),"?")</f>
        <v>hours</v>
      </c>
      <c r="G9" s="6" t="s">
        <v>939</v>
      </c>
      <c r="H9" s="27" t="n">
        <f aca="false">E9*INDEX(Assumptions!$D$17:$D$23,MATCH(G9,Assumptions!$B$17:$B$23,0))</f>
        <v>4</v>
      </c>
      <c r="I9" s="6" t="n">
        <f aca="false">IFERROR(INDEX(Systems!$R$2:$R$179,MATCH($B9,Systems!$B$2:$B$179,0)),0)</f>
        <v>0</v>
      </c>
      <c r="J9" s="27" t="n">
        <f aca="false">H9*I9</f>
        <v>0</v>
      </c>
      <c r="K9" s="6" t="str">
        <f aca="false">IFERROR(IF(INDEX(Resources!$D$2:$D$64,MATCH($D9,Resources!$A$2:$A$64,0))="","",INDEX(Resources!$D$2:$D$64,MATCH($D9,Resources!$A$2:$A$64,0))),"")</f>
        <v>Est. Required Labor</v>
      </c>
      <c r="L9" s="28" t="n">
        <f aca="false">IF(K9="","",J9*INDEX(Resources!$E$2:$E$64,MATCH($D9,Resources!$A$2:$A$64,0)))</f>
        <v>0</v>
      </c>
      <c r="M9" s="6" t="str">
        <f aca="false">B9&amp;"|"&amp;D9&amp;"|"&amp;C9</f>
        <v>All Power Labs CHP|Labor|Input</v>
      </c>
      <c r="N9" s="6" t="s">
        <v>940</v>
      </c>
    </row>
    <row r="10" customFormat="false" ht="15" hidden="false" customHeight="true" outlineLevel="0" collapsed="false">
      <c r="A10" s="6" t="s">
        <v>952</v>
      </c>
      <c r="B10" s="6" t="s">
        <v>167</v>
      </c>
      <c r="C10" s="6" t="s">
        <v>938</v>
      </c>
      <c r="D10" s="6" t="s">
        <v>170</v>
      </c>
      <c r="E10" s="26" t="n">
        <v>370</v>
      </c>
      <c r="F10" s="6" t="str">
        <f aca="false">IFERROR(INDEX(Resources!$B$2:$B$64,MATCH($D10,Resources!$A$2:$A$64,0)),"?")</f>
        <v>lbs</v>
      </c>
      <c r="G10" s="6" t="s">
        <v>939</v>
      </c>
      <c r="H10" s="27" t="n">
        <f aca="false">E10*INDEX(Assumptions!$D$17:$D$23,MATCH(G10,Assumptions!$B$17:$B$23,0))</f>
        <v>370</v>
      </c>
      <c r="I10" s="6" t="n">
        <f aca="false">IFERROR(INDEX(Systems!$R$2:$R$179,MATCH($B10,Systems!$B$2:$B$179,0)),0)</f>
        <v>0</v>
      </c>
      <c r="J10" s="27" t="n">
        <f aca="false">H10*I10</f>
        <v>0</v>
      </c>
      <c r="K10" s="6" t="str">
        <f aca="false">IFERROR(IF(INDEX(Resources!$D$2:$D$64,MATCH($D10,Resources!$A$2:$A$64,0))="","",INDEX(Resources!$D$2:$D$64,MATCH($D10,Resources!$A$2:$A$64,0))),"")</f>
        <v/>
      </c>
      <c r="L10" s="28" t="str">
        <f aca="false">IF(K10="","",J10*INDEX(Resources!$E$2:$E$64,MATCH($D10,Resources!$A$2:$A$64,0)))</f>
        <v/>
      </c>
      <c r="M10" s="6" t="str">
        <f aca="false">B10&amp;"|"&amp;D10&amp;"|"&amp;C10</f>
        <v>All Power Labs CHP|Wood pellets|Input</v>
      </c>
    </row>
    <row r="11" customFormat="false" ht="15" hidden="false" customHeight="true" outlineLevel="0" collapsed="false">
      <c r="A11" s="6" t="s">
        <v>953</v>
      </c>
      <c r="B11" s="6" t="s">
        <v>167</v>
      </c>
      <c r="C11" s="6" t="s">
        <v>943</v>
      </c>
      <c r="D11" s="6" t="s">
        <v>59</v>
      </c>
      <c r="E11" s="26" t="n">
        <v>140</v>
      </c>
      <c r="F11" s="6" t="str">
        <f aca="false">IFERROR(INDEX(Resources!$B$2:$B$64,MATCH($D11,Resources!$A$2:$A$64,0)),"?")</f>
        <v>kWh</v>
      </c>
      <c r="G11" s="6" t="s">
        <v>939</v>
      </c>
      <c r="H11" s="27" t="n">
        <f aca="false">E11*INDEX(Assumptions!$D$17:$D$23,MATCH(G11,Assumptions!$B$17:$B$23,0))</f>
        <v>140</v>
      </c>
      <c r="I11" s="6" t="n">
        <f aca="false">IFERROR(INDEX(Systems!$R$2:$R$179,MATCH($B11,Systems!$B$2:$B$179,0)),0)</f>
        <v>0</v>
      </c>
      <c r="J11" s="27" t="n">
        <f aca="false">H11*I11</f>
        <v>0</v>
      </c>
      <c r="K11" s="6" t="str">
        <f aca="false">IFERROR(IF(INDEX(Resources!$D$2:$D$64,MATCH($D11,Resources!$A$2:$A$64,0))="","",INDEX(Resources!$D$2:$D$64,MATCH($D11,Resources!$A$2:$A$64,0))),"")</f>
        <v>Electricity</v>
      </c>
      <c r="L11" s="28" t="n">
        <f aca="false">IF(K11="","",J11*INDEX(Resources!$E$2:$E$64,MATCH($D11,Resources!$A$2:$A$64,0)))</f>
        <v>0</v>
      </c>
      <c r="M11" s="6" t="str">
        <f aca="false">B11&amp;"|"&amp;D11&amp;"|"&amp;C11</f>
        <v>All Power Labs CHP|Electricity|Output</v>
      </c>
    </row>
    <row r="12" customFormat="false" ht="15" hidden="false" customHeight="true" outlineLevel="0" collapsed="false">
      <c r="A12" s="6" t="s">
        <v>954</v>
      </c>
      <c r="B12" s="6" t="s">
        <v>167</v>
      </c>
      <c r="C12" s="6" t="s">
        <v>943</v>
      </c>
      <c r="D12" s="6" t="s">
        <v>67</v>
      </c>
      <c r="E12" s="26" t="n">
        <v>950000</v>
      </c>
      <c r="F12" s="6" t="str">
        <f aca="false">IFERROR(INDEX(Resources!$B$2:$B$64,MATCH($D12,Resources!$A$2:$A$64,0)),"?")</f>
        <v>BTU</v>
      </c>
      <c r="G12" s="6" t="s">
        <v>939</v>
      </c>
      <c r="H12" s="27" t="n">
        <f aca="false">E12*INDEX(Assumptions!$D$17:$D$23,MATCH(G12,Assumptions!$B$17:$B$23,0))</f>
        <v>950000</v>
      </c>
      <c r="I12" s="6" t="n">
        <f aca="false">IFERROR(INDEX(Systems!$R$2:$R$179,MATCH($B12,Systems!$B$2:$B$179,0)),0)</f>
        <v>0</v>
      </c>
      <c r="J12" s="27" t="n">
        <f aca="false">H12*I12</f>
        <v>0</v>
      </c>
      <c r="K12" s="6" t="str">
        <f aca="false">IFERROR(IF(INDEX(Resources!$D$2:$D$64,MATCH($D12,Resources!$A$2:$A$64,0))="","",INDEX(Resources!$D$2:$D$64,MATCH($D12,Resources!$A$2:$A$64,0))),"")</f>
        <v>Heated shelter</v>
      </c>
      <c r="L12" s="28" t="n">
        <f aca="false">IF(K12="","",J12*INDEX(Resources!$E$2:$E$64,MATCH($D12,Resources!$A$2:$A$64,0)))</f>
        <v>0</v>
      </c>
      <c r="M12" s="6" t="str">
        <f aca="false">B12&amp;"|"&amp;D12&amp;"|"&amp;C12</f>
        <v>All Power Labs CHP|Heat|Output</v>
      </c>
    </row>
    <row r="13" customFormat="false" ht="15" hidden="false" customHeight="true" outlineLevel="0" collapsed="false">
      <c r="A13" s="6" t="s">
        <v>955</v>
      </c>
      <c r="B13" s="6" t="s">
        <v>167</v>
      </c>
      <c r="C13" s="6" t="s">
        <v>943</v>
      </c>
      <c r="D13" s="6" t="s">
        <v>174</v>
      </c>
      <c r="E13" s="26" t="n">
        <v>10</v>
      </c>
      <c r="F13" s="6" t="str">
        <f aca="false">IFERROR(INDEX(Resources!$B$2:$B$64,MATCH($D13,Resources!$A$2:$A$64,0)),"?")</f>
        <v>lbs</v>
      </c>
      <c r="G13" s="6" t="s">
        <v>939</v>
      </c>
      <c r="H13" s="27" t="n">
        <f aca="false">E13*INDEX(Assumptions!$D$17:$D$23,MATCH(G13,Assumptions!$B$17:$B$23,0))</f>
        <v>10</v>
      </c>
      <c r="I13" s="6" t="n">
        <f aca="false">IFERROR(INDEX(Systems!$R$2:$R$179,MATCH($B13,Systems!$B$2:$B$179,0)),0)</f>
        <v>0</v>
      </c>
      <c r="J13" s="27" t="n">
        <f aca="false">H13*I13</f>
        <v>0</v>
      </c>
      <c r="K13" s="6" t="str">
        <f aca="false">IFERROR(IF(INDEX(Resources!$D$2:$D$64,MATCH($D13,Resources!$A$2:$A$64,0))="","",INDEX(Resources!$D$2:$D$64,MATCH($D13,Resources!$A$2:$A$64,0))),"")</f>
        <v/>
      </c>
      <c r="L13" s="28" t="str">
        <f aca="false">IF(K13="","",J13*INDEX(Resources!$E$2:$E$64,MATCH($D13,Resources!$A$2:$A$64,0)))</f>
        <v/>
      </c>
      <c r="M13" s="6" t="str">
        <f aca="false">B13&amp;"|"&amp;D13&amp;"|"&amp;C13</f>
        <v>All Power Labs CHP|Biochar|Output</v>
      </c>
    </row>
    <row r="14" customFormat="false" ht="15" hidden="false" customHeight="true" outlineLevel="0" collapsed="false">
      <c r="A14" s="6" t="s">
        <v>956</v>
      </c>
      <c r="B14" s="6" t="s">
        <v>174</v>
      </c>
      <c r="C14" s="6" t="s">
        <v>938</v>
      </c>
      <c r="D14" s="6" t="s">
        <v>71</v>
      </c>
      <c r="E14" s="26" t="n">
        <v>2</v>
      </c>
      <c r="F14" s="6" t="str">
        <f aca="false">IFERROR(INDEX(Resources!$B$2:$B$64,MATCH($D14,Resources!$A$2:$A$64,0)),"?")</f>
        <v>hours</v>
      </c>
      <c r="G14" s="6" t="s">
        <v>939</v>
      </c>
      <c r="H14" s="27" t="n">
        <f aca="false">E14*INDEX(Assumptions!$D$17:$D$23,MATCH(G14,Assumptions!$B$17:$B$23,0))</f>
        <v>2</v>
      </c>
      <c r="I14" s="6" t="n">
        <f aca="false">IFERROR(INDEX(Systems!$R$2:$R$179,MATCH($B14,Systems!$B$2:$B$179,0)),0)</f>
        <v>0</v>
      </c>
      <c r="J14" s="27" t="n">
        <f aca="false">H14*I14</f>
        <v>0</v>
      </c>
      <c r="K14" s="6" t="str">
        <f aca="false">IFERROR(IF(INDEX(Resources!$D$2:$D$64,MATCH($D14,Resources!$A$2:$A$64,0))="","",INDEX(Resources!$D$2:$D$64,MATCH($D14,Resources!$A$2:$A$64,0))),"")</f>
        <v>Est. Required Labor</v>
      </c>
      <c r="L14" s="28" t="n">
        <f aca="false">IF(K14="","",J14*INDEX(Resources!$E$2:$E$64,MATCH($D14,Resources!$A$2:$A$64,0)))</f>
        <v>0</v>
      </c>
      <c r="M14" s="6" t="str">
        <f aca="false">B14&amp;"|"&amp;D14&amp;"|"&amp;C14</f>
        <v>Biochar|Labor|Input</v>
      </c>
      <c r="N14" s="6" t="s">
        <v>940</v>
      </c>
    </row>
    <row r="15" customFormat="false" ht="15" hidden="false" customHeight="true" outlineLevel="0" collapsed="false">
      <c r="A15" s="6" t="s">
        <v>957</v>
      </c>
      <c r="B15" s="6" t="s">
        <v>174</v>
      </c>
      <c r="C15" s="6" t="s">
        <v>938</v>
      </c>
      <c r="D15" s="6" t="s">
        <v>177</v>
      </c>
      <c r="E15" s="26" t="n">
        <v>100</v>
      </c>
      <c r="F15" s="6" t="str">
        <f aca="false">IFERROR(INDEX(Resources!$B$2:$B$64,MATCH($D15,Resources!$A$2:$A$64,0)),"?")</f>
        <v>lbs</v>
      </c>
      <c r="G15" s="6" t="s">
        <v>939</v>
      </c>
      <c r="H15" s="27" t="n">
        <f aca="false">E15*INDEX(Assumptions!$D$17:$D$23,MATCH(G15,Assumptions!$B$17:$B$23,0))</f>
        <v>100</v>
      </c>
      <c r="I15" s="6" t="n">
        <f aca="false">IFERROR(INDEX(Systems!$R$2:$R$179,MATCH($B15,Systems!$B$2:$B$179,0)),0)</f>
        <v>0</v>
      </c>
      <c r="J15" s="27" t="n">
        <f aca="false">H15*I15</f>
        <v>0</v>
      </c>
      <c r="K15" s="6" t="str">
        <f aca="false">IFERROR(IF(INDEX(Resources!$D$2:$D$64,MATCH($D15,Resources!$A$2:$A$64,0))="","",INDEX(Resources!$D$2:$D$64,MATCH($D15,Resources!$A$2:$A$64,0))),"")</f>
        <v/>
      </c>
      <c r="L15" s="28" t="str">
        <f aca="false">IF(K15="","",J15*INDEX(Resources!$E$2:$E$64,MATCH($D15,Resources!$A$2:$A$64,0)))</f>
        <v/>
      </c>
      <c r="M15" s="6" t="str">
        <f aca="false">B15&amp;"|"&amp;D15&amp;"|"&amp;C15</f>
        <v>Biochar|Woody biomass|Input</v>
      </c>
    </row>
    <row r="16" customFormat="false" ht="15" hidden="false" customHeight="true" outlineLevel="0" collapsed="false">
      <c r="A16" s="6" t="s">
        <v>958</v>
      </c>
      <c r="B16" s="6" t="s">
        <v>174</v>
      </c>
      <c r="C16" s="6" t="s">
        <v>938</v>
      </c>
      <c r="D16" s="6" t="s">
        <v>49</v>
      </c>
      <c r="E16" s="26" t="n">
        <v>20</v>
      </c>
      <c r="F16" s="6" t="str">
        <f aca="false">IFERROR(INDEX(Resources!$B$2:$B$64,MATCH($D16,Resources!$A$2:$A$64,0)),"?")</f>
        <v>gal</v>
      </c>
      <c r="G16" s="6" t="s">
        <v>939</v>
      </c>
      <c r="H16" s="27" t="n">
        <f aca="false">E16*INDEX(Assumptions!$D$17:$D$23,MATCH(G16,Assumptions!$B$17:$B$23,0))</f>
        <v>20</v>
      </c>
      <c r="I16" s="6" t="n">
        <f aca="false">IFERROR(INDEX(Systems!$R$2:$R$179,MATCH($B16,Systems!$B$2:$B$179,0)),0)</f>
        <v>0</v>
      </c>
      <c r="J16" s="27" t="n">
        <f aca="false">H16*I16</f>
        <v>0</v>
      </c>
      <c r="K16" s="6" t="str">
        <f aca="false">IFERROR(IF(INDEX(Resources!$D$2:$D$64,MATCH($D16,Resources!$A$2:$A$64,0))="","",INDEX(Resources!$D$2:$D$64,MATCH($D16,Resources!$A$2:$A$64,0))),"")</f>
        <v>Water</v>
      </c>
      <c r="L16" s="28" t="n">
        <f aca="false">IF(K16="","",J16*INDEX(Resources!$E$2:$E$64,MATCH($D16,Resources!$A$2:$A$64,0)))</f>
        <v>0</v>
      </c>
      <c r="M16" s="6" t="str">
        <f aca="false">B16&amp;"|"&amp;D16&amp;"|"&amp;C16</f>
        <v>Biochar|Water|Input</v>
      </c>
    </row>
    <row r="17" customFormat="false" ht="15" hidden="false" customHeight="true" outlineLevel="0" collapsed="false">
      <c r="A17" s="6" t="s">
        <v>959</v>
      </c>
      <c r="B17" s="6" t="s">
        <v>174</v>
      </c>
      <c r="C17" s="6" t="s">
        <v>943</v>
      </c>
      <c r="D17" s="6" t="s">
        <v>174</v>
      </c>
      <c r="E17" s="26" t="n">
        <v>15</v>
      </c>
      <c r="F17" s="6" t="str">
        <f aca="false">IFERROR(INDEX(Resources!$B$2:$B$64,MATCH($D17,Resources!$A$2:$A$64,0)),"?")</f>
        <v>lbs</v>
      </c>
      <c r="G17" s="6" t="s">
        <v>939</v>
      </c>
      <c r="H17" s="27" t="n">
        <f aca="false">E17*INDEX(Assumptions!$D$17:$D$23,MATCH(G17,Assumptions!$B$17:$B$23,0))</f>
        <v>15</v>
      </c>
      <c r="I17" s="6" t="n">
        <f aca="false">IFERROR(INDEX(Systems!$R$2:$R$179,MATCH($B17,Systems!$B$2:$B$179,0)),0)</f>
        <v>0</v>
      </c>
      <c r="J17" s="27" t="n">
        <f aca="false">H17*I17</f>
        <v>0</v>
      </c>
      <c r="K17" s="6" t="str">
        <f aca="false">IFERROR(IF(INDEX(Resources!$D$2:$D$64,MATCH($D17,Resources!$A$2:$A$64,0))="","",INDEX(Resources!$D$2:$D$64,MATCH($D17,Resources!$A$2:$A$64,0))),"")</f>
        <v/>
      </c>
      <c r="L17" s="28" t="str">
        <f aca="false">IF(K17="","",J17*INDEX(Resources!$E$2:$E$64,MATCH($D17,Resources!$A$2:$A$64,0)))</f>
        <v/>
      </c>
      <c r="M17" s="6" t="str">
        <f aca="false">B17&amp;"|"&amp;D17&amp;"|"&amp;C17</f>
        <v>Biochar|Biochar|Output</v>
      </c>
    </row>
    <row r="18" customFormat="false" ht="15" hidden="false" customHeight="true" outlineLevel="0" collapsed="false">
      <c r="A18" s="6" t="s">
        <v>960</v>
      </c>
      <c r="B18" s="6" t="s">
        <v>180</v>
      </c>
      <c r="C18" s="6" t="s">
        <v>938</v>
      </c>
      <c r="D18" s="6" t="s">
        <v>71</v>
      </c>
      <c r="E18" s="26" t="n">
        <v>2</v>
      </c>
      <c r="F18" s="6" t="str">
        <f aca="false">IFERROR(INDEX(Resources!$B$2:$B$64,MATCH($D18,Resources!$A$2:$A$64,0)),"?")</f>
        <v>hours</v>
      </c>
      <c r="G18" s="6" t="s">
        <v>939</v>
      </c>
      <c r="H18" s="27" t="n">
        <f aca="false">E18*INDEX(Assumptions!$D$17:$D$23,MATCH(G18,Assumptions!$B$17:$B$23,0))</f>
        <v>2</v>
      </c>
      <c r="I18" s="6" t="n">
        <f aca="false">IFERROR(INDEX(Systems!$R$2:$R$179,MATCH($B18,Systems!$B$2:$B$179,0)),0)</f>
        <v>0</v>
      </c>
      <c r="J18" s="27" t="n">
        <f aca="false">H18*I18</f>
        <v>0</v>
      </c>
      <c r="K18" s="6" t="str">
        <f aca="false">IFERROR(IF(INDEX(Resources!$D$2:$D$64,MATCH($D18,Resources!$A$2:$A$64,0))="","",INDEX(Resources!$D$2:$D$64,MATCH($D18,Resources!$A$2:$A$64,0))),"")</f>
        <v>Est. Required Labor</v>
      </c>
      <c r="L18" s="28" t="n">
        <f aca="false">IF(K18="","",J18*INDEX(Resources!$E$2:$E$64,MATCH($D18,Resources!$A$2:$A$64,0)))</f>
        <v>0</v>
      </c>
      <c r="M18" s="6" t="str">
        <f aca="false">B18&amp;"|"&amp;D18&amp;"|"&amp;C18</f>
        <v>Biochar Double Barrel Retort|Labor|Input</v>
      </c>
      <c r="N18" s="6" t="s">
        <v>940</v>
      </c>
    </row>
    <row r="19" customFormat="false" ht="15" hidden="false" customHeight="true" outlineLevel="0" collapsed="false">
      <c r="A19" s="6" t="s">
        <v>961</v>
      </c>
      <c r="B19" s="6" t="s">
        <v>180</v>
      </c>
      <c r="C19" s="6" t="s">
        <v>938</v>
      </c>
      <c r="D19" s="6" t="s">
        <v>962</v>
      </c>
      <c r="E19" s="26" t="n">
        <v>60</v>
      </c>
      <c r="F19" s="6" t="str">
        <f aca="false">IFERROR(INDEX(Resources!$B$2:$B$64,MATCH($D19,Resources!$A$2:$A$64,0)),"?")</f>
        <v>lbs</v>
      </c>
      <c r="G19" s="6" t="s">
        <v>939</v>
      </c>
      <c r="H19" s="27" t="n">
        <f aca="false">E19*INDEX(Assumptions!$D$17:$D$23,MATCH(G19,Assumptions!$B$17:$B$23,0))</f>
        <v>60</v>
      </c>
      <c r="I19" s="6" t="n">
        <f aca="false">IFERROR(INDEX(Systems!$R$2:$R$179,MATCH($B19,Systems!$B$2:$B$179,0)),0)</f>
        <v>0</v>
      </c>
      <c r="J19" s="27" t="n">
        <f aca="false">H19*I19</f>
        <v>0</v>
      </c>
      <c r="K19" s="6" t="str">
        <f aca="false">IFERROR(IF(INDEX(Resources!$D$2:$D$64,MATCH($D19,Resources!$A$2:$A$64,0))="","",INDEX(Resources!$D$2:$D$64,MATCH($D19,Resources!$A$2:$A$64,0))),"")</f>
        <v/>
      </c>
      <c r="L19" s="28" t="str">
        <f aca="false">IF(K19="","",J19*INDEX(Resources!$E$2:$E$64,MATCH($D19,Resources!$A$2:$A$64,0)))</f>
        <v/>
      </c>
      <c r="M19" s="6" t="str">
        <f aca="false">B19&amp;"|"&amp;D19&amp;"|"&amp;C19</f>
        <v>Biochar Double Barrel Retort|Wood chips|Input</v>
      </c>
    </row>
    <row r="20" customFormat="false" ht="15" hidden="false" customHeight="true" outlineLevel="0" collapsed="false">
      <c r="A20" s="6" t="s">
        <v>963</v>
      </c>
      <c r="B20" s="6" t="s">
        <v>180</v>
      </c>
      <c r="C20" s="6" t="s">
        <v>938</v>
      </c>
      <c r="D20" s="6" t="s">
        <v>177</v>
      </c>
      <c r="E20" s="26" t="n">
        <v>40</v>
      </c>
      <c r="F20" s="6" t="str">
        <f aca="false">IFERROR(INDEX(Resources!$B$2:$B$64,MATCH($D20,Resources!$A$2:$A$64,0)),"?")</f>
        <v>lbs</v>
      </c>
      <c r="G20" s="6" t="s">
        <v>939</v>
      </c>
      <c r="H20" s="27" t="n">
        <f aca="false">E20*INDEX(Assumptions!$D$17:$D$23,MATCH(G20,Assumptions!$B$17:$B$23,0))</f>
        <v>40</v>
      </c>
      <c r="I20" s="6" t="n">
        <f aca="false">IFERROR(INDEX(Systems!$R$2:$R$179,MATCH($B20,Systems!$B$2:$B$179,0)),0)</f>
        <v>0</v>
      </c>
      <c r="J20" s="27" t="n">
        <f aca="false">H20*I20</f>
        <v>0</v>
      </c>
      <c r="K20" s="6" t="str">
        <f aca="false">IFERROR(IF(INDEX(Resources!$D$2:$D$64,MATCH($D20,Resources!$A$2:$A$64,0))="","",INDEX(Resources!$D$2:$D$64,MATCH($D20,Resources!$A$2:$A$64,0))),"")</f>
        <v/>
      </c>
      <c r="L20" s="28" t="str">
        <f aca="false">IF(K20="","",J20*INDEX(Resources!$E$2:$E$64,MATCH($D20,Resources!$A$2:$A$64,0)))</f>
        <v/>
      </c>
      <c r="M20" s="6" t="str">
        <f aca="false">B20&amp;"|"&amp;D20&amp;"|"&amp;C20</f>
        <v>Biochar Double Barrel Retort|Woody biomass|Input</v>
      </c>
    </row>
    <row r="21" customFormat="false" ht="15" hidden="false" customHeight="true" outlineLevel="0" collapsed="false">
      <c r="A21" s="6" t="s">
        <v>964</v>
      </c>
      <c r="B21" s="6" t="s">
        <v>180</v>
      </c>
      <c r="C21" s="6" t="s">
        <v>938</v>
      </c>
      <c r="D21" s="6" t="s">
        <v>415</v>
      </c>
      <c r="E21" s="26" t="n">
        <v>20</v>
      </c>
      <c r="F21" s="6" t="str">
        <f aca="false">IFERROR(INDEX(Resources!$B$2:$B$64,MATCH($D21,Resources!$A$2:$A$64,0)),"?")</f>
        <v>lbs</v>
      </c>
      <c r="G21" s="6" t="s">
        <v>939</v>
      </c>
      <c r="H21" s="27" t="n">
        <f aca="false">E21*INDEX(Assumptions!$D$17:$D$23,MATCH(G21,Assumptions!$B$17:$B$23,0))</f>
        <v>20</v>
      </c>
      <c r="I21" s="6" t="n">
        <f aca="false">IFERROR(INDEX(Systems!$R$2:$R$179,MATCH($B21,Systems!$B$2:$B$179,0)),0)</f>
        <v>0</v>
      </c>
      <c r="J21" s="27" t="n">
        <f aca="false">H21*I21</f>
        <v>0</v>
      </c>
      <c r="K21" s="6" t="str">
        <f aca="false">IFERROR(IF(INDEX(Resources!$D$2:$D$64,MATCH($D21,Resources!$A$2:$A$64,0))="","",INDEX(Resources!$D$2:$D$64,MATCH($D21,Resources!$A$2:$A$64,0))),"")</f>
        <v/>
      </c>
      <c r="L21" s="28" t="str">
        <f aca="false">IF(K21="","",J21*INDEX(Resources!$E$2:$E$64,MATCH($D21,Resources!$A$2:$A$64,0)))</f>
        <v/>
      </c>
      <c r="M21" s="6" t="str">
        <f aca="false">B21&amp;"|"&amp;D21&amp;"|"&amp;C21</f>
        <v>Biochar Double Barrel Retort|Waste lumber|Input</v>
      </c>
    </row>
    <row r="22" customFormat="false" ht="15" hidden="false" customHeight="true" outlineLevel="0" collapsed="false">
      <c r="A22" s="6" t="s">
        <v>965</v>
      </c>
      <c r="B22" s="6" t="s">
        <v>180</v>
      </c>
      <c r="C22" s="6" t="s">
        <v>943</v>
      </c>
      <c r="D22" s="6" t="s">
        <v>67</v>
      </c>
      <c r="E22" s="26" t="n">
        <v>60000</v>
      </c>
      <c r="F22" s="6" t="str">
        <f aca="false">IFERROR(INDEX(Resources!$B$2:$B$64,MATCH($D22,Resources!$A$2:$A$64,0)),"?")</f>
        <v>BTU</v>
      </c>
      <c r="G22" s="6" t="s">
        <v>939</v>
      </c>
      <c r="H22" s="27" t="n">
        <f aca="false">E22*INDEX(Assumptions!$D$17:$D$23,MATCH(G22,Assumptions!$B$17:$B$23,0))</f>
        <v>60000</v>
      </c>
      <c r="I22" s="6" t="n">
        <f aca="false">IFERROR(INDEX(Systems!$R$2:$R$179,MATCH($B22,Systems!$B$2:$B$179,0)),0)</f>
        <v>0</v>
      </c>
      <c r="J22" s="27" t="n">
        <f aca="false">H22*I22</f>
        <v>0</v>
      </c>
      <c r="K22" s="6" t="str">
        <f aca="false">IFERROR(IF(INDEX(Resources!$D$2:$D$64,MATCH($D22,Resources!$A$2:$A$64,0))="","",INDEX(Resources!$D$2:$D$64,MATCH($D22,Resources!$A$2:$A$64,0))),"")</f>
        <v>Heated shelter</v>
      </c>
      <c r="L22" s="28" t="n">
        <f aca="false">IF(K22="","",J22*INDEX(Resources!$E$2:$E$64,MATCH($D22,Resources!$A$2:$A$64,0)))</f>
        <v>0</v>
      </c>
      <c r="M22" s="6" t="str">
        <f aca="false">B22&amp;"|"&amp;D22&amp;"|"&amp;C22</f>
        <v>Biochar Double Barrel Retort|Heat|Output</v>
      </c>
    </row>
    <row r="23" customFormat="false" ht="15" hidden="false" customHeight="true" outlineLevel="0" collapsed="false">
      <c r="A23" s="6" t="s">
        <v>966</v>
      </c>
      <c r="B23" s="6" t="s">
        <v>180</v>
      </c>
      <c r="C23" s="6" t="s">
        <v>943</v>
      </c>
      <c r="D23" s="6" t="s">
        <v>174</v>
      </c>
      <c r="E23" s="26" t="n">
        <v>20</v>
      </c>
      <c r="F23" s="6" t="str">
        <f aca="false">IFERROR(INDEX(Resources!$B$2:$B$64,MATCH($D23,Resources!$A$2:$A$64,0)),"?")</f>
        <v>lbs</v>
      </c>
      <c r="G23" s="6" t="s">
        <v>939</v>
      </c>
      <c r="H23" s="27" t="n">
        <f aca="false">E23*INDEX(Assumptions!$D$17:$D$23,MATCH(G23,Assumptions!$B$17:$B$23,0))</f>
        <v>20</v>
      </c>
      <c r="I23" s="6" t="n">
        <f aca="false">IFERROR(INDEX(Systems!$R$2:$R$179,MATCH($B23,Systems!$B$2:$B$179,0)),0)</f>
        <v>0</v>
      </c>
      <c r="J23" s="27" t="n">
        <f aca="false">H23*I23</f>
        <v>0</v>
      </c>
      <c r="K23" s="6" t="str">
        <f aca="false">IFERROR(IF(INDEX(Resources!$D$2:$D$64,MATCH($D23,Resources!$A$2:$A$64,0))="","",INDEX(Resources!$D$2:$D$64,MATCH($D23,Resources!$A$2:$A$64,0))),"")</f>
        <v/>
      </c>
      <c r="L23" s="28" t="str">
        <f aca="false">IF(K23="","",J23*INDEX(Resources!$E$2:$E$64,MATCH($D23,Resources!$A$2:$A$64,0)))</f>
        <v/>
      </c>
      <c r="M23" s="6" t="str">
        <f aca="false">B23&amp;"|"&amp;D23&amp;"|"&amp;C23</f>
        <v>Biochar Double Barrel Retort|Biochar|Output</v>
      </c>
    </row>
    <row r="24" customFormat="false" ht="15" hidden="false" customHeight="true" outlineLevel="0" collapsed="false">
      <c r="A24" s="6" t="s">
        <v>967</v>
      </c>
      <c r="B24" s="6" t="s">
        <v>188</v>
      </c>
      <c r="C24" s="6" t="s">
        <v>938</v>
      </c>
      <c r="D24" s="6" t="s">
        <v>71</v>
      </c>
      <c r="E24" s="26" t="n">
        <v>1</v>
      </c>
      <c r="F24" s="6" t="str">
        <f aca="false">IFERROR(INDEX(Resources!$B$2:$B$64,MATCH($D24,Resources!$A$2:$A$64,0)),"?")</f>
        <v>hours</v>
      </c>
      <c r="G24" s="6" t="s">
        <v>939</v>
      </c>
      <c r="H24" s="27" t="n">
        <f aca="false">E24*INDEX(Assumptions!$D$17:$D$23,MATCH(G24,Assumptions!$B$17:$B$23,0))</f>
        <v>1</v>
      </c>
      <c r="I24" s="6" t="n">
        <f aca="false">IFERROR(INDEX(Systems!$R$2:$R$179,MATCH($B24,Systems!$B$2:$B$179,0)),0)</f>
        <v>0</v>
      </c>
      <c r="J24" s="27" t="n">
        <f aca="false">H24*I24</f>
        <v>0</v>
      </c>
      <c r="K24" s="6" t="str">
        <f aca="false">IFERROR(IF(INDEX(Resources!$D$2:$D$64,MATCH($D24,Resources!$A$2:$A$64,0))="","",INDEX(Resources!$D$2:$D$64,MATCH($D24,Resources!$A$2:$A$64,0))),"")</f>
        <v>Est. Required Labor</v>
      </c>
      <c r="L24" s="28" t="n">
        <f aca="false">IF(K24="","",J24*INDEX(Resources!$E$2:$E$64,MATCH($D24,Resources!$A$2:$A$64,0)))</f>
        <v>0</v>
      </c>
      <c r="M24" s="6" t="str">
        <f aca="false">B24&amp;"|"&amp;D24&amp;"|"&amp;C24</f>
        <v>A-Frame House|Labor|Input</v>
      </c>
      <c r="N24" s="6" t="s">
        <v>940</v>
      </c>
    </row>
    <row r="25" customFormat="false" ht="15" hidden="false" customHeight="true" outlineLevel="0" collapsed="false">
      <c r="A25" s="6" t="s">
        <v>968</v>
      </c>
      <c r="B25" s="6" t="s">
        <v>188</v>
      </c>
      <c r="C25" s="6" t="s">
        <v>938</v>
      </c>
      <c r="D25" s="6" t="s">
        <v>269</v>
      </c>
      <c r="E25" s="26" t="n">
        <v>60</v>
      </c>
      <c r="F25" s="6" t="str">
        <f aca="false">IFERROR(INDEX(Resources!$B$2:$B$64,MATCH($D25,Resources!$A$2:$A$64,0)),"?")</f>
        <v>$</v>
      </c>
      <c r="G25" s="6" t="s">
        <v>939</v>
      </c>
      <c r="H25" s="27" t="n">
        <f aca="false">E25*INDEX(Assumptions!$D$17:$D$23,MATCH(G25,Assumptions!$B$17:$B$23,0))</f>
        <v>60</v>
      </c>
      <c r="I25" s="6" t="n">
        <f aca="false">IFERROR(INDEX(Systems!$R$2:$R$179,MATCH($B25,Systems!$B$2:$B$179,0)),0)</f>
        <v>0</v>
      </c>
      <c r="J25" s="27" t="n">
        <f aca="false">H25*I25</f>
        <v>0</v>
      </c>
      <c r="K25" s="6" t="str">
        <f aca="false">IFERROR(IF(INDEX(Resources!$D$2:$D$64,MATCH($D25,Resources!$A$2:$A$64,0))="","",INDEX(Resources!$D$2:$D$64,MATCH($D25,Resources!$A$2:$A$64,0))),"")</f>
        <v/>
      </c>
      <c r="L25" s="28" t="str">
        <f aca="false">IF(K25="","",J25*INDEX(Resources!$E$2:$E$64,MATCH($D25,Resources!$A$2:$A$64,0)))</f>
        <v/>
      </c>
      <c r="M25" s="6" t="str">
        <f aca="false">B25&amp;"|"&amp;D25&amp;"|"&amp;C25</f>
        <v>A-Frame House|Capital|Input</v>
      </c>
    </row>
    <row r="26" customFormat="false" ht="15" hidden="false" customHeight="true" outlineLevel="0" collapsed="false">
      <c r="A26" s="6" t="s">
        <v>969</v>
      </c>
      <c r="B26" s="6" t="s">
        <v>188</v>
      </c>
      <c r="C26" s="6" t="s">
        <v>943</v>
      </c>
      <c r="D26" s="6" t="s">
        <v>55</v>
      </c>
      <c r="E26" s="26" t="n">
        <v>800</v>
      </c>
      <c r="F26" s="6" t="str">
        <f aca="false">IFERROR(INDEX(Resources!$B$2:$B$64,MATCH($D26,Resources!$A$2:$A$64,0)),"?")</f>
        <v>sq ft</v>
      </c>
      <c r="G26" s="6" t="s">
        <v>945</v>
      </c>
      <c r="H26" s="27" t="n">
        <f aca="false">E26*INDEX(Assumptions!$D$17:$D$23,MATCH(G26,Assumptions!$B$17:$B$23,0))</f>
        <v>800</v>
      </c>
      <c r="I26" s="6" t="n">
        <f aca="false">IFERROR(INDEX(Systems!$R$2:$R$179,MATCH($B26,Systems!$B$2:$B$179,0)),0)</f>
        <v>0</v>
      </c>
      <c r="J26" s="27" t="n">
        <f aca="false">H26*I26</f>
        <v>0</v>
      </c>
      <c r="K26" s="6" t="str">
        <f aca="false">IFERROR(IF(INDEX(Resources!$D$2:$D$64,MATCH($D26,Resources!$A$2:$A$64,0))="","",INDEX(Resources!$D$2:$D$64,MATCH($D26,Resources!$A$2:$A$64,0))),"")</f>
        <v>Shelter</v>
      </c>
      <c r="L26" s="28" t="n">
        <f aca="false">IF(K26="","",J26*INDEX(Resources!$E$2:$E$64,MATCH($D26,Resources!$A$2:$A$64,0)))</f>
        <v>0</v>
      </c>
      <c r="M26" s="6" t="str">
        <f aca="false">B26&amp;"|"&amp;D26&amp;"|"&amp;C26</f>
        <v>A-Frame House|Shelter|Output</v>
      </c>
    </row>
    <row r="27" customFormat="false" ht="15" hidden="false" customHeight="true" outlineLevel="0" collapsed="false">
      <c r="A27" s="6" t="s">
        <v>970</v>
      </c>
      <c r="B27" s="6" t="s">
        <v>188</v>
      </c>
      <c r="C27" s="6" t="s">
        <v>943</v>
      </c>
      <c r="D27" s="6" t="s">
        <v>288</v>
      </c>
      <c r="E27" s="26" t="n">
        <v>1100</v>
      </c>
      <c r="F27" s="6" t="str">
        <f aca="false">IFERROR(INDEX(Resources!$B$2:$B$64,MATCH($D27,Resources!$A$2:$A$64,0)),"?")</f>
        <v>sq ft</v>
      </c>
      <c r="G27" s="6" t="s">
        <v>945</v>
      </c>
      <c r="H27" s="27" t="n">
        <f aca="false">E27*INDEX(Assumptions!$D$17:$D$23,MATCH(G27,Assumptions!$B$17:$B$23,0))</f>
        <v>1100</v>
      </c>
      <c r="I27" s="6" t="n">
        <f aca="false">IFERROR(INDEX(Systems!$R$2:$R$179,MATCH($B27,Systems!$B$2:$B$179,0)),0)</f>
        <v>0</v>
      </c>
      <c r="J27" s="27" t="n">
        <f aca="false">H27*I27</f>
        <v>0</v>
      </c>
      <c r="K27" s="6" t="str">
        <f aca="false">IFERROR(IF(INDEX(Resources!$D$2:$D$64,MATCH($D27,Resources!$A$2:$A$64,0))="","",INDEX(Resources!$D$2:$D$64,MATCH($D27,Resources!$A$2:$A$64,0))),"")</f>
        <v/>
      </c>
      <c r="L27" s="28" t="str">
        <f aca="false">IF(K27="","",J27*INDEX(Resources!$E$2:$E$64,MATCH($D27,Resources!$A$2:$A$64,0)))</f>
        <v/>
      </c>
      <c r="M27" s="6" t="str">
        <f aca="false">B27&amp;"|"&amp;D27&amp;"|"&amp;C27</f>
        <v>A-Frame House|Roofing area|Output</v>
      </c>
    </row>
    <row r="28" customFormat="false" ht="15" hidden="false" customHeight="true" outlineLevel="0" collapsed="false">
      <c r="A28" s="6" t="s">
        <v>971</v>
      </c>
      <c r="B28" s="6" t="s">
        <v>188</v>
      </c>
      <c r="C28" s="6" t="s">
        <v>938</v>
      </c>
      <c r="D28" s="6" t="s">
        <v>67</v>
      </c>
      <c r="E28" s="29" t="n">
        <f aca="false">INDEX(Systems!$N$2:$N$179,MATCH($B28,Systems!$B$2:$B$179,0))*INDEX(Systems!$O$2:$O$179,MATCH($B28,Systems!$B$2:$B$179,0))*Assumptions!$C$4*24/52</f>
        <v>664615.384615385</v>
      </c>
      <c r="F28" s="6" t="str">
        <f aca="false">IFERROR(INDEX(Resources!$B$2:$B$64,MATCH($D28,Resources!$A$2:$A$64,0)),"?")</f>
        <v>BTU</v>
      </c>
      <c r="G28" s="6" t="s">
        <v>939</v>
      </c>
      <c r="H28" s="27" t="n">
        <f aca="false">E28*INDEX(Assumptions!$D$17:$D$23,MATCH(G28,Assumptions!$B$17:$B$23,0))</f>
        <v>664615.384615385</v>
      </c>
      <c r="I28" s="6" t="n">
        <f aca="false">IFERROR(INDEX(Systems!$R$2:$R$179,MATCH($B28,Systems!$B$2:$B$179,0)),0)</f>
        <v>0</v>
      </c>
      <c r="J28" s="27" t="n">
        <f aca="false">H28*I28</f>
        <v>0</v>
      </c>
      <c r="K28" s="6" t="str">
        <f aca="false">IFERROR(IF(INDEX(Resources!$D$2:$D$64,MATCH($D28,Resources!$A$2:$A$64,0))="","",INDEX(Resources!$D$2:$D$64,MATCH($D28,Resources!$A$2:$A$64,0))),"")</f>
        <v>Heated shelter</v>
      </c>
      <c r="L28" s="28" t="n">
        <f aca="false">IF(K28="","",J28*INDEX(Resources!$E$2:$E$64,MATCH($D28,Resources!$A$2:$A$64,0)))</f>
        <v>0</v>
      </c>
      <c r="M28" s="6" t="str">
        <f aca="false">B28&amp;"|"&amp;D28&amp;"|"&amp;C28</f>
        <v>A-Frame House|Heat|Input</v>
      </c>
      <c r="N28" s="6" t="s">
        <v>972</v>
      </c>
    </row>
    <row r="29" customFormat="false" ht="15" hidden="false" customHeight="true" outlineLevel="0" collapsed="false">
      <c r="A29" s="6" t="s">
        <v>973</v>
      </c>
      <c r="B29" s="6" t="s">
        <v>188</v>
      </c>
      <c r="C29" s="6" t="s">
        <v>938</v>
      </c>
      <c r="D29" s="6" t="s">
        <v>69</v>
      </c>
      <c r="E29" s="29" t="n">
        <f aca="false">INDEX(Systems!$N$2:$N$179,MATCH($B29,Systems!$B$2:$B$179,0))*INDEX(Systems!$O$2:$O$179,MATCH($B29,Systems!$B$2:$B$179,0))*Assumptions!$C$5*24/52</f>
        <v>88615.3846153846</v>
      </c>
      <c r="F29" s="6" t="str">
        <f aca="false">IFERROR(INDEX(Resources!$B$2:$B$64,MATCH($D29,Resources!$A$2:$A$64,0)),"?")</f>
        <v>BTU</v>
      </c>
      <c r="G29" s="6" t="s">
        <v>939</v>
      </c>
      <c r="H29" s="27" t="n">
        <f aca="false">E29*INDEX(Assumptions!$D$17:$D$23,MATCH(G29,Assumptions!$B$17:$B$23,0))</f>
        <v>88615.3846153846</v>
      </c>
      <c r="I29" s="6" t="n">
        <f aca="false">IFERROR(INDEX(Systems!$R$2:$R$179,MATCH($B29,Systems!$B$2:$B$179,0)),0)</f>
        <v>0</v>
      </c>
      <c r="J29" s="27" t="n">
        <f aca="false">H29*I29</f>
        <v>0</v>
      </c>
      <c r="K29" s="6" t="str">
        <f aca="false">IFERROR(IF(INDEX(Resources!$D$2:$D$64,MATCH($D29,Resources!$A$2:$A$64,0))="","",INDEX(Resources!$D$2:$D$64,MATCH($D29,Resources!$A$2:$A$64,0))),"")</f>
        <v>Cooled shelter</v>
      </c>
      <c r="L29" s="28" t="n">
        <f aca="false">IF(K29="","",J29*INDEX(Resources!$E$2:$E$64,MATCH($D29,Resources!$A$2:$A$64,0)))</f>
        <v>0</v>
      </c>
      <c r="M29" s="6" t="str">
        <f aca="false">B29&amp;"|"&amp;D29&amp;"|"&amp;C29</f>
        <v>A-Frame House|Cooling|Input</v>
      </c>
      <c r="N29" s="6" t="s">
        <v>974</v>
      </c>
    </row>
    <row r="30" customFormat="false" ht="15" hidden="false" customHeight="true" outlineLevel="0" collapsed="false">
      <c r="A30" s="6" t="s">
        <v>975</v>
      </c>
      <c r="B30" s="6" t="s">
        <v>193</v>
      </c>
      <c r="C30" s="6" t="s">
        <v>938</v>
      </c>
      <c r="D30" s="6" t="s">
        <v>71</v>
      </c>
      <c r="E30" s="26" t="n">
        <v>2</v>
      </c>
      <c r="F30" s="6" t="str">
        <f aca="false">IFERROR(INDEX(Resources!$B$2:$B$64,MATCH($D30,Resources!$A$2:$A$64,0)),"?")</f>
        <v>hours</v>
      </c>
      <c r="G30" s="6" t="s">
        <v>939</v>
      </c>
      <c r="H30" s="27" t="n">
        <f aca="false">E30*INDEX(Assumptions!$D$17:$D$23,MATCH(G30,Assumptions!$B$17:$B$23,0))</f>
        <v>2</v>
      </c>
      <c r="I30" s="6" t="n">
        <f aca="false">IFERROR(INDEX(Systems!$R$2:$R$179,MATCH($B30,Systems!$B$2:$B$179,0)),0)</f>
        <v>0</v>
      </c>
      <c r="J30" s="27" t="n">
        <f aca="false">H30*I30</f>
        <v>0</v>
      </c>
      <c r="K30" s="6" t="str">
        <f aca="false">IFERROR(IF(INDEX(Resources!$D$2:$D$64,MATCH($D30,Resources!$A$2:$A$64,0))="","",INDEX(Resources!$D$2:$D$64,MATCH($D30,Resources!$A$2:$A$64,0))),"")</f>
        <v>Est. Required Labor</v>
      </c>
      <c r="L30" s="28" t="n">
        <f aca="false">IF(K30="","",J30*INDEX(Resources!$E$2:$E$64,MATCH($D30,Resources!$A$2:$A$64,0)))</f>
        <v>0</v>
      </c>
      <c r="M30" s="6" t="str">
        <f aca="false">B30&amp;"|"&amp;D30&amp;"|"&amp;C30</f>
        <v>Average Suburban Home|Labor|Input</v>
      </c>
      <c r="N30" s="6" t="s">
        <v>940</v>
      </c>
    </row>
    <row r="31" customFormat="false" ht="15" hidden="false" customHeight="true" outlineLevel="0" collapsed="false">
      <c r="A31" s="6" t="s">
        <v>976</v>
      </c>
      <c r="B31" s="6" t="s">
        <v>193</v>
      </c>
      <c r="C31" s="6" t="s">
        <v>938</v>
      </c>
      <c r="D31" s="6" t="s">
        <v>269</v>
      </c>
      <c r="E31" s="26" t="n">
        <v>250</v>
      </c>
      <c r="F31" s="6" t="str">
        <f aca="false">IFERROR(INDEX(Resources!$B$2:$B$64,MATCH($D31,Resources!$A$2:$A$64,0)),"?")</f>
        <v>$</v>
      </c>
      <c r="G31" s="6" t="s">
        <v>939</v>
      </c>
      <c r="H31" s="27" t="n">
        <f aca="false">E31*INDEX(Assumptions!$D$17:$D$23,MATCH(G31,Assumptions!$B$17:$B$23,0))</f>
        <v>250</v>
      </c>
      <c r="I31" s="6" t="n">
        <f aca="false">IFERROR(INDEX(Systems!$R$2:$R$179,MATCH($B31,Systems!$B$2:$B$179,0)),0)</f>
        <v>0</v>
      </c>
      <c r="J31" s="27" t="n">
        <f aca="false">H31*I31</f>
        <v>0</v>
      </c>
      <c r="K31" s="6" t="str">
        <f aca="false">IFERROR(IF(INDEX(Resources!$D$2:$D$64,MATCH($D31,Resources!$A$2:$A$64,0))="","",INDEX(Resources!$D$2:$D$64,MATCH($D31,Resources!$A$2:$A$64,0))),"")</f>
        <v/>
      </c>
      <c r="L31" s="28" t="str">
        <f aca="false">IF(K31="","",J31*INDEX(Resources!$E$2:$E$64,MATCH($D31,Resources!$A$2:$A$64,0)))</f>
        <v/>
      </c>
      <c r="M31" s="6" t="str">
        <f aca="false">B31&amp;"|"&amp;D31&amp;"|"&amp;C31</f>
        <v>Average Suburban Home|Capital|Input</v>
      </c>
    </row>
    <row r="32" customFormat="false" ht="15" hidden="false" customHeight="true" outlineLevel="0" collapsed="false">
      <c r="A32" s="6" t="s">
        <v>977</v>
      </c>
      <c r="B32" s="6" t="s">
        <v>193</v>
      </c>
      <c r="C32" s="6" t="s">
        <v>943</v>
      </c>
      <c r="D32" s="6" t="s">
        <v>55</v>
      </c>
      <c r="E32" s="26" t="n">
        <v>2000</v>
      </c>
      <c r="F32" s="6" t="str">
        <f aca="false">IFERROR(INDEX(Resources!$B$2:$B$64,MATCH($D32,Resources!$A$2:$A$64,0)),"?")</f>
        <v>sq ft</v>
      </c>
      <c r="G32" s="6" t="s">
        <v>945</v>
      </c>
      <c r="H32" s="27" t="n">
        <f aca="false">E32*INDEX(Assumptions!$D$17:$D$23,MATCH(G32,Assumptions!$B$17:$B$23,0))</f>
        <v>2000</v>
      </c>
      <c r="I32" s="6" t="n">
        <f aca="false">IFERROR(INDEX(Systems!$R$2:$R$179,MATCH($B32,Systems!$B$2:$B$179,0)),0)</f>
        <v>0</v>
      </c>
      <c r="J32" s="27" t="n">
        <f aca="false">H32*I32</f>
        <v>0</v>
      </c>
      <c r="K32" s="6" t="str">
        <f aca="false">IFERROR(IF(INDEX(Resources!$D$2:$D$64,MATCH($D32,Resources!$A$2:$A$64,0))="","",INDEX(Resources!$D$2:$D$64,MATCH($D32,Resources!$A$2:$A$64,0))),"")</f>
        <v>Shelter</v>
      </c>
      <c r="L32" s="28" t="n">
        <f aca="false">IF(K32="","",J32*INDEX(Resources!$E$2:$E$64,MATCH($D32,Resources!$A$2:$A$64,0)))</f>
        <v>0</v>
      </c>
      <c r="M32" s="6" t="str">
        <f aca="false">B32&amp;"|"&amp;D32&amp;"|"&amp;C32</f>
        <v>Average Suburban Home|Shelter|Output</v>
      </c>
    </row>
    <row r="33" customFormat="false" ht="15" hidden="false" customHeight="true" outlineLevel="0" collapsed="false">
      <c r="A33" s="6" t="s">
        <v>978</v>
      </c>
      <c r="B33" s="6" t="s">
        <v>193</v>
      </c>
      <c r="C33" s="6" t="s">
        <v>943</v>
      </c>
      <c r="D33" s="6" t="s">
        <v>288</v>
      </c>
      <c r="E33" s="26" t="n">
        <v>2200</v>
      </c>
      <c r="F33" s="6" t="str">
        <f aca="false">IFERROR(INDEX(Resources!$B$2:$B$64,MATCH($D33,Resources!$A$2:$A$64,0)),"?")</f>
        <v>sq ft</v>
      </c>
      <c r="G33" s="6" t="s">
        <v>945</v>
      </c>
      <c r="H33" s="27" t="n">
        <f aca="false">E33*INDEX(Assumptions!$D$17:$D$23,MATCH(G33,Assumptions!$B$17:$B$23,0))</f>
        <v>2200</v>
      </c>
      <c r="I33" s="6" t="n">
        <f aca="false">IFERROR(INDEX(Systems!$R$2:$R$179,MATCH($B33,Systems!$B$2:$B$179,0)),0)</f>
        <v>0</v>
      </c>
      <c r="J33" s="27" t="n">
        <f aca="false">H33*I33</f>
        <v>0</v>
      </c>
      <c r="K33" s="6" t="str">
        <f aca="false">IFERROR(IF(INDEX(Resources!$D$2:$D$64,MATCH($D33,Resources!$A$2:$A$64,0))="","",INDEX(Resources!$D$2:$D$64,MATCH($D33,Resources!$A$2:$A$64,0))),"")</f>
        <v/>
      </c>
      <c r="L33" s="28" t="str">
        <f aca="false">IF(K33="","",J33*INDEX(Resources!$E$2:$E$64,MATCH($D33,Resources!$A$2:$A$64,0)))</f>
        <v/>
      </c>
      <c r="M33" s="6" t="str">
        <f aca="false">B33&amp;"|"&amp;D33&amp;"|"&amp;C33</f>
        <v>Average Suburban Home|Roofing area|Output</v>
      </c>
    </row>
    <row r="34" customFormat="false" ht="15" hidden="false" customHeight="true" outlineLevel="0" collapsed="false">
      <c r="A34" s="6" t="s">
        <v>979</v>
      </c>
      <c r="B34" s="6" t="s">
        <v>193</v>
      </c>
      <c r="C34" s="6" t="s">
        <v>943</v>
      </c>
      <c r="D34" s="6" t="s">
        <v>49</v>
      </c>
      <c r="E34" s="26" t="n">
        <v>600</v>
      </c>
      <c r="F34" s="6" t="str">
        <f aca="false">IFERROR(INDEX(Resources!$B$2:$B$64,MATCH($D34,Resources!$A$2:$A$64,0)),"?")</f>
        <v>gal</v>
      </c>
      <c r="G34" s="6" t="s">
        <v>939</v>
      </c>
      <c r="H34" s="27" t="n">
        <f aca="false">E34*INDEX(Assumptions!$D$17:$D$23,MATCH(G34,Assumptions!$B$17:$B$23,0))</f>
        <v>600</v>
      </c>
      <c r="I34" s="6" t="n">
        <f aca="false">IFERROR(INDEX(Systems!$R$2:$R$179,MATCH($B34,Systems!$B$2:$B$179,0)),0)</f>
        <v>0</v>
      </c>
      <c r="J34" s="27" t="n">
        <f aca="false">H34*I34</f>
        <v>0</v>
      </c>
      <c r="K34" s="6" t="str">
        <f aca="false">IFERROR(IF(INDEX(Resources!$D$2:$D$64,MATCH($D34,Resources!$A$2:$A$64,0))="","",INDEX(Resources!$D$2:$D$64,MATCH($D34,Resources!$A$2:$A$64,0))),"")</f>
        <v>Water</v>
      </c>
      <c r="L34" s="28" t="n">
        <f aca="false">IF(K34="","",J34*INDEX(Resources!$E$2:$E$64,MATCH($D34,Resources!$A$2:$A$64,0)))</f>
        <v>0</v>
      </c>
      <c r="M34" s="6" t="str">
        <f aca="false">B34&amp;"|"&amp;D34&amp;"|"&amp;C34</f>
        <v>Average Suburban Home|Water|Output</v>
      </c>
    </row>
    <row r="35" customFormat="false" ht="15" hidden="false" customHeight="true" outlineLevel="0" collapsed="false">
      <c r="A35" s="6" t="s">
        <v>980</v>
      </c>
      <c r="B35" s="6" t="s">
        <v>193</v>
      </c>
      <c r="C35" s="6" t="s">
        <v>943</v>
      </c>
      <c r="D35" s="6" t="s">
        <v>51</v>
      </c>
      <c r="E35" s="26" t="n">
        <v>20</v>
      </c>
      <c r="F35" s="6" t="str">
        <f aca="false">IFERROR(INDEX(Resources!$B$2:$B$64,MATCH($D35,Resources!$A$2:$A$64,0)),"?")</f>
        <v>gal</v>
      </c>
      <c r="G35" s="6" t="s">
        <v>939</v>
      </c>
      <c r="H35" s="27" t="n">
        <f aca="false">E35*INDEX(Assumptions!$D$17:$D$23,MATCH(G35,Assumptions!$B$17:$B$23,0))</f>
        <v>20</v>
      </c>
      <c r="I35" s="6" t="n">
        <f aca="false">IFERROR(INDEX(Systems!$R$2:$R$179,MATCH($B35,Systems!$B$2:$B$179,0)),0)</f>
        <v>0</v>
      </c>
      <c r="J35" s="27" t="n">
        <f aca="false">H35*I35</f>
        <v>0</v>
      </c>
      <c r="K35" s="6" t="str">
        <f aca="false">IFERROR(IF(INDEX(Resources!$D$2:$D$64,MATCH($D35,Resources!$A$2:$A$64,0))="","",INDEX(Resources!$D$2:$D$64,MATCH($D35,Resources!$A$2:$A$64,0))),"")</f>
        <v>Drinking water</v>
      </c>
      <c r="L35" s="28" t="n">
        <f aca="false">IF(K35="","",J35*INDEX(Resources!$E$2:$E$64,MATCH($D35,Resources!$A$2:$A$64,0)))</f>
        <v>0</v>
      </c>
      <c r="M35" s="6" t="str">
        <f aca="false">B35&amp;"|"&amp;D35&amp;"|"&amp;C35</f>
        <v>Average Suburban Home|Drinking water|Output</v>
      </c>
    </row>
    <row r="36" customFormat="false" ht="15" hidden="false" customHeight="true" outlineLevel="0" collapsed="false">
      <c r="A36" s="6" t="s">
        <v>981</v>
      </c>
      <c r="B36" s="6" t="s">
        <v>193</v>
      </c>
      <c r="C36" s="6" t="s">
        <v>943</v>
      </c>
      <c r="D36" s="6" t="s">
        <v>982</v>
      </c>
      <c r="E36" s="26" t="n">
        <v>150</v>
      </c>
      <c r="F36" s="6" t="str">
        <f aca="false">IFERROR(INDEX(Resources!$B$2:$B$64,MATCH($D36,Resources!$A$2:$A$64,0)),"?")</f>
        <v>gal</v>
      </c>
      <c r="G36" s="6" t="s">
        <v>939</v>
      </c>
      <c r="H36" s="27" t="n">
        <f aca="false">E36*INDEX(Assumptions!$D$17:$D$23,MATCH(G36,Assumptions!$B$17:$B$23,0))</f>
        <v>150</v>
      </c>
      <c r="I36" s="6" t="n">
        <f aca="false">IFERROR(INDEX(Systems!$R$2:$R$179,MATCH($B36,Systems!$B$2:$B$179,0)),0)</f>
        <v>0</v>
      </c>
      <c r="J36" s="27" t="n">
        <f aca="false">H36*I36</f>
        <v>0</v>
      </c>
      <c r="K36" s="6" t="str">
        <f aca="false">IFERROR(IF(INDEX(Resources!$D$2:$D$64,MATCH($D36,Resources!$A$2:$A$64,0))="","",INDEX(Resources!$D$2:$D$64,MATCH($D36,Resources!$A$2:$A$64,0))),"")</f>
        <v/>
      </c>
      <c r="L36" s="28" t="str">
        <f aca="false">IF(K36="","",J36*INDEX(Resources!$E$2:$E$64,MATCH($D36,Resources!$A$2:$A$64,0)))</f>
        <v/>
      </c>
      <c r="M36" s="6" t="str">
        <f aca="false">B36&amp;"|"&amp;D36&amp;"|"&amp;C36</f>
        <v>Average Suburban Home|Hot water|Output</v>
      </c>
    </row>
    <row r="37" customFormat="false" ht="15" hidden="false" customHeight="true" outlineLevel="0" collapsed="false">
      <c r="A37" s="6" t="s">
        <v>983</v>
      </c>
      <c r="B37" s="6" t="s">
        <v>193</v>
      </c>
      <c r="C37" s="6" t="s">
        <v>943</v>
      </c>
      <c r="D37" s="6" t="s">
        <v>57</v>
      </c>
      <c r="E37" s="26" t="n">
        <v>35</v>
      </c>
      <c r="F37" s="6" t="str">
        <f aca="false">IFERROR(INDEX(Resources!$B$2:$B$64,MATCH($D37,Resources!$A$2:$A$64,0)),"?")</f>
        <v>lbs</v>
      </c>
      <c r="G37" s="6" t="s">
        <v>939</v>
      </c>
      <c r="H37" s="27" t="n">
        <f aca="false">E37*INDEX(Assumptions!$D$17:$D$23,MATCH(G37,Assumptions!$B$17:$B$23,0))</f>
        <v>35</v>
      </c>
      <c r="I37" s="6" t="n">
        <f aca="false">IFERROR(INDEX(Systems!$R$2:$R$179,MATCH($B37,Systems!$B$2:$B$179,0)),0)</f>
        <v>0</v>
      </c>
      <c r="J37" s="27" t="n">
        <f aca="false">H37*I37</f>
        <v>0</v>
      </c>
      <c r="K37" s="6" t="str">
        <f aca="false">IFERROR(IF(INDEX(Resources!$D$2:$D$64,MATCH($D37,Resources!$A$2:$A$64,0))="","",INDEX(Resources!$D$2:$D$64,MATCH($D37,Resources!$A$2:$A$64,0))),"")</f>
        <v>Sanitation</v>
      </c>
      <c r="L37" s="28" t="n">
        <f aca="false">IF(K37="","",J37*INDEX(Resources!$E$2:$E$64,MATCH($D37,Resources!$A$2:$A$64,0)))</f>
        <v>0</v>
      </c>
      <c r="M37" s="6" t="str">
        <f aca="false">B37&amp;"|"&amp;D37&amp;"|"&amp;C37</f>
        <v>Average Suburban Home|Sanitation|Output</v>
      </c>
    </row>
    <row r="38" customFormat="false" ht="15" hidden="false" customHeight="true" outlineLevel="0" collapsed="false">
      <c r="A38" s="6" t="s">
        <v>984</v>
      </c>
      <c r="B38" s="6" t="s">
        <v>193</v>
      </c>
      <c r="C38" s="6" t="s">
        <v>938</v>
      </c>
      <c r="D38" s="6" t="s">
        <v>67</v>
      </c>
      <c r="E38" s="29" t="n">
        <f aca="false">INDEX(Systems!$N$2:$N$179,MATCH($B38,Systems!$B$2:$B$179,0))*INDEX(Systems!$O$2:$O$179,MATCH($B38,Systems!$B$2:$B$179,0))*Assumptions!$C$4*24/52</f>
        <v>1384615.38461538</v>
      </c>
      <c r="F38" s="6" t="str">
        <f aca="false">IFERROR(INDEX(Resources!$B$2:$B$64,MATCH($D38,Resources!$A$2:$A$64,0)),"?")</f>
        <v>BTU</v>
      </c>
      <c r="G38" s="6" t="s">
        <v>939</v>
      </c>
      <c r="H38" s="27" t="n">
        <f aca="false">E38*INDEX(Assumptions!$D$17:$D$23,MATCH(G38,Assumptions!$B$17:$B$23,0))</f>
        <v>1384615.38461538</v>
      </c>
      <c r="I38" s="6" t="n">
        <f aca="false">IFERROR(INDEX(Systems!$R$2:$R$179,MATCH($B38,Systems!$B$2:$B$179,0)),0)</f>
        <v>0</v>
      </c>
      <c r="J38" s="27" t="n">
        <f aca="false">H38*I38</f>
        <v>0</v>
      </c>
      <c r="K38" s="6" t="str">
        <f aca="false">IFERROR(IF(INDEX(Resources!$D$2:$D$64,MATCH($D38,Resources!$A$2:$A$64,0))="","",INDEX(Resources!$D$2:$D$64,MATCH($D38,Resources!$A$2:$A$64,0))),"")</f>
        <v>Heated shelter</v>
      </c>
      <c r="L38" s="28" t="n">
        <f aca="false">IF(K38="","",J38*INDEX(Resources!$E$2:$E$64,MATCH($D38,Resources!$A$2:$A$64,0)))</f>
        <v>0</v>
      </c>
      <c r="M38" s="6" t="str">
        <f aca="false">B38&amp;"|"&amp;D38&amp;"|"&amp;C38</f>
        <v>Average Suburban Home|Heat|Input</v>
      </c>
      <c r="N38" s="6" t="s">
        <v>972</v>
      </c>
    </row>
    <row r="39" customFormat="false" ht="15" hidden="false" customHeight="true" outlineLevel="0" collapsed="false">
      <c r="A39" s="6" t="s">
        <v>985</v>
      </c>
      <c r="B39" s="6" t="s">
        <v>193</v>
      </c>
      <c r="C39" s="6" t="s">
        <v>938</v>
      </c>
      <c r="D39" s="6" t="s">
        <v>69</v>
      </c>
      <c r="E39" s="29" t="n">
        <f aca="false">INDEX(Systems!$N$2:$N$179,MATCH($B39,Systems!$B$2:$B$179,0))*INDEX(Systems!$O$2:$O$179,MATCH($B39,Systems!$B$2:$B$179,0))*Assumptions!$C$5*24/52</f>
        <v>184615.384615385</v>
      </c>
      <c r="F39" s="6" t="str">
        <f aca="false">IFERROR(INDEX(Resources!$B$2:$B$64,MATCH($D39,Resources!$A$2:$A$64,0)),"?")</f>
        <v>BTU</v>
      </c>
      <c r="G39" s="6" t="s">
        <v>939</v>
      </c>
      <c r="H39" s="27" t="n">
        <f aca="false">E39*INDEX(Assumptions!$D$17:$D$23,MATCH(G39,Assumptions!$B$17:$B$23,0))</f>
        <v>184615.384615385</v>
      </c>
      <c r="I39" s="6" t="n">
        <f aca="false">IFERROR(INDEX(Systems!$R$2:$R$179,MATCH($B39,Systems!$B$2:$B$179,0)),0)</f>
        <v>0</v>
      </c>
      <c r="J39" s="27" t="n">
        <f aca="false">H39*I39</f>
        <v>0</v>
      </c>
      <c r="K39" s="6" t="str">
        <f aca="false">IFERROR(IF(INDEX(Resources!$D$2:$D$64,MATCH($D39,Resources!$A$2:$A$64,0))="","",INDEX(Resources!$D$2:$D$64,MATCH($D39,Resources!$A$2:$A$64,0))),"")</f>
        <v>Cooled shelter</v>
      </c>
      <c r="L39" s="28" t="n">
        <f aca="false">IF(K39="","",J39*INDEX(Resources!$E$2:$E$64,MATCH($D39,Resources!$A$2:$A$64,0)))</f>
        <v>0</v>
      </c>
      <c r="M39" s="6" t="str">
        <f aca="false">B39&amp;"|"&amp;D39&amp;"|"&amp;C39</f>
        <v>Average Suburban Home|Cooling|Input</v>
      </c>
      <c r="N39" s="6" t="s">
        <v>974</v>
      </c>
    </row>
    <row r="40" customFormat="false" ht="15" hidden="false" customHeight="true" outlineLevel="0" collapsed="false">
      <c r="A40" s="6" t="s">
        <v>986</v>
      </c>
      <c r="B40" s="6" t="s">
        <v>199</v>
      </c>
      <c r="C40" s="6" t="s">
        <v>938</v>
      </c>
      <c r="D40" s="6" t="s">
        <v>71</v>
      </c>
      <c r="E40" s="26" t="n">
        <v>0.25</v>
      </c>
      <c r="F40" s="6" t="str">
        <f aca="false">IFERROR(INDEX(Resources!$B$2:$B$64,MATCH($D40,Resources!$A$2:$A$64,0)),"?")</f>
        <v>hours</v>
      </c>
      <c r="G40" s="6" t="s">
        <v>939</v>
      </c>
      <c r="H40" s="27" t="n">
        <f aca="false">E40*INDEX(Assumptions!$D$17:$D$23,MATCH(G40,Assumptions!$B$17:$B$23,0))</f>
        <v>0.25</v>
      </c>
      <c r="I40" s="6" t="n">
        <f aca="false">IFERROR(INDEX(Systems!$R$2:$R$179,MATCH($B40,Systems!$B$2:$B$179,0)),0)</f>
        <v>1</v>
      </c>
      <c r="J40" s="27" t="n">
        <f aca="false">H40*I40</f>
        <v>0.25</v>
      </c>
      <c r="K40" s="6" t="str">
        <f aca="false">IFERROR(IF(INDEX(Resources!$D$2:$D$64,MATCH($D40,Resources!$A$2:$A$64,0))="","",INDEX(Resources!$D$2:$D$64,MATCH($D40,Resources!$A$2:$A$64,0))),"")</f>
        <v>Est. Required Labor</v>
      </c>
      <c r="L40" s="28" t="n">
        <f aca="false">IF(K40="","",J40*INDEX(Resources!$E$2:$E$64,MATCH($D40,Resources!$A$2:$A$64,0)))</f>
        <v>0.25</v>
      </c>
      <c r="M40" s="6" t="str">
        <f aca="false">B40&amp;"|"&amp;D40&amp;"|"&amp;C40</f>
        <v>Bell Tent|Labor|Input</v>
      </c>
      <c r="N40" s="6" t="s">
        <v>940</v>
      </c>
    </row>
    <row r="41" customFormat="false" ht="15" hidden="false" customHeight="true" outlineLevel="0" collapsed="false">
      <c r="A41" s="6" t="s">
        <v>987</v>
      </c>
      <c r="B41" s="6" t="s">
        <v>199</v>
      </c>
      <c r="C41" s="6" t="s">
        <v>943</v>
      </c>
      <c r="D41" s="6" t="s">
        <v>55</v>
      </c>
      <c r="E41" s="26" t="n">
        <v>210</v>
      </c>
      <c r="F41" s="6" t="str">
        <f aca="false">IFERROR(INDEX(Resources!$B$2:$B$64,MATCH($D41,Resources!$A$2:$A$64,0)),"?")</f>
        <v>sq ft</v>
      </c>
      <c r="G41" s="6" t="s">
        <v>945</v>
      </c>
      <c r="H41" s="27" t="n">
        <f aca="false">E41*INDEX(Assumptions!$D$17:$D$23,MATCH(G41,Assumptions!$B$17:$B$23,0))</f>
        <v>210</v>
      </c>
      <c r="I41" s="6" t="n">
        <f aca="false">IFERROR(INDEX(Systems!$R$2:$R$179,MATCH($B41,Systems!$B$2:$B$179,0)),0)</f>
        <v>1</v>
      </c>
      <c r="J41" s="27" t="n">
        <f aca="false">H41*I41</f>
        <v>210</v>
      </c>
      <c r="K41" s="6" t="str">
        <f aca="false">IFERROR(IF(INDEX(Resources!$D$2:$D$64,MATCH($D41,Resources!$A$2:$A$64,0))="","",INDEX(Resources!$D$2:$D$64,MATCH($D41,Resources!$A$2:$A$64,0))),"")</f>
        <v>Shelter</v>
      </c>
      <c r="L41" s="28" t="n">
        <f aca="false">IF(K41="","",J41*INDEX(Resources!$E$2:$E$64,MATCH($D41,Resources!$A$2:$A$64,0)))</f>
        <v>210</v>
      </c>
      <c r="M41" s="6" t="str">
        <f aca="false">B41&amp;"|"&amp;D41&amp;"|"&amp;C41</f>
        <v>Bell Tent|Shelter|Output</v>
      </c>
    </row>
    <row r="42" customFormat="false" ht="15" hidden="false" customHeight="true" outlineLevel="0" collapsed="false">
      <c r="A42" s="6" t="s">
        <v>988</v>
      </c>
      <c r="B42" s="6" t="s">
        <v>199</v>
      </c>
      <c r="C42" s="6" t="s">
        <v>938</v>
      </c>
      <c r="D42" s="6" t="s">
        <v>67</v>
      </c>
      <c r="E42" s="29" t="n">
        <f aca="false">INDEX(Systems!$N$2:$N$179,MATCH($B42,Systems!$B$2:$B$179,0))*INDEX(Systems!$O$2:$O$179,MATCH($B42,Systems!$B$2:$B$179,0))*Assumptions!$C$4*24/52</f>
        <v>697846.153846154</v>
      </c>
      <c r="F42" s="6" t="str">
        <f aca="false">IFERROR(INDEX(Resources!$B$2:$B$64,MATCH($D42,Resources!$A$2:$A$64,0)),"?")</f>
        <v>BTU</v>
      </c>
      <c r="G42" s="6" t="s">
        <v>939</v>
      </c>
      <c r="H42" s="27" t="n">
        <f aca="false">E42*INDEX(Assumptions!$D$17:$D$23,MATCH(G42,Assumptions!$B$17:$B$23,0))</f>
        <v>697846.153846154</v>
      </c>
      <c r="I42" s="6" t="n">
        <f aca="false">IFERROR(INDEX(Systems!$R$2:$R$179,MATCH($B42,Systems!$B$2:$B$179,0)),0)</f>
        <v>1</v>
      </c>
      <c r="J42" s="27" t="n">
        <f aca="false">H42*I42</f>
        <v>697846.153846154</v>
      </c>
      <c r="K42" s="6" t="str">
        <f aca="false">IFERROR(IF(INDEX(Resources!$D$2:$D$64,MATCH($D42,Resources!$A$2:$A$64,0))="","",INDEX(Resources!$D$2:$D$64,MATCH($D42,Resources!$A$2:$A$64,0))),"")</f>
        <v>Heated shelter</v>
      </c>
      <c r="L42" s="28" t="n">
        <f aca="false">IF(K42="","",J42*INDEX(Resources!$E$2:$E$64,MATCH($D42,Resources!$A$2:$A$64,0)))</f>
        <v>697846.153846154</v>
      </c>
      <c r="M42" s="6" t="str">
        <f aca="false">B42&amp;"|"&amp;D42&amp;"|"&amp;C42</f>
        <v>Bell Tent|Heat|Input</v>
      </c>
      <c r="N42" s="6" t="s">
        <v>972</v>
      </c>
    </row>
    <row r="43" customFormat="false" ht="15" hidden="false" customHeight="true" outlineLevel="0" collapsed="false">
      <c r="A43" s="6" t="s">
        <v>989</v>
      </c>
      <c r="B43" s="6" t="s">
        <v>199</v>
      </c>
      <c r="C43" s="6" t="s">
        <v>938</v>
      </c>
      <c r="D43" s="6" t="s">
        <v>69</v>
      </c>
      <c r="E43" s="29" t="n">
        <f aca="false">INDEX(Systems!$N$2:$N$179,MATCH($B43,Systems!$B$2:$B$179,0))*INDEX(Systems!$O$2:$O$179,MATCH($B43,Systems!$B$2:$B$179,0))*Assumptions!$C$5*24/52</f>
        <v>93046.1538461538</v>
      </c>
      <c r="F43" s="6" t="str">
        <f aca="false">IFERROR(INDEX(Resources!$B$2:$B$64,MATCH($D43,Resources!$A$2:$A$64,0)),"?")</f>
        <v>BTU</v>
      </c>
      <c r="G43" s="6" t="s">
        <v>939</v>
      </c>
      <c r="H43" s="27" t="n">
        <f aca="false">E43*INDEX(Assumptions!$D$17:$D$23,MATCH(G43,Assumptions!$B$17:$B$23,0))</f>
        <v>93046.1538461538</v>
      </c>
      <c r="I43" s="6" t="n">
        <f aca="false">IFERROR(INDEX(Systems!$R$2:$R$179,MATCH($B43,Systems!$B$2:$B$179,0)),0)</f>
        <v>1</v>
      </c>
      <c r="J43" s="27" t="n">
        <f aca="false">H43*I43</f>
        <v>93046.1538461538</v>
      </c>
      <c r="K43" s="6" t="str">
        <f aca="false">IFERROR(IF(INDEX(Resources!$D$2:$D$64,MATCH($D43,Resources!$A$2:$A$64,0))="","",INDEX(Resources!$D$2:$D$64,MATCH($D43,Resources!$A$2:$A$64,0))),"")</f>
        <v>Cooled shelter</v>
      </c>
      <c r="L43" s="28" t="n">
        <f aca="false">IF(K43="","",J43*INDEX(Resources!$E$2:$E$64,MATCH($D43,Resources!$A$2:$A$64,0)))</f>
        <v>93046.1538461538</v>
      </c>
      <c r="M43" s="6" t="str">
        <f aca="false">B43&amp;"|"&amp;D43&amp;"|"&amp;C43</f>
        <v>Bell Tent|Cooling|Input</v>
      </c>
      <c r="N43" s="6" t="s">
        <v>974</v>
      </c>
    </row>
    <row r="44" customFormat="false" ht="15" hidden="false" customHeight="true" outlineLevel="0" collapsed="false">
      <c r="A44" s="6" t="s">
        <v>990</v>
      </c>
      <c r="B44" s="6" t="s">
        <v>203</v>
      </c>
      <c r="C44" s="6" t="s">
        <v>938</v>
      </c>
      <c r="D44" s="6" t="s">
        <v>71</v>
      </c>
      <c r="E44" s="26" t="n">
        <v>0.5</v>
      </c>
      <c r="F44" s="6" t="str">
        <f aca="false">IFERROR(INDEX(Resources!$B$2:$B$64,MATCH($D44,Resources!$A$2:$A$64,0)),"?")</f>
        <v>hours</v>
      </c>
      <c r="G44" s="6" t="s">
        <v>939</v>
      </c>
      <c r="H44" s="27" t="n">
        <f aca="false">E44*INDEX(Assumptions!$D$17:$D$23,MATCH(G44,Assumptions!$B$17:$B$23,0))</f>
        <v>0.5</v>
      </c>
      <c r="I44" s="6" t="n">
        <f aca="false">IFERROR(INDEX(Systems!$R$2:$R$179,MATCH($B44,Systems!$B$2:$B$179,0)),0)</f>
        <v>0</v>
      </c>
      <c r="J44" s="27" t="n">
        <f aca="false">H44*I44</f>
        <v>0</v>
      </c>
      <c r="K44" s="6" t="str">
        <f aca="false">IFERROR(IF(INDEX(Resources!$D$2:$D$64,MATCH($D44,Resources!$A$2:$A$64,0))="","",INDEX(Resources!$D$2:$D$64,MATCH($D44,Resources!$A$2:$A$64,0))),"")</f>
        <v>Est. Required Labor</v>
      </c>
      <c r="L44" s="28" t="n">
        <f aca="false">IF(K44="","",J44*INDEX(Resources!$E$2:$E$64,MATCH($D44,Resources!$A$2:$A$64,0)))</f>
        <v>0</v>
      </c>
      <c r="M44" s="6" t="str">
        <f aca="false">B44&amp;"|"&amp;D44&amp;"|"&amp;C44</f>
        <v>Camp 365 Off-Grid Camper|Labor|Input</v>
      </c>
      <c r="N44" s="6" t="s">
        <v>940</v>
      </c>
    </row>
    <row r="45" customFormat="false" ht="15" hidden="false" customHeight="true" outlineLevel="0" collapsed="false">
      <c r="A45" s="6" t="s">
        <v>991</v>
      </c>
      <c r="B45" s="6" t="s">
        <v>203</v>
      </c>
      <c r="C45" s="6" t="s">
        <v>938</v>
      </c>
      <c r="D45" s="6" t="s">
        <v>269</v>
      </c>
      <c r="E45" s="26" t="n">
        <v>25</v>
      </c>
      <c r="F45" s="6" t="str">
        <f aca="false">IFERROR(INDEX(Resources!$B$2:$B$64,MATCH($D45,Resources!$A$2:$A$64,0)),"?")</f>
        <v>$</v>
      </c>
      <c r="G45" s="6" t="s">
        <v>939</v>
      </c>
      <c r="H45" s="27" t="n">
        <f aca="false">E45*INDEX(Assumptions!$D$17:$D$23,MATCH(G45,Assumptions!$B$17:$B$23,0))</f>
        <v>25</v>
      </c>
      <c r="I45" s="6" t="n">
        <f aca="false">IFERROR(INDEX(Systems!$R$2:$R$179,MATCH($B45,Systems!$B$2:$B$179,0)),0)</f>
        <v>0</v>
      </c>
      <c r="J45" s="27" t="n">
        <f aca="false">H45*I45</f>
        <v>0</v>
      </c>
      <c r="K45" s="6" t="str">
        <f aca="false">IFERROR(IF(INDEX(Resources!$D$2:$D$64,MATCH($D45,Resources!$A$2:$A$64,0))="","",INDEX(Resources!$D$2:$D$64,MATCH($D45,Resources!$A$2:$A$64,0))),"")</f>
        <v/>
      </c>
      <c r="L45" s="28" t="str">
        <f aca="false">IF(K45="","",J45*INDEX(Resources!$E$2:$E$64,MATCH($D45,Resources!$A$2:$A$64,0)))</f>
        <v/>
      </c>
      <c r="M45" s="6" t="str">
        <f aca="false">B45&amp;"|"&amp;D45&amp;"|"&amp;C45</f>
        <v>Camp 365 Off-Grid Camper|Capital|Input</v>
      </c>
    </row>
    <row r="46" customFormat="false" ht="15" hidden="false" customHeight="true" outlineLevel="0" collapsed="false">
      <c r="A46" s="6" t="s">
        <v>992</v>
      </c>
      <c r="B46" s="6" t="s">
        <v>203</v>
      </c>
      <c r="C46" s="6" t="s">
        <v>943</v>
      </c>
      <c r="D46" s="6" t="s">
        <v>55</v>
      </c>
      <c r="E46" s="26" t="n">
        <v>150</v>
      </c>
      <c r="F46" s="6" t="str">
        <f aca="false">IFERROR(INDEX(Resources!$B$2:$B$64,MATCH($D46,Resources!$A$2:$A$64,0)),"?")</f>
        <v>sq ft</v>
      </c>
      <c r="G46" s="6" t="s">
        <v>945</v>
      </c>
      <c r="H46" s="27" t="n">
        <f aca="false">E46*INDEX(Assumptions!$D$17:$D$23,MATCH(G46,Assumptions!$B$17:$B$23,0))</f>
        <v>150</v>
      </c>
      <c r="I46" s="6" t="n">
        <f aca="false">IFERROR(INDEX(Systems!$R$2:$R$179,MATCH($B46,Systems!$B$2:$B$179,0)),0)</f>
        <v>0</v>
      </c>
      <c r="J46" s="27" t="n">
        <f aca="false">H46*I46</f>
        <v>0</v>
      </c>
      <c r="K46" s="6" t="str">
        <f aca="false">IFERROR(IF(INDEX(Resources!$D$2:$D$64,MATCH($D46,Resources!$A$2:$A$64,0))="","",INDEX(Resources!$D$2:$D$64,MATCH($D46,Resources!$A$2:$A$64,0))),"")</f>
        <v>Shelter</v>
      </c>
      <c r="L46" s="28" t="n">
        <f aca="false">IF(K46="","",J46*INDEX(Resources!$E$2:$E$64,MATCH($D46,Resources!$A$2:$A$64,0)))</f>
        <v>0</v>
      </c>
      <c r="M46" s="6" t="str">
        <f aca="false">B46&amp;"|"&amp;D46&amp;"|"&amp;C46</f>
        <v>Camp 365 Off-Grid Camper|Shelter|Output</v>
      </c>
    </row>
    <row r="47" customFormat="false" ht="15" hidden="false" customHeight="true" outlineLevel="0" collapsed="false">
      <c r="A47" s="6" t="s">
        <v>993</v>
      </c>
      <c r="B47" s="6" t="s">
        <v>203</v>
      </c>
      <c r="C47" s="6" t="s">
        <v>943</v>
      </c>
      <c r="D47" s="6" t="s">
        <v>288</v>
      </c>
      <c r="E47" s="26" t="n">
        <v>150</v>
      </c>
      <c r="F47" s="6" t="str">
        <f aca="false">IFERROR(INDEX(Resources!$B$2:$B$64,MATCH($D47,Resources!$A$2:$A$64,0)),"?")</f>
        <v>sq ft</v>
      </c>
      <c r="G47" s="6" t="s">
        <v>945</v>
      </c>
      <c r="H47" s="27" t="n">
        <f aca="false">E47*INDEX(Assumptions!$D$17:$D$23,MATCH(G47,Assumptions!$B$17:$B$23,0))</f>
        <v>150</v>
      </c>
      <c r="I47" s="6" t="n">
        <f aca="false">IFERROR(INDEX(Systems!$R$2:$R$179,MATCH($B47,Systems!$B$2:$B$179,0)),0)</f>
        <v>0</v>
      </c>
      <c r="J47" s="27" t="n">
        <f aca="false">H47*I47</f>
        <v>0</v>
      </c>
      <c r="K47" s="6" t="str">
        <f aca="false">IFERROR(IF(INDEX(Resources!$D$2:$D$64,MATCH($D47,Resources!$A$2:$A$64,0))="","",INDEX(Resources!$D$2:$D$64,MATCH($D47,Resources!$A$2:$A$64,0))),"")</f>
        <v/>
      </c>
      <c r="L47" s="28" t="str">
        <f aca="false">IF(K47="","",J47*INDEX(Resources!$E$2:$E$64,MATCH($D47,Resources!$A$2:$A$64,0)))</f>
        <v/>
      </c>
      <c r="M47" s="6" t="str">
        <f aca="false">B47&amp;"|"&amp;D47&amp;"|"&amp;C47</f>
        <v>Camp 365 Off-Grid Camper|Roofing area|Output</v>
      </c>
    </row>
    <row r="48" customFormat="false" ht="15" hidden="false" customHeight="true" outlineLevel="0" collapsed="false">
      <c r="A48" s="6" t="s">
        <v>994</v>
      </c>
      <c r="B48" s="6" t="s">
        <v>203</v>
      </c>
      <c r="C48" s="6" t="s">
        <v>938</v>
      </c>
      <c r="D48" s="6" t="s">
        <v>67</v>
      </c>
      <c r="E48" s="29" t="n">
        <f aca="false">INDEX(Systems!$N$2:$N$179,MATCH($B48,Systems!$B$2:$B$179,0))*INDEX(Systems!$O$2:$O$179,MATCH($B48,Systems!$B$2:$B$179,0))*Assumptions!$C$4*24/52</f>
        <v>249230.769230769</v>
      </c>
      <c r="F48" s="6" t="str">
        <f aca="false">IFERROR(INDEX(Resources!$B$2:$B$64,MATCH($D48,Resources!$A$2:$A$64,0)),"?")</f>
        <v>BTU</v>
      </c>
      <c r="G48" s="6" t="s">
        <v>939</v>
      </c>
      <c r="H48" s="27" t="n">
        <f aca="false">E48*INDEX(Assumptions!$D$17:$D$23,MATCH(G48,Assumptions!$B$17:$B$23,0))</f>
        <v>249230.769230769</v>
      </c>
      <c r="I48" s="6" t="n">
        <f aca="false">IFERROR(INDEX(Systems!$R$2:$R$179,MATCH($B48,Systems!$B$2:$B$179,0)),0)</f>
        <v>0</v>
      </c>
      <c r="J48" s="27" t="n">
        <f aca="false">H48*I48</f>
        <v>0</v>
      </c>
      <c r="K48" s="6" t="str">
        <f aca="false">IFERROR(IF(INDEX(Resources!$D$2:$D$64,MATCH($D48,Resources!$A$2:$A$64,0))="","",INDEX(Resources!$D$2:$D$64,MATCH($D48,Resources!$A$2:$A$64,0))),"")</f>
        <v>Heated shelter</v>
      </c>
      <c r="L48" s="28" t="n">
        <f aca="false">IF(K48="","",J48*INDEX(Resources!$E$2:$E$64,MATCH($D48,Resources!$A$2:$A$64,0)))</f>
        <v>0</v>
      </c>
      <c r="M48" s="6" t="str">
        <f aca="false">B48&amp;"|"&amp;D48&amp;"|"&amp;C48</f>
        <v>Camp 365 Off-Grid Camper|Heat|Input</v>
      </c>
      <c r="N48" s="6" t="s">
        <v>972</v>
      </c>
    </row>
    <row r="49" customFormat="false" ht="15" hidden="false" customHeight="true" outlineLevel="0" collapsed="false">
      <c r="A49" s="6" t="s">
        <v>995</v>
      </c>
      <c r="B49" s="6" t="s">
        <v>203</v>
      </c>
      <c r="C49" s="6" t="s">
        <v>938</v>
      </c>
      <c r="D49" s="6" t="s">
        <v>69</v>
      </c>
      <c r="E49" s="29" t="n">
        <f aca="false">INDEX(Systems!$N$2:$N$179,MATCH($B49,Systems!$B$2:$B$179,0))*INDEX(Systems!$O$2:$O$179,MATCH($B49,Systems!$B$2:$B$179,0))*Assumptions!$C$5*24/52</f>
        <v>33230.7692307692</v>
      </c>
      <c r="F49" s="6" t="str">
        <f aca="false">IFERROR(INDEX(Resources!$B$2:$B$64,MATCH($D49,Resources!$A$2:$A$64,0)),"?")</f>
        <v>BTU</v>
      </c>
      <c r="G49" s="6" t="s">
        <v>939</v>
      </c>
      <c r="H49" s="27" t="n">
        <f aca="false">E49*INDEX(Assumptions!$D$17:$D$23,MATCH(G49,Assumptions!$B$17:$B$23,0))</f>
        <v>33230.7692307692</v>
      </c>
      <c r="I49" s="6" t="n">
        <f aca="false">IFERROR(INDEX(Systems!$R$2:$R$179,MATCH($B49,Systems!$B$2:$B$179,0)),0)</f>
        <v>0</v>
      </c>
      <c r="J49" s="27" t="n">
        <f aca="false">H49*I49</f>
        <v>0</v>
      </c>
      <c r="K49" s="6" t="str">
        <f aca="false">IFERROR(IF(INDEX(Resources!$D$2:$D$64,MATCH($D49,Resources!$A$2:$A$64,0))="","",INDEX(Resources!$D$2:$D$64,MATCH($D49,Resources!$A$2:$A$64,0))),"")</f>
        <v>Cooled shelter</v>
      </c>
      <c r="L49" s="28" t="n">
        <f aca="false">IF(K49="","",J49*INDEX(Resources!$E$2:$E$64,MATCH($D49,Resources!$A$2:$A$64,0)))</f>
        <v>0</v>
      </c>
      <c r="M49" s="6" t="str">
        <f aca="false">B49&amp;"|"&amp;D49&amp;"|"&amp;C49</f>
        <v>Camp 365 Off-Grid Camper|Cooling|Input</v>
      </c>
      <c r="N49" s="6" t="s">
        <v>974</v>
      </c>
    </row>
    <row r="50" customFormat="false" ht="15" hidden="false" customHeight="true" outlineLevel="0" collapsed="false">
      <c r="A50" s="6" t="s">
        <v>996</v>
      </c>
      <c r="B50" s="6" t="s">
        <v>208</v>
      </c>
      <c r="C50" s="6" t="s">
        <v>938</v>
      </c>
      <c r="D50" s="6" t="s">
        <v>71</v>
      </c>
      <c r="E50" s="26" t="n">
        <v>1</v>
      </c>
      <c r="F50" s="6" t="str">
        <f aca="false">IFERROR(INDEX(Resources!$B$2:$B$64,MATCH($D50,Resources!$A$2:$A$64,0)),"?")</f>
        <v>hours</v>
      </c>
      <c r="G50" s="6" t="s">
        <v>939</v>
      </c>
      <c r="H50" s="27" t="n">
        <f aca="false">E50*INDEX(Assumptions!$D$17:$D$23,MATCH(G50,Assumptions!$B$17:$B$23,0))</f>
        <v>1</v>
      </c>
      <c r="I50" s="6" t="n">
        <f aca="false">IFERROR(INDEX(Systems!$R$2:$R$179,MATCH($B50,Systems!$B$2:$B$179,0)),0)</f>
        <v>0</v>
      </c>
      <c r="J50" s="27" t="n">
        <f aca="false">H50*I50</f>
        <v>0</v>
      </c>
      <c r="K50" s="6" t="str">
        <f aca="false">IFERROR(IF(INDEX(Resources!$D$2:$D$64,MATCH($D50,Resources!$A$2:$A$64,0))="","",INDEX(Resources!$D$2:$D$64,MATCH($D50,Resources!$A$2:$A$64,0))),"")</f>
        <v>Est. Required Labor</v>
      </c>
      <c r="L50" s="28" t="n">
        <f aca="false">IF(K50="","",J50*INDEX(Resources!$E$2:$E$64,MATCH($D50,Resources!$A$2:$A$64,0)))</f>
        <v>0</v>
      </c>
      <c r="M50" s="6" t="str">
        <f aca="false">B50&amp;"|"&amp;D50&amp;"|"&amp;C50</f>
        <v>Camper Van|Labor|Input</v>
      </c>
      <c r="N50" s="6" t="s">
        <v>940</v>
      </c>
    </row>
    <row r="51" customFormat="false" ht="15" hidden="false" customHeight="true" outlineLevel="0" collapsed="false">
      <c r="A51" s="6" t="s">
        <v>997</v>
      </c>
      <c r="B51" s="6" t="s">
        <v>208</v>
      </c>
      <c r="C51" s="6" t="s">
        <v>938</v>
      </c>
      <c r="D51" s="6" t="s">
        <v>269</v>
      </c>
      <c r="E51" s="26" t="n">
        <v>40</v>
      </c>
      <c r="F51" s="6" t="str">
        <f aca="false">IFERROR(INDEX(Resources!$B$2:$B$64,MATCH($D51,Resources!$A$2:$A$64,0)),"?")</f>
        <v>$</v>
      </c>
      <c r="G51" s="6" t="s">
        <v>939</v>
      </c>
      <c r="H51" s="27" t="n">
        <f aca="false">E51*INDEX(Assumptions!$D$17:$D$23,MATCH(G51,Assumptions!$B$17:$B$23,0))</f>
        <v>40</v>
      </c>
      <c r="I51" s="6" t="n">
        <f aca="false">IFERROR(INDEX(Systems!$R$2:$R$179,MATCH($B51,Systems!$B$2:$B$179,0)),0)</f>
        <v>0</v>
      </c>
      <c r="J51" s="27" t="n">
        <f aca="false">H51*I51</f>
        <v>0</v>
      </c>
      <c r="K51" s="6" t="str">
        <f aca="false">IFERROR(IF(INDEX(Resources!$D$2:$D$64,MATCH($D51,Resources!$A$2:$A$64,0))="","",INDEX(Resources!$D$2:$D$64,MATCH($D51,Resources!$A$2:$A$64,0))),"")</f>
        <v/>
      </c>
      <c r="L51" s="28" t="str">
        <f aca="false">IF(K51="","",J51*INDEX(Resources!$E$2:$E$64,MATCH($D51,Resources!$A$2:$A$64,0)))</f>
        <v/>
      </c>
      <c r="M51" s="6" t="str">
        <f aca="false">B51&amp;"|"&amp;D51&amp;"|"&amp;C51</f>
        <v>Camper Van|Capital|Input</v>
      </c>
    </row>
    <row r="52" customFormat="false" ht="15" hidden="false" customHeight="true" outlineLevel="0" collapsed="false">
      <c r="A52" s="6" t="s">
        <v>998</v>
      </c>
      <c r="B52" s="6" t="s">
        <v>208</v>
      </c>
      <c r="C52" s="6" t="s">
        <v>938</v>
      </c>
      <c r="D52" s="6" t="s">
        <v>999</v>
      </c>
      <c r="E52" s="26" t="n">
        <v>12</v>
      </c>
      <c r="F52" s="6" t="str">
        <f aca="false">IFERROR(INDEX(Resources!$B$2:$B$64,MATCH($D52,Resources!$A$2:$A$64,0)),"?")</f>
        <v>gal</v>
      </c>
      <c r="G52" s="6" t="s">
        <v>939</v>
      </c>
      <c r="H52" s="27" t="n">
        <f aca="false">E52*INDEX(Assumptions!$D$17:$D$23,MATCH(G52,Assumptions!$B$17:$B$23,0))</f>
        <v>12</v>
      </c>
      <c r="I52" s="6" t="n">
        <f aca="false">IFERROR(INDEX(Systems!$R$2:$R$179,MATCH($B52,Systems!$B$2:$B$179,0)),0)</f>
        <v>0</v>
      </c>
      <c r="J52" s="27" t="n">
        <f aca="false">H52*I52</f>
        <v>0</v>
      </c>
      <c r="K52" s="6" t="str">
        <f aca="false">IFERROR(IF(INDEX(Resources!$D$2:$D$64,MATCH($D52,Resources!$A$2:$A$64,0))="","",INDEX(Resources!$D$2:$D$64,MATCH($D52,Resources!$A$2:$A$64,0))),"")</f>
        <v/>
      </c>
      <c r="L52" s="28" t="str">
        <f aca="false">IF(K52="","",J52*INDEX(Resources!$E$2:$E$64,MATCH($D52,Resources!$A$2:$A$64,0)))</f>
        <v/>
      </c>
      <c r="M52" s="6" t="str">
        <f aca="false">B52&amp;"|"&amp;D52&amp;"|"&amp;C52</f>
        <v>Camper Van|Gasoline|Input</v>
      </c>
    </row>
    <row r="53" customFormat="false" ht="15" hidden="false" customHeight="true" outlineLevel="0" collapsed="false">
      <c r="A53" s="6" t="s">
        <v>1000</v>
      </c>
      <c r="B53" s="6" t="s">
        <v>208</v>
      </c>
      <c r="C53" s="6" t="s">
        <v>943</v>
      </c>
      <c r="D53" s="6" t="s">
        <v>55</v>
      </c>
      <c r="E53" s="26" t="n">
        <v>60</v>
      </c>
      <c r="F53" s="6" t="str">
        <f aca="false">IFERROR(INDEX(Resources!$B$2:$B$64,MATCH($D53,Resources!$A$2:$A$64,0)),"?")</f>
        <v>sq ft</v>
      </c>
      <c r="G53" s="6" t="s">
        <v>945</v>
      </c>
      <c r="H53" s="27" t="n">
        <f aca="false">E53*INDEX(Assumptions!$D$17:$D$23,MATCH(G53,Assumptions!$B$17:$B$23,0))</f>
        <v>60</v>
      </c>
      <c r="I53" s="6" t="n">
        <f aca="false">IFERROR(INDEX(Systems!$R$2:$R$179,MATCH($B53,Systems!$B$2:$B$179,0)),0)</f>
        <v>0</v>
      </c>
      <c r="J53" s="27" t="n">
        <f aca="false">H53*I53</f>
        <v>0</v>
      </c>
      <c r="K53" s="6" t="str">
        <f aca="false">IFERROR(IF(INDEX(Resources!$D$2:$D$64,MATCH($D53,Resources!$A$2:$A$64,0))="","",INDEX(Resources!$D$2:$D$64,MATCH($D53,Resources!$A$2:$A$64,0))),"")</f>
        <v>Shelter</v>
      </c>
      <c r="L53" s="28" t="n">
        <f aca="false">IF(K53="","",J53*INDEX(Resources!$E$2:$E$64,MATCH($D53,Resources!$A$2:$A$64,0)))</f>
        <v>0</v>
      </c>
      <c r="M53" s="6" t="str">
        <f aca="false">B53&amp;"|"&amp;D53&amp;"|"&amp;C53</f>
        <v>Camper Van|Shelter|Output</v>
      </c>
    </row>
    <row r="54" customFormat="false" ht="15" hidden="false" customHeight="true" outlineLevel="0" collapsed="false">
      <c r="A54" s="6" t="s">
        <v>1001</v>
      </c>
      <c r="B54" s="6" t="s">
        <v>208</v>
      </c>
      <c r="C54" s="6" t="s">
        <v>943</v>
      </c>
      <c r="D54" s="6" t="s">
        <v>61</v>
      </c>
      <c r="E54" s="26" t="n">
        <v>200</v>
      </c>
      <c r="F54" s="6" t="str">
        <f aca="false">IFERROR(INDEX(Resources!$B$2:$B$64,MATCH($D54,Resources!$A$2:$A$64,0)),"?")</f>
        <v>miles</v>
      </c>
      <c r="G54" s="6" t="s">
        <v>939</v>
      </c>
      <c r="H54" s="27" t="n">
        <f aca="false">E54*INDEX(Assumptions!$D$17:$D$23,MATCH(G54,Assumptions!$B$17:$B$23,0))</f>
        <v>200</v>
      </c>
      <c r="I54" s="6" t="n">
        <f aca="false">IFERROR(INDEX(Systems!$R$2:$R$179,MATCH($B54,Systems!$B$2:$B$179,0)),0)</f>
        <v>0</v>
      </c>
      <c r="J54" s="27" t="n">
        <f aca="false">H54*I54</f>
        <v>0</v>
      </c>
      <c r="K54" s="6" t="str">
        <f aca="false">IFERROR(IF(INDEX(Resources!$D$2:$D$64,MATCH($D54,Resources!$A$2:$A$64,0))="","",INDEX(Resources!$D$2:$D$64,MATCH($D54,Resources!$A$2:$A$64,0))),"")</f>
        <v>Transportation</v>
      </c>
      <c r="L54" s="28" t="n">
        <f aca="false">IF(K54="","",J54*INDEX(Resources!$E$2:$E$64,MATCH($D54,Resources!$A$2:$A$64,0)))</f>
        <v>0</v>
      </c>
      <c r="M54" s="6" t="str">
        <f aca="false">B54&amp;"|"&amp;D54&amp;"|"&amp;C54</f>
        <v>Camper Van|Transportation|Output</v>
      </c>
    </row>
    <row r="55" customFormat="false" ht="15" hidden="false" customHeight="true" outlineLevel="0" collapsed="false">
      <c r="A55" s="6" t="s">
        <v>1002</v>
      </c>
      <c r="B55" s="6" t="s">
        <v>208</v>
      </c>
      <c r="C55" s="6" t="s">
        <v>938</v>
      </c>
      <c r="D55" s="6" t="s">
        <v>67</v>
      </c>
      <c r="E55" s="29" t="n">
        <f aca="false">INDEX(Systems!$N$2:$N$179,MATCH($B55,Systems!$B$2:$B$179,0))*INDEX(Systems!$O$2:$O$179,MATCH($B55,Systems!$B$2:$B$179,0))*Assumptions!$C$4*24/52</f>
        <v>132923.076923077</v>
      </c>
      <c r="F55" s="6" t="str">
        <f aca="false">IFERROR(INDEX(Resources!$B$2:$B$64,MATCH($D55,Resources!$A$2:$A$64,0)),"?")</f>
        <v>BTU</v>
      </c>
      <c r="G55" s="6" t="s">
        <v>939</v>
      </c>
      <c r="H55" s="27" t="n">
        <f aca="false">E55*INDEX(Assumptions!$D$17:$D$23,MATCH(G55,Assumptions!$B$17:$B$23,0))</f>
        <v>132923.076923077</v>
      </c>
      <c r="I55" s="6" t="n">
        <f aca="false">IFERROR(INDEX(Systems!$R$2:$R$179,MATCH($B55,Systems!$B$2:$B$179,0)),0)</f>
        <v>0</v>
      </c>
      <c r="J55" s="27" t="n">
        <f aca="false">H55*I55</f>
        <v>0</v>
      </c>
      <c r="K55" s="6" t="str">
        <f aca="false">IFERROR(IF(INDEX(Resources!$D$2:$D$64,MATCH($D55,Resources!$A$2:$A$64,0))="","",INDEX(Resources!$D$2:$D$64,MATCH($D55,Resources!$A$2:$A$64,0))),"")</f>
        <v>Heated shelter</v>
      </c>
      <c r="L55" s="28" t="n">
        <f aca="false">IF(K55="","",J55*INDEX(Resources!$E$2:$E$64,MATCH($D55,Resources!$A$2:$A$64,0)))</f>
        <v>0</v>
      </c>
      <c r="M55" s="6" t="str">
        <f aca="false">B55&amp;"|"&amp;D55&amp;"|"&amp;C55</f>
        <v>Camper Van|Heat|Input</v>
      </c>
      <c r="N55" s="6" t="s">
        <v>972</v>
      </c>
    </row>
    <row r="56" customFormat="false" ht="15" hidden="false" customHeight="true" outlineLevel="0" collapsed="false">
      <c r="A56" s="6" t="s">
        <v>1003</v>
      </c>
      <c r="B56" s="6" t="s">
        <v>208</v>
      </c>
      <c r="C56" s="6" t="s">
        <v>938</v>
      </c>
      <c r="D56" s="6" t="s">
        <v>69</v>
      </c>
      <c r="E56" s="29" t="n">
        <f aca="false">INDEX(Systems!$N$2:$N$179,MATCH($B56,Systems!$B$2:$B$179,0))*INDEX(Systems!$O$2:$O$179,MATCH($B56,Systems!$B$2:$B$179,0))*Assumptions!$C$5*24/52</f>
        <v>17723.0769230769</v>
      </c>
      <c r="F56" s="6" t="str">
        <f aca="false">IFERROR(INDEX(Resources!$B$2:$B$64,MATCH($D56,Resources!$A$2:$A$64,0)),"?")</f>
        <v>BTU</v>
      </c>
      <c r="G56" s="6" t="s">
        <v>939</v>
      </c>
      <c r="H56" s="27" t="n">
        <f aca="false">E56*INDEX(Assumptions!$D$17:$D$23,MATCH(G56,Assumptions!$B$17:$B$23,0))</f>
        <v>17723.0769230769</v>
      </c>
      <c r="I56" s="6" t="n">
        <f aca="false">IFERROR(INDEX(Systems!$R$2:$R$179,MATCH($B56,Systems!$B$2:$B$179,0)),0)</f>
        <v>0</v>
      </c>
      <c r="J56" s="27" t="n">
        <f aca="false">H56*I56</f>
        <v>0</v>
      </c>
      <c r="K56" s="6" t="str">
        <f aca="false">IFERROR(IF(INDEX(Resources!$D$2:$D$64,MATCH($D56,Resources!$A$2:$A$64,0))="","",INDEX(Resources!$D$2:$D$64,MATCH($D56,Resources!$A$2:$A$64,0))),"")</f>
        <v>Cooled shelter</v>
      </c>
      <c r="L56" s="28" t="n">
        <f aca="false">IF(K56="","",J56*INDEX(Resources!$E$2:$E$64,MATCH($D56,Resources!$A$2:$A$64,0)))</f>
        <v>0</v>
      </c>
      <c r="M56" s="6" t="str">
        <f aca="false">B56&amp;"|"&amp;D56&amp;"|"&amp;C56</f>
        <v>Camper Van|Cooling|Input</v>
      </c>
      <c r="N56" s="6" t="s">
        <v>974</v>
      </c>
    </row>
    <row r="57" customFormat="false" ht="15" hidden="false" customHeight="true" outlineLevel="0" collapsed="false">
      <c r="A57" s="6" t="s">
        <v>1004</v>
      </c>
      <c r="B57" s="6" t="s">
        <v>212</v>
      </c>
      <c r="C57" s="6" t="s">
        <v>938</v>
      </c>
      <c r="D57" s="6" t="s">
        <v>71</v>
      </c>
      <c r="E57" s="26" t="n">
        <v>1.5</v>
      </c>
      <c r="F57" s="6" t="str">
        <f aca="false">IFERROR(INDEX(Resources!$B$2:$B$64,MATCH($D57,Resources!$A$2:$A$64,0)),"?")</f>
        <v>hours</v>
      </c>
      <c r="G57" s="6" t="s">
        <v>939</v>
      </c>
      <c r="H57" s="27" t="n">
        <f aca="false">E57*INDEX(Assumptions!$D$17:$D$23,MATCH(G57,Assumptions!$B$17:$B$23,0))</f>
        <v>1.5</v>
      </c>
      <c r="I57" s="6" t="n">
        <f aca="false">IFERROR(INDEX(Systems!$R$2:$R$179,MATCH($B57,Systems!$B$2:$B$179,0)),0)</f>
        <v>0</v>
      </c>
      <c r="J57" s="27" t="n">
        <f aca="false">H57*I57</f>
        <v>0</v>
      </c>
      <c r="K57" s="6" t="str">
        <f aca="false">IFERROR(IF(INDEX(Resources!$D$2:$D$64,MATCH($D57,Resources!$A$2:$A$64,0))="","",INDEX(Resources!$D$2:$D$64,MATCH($D57,Resources!$A$2:$A$64,0))),"")</f>
        <v>Est. Required Labor</v>
      </c>
      <c r="L57" s="28" t="n">
        <f aca="false">IF(K57="","",J57*INDEX(Resources!$E$2:$E$64,MATCH($D57,Resources!$A$2:$A$64,0)))</f>
        <v>0</v>
      </c>
      <c r="M57" s="6" t="str">
        <f aca="false">B57&amp;"|"&amp;D57&amp;"|"&amp;C57</f>
        <v>Green Biomass|Labor|Input</v>
      </c>
      <c r="N57" s="6" t="s">
        <v>940</v>
      </c>
    </row>
    <row r="58" customFormat="false" ht="15" hidden="false" customHeight="true" outlineLevel="0" collapsed="false">
      <c r="A58" s="6" t="s">
        <v>1005</v>
      </c>
      <c r="B58" s="6" t="s">
        <v>212</v>
      </c>
      <c r="C58" s="6" t="s">
        <v>938</v>
      </c>
      <c r="D58" s="6" t="s">
        <v>49</v>
      </c>
      <c r="E58" s="26" t="n">
        <v>125</v>
      </c>
      <c r="F58" s="6" t="str">
        <f aca="false">IFERROR(INDEX(Resources!$B$2:$B$64,MATCH($D58,Resources!$A$2:$A$64,0)),"?")</f>
        <v>gal</v>
      </c>
      <c r="G58" s="6" t="s">
        <v>939</v>
      </c>
      <c r="H58" s="27" t="n">
        <f aca="false">E58*INDEX(Assumptions!$D$17:$D$23,MATCH(G58,Assumptions!$B$17:$B$23,0))</f>
        <v>125</v>
      </c>
      <c r="I58" s="6" t="n">
        <f aca="false">IFERROR(INDEX(Systems!$R$2:$R$179,MATCH($B58,Systems!$B$2:$B$179,0)),0)</f>
        <v>0</v>
      </c>
      <c r="J58" s="27" t="n">
        <f aca="false">H58*I58</f>
        <v>0</v>
      </c>
      <c r="K58" s="6" t="str">
        <f aca="false">IFERROR(IF(INDEX(Resources!$D$2:$D$64,MATCH($D58,Resources!$A$2:$A$64,0))="","",INDEX(Resources!$D$2:$D$64,MATCH($D58,Resources!$A$2:$A$64,0))),"")</f>
        <v>Water</v>
      </c>
      <c r="L58" s="28" t="n">
        <f aca="false">IF(K58="","",J58*INDEX(Resources!$E$2:$E$64,MATCH($D58,Resources!$A$2:$A$64,0)))</f>
        <v>0</v>
      </c>
      <c r="M58" s="6" t="str">
        <f aca="false">B58&amp;"|"&amp;D58&amp;"|"&amp;C58</f>
        <v>Green Biomass|Water|Input</v>
      </c>
    </row>
    <row r="59" customFormat="false" ht="15" hidden="false" customHeight="true" outlineLevel="0" collapsed="false">
      <c r="A59" s="6" t="s">
        <v>1006</v>
      </c>
      <c r="B59" s="6" t="s">
        <v>212</v>
      </c>
      <c r="C59" s="6" t="s">
        <v>938</v>
      </c>
      <c r="D59" s="6" t="s">
        <v>165</v>
      </c>
      <c r="E59" s="29" t="n">
        <f aca="false">Assumptions!$C$6*7</f>
        <v>35</v>
      </c>
      <c r="F59" s="6" t="str">
        <f aca="false">IFERROR(INDEX(Resources!$B$2:$B$64,MATCH($D59,Resources!$A$2:$A$64,0)),"?")</f>
        <v>sun-hours</v>
      </c>
      <c r="G59" s="6" t="s">
        <v>939</v>
      </c>
      <c r="H59" s="27" t="n">
        <f aca="false">E59*INDEX(Assumptions!$D$17:$D$23,MATCH(G59,Assumptions!$B$17:$B$23,0))</f>
        <v>35</v>
      </c>
      <c r="I59" s="6" t="n">
        <f aca="false">IFERROR(INDEX(Systems!$R$2:$R$179,MATCH($B59,Systems!$B$2:$B$179,0)),0)</f>
        <v>0</v>
      </c>
      <c r="J59" s="27" t="n">
        <f aca="false">H59*I59</f>
        <v>0</v>
      </c>
      <c r="K59" s="6" t="str">
        <f aca="false">IFERROR(IF(INDEX(Resources!$D$2:$D$64,MATCH($D59,Resources!$A$2:$A$64,0))="","",INDEX(Resources!$D$2:$D$64,MATCH($D59,Resources!$A$2:$A$64,0))),"")</f>
        <v/>
      </c>
      <c r="L59" s="28" t="str">
        <f aca="false">IF(K59="","",J59*INDEX(Resources!$E$2:$E$64,MATCH($D59,Resources!$A$2:$A$64,0)))</f>
        <v/>
      </c>
      <c r="M59" s="6" t="str">
        <f aca="false">B59&amp;"|"&amp;D59&amp;"|"&amp;C59</f>
        <v>Green Biomass|Sunlight|Input</v>
      </c>
      <c r="N59" s="6" t="s">
        <v>948</v>
      </c>
    </row>
    <row r="60" customFormat="false" ht="15" hidden="false" customHeight="true" outlineLevel="0" collapsed="false">
      <c r="A60" s="6" t="s">
        <v>1007</v>
      </c>
      <c r="B60" s="6" t="s">
        <v>212</v>
      </c>
      <c r="C60" s="6" t="s">
        <v>943</v>
      </c>
      <c r="D60" s="6" t="s">
        <v>216</v>
      </c>
      <c r="E60" s="26" t="n">
        <v>15</v>
      </c>
      <c r="F60" s="6" t="str">
        <f aca="false">IFERROR(INDEX(Resources!$B$2:$B$64,MATCH($D60,Resources!$A$2:$A$64,0)),"?")</f>
        <v>lbs</v>
      </c>
      <c r="G60" s="6" t="s">
        <v>939</v>
      </c>
      <c r="H60" s="27" t="n">
        <f aca="false">E60*INDEX(Assumptions!$D$17:$D$23,MATCH(G60,Assumptions!$B$17:$B$23,0))</f>
        <v>15</v>
      </c>
      <c r="I60" s="6" t="n">
        <f aca="false">IFERROR(INDEX(Systems!$R$2:$R$179,MATCH($B60,Systems!$B$2:$B$179,0)),0)</f>
        <v>0</v>
      </c>
      <c r="J60" s="27" t="n">
        <f aca="false">H60*I60</f>
        <v>0</v>
      </c>
      <c r="K60" s="6" t="str">
        <f aca="false">IFERROR(IF(INDEX(Resources!$D$2:$D$64,MATCH($D60,Resources!$A$2:$A$64,0))="","",INDEX(Resources!$D$2:$D$64,MATCH($D60,Resources!$A$2:$A$64,0))),"")</f>
        <v/>
      </c>
      <c r="L60" s="28" t="str">
        <f aca="false">IF(K60="","",J60*INDEX(Resources!$E$2:$E$64,MATCH($D60,Resources!$A$2:$A$64,0)))</f>
        <v/>
      </c>
      <c r="M60" s="6" t="str">
        <f aca="false">B60&amp;"|"&amp;D60&amp;"|"&amp;C60</f>
        <v>Green Biomass|Green biomass|Output</v>
      </c>
    </row>
    <row r="61" customFormat="false" ht="15" hidden="false" customHeight="true" outlineLevel="0" collapsed="false">
      <c r="A61" s="6" t="s">
        <v>1008</v>
      </c>
      <c r="B61" s="6" t="s">
        <v>218</v>
      </c>
      <c r="C61" s="6" t="s">
        <v>938</v>
      </c>
      <c r="D61" s="6" t="s">
        <v>71</v>
      </c>
      <c r="E61" s="26" t="n">
        <v>3</v>
      </c>
      <c r="F61" s="6" t="str">
        <f aca="false">IFERROR(INDEX(Resources!$B$2:$B$64,MATCH($D61,Resources!$A$2:$A$64,0)),"?")</f>
        <v>hours</v>
      </c>
      <c r="G61" s="6" t="s">
        <v>939</v>
      </c>
      <c r="H61" s="27" t="n">
        <f aca="false">E61*INDEX(Assumptions!$D$17:$D$23,MATCH(G61,Assumptions!$B$17:$B$23,0))</f>
        <v>3</v>
      </c>
      <c r="I61" s="6" t="n">
        <f aca="false">IFERROR(INDEX(Systems!$R$2:$R$179,MATCH($B61,Systems!$B$2:$B$179,0)),0)</f>
        <v>0</v>
      </c>
      <c r="J61" s="27" t="n">
        <f aca="false">H61*I61</f>
        <v>0</v>
      </c>
      <c r="K61" s="6" t="str">
        <f aca="false">IFERROR(IF(INDEX(Resources!$D$2:$D$64,MATCH($D61,Resources!$A$2:$A$64,0))="","",INDEX(Resources!$D$2:$D$64,MATCH($D61,Resources!$A$2:$A$64,0))),"")</f>
        <v>Est. Required Labor</v>
      </c>
      <c r="L61" s="28" t="n">
        <f aca="false">IF(K61="","",J61*INDEX(Resources!$E$2:$E$64,MATCH($D61,Resources!$A$2:$A$64,0)))</f>
        <v>0</v>
      </c>
      <c r="M61" s="6" t="str">
        <f aca="false">B61&amp;"|"&amp;D61&amp;"|"&amp;C61</f>
        <v>Woody Biomass|Labor|Input</v>
      </c>
      <c r="N61" s="6" t="s">
        <v>940</v>
      </c>
    </row>
    <row r="62" customFormat="false" ht="15" hidden="false" customHeight="true" outlineLevel="0" collapsed="false">
      <c r="A62" s="6" t="s">
        <v>1009</v>
      </c>
      <c r="B62" s="6" t="s">
        <v>218</v>
      </c>
      <c r="C62" s="6" t="s">
        <v>943</v>
      </c>
      <c r="D62" s="6" t="s">
        <v>177</v>
      </c>
      <c r="E62" s="26" t="n">
        <v>100</v>
      </c>
      <c r="F62" s="6" t="str">
        <f aca="false">IFERROR(INDEX(Resources!$B$2:$B$64,MATCH($D62,Resources!$A$2:$A$64,0)),"?")</f>
        <v>lbs</v>
      </c>
      <c r="G62" s="6" t="s">
        <v>939</v>
      </c>
      <c r="H62" s="27" t="n">
        <f aca="false">E62*INDEX(Assumptions!$D$17:$D$23,MATCH(G62,Assumptions!$B$17:$B$23,0))</f>
        <v>100</v>
      </c>
      <c r="I62" s="6" t="n">
        <f aca="false">IFERROR(INDEX(Systems!$R$2:$R$179,MATCH($B62,Systems!$B$2:$B$179,0)),0)</f>
        <v>0</v>
      </c>
      <c r="J62" s="27" t="n">
        <f aca="false">H62*I62</f>
        <v>0</v>
      </c>
      <c r="K62" s="6" t="str">
        <f aca="false">IFERROR(IF(INDEX(Resources!$D$2:$D$64,MATCH($D62,Resources!$A$2:$A$64,0))="","",INDEX(Resources!$D$2:$D$64,MATCH($D62,Resources!$A$2:$A$64,0))),"")</f>
        <v/>
      </c>
      <c r="L62" s="28" t="str">
        <f aca="false">IF(K62="","",J62*INDEX(Resources!$E$2:$E$64,MATCH($D62,Resources!$A$2:$A$64,0)))</f>
        <v/>
      </c>
      <c r="M62" s="6" t="str">
        <f aca="false">B62&amp;"|"&amp;D62&amp;"|"&amp;C62</f>
        <v>Woody Biomass|Woody biomass|Output</v>
      </c>
    </row>
    <row r="63" customFormat="false" ht="15" hidden="false" customHeight="true" outlineLevel="0" collapsed="false">
      <c r="A63" s="6" t="s">
        <v>1010</v>
      </c>
      <c r="B63" s="6" t="s">
        <v>222</v>
      </c>
      <c r="C63" s="6" t="s">
        <v>938</v>
      </c>
      <c r="D63" s="6" t="s">
        <v>71</v>
      </c>
      <c r="E63" s="26" t="n">
        <v>0.5</v>
      </c>
      <c r="F63" s="6" t="str">
        <f aca="false">IFERROR(INDEX(Resources!$B$2:$B$64,MATCH($D63,Resources!$A$2:$A$64,0)),"?")</f>
        <v>hours</v>
      </c>
      <c r="G63" s="6" t="s">
        <v>939</v>
      </c>
      <c r="H63" s="27" t="n">
        <f aca="false">E63*INDEX(Assumptions!$D$17:$D$23,MATCH(G63,Assumptions!$B$17:$B$23,0))</f>
        <v>0.5</v>
      </c>
      <c r="I63" s="6" t="n">
        <f aca="false">IFERROR(INDEX(Systems!$R$2:$R$179,MATCH($B63,Systems!$B$2:$B$179,0)),0)</f>
        <v>0</v>
      </c>
      <c r="J63" s="27" t="n">
        <f aca="false">H63*I63</f>
        <v>0</v>
      </c>
      <c r="K63" s="6" t="str">
        <f aca="false">IFERROR(IF(INDEX(Resources!$D$2:$D$64,MATCH($D63,Resources!$A$2:$A$64,0))="","",INDEX(Resources!$D$2:$D$64,MATCH($D63,Resources!$A$2:$A$64,0))),"")</f>
        <v>Est. Required Labor</v>
      </c>
      <c r="L63" s="28" t="n">
        <f aca="false">IF(K63="","",J63*INDEX(Resources!$E$2:$E$64,MATCH($D63,Resources!$A$2:$A$64,0)))</f>
        <v>0</v>
      </c>
      <c r="M63" s="6" t="str">
        <f aca="false">B63&amp;"|"&amp;D63&amp;"|"&amp;C63</f>
        <v>Firepit|Labor|Input</v>
      </c>
      <c r="N63" s="6" t="s">
        <v>940</v>
      </c>
    </row>
    <row r="64" customFormat="false" ht="15" hidden="false" customHeight="true" outlineLevel="0" collapsed="false">
      <c r="A64" s="6" t="s">
        <v>1011</v>
      </c>
      <c r="B64" s="6" t="s">
        <v>222</v>
      </c>
      <c r="C64" s="6" t="s">
        <v>938</v>
      </c>
      <c r="D64" s="6" t="s">
        <v>177</v>
      </c>
      <c r="E64" s="26" t="n">
        <v>40</v>
      </c>
      <c r="F64" s="6" t="str">
        <f aca="false">IFERROR(INDEX(Resources!$B$2:$B$64,MATCH($D64,Resources!$A$2:$A$64,0)),"?")</f>
        <v>lbs</v>
      </c>
      <c r="G64" s="6" t="s">
        <v>939</v>
      </c>
      <c r="H64" s="27" t="n">
        <f aca="false">E64*INDEX(Assumptions!$D$17:$D$23,MATCH(G64,Assumptions!$B$17:$B$23,0))</f>
        <v>40</v>
      </c>
      <c r="I64" s="6" t="n">
        <f aca="false">IFERROR(INDEX(Systems!$R$2:$R$179,MATCH($B64,Systems!$B$2:$B$179,0)),0)</f>
        <v>0</v>
      </c>
      <c r="J64" s="27" t="n">
        <f aca="false">H64*I64</f>
        <v>0</v>
      </c>
      <c r="K64" s="6" t="str">
        <f aca="false">IFERROR(IF(INDEX(Resources!$D$2:$D$64,MATCH($D64,Resources!$A$2:$A$64,0))="","",INDEX(Resources!$D$2:$D$64,MATCH($D64,Resources!$A$2:$A$64,0))),"")</f>
        <v/>
      </c>
      <c r="L64" s="28" t="str">
        <f aca="false">IF(K64="","",J64*INDEX(Resources!$E$2:$E$64,MATCH($D64,Resources!$A$2:$A$64,0)))</f>
        <v/>
      </c>
      <c r="M64" s="6" t="str">
        <f aca="false">B64&amp;"|"&amp;D64&amp;"|"&amp;C64</f>
        <v>Firepit|Woody biomass|Input</v>
      </c>
    </row>
    <row r="65" customFormat="false" ht="15" hidden="false" customHeight="true" outlineLevel="0" collapsed="false">
      <c r="A65" s="6" t="s">
        <v>1012</v>
      </c>
      <c r="B65" s="6" t="s">
        <v>222</v>
      </c>
      <c r="C65" s="6" t="s">
        <v>943</v>
      </c>
      <c r="D65" s="6" t="s">
        <v>63</v>
      </c>
      <c r="E65" s="26" t="n">
        <v>7</v>
      </c>
      <c r="F65" s="6" t="str">
        <f aca="false">IFERROR(INDEX(Resources!$B$2:$B$64,MATCH($D65,Resources!$A$2:$A$64,0)),"?")</f>
        <v>hours</v>
      </c>
      <c r="G65" s="6" t="s">
        <v>939</v>
      </c>
      <c r="H65" s="27" t="n">
        <f aca="false">E65*INDEX(Assumptions!$D$17:$D$23,MATCH(G65,Assumptions!$B$17:$B$23,0))</f>
        <v>7</v>
      </c>
      <c r="I65" s="6" t="n">
        <f aca="false">IFERROR(INDEX(Systems!$R$2:$R$179,MATCH($B65,Systems!$B$2:$B$179,0)),0)</f>
        <v>0</v>
      </c>
      <c r="J65" s="27" t="n">
        <f aca="false">H65*I65</f>
        <v>0</v>
      </c>
      <c r="K65" s="6" t="str">
        <f aca="false">IFERROR(IF(INDEX(Resources!$D$2:$D$64,MATCH($D65,Resources!$A$2:$A$64,0))="","",INDEX(Resources!$D$2:$D$64,MATCH($D65,Resources!$A$2:$A$64,0))),"")</f>
        <v>Cooking fuel</v>
      </c>
      <c r="L65" s="28" t="n">
        <f aca="false">IF(K65="","",J65*INDEX(Resources!$E$2:$E$64,MATCH($D65,Resources!$A$2:$A$64,0)))</f>
        <v>0</v>
      </c>
      <c r="M65" s="6" t="str">
        <f aca="false">B65&amp;"|"&amp;D65&amp;"|"&amp;C65</f>
        <v>Firepit|Cooking fuel|Output</v>
      </c>
    </row>
    <row r="66" customFormat="false" ht="15" hidden="false" customHeight="true" outlineLevel="0" collapsed="false">
      <c r="A66" s="6" t="s">
        <v>1013</v>
      </c>
      <c r="B66" s="6" t="s">
        <v>222</v>
      </c>
      <c r="C66" s="6" t="s">
        <v>943</v>
      </c>
      <c r="D66" s="6" t="s">
        <v>67</v>
      </c>
      <c r="E66" s="26" t="n">
        <v>20000</v>
      </c>
      <c r="F66" s="6" t="str">
        <f aca="false">IFERROR(INDEX(Resources!$B$2:$B$64,MATCH($D66,Resources!$A$2:$A$64,0)),"?")</f>
        <v>BTU</v>
      </c>
      <c r="G66" s="6" t="s">
        <v>939</v>
      </c>
      <c r="H66" s="27" t="n">
        <f aca="false">E66*INDEX(Assumptions!$D$17:$D$23,MATCH(G66,Assumptions!$B$17:$B$23,0))</f>
        <v>20000</v>
      </c>
      <c r="I66" s="6" t="n">
        <f aca="false">IFERROR(INDEX(Systems!$R$2:$R$179,MATCH($B66,Systems!$B$2:$B$179,0)),0)</f>
        <v>0</v>
      </c>
      <c r="J66" s="27" t="n">
        <f aca="false">H66*I66</f>
        <v>0</v>
      </c>
      <c r="K66" s="6" t="str">
        <f aca="false">IFERROR(IF(INDEX(Resources!$D$2:$D$64,MATCH($D66,Resources!$A$2:$A$64,0))="","",INDEX(Resources!$D$2:$D$64,MATCH($D66,Resources!$A$2:$A$64,0))),"")</f>
        <v>Heated shelter</v>
      </c>
      <c r="L66" s="28" t="n">
        <f aca="false">IF(K66="","",J66*INDEX(Resources!$E$2:$E$64,MATCH($D66,Resources!$A$2:$A$64,0)))</f>
        <v>0</v>
      </c>
      <c r="M66" s="6" t="str">
        <f aca="false">B66&amp;"|"&amp;D66&amp;"|"&amp;C66</f>
        <v>Firepit|Heat|Output</v>
      </c>
    </row>
    <row r="67" customFormat="false" ht="15" hidden="false" customHeight="true" outlineLevel="0" collapsed="false">
      <c r="A67" s="6" t="s">
        <v>1014</v>
      </c>
      <c r="B67" s="6" t="s">
        <v>222</v>
      </c>
      <c r="C67" s="6" t="s">
        <v>943</v>
      </c>
      <c r="D67" s="6" t="s">
        <v>462</v>
      </c>
      <c r="E67" s="26" t="n">
        <v>5</v>
      </c>
      <c r="F67" s="6" t="str">
        <f aca="false">IFERROR(INDEX(Resources!$B$2:$B$64,MATCH($D67,Resources!$A$2:$A$64,0)),"?")</f>
        <v>points</v>
      </c>
      <c r="G67" s="6" t="s">
        <v>939</v>
      </c>
      <c r="H67" s="27" t="n">
        <f aca="false">E67*INDEX(Assumptions!$D$17:$D$23,MATCH(G67,Assumptions!$B$17:$B$23,0))</f>
        <v>5</v>
      </c>
      <c r="I67" s="6" t="n">
        <f aca="false">IFERROR(INDEX(Systems!$R$2:$R$179,MATCH($B67,Systems!$B$2:$B$179,0)),0)</f>
        <v>0</v>
      </c>
      <c r="J67" s="27" t="n">
        <f aca="false">H67*I67</f>
        <v>0</v>
      </c>
      <c r="K67" s="6" t="str">
        <f aca="false">IFERROR(IF(INDEX(Resources!$D$2:$D$64,MATCH($D67,Resources!$A$2:$A$64,0))="","",INDEX(Resources!$D$2:$D$64,MATCH($D67,Resources!$A$2:$A$64,0))),"")</f>
        <v/>
      </c>
      <c r="L67" s="28" t="str">
        <f aca="false">IF(K67="","",J67*INDEX(Resources!$E$2:$E$64,MATCH($D67,Resources!$A$2:$A$64,0)))</f>
        <v/>
      </c>
      <c r="M67" s="6" t="str">
        <f aca="false">B67&amp;"|"&amp;D67&amp;"|"&amp;C67</f>
        <v>Firepit|Wellbeing|Output</v>
      </c>
    </row>
    <row r="68" customFormat="false" ht="15" hidden="false" customHeight="true" outlineLevel="0" collapsed="false">
      <c r="A68" s="6" t="s">
        <v>1015</v>
      </c>
      <c r="B68" s="6" t="s">
        <v>228</v>
      </c>
      <c r="C68" s="6" t="s">
        <v>938</v>
      </c>
      <c r="D68" s="6" t="s">
        <v>71</v>
      </c>
      <c r="E68" s="26" t="n">
        <v>3.5</v>
      </c>
      <c r="F68" s="6" t="str">
        <f aca="false">IFERROR(INDEX(Resources!$B$2:$B$64,MATCH($D68,Resources!$A$2:$A$64,0)),"?")</f>
        <v>hours</v>
      </c>
      <c r="G68" s="6" t="s">
        <v>939</v>
      </c>
      <c r="H68" s="27" t="n">
        <f aca="false">E68*INDEX(Assumptions!$D$17:$D$23,MATCH(G68,Assumptions!$B$17:$B$23,0))</f>
        <v>3.5</v>
      </c>
      <c r="I68" s="6" t="n">
        <f aca="false">IFERROR(INDEX(Systems!$R$2:$R$179,MATCH($B68,Systems!$B$2:$B$179,0)),0)</f>
        <v>0</v>
      </c>
      <c r="J68" s="27" t="n">
        <f aca="false">H68*I68</f>
        <v>0</v>
      </c>
      <c r="K68" s="6" t="str">
        <f aca="false">IFERROR(IF(INDEX(Resources!$D$2:$D$64,MATCH($D68,Resources!$A$2:$A$64,0))="","",INDEX(Resources!$D$2:$D$64,MATCH($D68,Resources!$A$2:$A$64,0))),"")</f>
        <v>Est. Required Labor</v>
      </c>
      <c r="L68" s="28" t="n">
        <f aca="false">IF(K68="","",J68*INDEX(Resources!$E$2:$E$64,MATCH($D68,Resources!$A$2:$A$64,0)))</f>
        <v>0</v>
      </c>
      <c r="M68" s="6" t="str">
        <f aca="false">B68&amp;"|"&amp;D68&amp;"|"&amp;C68</f>
        <v>Livestock Guardian Dog|Labor|Input</v>
      </c>
      <c r="N68" s="6" t="s">
        <v>940</v>
      </c>
    </row>
    <row r="69" customFormat="false" ht="15" hidden="false" customHeight="true" outlineLevel="0" collapsed="false">
      <c r="A69" s="6" t="s">
        <v>1016</v>
      </c>
      <c r="B69" s="6" t="s">
        <v>228</v>
      </c>
      <c r="C69" s="6" t="s">
        <v>938</v>
      </c>
      <c r="D69" s="6" t="s">
        <v>49</v>
      </c>
      <c r="E69" s="26" t="n">
        <v>7</v>
      </c>
      <c r="F69" s="6" t="str">
        <f aca="false">IFERROR(INDEX(Resources!$B$2:$B$64,MATCH($D69,Resources!$A$2:$A$64,0)),"?")</f>
        <v>gal</v>
      </c>
      <c r="G69" s="6" t="s">
        <v>939</v>
      </c>
      <c r="H69" s="27" t="n">
        <f aca="false">E69*INDEX(Assumptions!$D$17:$D$23,MATCH(G69,Assumptions!$B$17:$B$23,0))</f>
        <v>7</v>
      </c>
      <c r="I69" s="6" t="n">
        <f aca="false">IFERROR(INDEX(Systems!$R$2:$R$179,MATCH($B69,Systems!$B$2:$B$179,0)),0)</f>
        <v>0</v>
      </c>
      <c r="J69" s="27" t="n">
        <f aca="false">H69*I69</f>
        <v>0</v>
      </c>
      <c r="K69" s="6" t="str">
        <f aca="false">IFERROR(IF(INDEX(Resources!$D$2:$D$64,MATCH($D69,Resources!$A$2:$A$64,0))="","",INDEX(Resources!$D$2:$D$64,MATCH($D69,Resources!$A$2:$A$64,0))),"")</f>
        <v>Water</v>
      </c>
      <c r="L69" s="28" t="n">
        <f aca="false">IF(K69="","",J69*INDEX(Resources!$E$2:$E$64,MATCH($D69,Resources!$A$2:$A$64,0)))</f>
        <v>0</v>
      </c>
      <c r="M69" s="6" t="str">
        <f aca="false">B69&amp;"|"&amp;D69&amp;"|"&amp;C69</f>
        <v>Livestock Guardian Dog|Water|Input</v>
      </c>
    </row>
    <row r="70" customFormat="false" ht="15" hidden="false" customHeight="true" outlineLevel="0" collapsed="false">
      <c r="A70" s="6" t="s">
        <v>1017</v>
      </c>
      <c r="B70" s="6" t="s">
        <v>228</v>
      </c>
      <c r="C70" s="6" t="s">
        <v>938</v>
      </c>
      <c r="D70" s="6" t="s">
        <v>52</v>
      </c>
      <c r="E70" s="26" t="n">
        <v>10500</v>
      </c>
      <c r="F70" s="6" t="str">
        <f aca="false">IFERROR(INDEX(Resources!$B$2:$B$64,MATCH($D70,Resources!$A$2:$A$64,0)),"?")</f>
        <v>kcal</v>
      </c>
      <c r="G70" s="6" t="s">
        <v>939</v>
      </c>
      <c r="H70" s="27" t="n">
        <f aca="false">E70*INDEX(Assumptions!$D$17:$D$23,MATCH(G70,Assumptions!$B$17:$B$23,0))</f>
        <v>10500</v>
      </c>
      <c r="I70" s="6" t="n">
        <f aca="false">IFERROR(INDEX(Systems!$R$2:$R$179,MATCH($B70,Systems!$B$2:$B$179,0)),0)</f>
        <v>0</v>
      </c>
      <c r="J70" s="27" t="n">
        <f aca="false">H70*I70</f>
        <v>0</v>
      </c>
      <c r="K70" s="6" t="str">
        <f aca="false">IFERROR(IF(INDEX(Resources!$D$2:$D$64,MATCH($D70,Resources!$A$2:$A$64,0))="","",INDEX(Resources!$D$2:$D$64,MATCH($D70,Resources!$A$2:$A$64,0))),"")</f>
        <v>Food</v>
      </c>
      <c r="L70" s="28" t="n">
        <f aca="false">IF(K70="","",J70*INDEX(Resources!$E$2:$E$64,MATCH($D70,Resources!$A$2:$A$64,0)))</f>
        <v>0</v>
      </c>
      <c r="M70" s="6" t="str">
        <f aca="false">B70&amp;"|"&amp;D70&amp;"|"&amp;C70</f>
        <v>Livestock Guardian Dog|Food|Input</v>
      </c>
    </row>
    <row r="71" customFormat="false" ht="15" hidden="false" customHeight="true" outlineLevel="0" collapsed="false">
      <c r="A71" s="6" t="s">
        <v>1018</v>
      </c>
      <c r="B71" s="6" t="s">
        <v>228</v>
      </c>
      <c r="C71" s="6" t="s">
        <v>943</v>
      </c>
      <c r="D71" s="6" t="s">
        <v>341</v>
      </c>
      <c r="E71" s="26" t="n">
        <v>7</v>
      </c>
      <c r="F71" s="6" t="str">
        <f aca="false">IFERROR(INDEX(Resources!$B$2:$B$64,MATCH($D71,Resources!$A$2:$A$64,0)),"?")</f>
        <v>lbs</v>
      </c>
      <c r="G71" s="6" t="s">
        <v>939</v>
      </c>
      <c r="H71" s="27" t="n">
        <f aca="false">E71*INDEX(Assumptions!$D$17:$D$23,MATCH(G71,Assumptions!$B$17:$B$23,0))</f>
        <v>7</v>
      </c>
      <c r="I71" s="6" t="n">
        <f aca="false">IFERROR(INDEX(Systems!$R$2:$R$179,MATCH($B71,Systems!$B$2:$B$179,0)),0)</f>
        <v>0</v>
      </c>
      <c r="J71" s="27" t="n">
        <f aca="false">H71*I71</f>
        <v>0</v>
      </c>
      <c r="K71" s="6" t="str">
        <f aca="false">IFERROR(IF(INDEX(Resources!$D$2:$D$64,MATCH($D71,Resources!$A$2:$A$64,0))="","",INDEX(Resources!$D$2:$D$64,MATCH($D71,Resources!$A$2:$A$64,0))),"")</f>
        <v/>
      </c>
      <c r="L71" s="28" t="str">
        <f aca="false">IF(K71="","",J71*INDEX(Resources!$E$2:$E$64,MATCH($D71,Resources!$A$2:$A$64,0)))</f>
        <v/>
      </c>
      <c r="M71" s="6" t="str">
        <f aca="false">B71&amp;"|"&amp;D71&amp;"|"&amp;C71</f>
        <v>Livestock Guardian Dog|Organic waste|Output</v>
      </c>
    </row>
    <row r="72" customFormat="false" ht="15" hidden="false" customHeight="true" outlineLevel="0" collapsed="false">
      <c r="A72" s="6" t="s">
        <v>1019</v>
      </c>
      <c r="B72" s="6" t="s">
        <v>228</v>
      </c>
      <c r="C72" s="6" t="s">
        <v>943</v>
      </c>
      <c r="D72" s="6" t="s">
        <v>462</v>
      </c>
      <c r="E72" s="26" t="n">
        <v>10</v>
      </c>
      <c r="F72" s="6" t="str">
        <f aca="false">IFERROR(INDEX(Resources!$B$2:$B$64,MATCH($D72,Resources!$A$2:$A$64,0)),"?")</f>
        <v>points</v>
      </c>
      <c r="G72" s="6" t="s">
        <v>939</v>
      </c>
      <c r="H72" s="27" t="n">
        <f aca="false">E72*INDEX(Assumptions!$D$17:$D$23,MATCH(G72,Assumptions!$B$17:$B$23,0))</f>
        <v>10</v>
      </c>
      <c r="I72" s="6" t="n">
        <f aca="false">IFERROR(INDEX(Systems!$R$2:$R$179,MATCH($B72,Systems!$B$2:$B$179,0)),0)</f>
        <v>0</v>
      </c>
      <c r="J72" s="27" t="n">
        <f aca="false">H72*I72</f>
        <v>0</v>
      </c>
      <c r="K72" s="6" t="str">
        <f aca="false">IFERROR(IF(INDEX(Resources!$D$2:$D$64,MATCH($D72,Resources!$A$2:$A$64,0))="","",INDEX(Resources!$D$2:$D$64,MATCH($D72,Resources!$A$2:$A$64,0))),"")</f>
        <v/>
      </c>
      <c r="L72" s="28" t="str">
        <f aca="false">IF(K72="","",J72*INDEX(Resources!$E$2:$E$64,MATCH($D72,Resources!$A$2:$A$64,0)))</f>
        <v/>
      </c>
      <c r="M72" s="6" t="str">
        <f aca="false">B72&amp;"|"&amp;D72&amp;"|"&amp;C72</f>
        <v>Livestock Guardian Dog|Wellbeing|Output</v>
      </c>
    </row>
    <row r="73" customFormat="false" ht="15" hidden="false" customHeight="true" outlineLevel="0" collapsed="false">
      <c r="A73" s="6" t="s">
        <v>1020</v>
      </c>
      <c r="B73" s="6" t="s">
        <v>228</v>
      </c>
      <c r="C73" s="6" t="s">
        <v>943</v>
      </c>
      <c r="D73" s="6" t="s">
        <v>1021</v>
      </c>
      <c r="E73" s="26" t="n">
        <v>1</v>
      </c>
      <c r="F73" s="6" t="str">
        <f aca="false">IFERROR(INDEX(Resources!$B$2:$B$64,MATCH($D73,Resources!$A$2:$A$64,0)),"?")</f>
        <v>units</v>
      </c>
      <c r="G73" s="6" t="s">
        <v>945</v>
      </c>
      <c r="H73" s="27" t="n">
        <f aca="false">E73*INDEX(Assumptions!$D$17:$D$23,MATCH(G73,Assumptions!$B$17:$B$23,0))</f>
        <v>1</v>
      </c>
      <c r="I73" s="6" t="n">
        <f aca="false">IFERROR(INDEX(Systems!$R$2:$R$179,MATCH($B73,Systems!$B$2:$B$179,0)),0)</f>
        <v>0</v>
      </c>
      <c r="J73" s="27" t="n">
        <f aca="false">H73*I73</f>
        <v>0</v>
      </c>
      <c r="K73" s="6" t="str">
        <f aca="false">IFERROR(IF(INDEX(Resources!$D$2:$D$64,MATCH($D73,Resources!$A$2:$A$64,0))="","",INDEX(Resources!$D$2:$D$64,MATCH($D73,Resources!$A$2:$A$64,0))),"")</f>
        <v/>
      </c>
      <c r="L73" s="28" t="str">
        <f aca="false">IF(K73="","",J73*INDEX(Resources!$E$2:$E$64,MATCH($D73,Resources!$A$2:$A$64,0)))</f>
        <v/>
      </c>
      <c r="M73" s="6" t="str">
        <f aca="false">B73&amp;"|"&amp;D73&amp;"|"&amp;C73</f>
        <v>Livestock Guardian Dog|Pest control|Output</v>
      </c>
    </row>
    <row r="74" customFormat="false" ht="15" hidden="false" customHeight="true" outlineLevel="0" collapsed="false">
      <c r="A74" s="6" t="s">
        <v>1022</v>
      </c>
      <c r="B74" s="6" t="s">
        <v>235</v>
      </c>
      <c r="C74" s="6" t="s">
        <v>938</v>
      </c>
      <c r="D74" s="6" t="s">
        <v>71</v>
      </c>
      <c r="E74" s="26" t="n">
        <v>1</v>
      </c>
      <c r="F74" s="6" t="str">
        <f aca="false">IFERROR(INDEX(Resources!$B$2:$B$64,MATCH($D74,Resources!$A$2:$A$64,0)),"?")</f>
        <v>hours</v>
      </c>
      <c r="G74" s="6" t="s">
        <v>939</v>
      </c>
      <c r="H74" s="27" t="n">
        <f aca="false">E74*INDEX(Assumptions!$D$17:$D$23,MATCH(G74,Assumptions!$B$17:$B$23,0))</f>
        <v>1</v>
      </c>
      <c r="I74" s="6" t="n">
        <f aca="false">IFERROR(INDEX(Systems!$R$2:$R$179,MATCH($B74,Systems!$B$2:$B$179,0)),0)</f>
        <v>0</v>
      </c>
      <c r="J74" s="27" t="n">
        <f aca="false">H74*I74</f>
        <v>0</v>
      </c>
      <c r="K74" s="6" t="str">
        <f aca="false">IFERROR(IF(INDEX(Resources!$D$2:$D$64,MATCH($D74,Resources!$A$2:$A$64,0))="","",INDEX(Resources!$D$2:$D$64,MATCH($D74,Resources!$A$2:$A$64,0))),"")</f>
        <v>Est. Required Labor</v>
      </c>
      <c r="L74" s="28" t="n">
        <f aca="false">IF(K74="","",J74*INDEX(Resources!$E$2:$E$64,MATCH($D74,Resources!$A$2:$A$64,0)))</f>
        <v>0</v>
      </c>
      <c r="M74" s="6" t="str">
        <f aca="false">B74&amp;"|"&amp;D74&amp;"|"&amp;C74</f>
        <v>Baby Chicks|Labor|Input</v>
      </c>
      <c r="N74" s="6" t="s">
        <v>940</v>
      </c>
    </row>
    <row r="75" customFormat="false" ht="15" hidden="false" customHeight="true" outlineLevel="0" collapsed="false">
      <c r="A75" s="6" t="s">
        <v>1023</v>
      </c>
      <c r="B75" s="6" t="s">
        <v>235</v>
      </c>
      <c r="C75" s="6" t="s">
        <v>938</v>
      </c>
      <c r="D75" s="6" t="s">
        <v>49</v>
      </c>
      <c r="E75" s="26" t="n">
        <v>2</v>
      </c>
      <c r="F75" s="6" t="str">
        <f aca="false">IFERROR(INDEX(Resources!$B$2:$B$64,MATCH($D75,Resources!$A$2:$A$64,0)),"?")</f>
        <v>gal</v>
      </c>
      <c r="G75" s="6" t="s">
        <v>939</v>
      </c>
      <c r="H75" s="27" t="n">
        <f aca="false">E75*INDEX(Assumptions!$D$17:$D$23,MATCH(G75,Assumptions!$B$17:$B$23,0))</f>
        <v>2</v>
      </c>
      <c r="I75" s="6" t="n">
        <f aca="false">IFERROR(INDEX(Systems!$R$2:$R$179,MATCH($B75,Systems!$B$2:$B$179,0)),0)</f>
        <v>0</v>
      </c>
      <c r="J75" s="27" t="n">
        <f aca="false">H75*I75</f>
        <v>0</v>
      </c>
      <c r="K75" s="6" t="str">
        <f aca="false">IFERROR(IF(INDEX(Resources!$D$2:$D$64,MATCH($D75,Resources!$A$2:$A$64,0))="","",INDEX(Resources!$D$2:$D$64,MATCH($D75,Resources!$A$2:$A$64,0))),"")</f>
        <v>Water</v>
      </c>
      <c r="L75" s="28" t="n">
        <f aca="false">IF(K75="","",J75*INDEX(Resources!$E$2:$E$64,MATCH($D75,Resources!$A$2:$A$64,0)))</f>
        <v>0</v>
      </c>
      <c r="M75" s="6" t="str">
        <f aca="false">B75&amp;"|"&amp;D75&amp;"|"&amp;C75</f>
        <v>Baby Chicks|Water|Input</v>
      </c>
    </row>
    <row r="76" customFormat="false" ht="15" hidden="false" customHeight="true" outlineLevel="0" collapsed="false">
      <c r="A76" s="6" t="s">
        <v>1024</v>
      </c>
      <c r="B76" s="6" t="s">
        <v>235</v>
      </c>
      <c r="C76" s="6" t="s">
        <v>938</v>
      </c>
      <c r="D76" s="6" t="s">
        <v>1025</v>
      </c>
      <c r="E76" s="26" t="n">
        <v>10</v>
      </c>
      <c r="F76" s="6" t="str">
        <f aca="false">IFERROR(INDEX(Resources!$B$2:$B$64,MATCH($D76,Resources!$A$2:$A$64,0)),"?")</f>
        <v>lbs</v>
      </c>
      <c r="G76" s="6" t="s">
        <v>939</v>
      </c>
      <c r="H76" s="27" t="n">
        <f aca="false">E76*INDEX(Assumptions!$D$17:$D$23,MATCH(G76,Assumptions!$B$17:$B$23,0))</f>
        <v>10</v>
      </c>
      <c r="I76" s="6" t="n">
        <f aca="false">IFERROR(INDEX(Systems!$R$2:$R$179,MATCH($B76,Systems!$B$2:$B$179,0)),0)</f>
        <v>0</v>
      </c>
      <c r="J76" s="27" t="n">
        <f aca="false">H76*I76</f>
        <v>0</v>
      </c>
      <c r="K76" s="6" t="str">
        <f aca="false">IFERROR(IF(INDEX(Resources!$D$2:$D$64,MATCH($D76,Resources!$A$2:$A$64,0))="","",INDEX(Resources!$D$2:$D$64,MATCH($D76,Resources!$A$2:$A$64,0))),"")</f>
        <v/>
      </c>
      <c r="L76" s="28" t="str">
        <f aca="false">IF(K76="","",J76*INDEX(Resources!$E$2:$E$64,MATCH($D76,Resources!$A$2:$A$64,0)))</f>
        <v/>
      </c>
      <c r="M76" s="6" t="str">
        <f aca="false">B76&amp;"|"&amp;D76&amp;"|"&amp;C76</f>
        <v>Baby Chicks|Chicken feed|Input</v>
      </c>
    </row>
    <row r="77" customFormat="false" ht="15" hidden="false" customHeight="true" outlineLevel="0" collapsed="false">
      <c r="A77" s="6" t="s">
        <v>1026</v>
      </c>
      <c r="B77" s="6" t="s">
        <v>235</v>
      </c>
      <c r="C77" s="6" t="s">
        <v>943</v>
      </c>
      <c r="D77" s="6" t="s">
        <v>240</v>
      </c>
      <c r="E77" s="26" t="n">
        <v>3</v>
      </c>
      <c r="F77" s="6" t="str">
        <f aca="false">IFERROR(INDEX(Resources!$B$2:$B$64,MATCH($D77,Resources!$A$2:$A$64,0)),"?")</f>
        <v>lbs</v>
      </c>
      <c r="G77" s="6" t="s">
        <v>939</v>
      </c>
      <c r="H77" s="27" t="n">
        <f aca="false">E77*INDEX(Assumptions!$D$17:$D$23,MATCH(G77,Assumptions!$B$17:$B$23,0))</f>
        <v>3</v>
      </c>
      <c r="I77" s="6" t="n">
        <f aca="false">IFERROR(INDEX(Systems!$R$2:$R$179,MATCH($B77,Systems!$B$2:$B$179,0)),0)</f>
        <v>0</v>
      </c>
      <c r="J77" s="27" t="n">
        <f aca="false">H77*I77</f>
        <v>0</v>
      </c>
      <c r="K77" s="6" t="str">
        <f aca="false">IFERROR(IF(INDEX(Resources!$D$2:$D$64,MATCH($D77,Resources!$A$2:$A$64,0))="","",INDEX(Resources!$D$2:$D$64,MATCH($D77,Resources!$A$2:$A$64,0))),"")</f>
        <v/>
      </c>
      <c r="L77" s="28" t="str">
        <f aca="false">IF(K77="","",J77*INDEX(Resources!$E$2:$E$64,MATCH($D77,Resources!$A$2:$A$64,0)))</f>
        <v/>
      </c>
      <c r="M77" s="6" t="str">
        <f aca="false">B77&amp;"|"&amp;D77&amp;"|"&amp;C77</f>
        <v>Baby Chicks|Manure|Output</v>
      </c>
    </row>
    <row r="78" customFormat="false" ht="15" hidden="false" customHeight="true" outlineLevel="0" collapsed="false">
      <c r="A78" s="6" t="s">
        <v>1027</v>
      </c>
      <c r="B78" s="6" t="s">
        <v>242</v>
      </c>
      <c r="C78" s="6" t="s">
        <v>938</v>
      </c>
      <c r="D78" s="6" t="s">
        <v>71</v>
      </c>
      <c r="E78" s="26" t="n">
        <v>0.5</v>
      </c>
      <c r="F78" s="6" t="str">
        <f aca="false">IFERROR(INDEX(Resources!$B$2:$B$64,MATCH($D78,Resources!$A$2:$A$64,0)),"?")</f>
        <v>hours</v>
      </c>
      <c r="G78" s="6" t="s">
        <v>939</v>
      </c>
      <c r="H78" s="27" t="n">
        <f aca="false">E78*INDEX(Assumptions!$D$17:$D$23,MATCH(G78,Assumptions!$B$17:$B$23,0))</f>
        <v>0.5</v>
      </c>
      <c r="I78" s="6" t="n">
        <f aca="false">IFERROR(INDEX(Systems!$R$2:$R$179,MATCH($B78,Systems!$B$2:$B$179,0)),0)</f>
        <v>0</v>
      </c>
      <c r="J78" s="27" t="n">
        <f aca="false">H78*I78</f>
        <v>0</v>
      </c>
      <c r="K78" s="6" t="str">
        <f aca="false">IFERROR(IF(INDEX(Resources!$D$2:$D$64,MATCH($D78,Resources!$A$2:$A$64,0))="","",INDEX(Resources!$D$2:$D$64,MATCH($D78,Resources!$A$2:$A$64,0))),"")</f>
        <v>Est. Required Labor</v>
      </c>
      <c r="L78" s="28" t="n">
        <f aca="false">IF(K78="","",J78*INDEX(Resources!$E$2:$E$64,MATCH($D78,Resources!$A$2:$A$64,0)))</f>
        <v>0</v>
      </c>
      <c r="M78" s="6" t="str">
        <f aca="false">B78&amp;"|"&amp;D78&amp;"|"&amp;C78</f>
        <v>Beehive + Bee Colony|Labor|Input</v>
      </c>
      <c r="N78" s="6" t="s">
        <v>940</v>
      </c>
    </row>
    <row r="79" customFormat="false" ht="15" hidden="false" customHeight="true" outlineLevel="0" collapsed="false">
      <c r="A79" s="6" t="s">
        <v>1028</v>
      </c>
      <c r="B79" s="6" t="s">
        <v>242</v>
      </c>
      <c r="C79" s="6" t="s">
        <v>938</v>
      </c>
      <c r="D79" s="6" t="s">
        <v>436</v>
      </c>
      <c r="E79" s="26" t="n">
        <v>500</v>
      </c>
      <c r="F79" s="6" t="str">
        <f aca="false">IFERROR(INDEX(Resources!$B$2:$B$64,MATCH($D79,Resources!$A$2:$A$64,0)),"?")</f>
        <v>sq ft</v>
      </c>
      <c r="G79" s="6" t="s">
        <v>945</v>
      </c>
      <c r="H79" s="27" t="n">
        <f aca="false">E79*INDEX(Assumptions!$D$17:$D$23,MATCH(G79,Assumptions!$B$17:$B$23,0))</f>
        <v>500</v>
      </c>
      <c r="I79" s="6" t="n">
        <f aca="false">IFERROR(INDEX(Systems!$R$2:$R$179,MATCH($B79,Systems!$B$2:$B$179,0)),0)</f>
        <v>0</v>
      </c>
      <c r="J79" s="27" t="n">
        <f aca="false">H79*I79</f>
        <v>0</v>
      </c>
      <c r="K79" s="6" t="str">
        <f aca="false">IFERROR(IF(INDEX(Resources!$D$2:$D$64,MATCH($D79,Resources!$A$2:$A$64,0))="","",INDEX(Resources!$D$2:$D$64,MATCH($D79,Resources!$A$2:$A$64,0))),"")</f>
        <v/>
      </c>
      <c r="L79" s="28" t="str">
        <f aca="false">IF(K79="","",J79*INDEX(Resources!$E$2:$E$64,MATCH($D79,Resources!$A$2:$A$64,0)))</f>
        <v/>
      </c>
      <c r="M79" s="6" t="str">
        <f aca="false">B79&amp;"|"&amp;D79&amp;"|"&amp;C79</f>
        <v>Beehive + Bee Colony|Pollinator flowers|Input</v>
      </c>
    </row>
    <row r="80" customFormat="false" ht="15" hidden="false" customHeight="true" outlineLevel="0" collapsed="false">
      <c r="A80" s="6" t="s">
        <v>1029</v>
      </c>
      <c r="B80" s="6" t="s">
        <v>242</v>
      </c>
      <c r="C80" s="6" t="s">
        <v>938</v>
      </c>
      <c r="D80" s="6" t="s">
        <v>49</v>
      </c>
      <c r="E80" s="26" t="n">
        <v>1.5</v>
      </c>
      <c r="F80" s="6" t="str">
        <f aca="false">IFERROR(INDEX(Resources!$B$2:$B$64,MATCH($D80,Resources!$A$2:$A$64,0)),"?")</f>
        <v>gal</v>
      </c>
      <c r="G80" s="6" t="s">
        <v>939</v>
      </c>
      <c r="H80" s="27" t="n">
        <f aca="false">E80*INDEX(Assumptions!$D$17:$D$23,MATCH(G80,Assumptions!$B$17:$B$23,0))</f>
        <v>1.5</v>
      </c>
      <c r="I80" s="6" t="n">
        <f aca="false">IFERROR(INDEX(Systems!$R$2:$R$179,MATCH($B80,Systems!$B$2:$B$179,0)),0)</f>
        <v>0</v>
      </c>
      <c r="J80" s="27" t="n">
        <f aca="false">H80*I80</f>
        <v>0</v>
      </c>
      <c r="K80" s="6" t="str">
        <f aca="false">IFERROR(IF(INDEX(Resources!$D$2:$D$64,MATCH($D80,Resources!$A$2:$A$64,0))="","",INDEX(Resources!$D$2:$D$64,MATCH($D80,Resources!$A$2:$A$64,0))),"")</f>
        <v>Water</v>
      </c>
      <c r="L80" s="28" t="n">
        <f aca="false">IF(K80="","",J80*INDEX(Resources!$E$2:$E$64,MATCH($D80,Resources!$A$2:$A$64,0)))</f>
        <v>0</v>
      </c>
      <c r="M80" s="6" t="str">
        <f aca="false">B80&amp;"|"&amp;D80&amp;"|"&amp;C80</f>
        <v>Beehive + Bee Colony|Water|Input</v>
      </c>
    </row>
    <row r="81" customFormat="false" ht="15" hidden="false" customHeight="true" outlineLevel="0" collapsed="false">
      <c r="A81" s="6" t="s">
        <v>1030</v>
      </c>
      <c r="B81" s="6" t="s">
        <v>242</v>
      </c>
      <c r="C81" s="6" t="s">
        <v>943</v>
      </c>
      <c r="D81" s="6" t="s">
        <v>1031</v>
      </c>
      <c r="E81" s="26" t="n">
        <v>40</v>
      </c>
      <c r="F81" s="6" t="str">
        <f aca="false">IFERROR(INDEX(Resources!$B$2:$B$64,MATCH($D81,Resources!$A$2:$A$64,0)),"?")</f>
        <v>lbs</v>
      </c>
      <c r="G81" s="6" t="s">
        <v>1032</v>
      </c>
      <c r="H81" s="27" t="n">
        <f aca="false">E81*INDEX(Assumptions!$D$17:$D$23,MATCH(G81,Assumptions!$B$17:$B$23,0))</f>
        <v>0.769230769230769</v>
      </c>
      <c r="I81" s="6" t="n">
        <f aca="false">IFERROR(INDEX(Systems!$R$2:$R$179,MATCH($B81,Systems!$B$2:$B$179,0)),0)</f>
        <v>0</v>
      </c>
      <c r="J81" s="27" t="n">
        <f aca="false">H81*I81</f>
        <v>0</v>
      </c>
      <c r="K81" s="6" t="str">
        <f aca="false">IFERROR(IF(INDEX(Resources!$D$2:$D$64,MATCH($D81,Resources!$A$2:$A$64,0))="","",INDEX(Resources!$D$2:$D$64,MATCH($D81,Resources!$A$2:$A$64,0))),"")</f>
        <v>Food</v>
      </c>
      <c r="L81" s="28" t="n">
        <f aca="false">IF(K81="","",J81*INDEX(Resources!$E$2:$E$64,MATCH($D81,Resources!$A$2:$A$64,0)))</f>
        <v>0</v>
      </c>
      <c r="M81" s="6" t="str">
        <f aca="false">B81&amp;"|"&amp;D81&amp;"|"&amp;C81</f>
        <v>Beehive + Bee Colony|Honey|Output</v>
      </c>
    </row>
    <row r="82" customFormat="false" ht="15" hidden="false" customHeight="true" outlineLevel="0" collapsed="false">
      <c r="A82" s="6" t="s">
        <v>1033</v>
      </c>
      <c r="B82" s="6" t="s">
        <v>242</v>
      </c>
      <c r="C82" s="6" t="s">
        <v>943</v>
      </c>
      <c r="D82" s="6" t="s">
        <v>437</v>
      </c>
      <c r="E82" s="26" t="n">
        <v>4</v>
      </c>
      <c r="F82" s="6" t="str">
        <f aca="false">IFERROR(INDEX(Resources!$B$2:$B$64,MATCH($D82,Resources!$A$2:$A$64,0)),"?")</f>
        <v>units</v>
      </c>
      <c r="G82" s="6" t="s">
        <v>945</v>
      </c>
      <c r="H82" s="27" t="n">
        <f aca="false">E82*INDEX(Assumptions!$D$17:$D$23,MATCH(G82,Assumptions!$B$17:$B$23,0))</f>
        <v>4</v>
      </c>
      <c r="I82" s="6" t="n">
        <f aca="false">IFERROR(INDEX(Systems!$R$2:$R$179,MATCH($B82,Systems!$B$2:$B$179,0)),0)</f>
        <v>0</v>
      </c>
      <c r="J82" s="27" t="n">
        <f aca="false">H82*I82</f>
        <v>0</v>
      </c>
      <c r="K82" s="6" t="str">
        <f aca="false">IFERROR(IF(INDEX(Resources!$D$2:$D$64,MATCH($D82,Resources!$A$2:$A$64,0))="","",INDEX(Resources!$D$2:$D$64,MATCH($D82,Resources!$A$2:$A$64,0))),"")</f>
        <v/>
      </c>
      <c r="L82" s="28" t="str">
        <f aca="false">IF(K82="","",J82*INDEX(Resources!$E$2:$E$64,MATCH($D82,Resources!$A$2:$A$64,0)))</f>
        <v/>
      </c>
      <c r="M82" s="6" t="str">
        <f aca="false">B82&amp;"|"&amp;D82&amp;"|"&amp;C82</f>
        <v>Beehive + Bee Colony|Pollination|Output</v>
      </c>
    </row>
    <row r="83" customFormat="false" ht="15" hidden="false" customHeight="true" outlineLevel="0" collapsed="false">
      <c r="A83" s="6" t="s">
        <v>1034</v>
      </c>
      <c r="B83" s="6" t="s">
        <v>249</v>
      </c>
      <c r="C83" s="6" t="s">
        <v>938</v>
      </c>
      <c r="D83" s="6" t="s">
        <v>71</v>
      </c>
      <c r="E83" s="26" t="n">
        <v>0.5</v>
      </c>
      <c r="F83" s="6" t="str">
        <f aca="false">IFERROR(INDEX(Resources!$B$2:$B$64,MATCH($D83,Resources!$A$2:$A$64,0)),"?")</f>
        <v>hours</v>
      </c>
      <c r="G83" s="6" t="s">
        <v>939</v>
      </c>
      <c r="H83" s="27" t="n">
        <f aca="false">E83*INDEX(Assumptions!$D$17:$D$23,MATCH(G83,Assumptions!$B$17:$B$23,0))</f>
        <v>0.5</v>
      </c>
      <c r="I83" s="6" t="n">
        <f aca="false">IFERROR(INDEX(Systems!$R$2:$R$179,MATCH($B83,Systems!$B$2:$B$179,0)),0)</f>
        <v>0</v>
      </c>
      <c r="J83" s="27" t="n">
        <f aca="false">H83*I83</f>
        <v>0</v>
      </c>
      <c r="K83" s="6" t="str">
        <f aca="false">IFERROR(IF(INDEX(Resources!$D$2:$D$64,MATCH($D83,Resources!$A$2:$A$64,0))="","",INDEX(Resources!$D$2:$D$64,MATCH($D83,Resources!$A$2:$A$64,0))),"")</f>
        <v>Est. Required Labor</v>
      </c>
      <c r="L83" s="28" t="n">
        <f aca="false">IF(K83="","",J83*INDEX(Resources!$E$2:$E$64,MATCH($D83,Resources!$A$2:$A$64,0)))</f>
        <v>0</v>
      </c>
      <c r="M83" s="6" t="str">
        <f aca="false">B83&amp;"|"&amp;D83&amp;"|"&amp;C83</f>
        <v>Black Soldier Fly Protopod (BSF)|Labor|Input</v>
      </c>
      <c r="N83" s="6" t="s">
        <v>940</v>
      </c>
    </row>
    <row r="84" customFormat="false" ht="15" hidden="false" customHeight="true" outlineLevel="0" collapsed="false">
      <c r="A84" s="6" t="s">
        <v>1035</v>
      </c>
      <c r="B84" s="6" t="s">
        <v>249</v>
      </c>
      <c r="C84" s="6" t="s">
        <v>938</v>
      </c>
      <c r="D84" s="6" t="s">
        <v>1036</v>
      </c>
      <c r="E84" s="26" t="n">
        <v>5</v>
      </c>
      <c r="F84" s="6" t="str">
        <f aca="false">IFERROR(INDEX(Resources!$B$2:$B$64,MATCH($D84,Resources!$A$2:$A$64,0)),"?")</f>
        <v>lbs</v>
      </c>
      <c r="G84" s="6" t="s">
        <v>939</v>
      </c>
      <c r="H84" s="27" t="n">
        <f aca="false">E84*INDEX(Assumptions!$D$17:$D$23,MATCH(G84,Assumptions!$B$17:$B$23,0))</f>
        <v>5</v>
      </c>
      <c r="I84" s="6" t="n">
        <f aca="false">IFERROR(INDEX(Systems!$R$2:$R$179,MATCH($B84,Systems!$B$2:$B$179,0)),0)</f>
        <v>0</v>
      </c>
      <c r="J84" s="27" t="n">
        <f aca="false">H84*I84</f>
        <v>0</v>
      </c>
      <c r="K84" s="6" t="str">
        <f aca="false">IFERROR(IF(INDEX(Resources!$D$2:$D$64,MATCH($D84,Resources!$A$2:$A$64,0))="","",INDEX(Resources!$D$2:$D$64,MATCH($D84,Resources!$A$2:$A$64,0))),"")</f>
        <v/>
      </c>
      <c r="L84" s="28" t="str">
        <f aca="false">IF(K84="","",J84*INDEX(Resources!$E$2:$E$64,MATCH($D84,Resources!$A$2:$A$64,0)))</f>
        <v/>
      </c>
      <c r="M84" s="6" t="str">
        <f aca="false">B84&amp;"|"&amp;D84&amp;"|"&amp;C84</f>
        <v>Black Soldier Fly Protopod (BSF)|Coffee grounds|Input</v>
      </c>
    </row>
    <row r="85" customFormat="false" ht="15" hidden="false" customHeight="true" outlineLevel="0" collapsed="false">
      <c r="A85" s="6" t="s">
        <v>1037</v>
      </c>
      <c r="B85" s="6" t="s">
        <v>249</v>
      </c>
      <c r="C85" s="6" t="s">
        <v>938</v>
      </c>
      <c r="D85" s="6" t="s">
        <v>325</v>
      </c>
      <c r="E85" s="26" t="n">
        <v>15</v>
      </c>
      <c r="F85" s="6" t="str">
        <f aca="false">IFERROR(INDEX(Resources!$B$2:$B$64,MATCH($D85,Resources!$A$2:$A$64,0)),"?")</f>
        <v>lbs</v>
      </c>
      <c r="G85" s="6" t="s">
        <v>939</v>
      </c>
      <c r="H85" s="27" t="n">
        <f aca="false">E85*INDEX(Assumptions!$D$17:$D$23,MATCH(G85,Assumptions!$B$17:$B$23,0))</f>
        <v>15</v>
      </c>
      <c r="I85" s="6" t="n">
        <f aca="false">IFERROR(INDEX(Systems!$R$2:$R$179,MATCH($B85,Systems!$B$2:$B$179,0)),0)</f>
        <v>0</v>
      </c>
      <c r="J85" s="27" t="n">
        <f aca="false">H85*I85</f>
        <v>0</v>
      </c>
      <c r="K85" s="6" t="str">
        <f aca="false">IFERROR(IF(INDEX(Resources!$D$2:$D$64,MATCH($D85,Resources!$A$2:$A$64,0))="","",INDEX(Resources!$D$2:$D$64,MATCH($D85,Resources!$A$2:$A$64,0))),"")</f>
        <v/>
      </c>
      <c r="L85" s="28" t="str">
        <f aca="false">IF(K85="","",J85*INDEX(Resources!$E$2:$E$64,MATCH($D85,Resources!$A$2:$A$64,0)))</f>
        <v/>
      </c>
      <c r="M85" s="6" t="str">
        <f aca="false">B85&amp;"|"&amp;D85&amp;"|"&amp;C85</f>
        <v>Black Soldier Fly Protopod (BSF)|Food waste|Input</v>
      </c>
    </row>
    <row r="86" customFormat="false" ht="15" hidden="false" customHeight="true" outlineLevel="0" collapsed="false">
      <c r="A86" s="6" t="s">
        <v>1038</v>
      </c>
      <c r="B86" s="6" t="s">
        <v>249</v>
      </c>
      <c r="C86" s="6" t="s">
        <v>943</v>
      </c>
      <c r="D86" s="6" t="s">
        <v>240</v>
      </c>
      <c r="E86" s="26" t="n">
        <v>3</v>
      </c>
      <c r="F86" s="6" t="str">
        <f aca="false">IFERROR(INDEX(Resources!$B$2:$B$64,MATCH($D86,Resources!$A$2:$A$64,0)),"?")</f>
        <v>lbs</v>
      </c>
      <c r="G86" s="6" t="s">
        <v>939</v>
      </c>
      <c r="H86" s="27" t="n">
        <f aca="false">E86*INDEX(Assumptions!$D$17:$D$23,MATCH(G86,Assumptions!$B$17:$B$23,0))</f>
        <v>3</v>
      </c>
      <c r="I86" s="6" t="n">
        <f aca="false">IFERROR(INDEX(Systems!$R$2:$R$179,MATCH($B86,Systems!$B$2:$B$179,0)),0)</f>
        <v>0</v>
      </c>
      <c r="J86" s="27" t="n">
        <f aca="false">H86*I86</f>
        <v>0</v>
      </c>
      <c r="K86" s="6" t="str">
        <f aca="false">IFERROR(IF(INDEX(Resources!$D$2:$D$64,MATCH($D86,Resources!$A$2:$A$64,0))="","",INDEX(Resources!$D$2:$D$64,MATCH($D86,Resources!$A$2:$A$64,0))),"")</f>
        <v/>
      </c>
      <c r="L86" s="28" t="str">
        <f aca="false">IF(K86="","",J86*INDEX(Resources!$E$2:$E$64,MATCH($D86,Resources!$A$2:$A$64,0)))</f>
        <v/>
      </c>
      <c r="M86" s="6" t="str">
        <f aca="false">B86&amp;"|"&amp;D86&amp;"|"&amp;C86</f>
        <v>Black Soldier Fly Protopod (BSF)|Manure|Output</v>
      </c>
    </row>
    <row r="87" customFormat="false" ht="15" hidden="false" customHeight="true" outlineLevel="0" collapsed="false">
      <c r="A87" s="6" t="s">
        <v>1039</v>
      </c>
      <c r="B87" s="6" t="s">
        <v>249</v>
      </c>
      <c r="C87" s="6" t="s">
        <v>943</v>
      </c>
      <c r="D87" s="6" t="s">
        <v>1040</v>
      </c>
      <c r="E87" s="26" t="n">
        <v>3</v>
      </c>
      <c r="F87" s="6" t="str">
        <f aca="false">IFERROR(INDEX(Resources!$B$2:$B$64,MATCH($D87,Resources!$A$2:$A$64,0)),"?")</f>
        <v>lbs</v>
      </c>
      <c r="G87" s="6" t="s">
        <v>939</v>
      </c>
      <c r="H87" s="27" t="n">
        <f aca="false">E87*INDEX(Assumptions!$D$17:$D$23,MATCH(G87,Assumptions!$B$17:$B$23,0))</f>
        <v>3</v>
      </c>
      <c r="I87" s="6" t="n">
        <f aca="false">IFERROR(INDEX(Systems!$R$2:$R$179,MATCH($B87,Systems!$B$2:$B$179,0)),0)</f>
        <v>0</v>
      </c>
      <c r="J87" s="27" t="n">
        <f aca="false">H87*I87</f>
        <v>0</v>
      </c>
      <c r="K87" s="6" t="str">
        <f aca="false">IFERROR(IF(INDEX(Resources!$D$2:$D$64,MATCH($D87,Resources!$A$2:$A$64,0))="","",INDEX(Resources!$D$2:$D$64,MATCH($D87,Resources!$A$2:$A$64,0))),"")</f>
        <v/>
      </c>
      <c r="L87" s="28" t="str">
        <f aca="false">IF(K87="","",J87*INDEX(Resources!$E$2:$E$64,MATCH($D87,Resources!$A$2:$A$64,0)))</f>
        <v/>
      </c>
      <c r="M87" s="6" t="str">
        <f aca="false">B87&amp;"|"&amp;D87&amp;"|"&amp;C87</f>
        <v>Black Soldier Fly Protopod (BSF)|Grubs|Output</v>
      </c>
    </row>
    <row r="88" customFormat="false" ht="15" hidden="false" customHeight="true" outlineLevel="0" collapsed="false">
      <c r="A88" s="6" t="s">
        <v>1041</v>
      </c>
      <c r="B88" s="6" t="s">
        <v>255</v>
      </c>
      <c r="C88" s="6" t="s">
        <v>938</v>
      </c>
      <c r="D88" s="6" t="s">
        <v>71</v>
      </c>
      <c r="E88" s="26" t="n">
        <v>0.15</v>
      </c>
      <c r="F88" s="6" t="str">
        <f aca="false">IFERROR(INDEX(Resources!$B$2:$B$64,MATCH($D88,Resources!$A$2:$A$64,0)),"?")</f>
        <v>hours</v>
      </c>
      <c r="G88" s="6" t="s">
        <v>939</v>
      </c>
      <c r="H88" s="27" t="n">
        <f aca="false">E88*INDEX(Assumptions!$D$17:$D$23,MATCH(G88,Assumptions!$B$17:$B$23,0))</f>
        <v>0.15</v>
      </c>
      <c r="I88" s="6" t="n">
        <f aca="false">IFERROR(INDEX(Systems!$R$2:$R$179,MATCH($B88,Systems!$B$2:$B$179,0)),0)</f>
        <v>0</v>
      </c>
      <c r="J88" s="27" t="n">
        <f aca="false">H88*I88</f>
        <v>0</v>
      </c>
      <c r="K88" s="6" t="str">
        <f aca="false">IFERROR(IF(INDEX(Resources!$D$2:$D$64,MATCH($D88,Resources!$A$2:$A$64,0))="","",INDEX(Resources!$D$2:$D$64,MATCH($D88,Resources!$A$2:$A$64,0))),"")</f>
        <v>Est. Required Labor</v>
      </c>
      <c r="L88" s="28" t="n">
        <f aca="false">IF(K88="","",J88*INDEX(Resources!$E$2:$E$64,MATCH($D88,Resources!$A$2:$A$64,0)))</f>
        <v>0</v>
      </c>
      <c r="M88" s="6" t="str">
        <f aca="false">B88&amp;"|"&amp;D88&amp;"|"&amp;C88</f>
        <v>Chicken|Labor|Input</v>
      </c>
      <c r="N88" s="6" t="s">
        <v>940</v>
      </c>
    </row>
    <row r="89" customFormat="false" ht="15" hidden="false" customHeight="true" outlineLevel="0" collapsed="false">
      <c r="A89" s="6" t="s">
        <v>1042</v>
      </c>
      <c r="B89" s="6" t="s">
        <v>255</v>
      </c>
      <c r="C89" s="6" t="s">
        <v>938</v>
      </c>
      <c r="D89" s="6" t="s">
        <v>216</v>
      </c>
      <c r="E89" s="26" t="n">
        <v>0.5</v>
      </c>
      <c r="F89" s="6" t="str">
        <f aca="false">IFERROR(INDEX(Resources!$B$2:$B$64,MATCH($D89,Resources!$A$2:$A$64,0)),"?")</f>
        <v>lbs</v>
      </c>
      <c r="G89" s="6" t="s">
        <v>939</v>
      </c>
      <c r="H89" s="27" t="n">
        <f aca="false">E89*INDEX(Assumptions!$D$17:$D$23,MATCH(G89,Assumptions!$B$17:$B$23,0))</f>
        <v>0.5</v>
      </c>
      <c r="I89" s="6" t="n">
        <f aca="false">IFERROR(INDEX(Systems!$R$2:$R$179,MATCH($B89,Systems!$B$2:$B$179,0)),0)</f>
        <v>0</v>
      </c>
      <c r="J89" s="27" t="n">
        <f aca="false">H89*I89</f>
        <v>0</v>
      </c>
      <c r="K89" s="6" t="str">
        <f aca="false">IFERROR(IF(INDEX(Resources!$D$2:$D$64,MATCH($D89,Resources!$A$2:$A$64,0))="","",INDEX(Resources!$D$2:$D$64,MATCH($D89,Resources!$A$2:$A$64,0))),"")</f>
        <v/>
      </c>
      <c r="L89" s="28" t="str">
        <f aca="false">IF(K89="","",J89*INDEX(Resources!$E$2:$E$64,MATCH($D89,Resources!$A$2:$A$64,0)))</f>
        <v/>
      </c>
      <c r="M89" s="6" t="str">
        <f aca="false">B89&amp;"|"&amp;D89&amp;"|"&amp;C89</f>
        <v>Chicken|Green biomass|Input</v>
      </c>
    </row>
    <row r="90" customFormat="false" ht="15" hidden="false" customHeight="true" outlineLevel="0" collapsed="false">
      <c r="A90" s="6" t="s">
        <v>1043</v>
      </c>
      <c r="B90" s="6" t="s">
        <v>255</v>
      </c>
      <c r="C90" s="6" t="s">
        <v>938</v>
      </c>
      <c r="D90" s="6" t="s">
        <v>1040</v>
      </c>
      <c r="E90" s="26" t="n">
        <v>0.2</v>
      </c>
      <c r="F90" s="6" t="str">
        <f aca="false">IFERROR(INDEX(Resources!$B$2:$B$64,MATCH($D90,Resources!$A$2:$A$64,0)),"?")</f>
        <v>lbs</v>
      </c>
      <c r="G90" s="6" t="s">
        <v>939</v>
      </c>
      <c r="H90" s="27" t="n">
        <f aca="false">E90*INDEX(Assumptions!$D$17:$D$23,MATCH(G90,Assumptions!$B$17:$B$23,0))</f>
        <v>0.2</v>
      </c>
      <c r="I90" s="6" t="n">
        <f aca="false">IFERROR(INDEX(Systems!$R$2:$R$179,MATCH($B90,Systems!$B$2:$B$179,0)),0)</f>
        <v>0</v>
      </c>
      <c r="J90" s="27" t="n">
        <f aca="false">H90*I90</f>
        <v>0</v>
      </c>
      <c r="K90" s="6" t="str">
        <f aca="false">IFERROR(IF(INDEX(Resources!$D$2:$D$64,MATCH($D90,Resources!$A$2:$A$64,0))="","",INDEX(Resources!$D$2:$D$64,MATCH($D90,Resources!$A$2:$A$64,0))),"")</f>
        <v/>
      </c>
      <c r="L90" s="28" t="str">
        <f aca="false">IF(K90="","",J90*INDEX(Resources!$E$2:$E$64,MATCH($D90,Resources!$A$2:$A$64,0)))</f>
        <v/>
      </c>
      <c r="M90" s="6" t="str">
        <f aca="false">B90&amp;"|"&amp;D90&amp;"|"&amp;C90</f>
        <v>Chicken|Grubs|Input</v>
      </c>
    </row>
    <row r="91" customFormat="false" ht="15" hidden="false" customHeight="true" outlineLevel="0" collapsed="false">
      <c r="A91" s="6" t="s">
        <v>1044</v>
      </c>
      <c r="B91" s="6" t="s">
        <v>255</v>
      </c>
      <c r="C91" s="6" t="s">
        <v>938</v>
      </c>
      <c r="D91" s="6" t="s">
        <v>325</v>
      </c>
      <c r="E91" s="26" t="n">
        <v>0.3</v>
      </c>
      <c r="F91" s="6" t="str">
        <f aca="false">IFERROR(INDEX(Resources!$B$2:$B$64,MATCH($D91,Resources!$A$2:$A$64,0)),"?")</f>
        <v>lbs</v>
      </c>
      <c r="G91" s="6" t="s">
        <v>939</v>
      </c>
      <c r="H91" s="27" t="n">
        <f aca="false">E91*INDEX(Assumptions!$D$17:$D$23,MATCH(G91,Assumptions!$B$17:$B$23,0))</f>
        <v>0.3</v>
      </c>
      <c r="I91" s="6" t="n">
        <f aca="false">IFERROR(INDEX(Systems!$R$2:$R$179,MATCH($B91,Systems!$B$2:$B$179,0)),0)</f>
        <v>0</v>
      </c>
      <c r="J91" s="27" t="n">
        <f aca="false">H91*I91</f>
        <v>0</v>
      </c>
      <c r="K91" s="6" t="str">
        <f aca="false">IFERROR(IF(INDEX(Resources!$D$2:$D$64,MATCH($D91,Resources!$A$2:$A$64,0))="","",INDEX(Resources!$D$2:$D$64,MATCH($D91,Resources!$A$2:$A$64,0))),"")</f>
        <v/>
      </c>
      <c r="L91" s="28" t="str">
        <f aca="false">IF(K91="","",J91*INDEX(Resources!$E$2:$E$64,MATCH($D91,Resources!$A$2:$A$64,0)))</f>
        <v/>
      </c>
      <c r="M91" s="6" t="str">
        <f aca="false">B91&amp;"|"&amp;D91&amp;"|"&amp;C91</f>
        <v>Chicken|Food waste|Input</v>
      </c>
    </row>
    <row r="92" customFormat="false" ht="15" hidden="false" customHeight="true" outlineLevel="0" collapsed="false">
      <c r="A92" s="6" t="s">
        <v>1045</v>
      </c>
      <c r="B92" s="6" t="s">
        <v>255</v>
      </c>
      <c r="C92" s="6" t="s">
        <v>938</v>
      </c>
      <c r="D92" s="6" t="s">
        <v>49</v>
      </c>
      <c r="E92" s="26" t="n">
        <v>0.7</v>
      </c>
      <c r="F92" s="6" t="str">
        <f aca="false">IFERROR(INDEX(Resources!$B$2:$B$64,MATCH($D92,Resources!$A$2:$A$64,0)),"?")</f>
        <v>gal</v>
      </c>
      <c r="G92" s="6" t="s">
        <v>939</v>
      </c>
      <c r="H92" s="27" t="n">
        <f aca="false">E92*INDEX(Assumptions!$D$17:$D$23,MATCH(G92,Assumptions!$B$17:$B$23,0))</f>
        <v>0.7</v>
      </c>
      <c r="I92" s="6" t="n">
        <f aca="false">IFERROR(INDEX(Systems!$R$2:$R$179,MATCH($B92,Systems!$B$2:$B$179,0)),0)</f>
        <v>0</v>
      </c>
      <c r="J92" s="27" t="n">
        <f aca="false">H92*I92</f>
        <v>0</v>
      </c>
      <c r="K92" s="6" t="str">
        <f aca="false">IFERROR(IF(INDEX(Resources!$D$2:$D$64,MATCH($D92,Resources!$A$2:$A$64,0))="","",INDEX(Resources!$D$2:$D$64,MATCH($D92,Resources!$A$2:$A$64,0))),"")</f>
        <v>Water</v>
      </c>
      <c r="L92" s="28" t="n">
        <f aca="false">IF(K92="","",J92*INDEX(Resources!$E$2:$E$64,MATCH($D92,Resources!$A$2:$A$64,0)))</f>
        <v>0</v>
      </c>
      <c r="M92" s="6" t="str">
        <f aca="false">B92&amp;"|"&amp;D92&amp;"|"&amp;C92</f>
        <v>Chicken|Water|Input</v>
      </c>
    </row>
    <row r="93" customFormat="false" ht="15" hidden="false" customHeight="true" outlineLevel="0" collapsed="false">
      <c r="A93" s="6" t="s">
        <v>1046</v>
      </c>
      <c r="B93" s="6" t="s">
        <v>255</v>
      </c>
      <c r="C93" s="6" t="s">
        <v>938</v>
      </c>
      <c r="D93" s="6" t="s">
        <v>1025</v>
      </c>
      <c r="E93" s="26" t="n">
        <v>1.5</v>
      </c>
      <c r="F93" s="6" t="str">
        <f aca="false">IFERROR(INDEX(Resources!$B$2:$B$64,MATCH($D93,Resources!$A$2:$A$64,0)),"?")</f>
        <v>lbs</v>
      </c>
      <c r="G93" s="6" t="s">
        <v>939</v>
      </c>
      <c r="H93" s="27" t="n">
        <f aca="false">E93*INDEX(Assumptions!$D$17:$D$23,MATCH(G93,Assumptions!$B$17:$B$23,0))</f>
        <v>1.5</v>
      </c>
      <c r="I93" s="6" t="n">
        <f aca="false">IFERROR(INDEX(Systems!$R$2:$R$179,MATCH($B93,Systems!$B$2:$B$179,0)),0)</f>
        <v>0</v>
      </c>
      <c r="J93" s="27" t="n">
        <f aca="false">H93*I93</f>
        <v>0</v>
      </c>
      <c r="K93" s="6" t="str">
        <f aca="false">IFERROR(IF(INDEX(Resources!$D$2:$D$64,MATCH($D93,Resources!$A$2:$A$64,0))="","",INDEX(Resources!$D$2:$D$64,MATCH($D93,Resources!$A$2:$A$64,0))),"")</f>
        <v/>
      </c>
      <c r="L93" s="28" t="str">
        <f aca="false">IF(K93="","",J93*INDEX(Resources!$E$2:$E$64,MATCH($D93,Resources!$A$2:$A$64,0)))</f>
        <v/>
      </c>
      <c r="M93" s="6" t="str">
        <f aca="false">B93&amp;"|"&amp;D93&amp;"|"&amp;C93</f>
        <v>Chicken|Chicken feed|Input</v>
      </c>
    </row>
    <row r="94" customFormat="false" ht="15" hidden="false" customHeight="true" outlineLevel="0" collapsed="false">
      <c r="A94" s="6" t="s">
        <v>1047</v>
      </c>
      <c r="B94" s="6" t="s">
        <v>255</v>
      </c>
      <c r="C94" s="6" t="s">
        <v>943</v>
      </c>
      <c r="D94" s="6" t="s">
        <v>240</v>
      </c>
      <c r="E94" s="26" t="n">
        <v>1.5</v>
      </c>
      <c r="F94" s="6" t="str">
        <f aca="false">IFERROR(INDEX(Resources!$B$2:$B$64,MATCH($D94,Resources!$A$2:$A$64,0)),"?")</f>
        <v>lbs</v>
      </c>
      <c r="G94" s="6" t="s">
        <v>939</v>
      </c>
      <c r="H94" s="27" t="n">
        <f aca="false">E94*INDEX(Assumptions!$D$17:$D$23,MATCH(G94,Assumptions!$B$17:$B$23,0))</f>
        <v>1.5</v>
      </c>
      <c r="I94" s="6" t="n">
        <f aca="false">IFERROR(INDEX(Systems!$R$2:$R$179,MATCH($B94,Systems!$B$2:$B$179,0)),0)</f>
        <v>0</v>
      </c>
      <c r="J94" s="27" t="n">
        <f aca="false">H94*I94</f>
        <v>0</v>
      </c>
      <c r="K94" s="6" t="str">
        <f aca="false">IFERROR(IF(INDEX(Resources!$D$2:$D$64,MATCH($D94,Resources!$A$2:$A$64,0))="","",INDEX(Resources!$D$2:$D$64,MATCH($D94,Resources!$A$2:$A$64,0))),"")</f>
        <v/>
      </c>
      <c r="L94" s="28" t="str">
        <f aca="false">IF(K94="","",J94*INDEX(Resources!$E$2:$E$64,MATCH($D94,Resources!$A$2:$A$64,0)))</f>
        <v/>
      </c>
      <c r="M94" s="6" t="str">
        <f aca="false">B94&amp;"|"&amp;D94&amp;"|"&amp;C94</f>
        <v>Chicken|Manure|Output</v>
      </c>
    </row>
    <row r="95" customFormat="false" ht="15" hidden="false" customHeight="true" outlineLevel="0" collapsed="false">
      <c r="A95" s="6" t="s">
        <v>1048</v>
      </c>
      <c r="B95" s="6" t="s">
        <v>255</v>
      </c>
      <c r="C95" s="6" t="s">
        <v>943</v>
      </c>
      <c r="D95" s="6" t="s">
        <v>1049</v>
      </c>
      <c r="E95" s="26" t="n">
        <v>4.5</v>
      </c>
      <c r="F95" s="6" t="str">
        <f aca="false">IFERROR(INDEX(Resources!$B$2:$B$64,MATCH($D95,Resources!$A$2:$A$64,0)),"?")</f>
        <v>eggs</v>
      </c>
      <c r="G95" s="6" t="s">
        <v>939</v>
      </c>
      <c r="H95" s="27" t="n">
        <f aca="false">E95*INDEX(Assumptions!$D$17:$D$23,MATCH(G95,Assumptions!$B$17:$B$23,0))</f>
        <v>4.5</v>
      </c>
      <c r="I95" s="6" t="n">
        <f aca="false">IFERROR(INDEX(Systems!$R$2:$R$179,MATCH($B95,Systems!$B$2:$B$179,0)),0)</f>
        <v>0</v>
      </c>
      <c r="J95" s="27" t="n">
        <f aca="false">H95*I95</f>
        <v>0</v>
      </c>
      <c r="K95" s="6" t="str">
        <f aca="false">IFERROR(IF(INDEX(Resources!$D$2:$D$64,MATCH($D95,Resources!$A$2:$A$64,0))="","",INDEX(Resources!$D$2:$D$64,MATCH($D95,Resources!$A$2:$A$64,0))),"")</f>
        <v>Food</v>
      </c>
      <c r="L95" s="28" t="n">
        <f aca="false">IF(K95="","",J95*INDEX(Resources!$E$2:$E$64,MATCH($D95,Resources!$A$2:$A$64,0)))</f>
        <v>0</v>
      </c>
      <c r="M95" s="6" t="str">
        <f aca="false">B95&amp;"|"&amp;D95&amp;"|"&amp;C95</f>
        <v>Chicken|Eggs|Output</v>
      </c>
    </row>
    <row r="96" customFormat="false" ht="15" hidden="false" customHeight="true" outlineLevel="0" collapsed="false">
      <c r="A96" s="6" t="s">
        <v>1050</v>
      </c>
      <c r="B96" s="6" t="s">
        <v>261</v>
      </c>
      <c r="C96" s="6" t="s">
        <v>938</v>
      </c>
      <c r="D96" s="6" t="s">
        <v>71</v>
      </c>
      <c r="E96" s="26" t="n">
        <v>0.1</v>
      </c>
      <c r="F96" s="6" t="str">
        <f aca="false">IFERROR(INDEX(Resources!$B$2:$B$64,MATCH($D96,Resources!$A$2:$A$64,0)),"?")</f>
        <v>hours</v>
      </c>
      <c r="G96" s="6" t="s">
        <v>939</v>
      </c>
      <c r="H96" s="27" t="n">
        <f aca="false">E96*INDEX(Assumptions!$D$17:$D$23,MATCH(G96,Assumptions!$B$17:$B$23,0))</f>
        <v>0.1</v>
      </c>
      <c r="I96" s="6" t="n">
        <f aca="false">IFERROR(INDEX(Systems!$R$2:$R$179,MATCH($B96,Systems!$B$2:$B$179,0)),0)</f>
        <v>0</v>
      </c>
      <c r="J96" s="27" t="n">
        <f aca="false">H96*I96</f>
        <v>0</v>
      </c>
      <c r="K96" s="6" t="str">
        <f aca="false">IFERROR(IF(INDEX(Resources!$D$2:$D$64,MATCH($D96,Resources!$A$2:$A$64,0))="","",INDEX(Resources!$D$2:$D$64,MATCH($D96,Resources!$A$2:$A$64,0))),"")</f>
        <v>Est. Required Labor</v>
      </c>
      <c r="L96" s="28" t="n">
        <f aca="false">IF(K96="","",J96*INDEX(Resources!$E$2:$E$64,MATCH($D96,Resources!$A$2:$A$64,0)))</f>
        <v>0</v>
      </c>
      <c r="M96" s="6" t="str">
        <f aca="false">B96&amp;"|"&amp;D96&amp;"|"&amp;C96</f>
        <v>Aptera Electric Vehicle (Solar Charge)|Labor|Input</v>
      </c>
      <c r="N96" s="6" t="s">
        <v>940</v>
      </c>
    </row>
    <row r="97" customFormat="false" ht="15" hidden="false" customHeight="true" outlineLevel="0" collapsed="false">
      <c r="A97" s="6" t="s">
        <v>1051</v>
      </c>
      <c r="B97" s="6" t="s">
        <v>261</v>
      </c>
      <c r="C97" s="6" t="s">
        <v>938</v>
      </c>
      <c r="D97" s="6" t="s">
        <v>165</v>
      </c>
      <c r="E97" s="29" t="n">
        <f aca="false">Assumptions!$C$6*7</f>
        <v>35</v>
      </c>
      <c r="F97" s="6" t="str">
        <f aca="false">IFERROR(INDEX(Resources!$B$2:$B$64,MATCH($D97,Resources!$A$2:$A$64,0)),"?")</f>
        <v>sun-hours</v>
      </c>
      <c r="G97" s="6" t="s">
        <v>939</v>
      </c>
      <c r="H97" s="27" t="n">
        <f aca="false">E97*INDEX(Assumptions!$D$17:$D$23,MATCH(G97,Assumptions!$B$17:$B$23,0))</f>
        <v>35</v>
      </c>
      <c r="I97" s="6" t="n">
        <f aca="false">IFERROR(INDEX(Systems!$R$2:$R$179,MATCH($B97,Systems!$B$2:$B$179,0)),0)</f>
        <v>0</v>
      </c>
      <c r="J97" s="27" t="n">
        <f aca="false">H97*I97</f>
        <v>0</v>
      </c>
      <c r="K97" s="6" t="str">
        <f aca="false">IFERROR(IF(INDEX(Resources!$D$2:$D$64,MATCH($D97,Resources!$A$2:$A$64,0))="","",INDEX(Resources!$D$2:$D$64,MATCH($D97,Resources!$A$2:$A$64,0))),"")</f>
        <v/>
      </c>
      <c r="L97" s="28" t="str">
        <f aca="false">IF(K97="","",J97*INDEX(Resources!$E$2:$E$64,MATCH($D97,Resources!$A$2:$A$64,0)))</f>
        <v/>
      </c>
      <c r="M97" s="6" t="str">
        <f aca="false">B97&amp;"|"&amp;D97&amp;"|"&amp;C97</f>
        <v>Aptera Electric Vehicle (Solar Charge)|Sunlight|Input</v>
      </c>
      <c r="N97" s="6" t="s">
        <v>948</v>
      </c>
    </row>
    <row r="98" customFormat="false" ht="15" hidden="false" customHeight="true" outlineLevel="0" collapsed="false">
      <c r="A98" s="6" t="s">
        <v>1052</v>
      </c>
      <c r="B98" s="6" t="s">
        <v>261</v>
      </c>
      <c r="C98" s="6" t="s">
        <v>938</v>
      </c>
      <c r="D98" s="6" t="s">
        <v>269</v>
      </c>
      <c r="E98" s="26" t="n">
        <v>30</v>
      </c>
      <c r="F98" s="6" t="str">
        <f aca="false">IFERROR(INDEX(Resources!$B$2:$B$64,MATCH($D98,Resources!$A$2:$A$64,0)),"?")</f>
        <v>$</v>
      </c>
      <c r="G98" s="6" t="s">
        <v>939</v>
      </c>
      <c r="H98" s="27" t="n">
        <f aca="false">E98*INDEX(Assumptions!$D$17:$D$23,MATCH(G98,Assumptions!$B$17:$B$23,0))</f>
        <v>30</v>
      </c>
      <c r="I98" s="6" t="n">
        <f aca="false">IFERROR(INDEX(Systems!$R$2:$R$179,MATCH($B98,Systems!$B$2:$B$179,0)),0)</f>
        <v>0</v>
      </c>
      <c r="J98" s="27" t="n">
        <f aca="false">H98*I98</f>
        <v>0</v>
      </c>
      <c r="K98" s="6" t="str">
        <f aca="false">IFERROR(IF(INDEX(Resources!$D$2:$D$64,MATCH($D98,Resources!$A$2:$A$64,0))="","",INDEX(Resources!$D$2:$D$64,MATCH($D98,Resources!$A$2:$A$64,0))),"")</f>
        <v/>
      </c>
      <c r="L98" s="28" t="str">
        <f aca="false">IF(K98="","",J98*INDEX(Resources!$E$2:$E$64,MATCH($D98,Resources!$A$2:$A$64,0)))</f>
        <v/>
      </c>
      <c r="M98" s="6" t="str">
        <f aca="false">B98&amp;"|"&amp;D98&amp;"|"&amp;C98</f>
        <v>Aptera Electric Vehicle (Solar Charge)|Capital|Input</v>
      </c>
    </row>
    <row r="99" customFormat="false" ht="15" hidden="false" customHeight="true" outlineLevel="0" collapsed="false">
      <c r="A99" s="6" t="s">
        <v>1053</v>
      </c>
      <c r="B99" s="6" t="s">
        <v>261</v>
      </c>
      <c r="C99" s="6" t="s">
        <v>938</v>
      </c>
      <c r="D99" s="6" t="s">
        <v>59</v>
      </c>
      <c r="E99" s="26" t="n">
        <v>10</v>
      </c>
      <c r="F99" s="6" t="str">
        <f aca="false">IFERROR(INDEX(Resources!$B$2:$B$64,MATCH($D99,Resources!$A$2:$A$64,0)),"?")</f>
        <v>kWh</v>
      </c>
      <c r="G99" s="6" t="s">
        <v>939</v>
      </c>
      <c r="H99" s="27" t="n">
        <f aca="false">E99*INDEX(Assumptions!$D$17:$D$23,MATCH(G99,Assumptions!$B$17:$B$23,0))</f>
        <v>10</v>
      </c>
      <c r="I99" s="6" t="n">
        <f aca="false">IFERROR(INDEX(Systems!$R$2:$R$179,MATCH($B99,Systems!$B$2:$B$179,0)),0)</f>
        <v>0</v>
      </c>
      <c r="J99" s="27" t="n">
        <f aca="false">H99*I99</f>
        <v>0</v>
      </c>
      <c r="K99" s="6" t="str">
        <f aca="false">IFERROR(IF(INDEX(Resources!$D$2:$D$64,MATCH($D99,Resources!$A$2:$A$64,0))="","",INDEX(Resources!$D$2:$D$64,MATCH($D99,Resources!$A$2:$A$64,0))),"")</f>
        <v>Electricity</v>
      </c>
      <c r="L99" s="28" t="n">
        <f aca="false">IF(K99="","",J99*INDEX(Resources!$E$2:$E$64,MATCH($D99,Resources!$A$2:$A$64,0)))</f>
        <v>0</v>
      </c>
      <c r="M99" s="6" t="str">
        <f aca="false">B99&amp;"|"&amp;D99&amp;"|"&amp;C99</f>
        <v>Aptera Electric Vehicle (Solar Charge)|Electricity|Input</v>
      </c>
    </row>
    <row r="100" customFormat="false" ht="15" hidden="false" customHeight="true" outlineLevel="0" collapsed="false">
      <c r="A100" s="6" t="s">
        <v>1054</v>
      </c>
      <c r="B100" s="6" t="s">
        <v>261</v>
      </c>
      <c r="C100" s="6" t="s">
        <v>943</v>
      </c>
      <c r="D100" s="6" t="s">
        <v>61</v>
      </c>
      <c r="E100" s="26" t="n">
        <v>200</v>
      </c>
      <c r="F100" s="6" t="str">
        <f aca="false">IFERROR(INDEX(Resources!$B$2:$B$64,MATCH($D100,Resources!$A$2:$A$64,0)),"?")</f>
        <v>miles</v>
      </c>
      <c r="G100" s="6" t="s">
        <v>939</v>
      </c>
      <c r="H100" s="27" t="n">
        <f aca="false">E100*INDEX(Assumptions!$D$17:$D$23,MATCH(G100,Assumptions!$B$17:$B$23,0))</f>
        <v>200</v>
      </c>
      <c r="I100" s="6" t="n">
        <f aca="false">IFERROR(INDEX(Systems!$R$2:$R$179,MATCH($B100,Systems!$B$2:$B$179,0)),0)</f>
        <v>0</v>
      </c>
      <c r="J100" s="27" t="n">
        <f aca="false">H100*I100</f>
        <v>0</v>
      </c>
      <c r="K100" s="6" t="str">
        <f aca="false">IFERROR(IF(INDEX(Resources!$D$2:$D$64,MATCH($D100,Resources!$A$2:$A$64,0))="","",INDEX(Resources!$D$2:$D$64,MATCH($D100,Resources!$A$2:$A$64,0))),"")</f>
        <v>Transportation</v>
      </c>
      <c r="L100" s="28" t="n">
        <f aca="false">IF(K100="","",J100*INDEX(Resources!$E$2:$E$64,MATCH($D100,Resources!$A$2:$A$64,0)))</f>
        <v>0</v>
      </c>
      <c r="M100" s="6" t="str">
        <f aca="false">B100&amp;"|"&amp;D100&amp;"|"&amp;C100</f>
        <v>Aptera Electric Vehicle (Solar Charge)|Transportation|Output</v>
      </c>
    </row>
    <row r="101" customFormat="false" ht="15" hidden="false" customHeight="true" outlineLevel="0" collapsed="false">
      <c r="A101" s="6" t="s">
        <v>1055</v>
      </c>
      <c r="B101" s="6" t="s">
        <v>266</v>
      </c>
      <c r="C101" s="6" t="s">
        <v>938</v>
      </c>
      <c r="D101" s="6" t="s">
        <v>71</v>
      </c>
      <c r="E101" s="26" t="n">
        <v>0.2</v>
      </c>
      <c r="F101" s="6" t="str">
        <f aca="false">IFERROR(INDEX(Resources!$B$2:$B$64,MATCH($D101,Resources!$A$2:$A$64,0)),"?")</f>
        <v>hours</v>
      </c>
      <c r="G101" s="6" t="s">
        <v>939</v>
      </c>
      <c r="H101" s="27" t="n">
        <f aca="false">E101*INDEX(Assumptions!$D$17:$D$23,MATCH(G101,Assumptions!$B$17:$B$23,0))</f>
        <v>0.2</v>
      </c>
      <c r="I101" s="6" t="n">
        <f aca="false">IFERROR(INDEX(Systems!$R$2:$R$179,MATCH($B101,Systems!$B$2:$B$179,0)),0)</f>
        <v>0</v>
      </c>
      <c r="J101" s="27" t="n">
        <f aca="false">H101*I101</f>
        <v>0</v>
      </c>
      <c r="K101" s="6" t="str">
        <f aca="false">IFERROR(IF(INDEX(Resources!$D$2:$D$64,MATCH($D101,Resources!$A$2:$A$64,0))="","",INDEX(Resources!$D$2:$D$64,MATCH($D101,Resources!$A$2:$A$64,0))),"")</f>
        <v>Est. Required Labor</v>
      </c>
      <c r="L101" s="28" t="n">
        <f aca="false">IF(K101="","",J101*INDEX(Resources!$E$2:$E$64,MATCH($D101,Resources!$A$2:$A$64,0)))</f>
        <v>0</v>
      </c>
      <c r="M101" s="6" t="str">
        <f aca="false">B101&amp;"|"&amp;D101&amp;"|"&amp;C101</f>
        <v>Average American Vehicle|Labor|Input</v>
      </c>
      <c r="N101" s="6" t="s">
        <v>940</v>
      </c>
    </row>
    <row r="102" customFormat="false" ht="15" hidden="false" customHeight="true" outlineLevel="0" collapsed="false">
      <c r="A102" s="6" t="s">
        <v>1056</v>
      </c>
      <c r="B102" s="6" t="s">
        <v>266</v>
      </c>
      <c r="C102" s="6" t="s">
        <v>938</v>
      </c>
      <c r="D102" s="6" t="s">
        <v>269</v>
      </c>
      <c r="E102" s="26" t="n">
        <v>120</v>
      </c>
      <c r="F102" s="6" t="str">
        <f aca="false">IFERROR(INDEX(Resources!$B$2:$B$64,MATCH($D102,Resources!$A$2:$A$64,0)),"?")</f>
        <v>$</v>
      </c>
      <c r="G102" s="6" t="s">
        <v>939</v>
      </c>
      <c r="H102" s="27" t="n">
        <f aca="false">E102*INDEX(Assumptions!$D$17:$D$23,MATCH(G102,Assumptions!$B$17:$B$23,0))</f>
        <v>120</v>
      </c>
      <c r="I102" s="6" t="n">
        <f aca="false">IFERROR(INDEX(Systems!$R$2:$R$179,MATCH($B102,Systems!$B$2:$B$179,0)),0)</f>
        <v>0</v>
      </c>
      <c r="J102" s="27" t="n">
        <f aca="false">H102*I102</f>
        <v>0</v>
      </c>
      <c r="K102" s="6" t="str">
        <f aca="false">IFERROR(IF(INDEX(Resources!$D$2:$D$64,MATCH($D102,Resources!$A$2:$A$64,0))="","",INDEX(Resources!$D$2:$D$64,MATCH($D102,Resources!$A$2:$A$64,0))),"")</f>
        <v/>
      </c>
      <c r="L102" s="28" t="str">
        <f aca="false">IF(K102="","",J102*INDEX(Resources!$E$2:$E$64,MATCH($D102,Resources!$A$2:$A$64,0)))</f>
        <v/>
      </c>
      <c r="M102" s="6" t="str">
        <f aca="false">B102&amp;"|"&amp;D102&amp;"|"&amp;C102</f>
        <v>Average American Vehicle|Capital|Input</v>
      </c>
    </row>
    <row r="103" customFormat="false" ht="15" hidden="false" customHeight="true" outlineLevel="0" collapsed="false">
      <c r="A103" s="6" t="s">
        <v>1057</v>
      </c>
      <c r="B103" s="6" t="s">
        <v>266</v>
      </c>
      <c r="C103" s="6" t="s">
        <v>938</v>
      </c>
      <c r="D103" s="6" t="s">
        <v>999</v>
      </c>
      <c r="E103" s="26" t="n">
        <v>9</v>
      </c>
      <c r="F103" s="6" t="str">
        <f aca="false">IFERROR(INDEX(Resources!$B$2:$B$64,MATCH($D103,Resources!$A$2:$A$64,0)),"?")</f>
        <v>gal</v>
      </c>
      <c r="G103" s="6" t="s">
        <v>939</v>
      </c>
      <c r="H103" s="27" t="n">
        <f aca="false">E103*INDEX(Assumptions!$D$17:$D$23,MATCH(G103,Assumptions!$B$17:$B$23,0))</f>
        <v>9</v>
      </c>
      <c r="I103" s="6" t="n">
        <f aca="false">IFERROR(INDEX(Systems!$R$2:$R$179,MATCH($B103,Systems!$B$2:$B$179,0)),0)</f>
        <v>0</v>
      </c>
      <c r="J103" s="27" t="n">
        <f aca="false">H103*I103</f>
        <v>0</v>
      </c>
      <c r="K103" s="6" t="str">
        <f aca="false">IFERROR(IF(INDEX(Resources!$D$2:$D$64,MATCH($D103,Resources!$A$2:$A$64,0))="","",INDEX(Resources!$D$2:$D$64,MATCH($D103,Resources!$A$2:$A$64,0))),"")</f>
        <v/>
      </c>
      <c r="L103" s="28" t="str">
        <f aca="false">IF(K103="","",J103*INDEX(Resources!$E$2:$E$64,MATCH($D103,Resources!$A$2:$A$64,0)))</f>
        <v/>
      </c>
      <c r="M103" s="6" t="str">
        <f aca="false">B103&amp;"|"&amp;D103&amp;"|"&amp;C103</f>
        <v>Average American Vehicle|Gasoline|Input</v>
      </c>
    </row>
    <row r="104" customFormat="false" ht="15" hidden="false" customHeight="true" outlineLevel="0" collapsed="false">
      <c r="A104" s="6" t="s">
        <v>1058</v>
      </c>
      <c r="B104" s="6" t="s">
        <v>266</v>
      </c>
      <c r="C104" s="6" t="s">
        <v>943</v>
      </c>
      <c r="D104" s="6" t="s">
        <v>61</v>
      </c>
      <c r="E104" s="26" t="n">
        <v>250</v>
      </c>
      <c r="F104" s="6" t="str">
        <f aca="false">IFERROR(INDEX(Resources!$B$2:$B$64,MATCH($D104,Resources!$A$2:$A$64,0)),"?")</f>
        <v>miles</v>
      </c>
      <c r="G104" s="6" t="s">
        <v>939</v>
      </c>
      <c r="H104" s="27" t="n">
        <f aca="false">E104*INDEX(Assumptions!$D$17:$D$23,MATCH(G104,Assumptions!$B$17:$B$23,0))</f>
        <v>250</v>
      </c>
      <c r="I104" s="6" t="n">
        <f aca="false">IFERROR(INDEX(Systems!$R$2:$R$179,MATCH($B104,Systems!$B$2:$B$179,0)),0)</f>
        <v>0</v>
      </c>
      <c r="J104" s="27" t="n">
        <f aca="false">H104*I104</f>
        <v>0</v>
      </c>
      <c r="K104" s="6" t="str">
        <f aca="false">IFERROR(IF(INDEX(Resources!$D$2:$D$64,MATCH($D104,Resources!$A$2:$A$64,0))="","",INDEX(Resources!$D$2:$D$64,MATCH($D104,Resources!$A$2:$A$64,0))),"")</f>
        <v>Transportation</v>
      </c>
      <c r="L104" s="28" t="n">
        <f aca="false">IF(K104="","",J104*INDEX(Resources!$E$2:$E$64,MATCH($D104,Resources!$A$2:$A$64,0)))</f>
        <v>0</v>
      </c>
      <c r="M104" s="6" t="str">
        <f aca="false">B104&amp;"|"&amp;D104&amp;"|"&amp;C104</f>
        <v>Average American Vehicle|Transportation|Output</v>
      </c>
    </row>
    <row r="105" customFormat="false" ht="15" hidden="false" customHeight="true" outlineLevel="0" collapsed="false">
      <c r="A105" s="6" t="s">
        <v>1059</v>
      </c>
      <c r="B105" s="6" t="s">
        <v>272</v>
      </c>
      <c r="C105" s="6" t="s">
        <v>938</v>
      </c>
      <c r="D105" s="6" t="s">
        <v>71</v>
      </c>
      <c r="E105" s="26" t="n">
        <v>4.2</v>
      </c>
      <c r="F105" s="6" t="str">
        <f aca="false">IFERROR(INDEX(Resources!$B$2:$B$64,MATCH($D105,Resources!$A$2:$A$64,0)),"?")</f>
        <v>hours</v>
      </c>
      <c r="G105" s="6" t="s">
        <v>939</v>
      </c>
      <c r="H105" s="27" t="n">
        <f aca="false">E105*INDEX(Assumptions!$D$17:$D$23,MATCH(G105,Assumptions!$B$17:$B$23,0))</f>
        <v>4.2</v>
      </c>
      <c r="I105" s="6" t="n">
        <f aca="false">IFERROR(INDEX(Systems!$R$2:$R$179,MATCH($B105,Systems!$B$2:$B$179,0)),0)</f>
        <v>0</v>
      </c>
      <c r="J105" s="27" t="n">
        <f aca="false">H105*I105</f>
        <v>0</v>
      </c>
      <c r="K105" s="6" t="str">
        <f aca="false">IFERROR(IF(INDEX(Resources!$D$2:$D$64,MATCH($D105,Resources!$A$2:$A$64,0))="","",INDEX(Resources!$D$2:$D$64,MATCH($D105,Resources!$A$2:$A$64,0))),"")</f>
        <v>Est. Required Labor</v>
      </c>
      <c r="L105" s="28" t="n">
        <f aca="false">IF(K105="","",J105*INDEX(Resources!$E$2:$E$64,MATCH($D105,Resources!$A$2:$A$64,0)))</f>
        <v>0</v>
      </c>
      <c r="M105" s="6" t="str">
        <f aca="false">B105&amp;"|"&amp;D105&amp;"|"&amp;C105</f>
        <v>Bike|Labor|Input</v>
      </c>
      <c r="N105" s="6" t="s">
        <v>1060</v>
      </c>
    </row>
    <row r="106" customFormat="false" ht="15" hidden="false" customHeight="true" outlineLevel="0" collapsed="false">
      <c r="A106" s="6" t="s">
        <v>1061</v>
      </c>
      <c r="B106" s="6" t="s">
        <v>272</v>
      </c>
      <c r="C106" s="6" t="s">
        <v>938</v>
      </c>
      <c r="D106" s="6" t="s">
        <v>52</v>
      </c>
      <c r="E106" s="26" t="n">
        <v>2000</v>
      </c>
      <c r="F106" s="6" t="str">
        <f aca="false">IFERROR(INDEX(Resources!$B$2:$B$64,MATCH($D106,Resources!$A$2:$A$64,0)),"?")</f>
        <v>kcal</v>
      </c>
      <c r="G106" s="6" t="s">
        <v>939</v>
      </c>
      <c r="H106" s="27" t="n">
        <f aca="false">E106*INDEX(Assumptions!$D$17:$D$23,MATCH(G106,Assumptions!$B$17:$B$23,0))</f>
        <v>2000</v>
      </c>
      <c r="I106" s="6" t="n">
        <f aca="false">IFERROR(INDEX(Systems!$R$2:$R$179,MATCH($B106,Systems!$B$2:$B$179,0)),0)</f>
        <v>0</v>
      </c>
      <c r="J106" s="27" t="n">
        <f aca="false">H106*I106</f>
        <v>0</v>
      </c>
      <c r="K106" s="6" t="str">
        <f aca="false">IFERROR(IF(INDEX(Resources!$D$2:$D$64,MATCH($D106,Resources!$A$2:$A$64,0))="","",INDEX(Resources!$D$2:$D$64,MATCH($D106,Resources!$A$2:$A$64,0))),"")</f>
        <v>Food</v>
      </c>
      <c r="L106" s="28" t="n">
        <f aca="false">IF(K106="","",J106*INDEX(Resources!$E$2:$E$64,MATCH($D106,Resources!$A$2:$A$64,0)))</f>
        <v>0</v>
      </c>
      <c r="M106" s="6" t="str">
        <f aca="false">B106&amp;"|"&amp;D106&amp;"|"&amp;C106</f>
        <v>Bike|Food|Input</v>
      </c>
    </row>
    <row r="107" customFormat="false" ht="15" hidden="false" customHeight="true" outlineLevel="0" collapsed="false">
      <c r="A107" s="6" t="s">
        <v>1062</v>
      </c>
      <c r="B107" s="6" t="s">
        <v>272</v>
      </c>
      <c r="C107" s="6" t="s">
        <v>938</v>
      </c>
      <c r="D107" s="6" t="s">
        <v>329</v>
      </c>
      <c r="E107" s="26" t="n">
        <v>10</v>
      </c>
      <c r="F107" s="6" t="str">
        <f aca="false">IFERROR(INDEX(Resources!$B$2:$B$64,MATCH($D107,Resources!$A$2:$A$64,0)),"?")</f>
        <v>cu ft</v>
      </c>
      <c r="G107" s="6" t="s">
        <v>945</v>
      </c>
      <c r="H107" s="27" t="n">
        <f aca="false">E107*INDEX(Assumptions!$D$17:$D$23,MATCH(G107,Assumptions!$B$17:$B$23,0))</f>
        <v>10</v>
      </c>
      <c r="I107" s="6" t="n">
        <f aca="false">IFERROR(INDEX(Systems!$R$2:$R$179,MATCH($B107,Systems!$B$2:$B$179,0)),0)</f>
        <v>0</v>
      </c>
      <c r="J107" s="27" t="n">
        <f aca="false">H107*I107</f>
        <v>0</v>
      </c>
      <c r="K107" s="6" t="str">
        <f aca="false">IFERROR(IF(INDEX(Resources!$D$2:$D$64,MATCH($D107,Resources!$A$2:$A$64,0))="","",INDEX(Resources!$D$2:$D$64,MATCH($D107,Resources!$A$2:$A$64,0))),"")</f>
        <v/>
      </c>
      <c r="L107" s="28" t="str">
        <f aca="false">IF(K107="","",J107*INDEX(Resources!$E$2:$E$64,MATCH($D107,Resources!$A$2:$A$64,0)))</f>
        <v/>
      </c>
      <c r="M107" s="6" t="str">
        <f aca="false">B107&amp;"|"&amp;D107&amp;"|"&amp;C107</f>
        <v>Bike|Storage space|Input</v>
      </c>
    </row>
    <row r="108" customFormat="false" ht="15" hidden="false" customHeight="true" outlineLevel="0" collapsed="false">
      <c r="A108" s="6" t="s">
        <v>1063</v>
      </c>
      <c r="B108" s="6" t="s">
        <v>272</v>
      </c>
      <c r="C108" s="6" t="s">
        <v>943</v>
      </c>
      <c r="D108" s="6" t="s">
        <v>61</v>
      </c>
      <c r="E108" s="26" t="n">
        <v>50</v>
      </c>
      <c r="F108" s="6" t="str">
        <f aca="false">IFERROR(INDEX(Resources!$B$2:$B$64,MATCH($D108,Resources!$A$2:$A$64,0)),"?")</f>
        <v>miles</v>
      </c>
      <c r="G108" s="6" t="s">
        <v>939</v>
      </c>
      <c r="H108" s="27" t="n">
        <f aca="false">E108*INDEX(Assumptions!$D$17:$D$23,MATCH(G108,Assumptions!$B$17:$B$23,0))</f>
        <v>50</v>
      </c>
      <c r="I108" s="6" t="n">
        <f aca="false">IFERROR(INDEX(Systems!$R$2:$R$179,MATCH($B108,Systems!$B$2:$B$179,0)),0)</f>
        <v>0</v>
      </c>
      <c r="J108" s="27" t="n">
        <f aca="false">H108*I108</f>
        <v>0</v>
      </c>
      <c r="K108" s="6" t="str">
        <f aca="false">IFERROR(IF(INDEX(Resources!$D$2:$D$64,MATCH($D108,Resources!$A$2:$A$64,0))="","",INDEX(Resources!$D$2:$D$64,MATCH($D108,Resources!$A$2:$A$64,0))),"")</f>
        <v>Transportation</v>
      </c>
      <c r="L108" s="28" t="n">
        <f aca="false">IF(K108="","",J108*INDEX(Resources!$E$2:$E$64,MATCH($D108,Resources!$A$2:$A$64,0)))</f>
        <v>0</v>
      </c>
      <c r="M108" s="6" t="str">
        <f aca="false">B108&amp;"|"&amp;D108&amp;"|"&amp;C108</f>
        <v>Bike|Transportation|Output</v>
      </c>
    </row>
    <row r="109" customFormat="false" ht="15" hidden="false" customHeight="true" outlineLevel="0" collapsed="false">
      <c r="A109" s="6" t="s">
        <v>1064</v>
      </c>
      <c r="B109" s="6" t="s">
        <v>272</v>
      </c>
      <c r="C109" s="6" t="s">
        <v>943</v>
      </c>
      <c r="D109" s="6" t="s">
        <v>462</v>
      </c>
      <c r="E109" s="26" t="n">
        <v>10</v>
      </c>
      <c r="F109" s="6" t="str">
        <f aca="false">IFERROR(INDEX(Resources!$B$2:$B$64,MATCH($D109,Resources!$A$2:$A$64,0)),"?")</f>
        <v>points</v>
      </c>
      <c r="G109" s="6" t="s">
        <v>939</v>
      </c>
      <c r="H109" s="27" t="n">
        <f aca="false">E109*INDEX(Assumptions!$D$17:$D$23,MATCH(G109,Assumptions!$B$17:$B$23,0))</f>
        <v>10</v>
      </c>
      <c r="I109" s="6" t="n">
        <f aca="false">IFERROR(INDEX(Systems!$R$2:$R$179,MATCH($B109,Systems!$B$2:$B$179,0)),0)</f>
        <v>0</v>
      </c>
      <c r="J109" s="27" t="n">
        <f aca="false">H109*I109</f>
        <v>0</v>
      </c>
      <c r="K109" s="6" t="str">
        <f aca="false">IFERROR(IF(INDEX(Resources!$D$2:$D$64,MATCH($D109,Resources!$A$2:$A$64,0))="","",INDEX(Resources!$D$2:$D$64,MATCH($D109,Resources!$A$2:$A$64,0))),"")</f>
        <v/>
      </c>
      <c r="L109" s="28" t="str">
        <f aca="false">IF(K109="","",J109*INDEX(Resources!$E$2:$E$64,MATCH($D109,Resources!$A$2:$A$64,0)))</f>
        <v/>
      </c>
      <c r="M109" s="6" t="str">
        <f aca="false">B109&amp;"|"&amp;D109&amp;"|"&amp;C109</f>
        <v>Bike|Wellbeing|Output</v>
      </c>
    </row>
    <row r="110" customFormat="false" ht="15" hidden="false" customHeight="true" outlineLevel="0" collapsed="false">
      <c r="A110" s="6" t="s">
        <v>1065</v>
      </c>
      <c r="B110" s="6" t="s">
        <v>277</v>
      </c>
      <c r="C110" s="6" t="s">
        <v>938</v>
      </c>
      <c r="D110" s="6" t="s">
        <v>71</v>
      </c>
      <c r="E110" s="26" t="n">
        <v>0.25</v>
      </c>
      <c r="F110" s="6" t="str">
        <f aca="false">IFERROR(INDEX(Resources!$B$2:$B$64,MATCH($D110,Resources!$A$2:$A$64,0)),"?")</f>
        <v>hours</v>
      </c>
      <c r="G110" s="6" t="s">
        <v>939</v>
      </c>
      <c r="H110" s="27" t="n">
        <f aca="false">E110*INDEX(Assumptions!$D$17:$D$23,MATCH(G110,Assumptions!$B$17:$B$23,0))</f>
        <v>0.25</v>
      </c>
      <c r="I110" s="6" t="n">
        <f aca="false">IFERROR(INDEX(Systems!$R$2:$R$179,MATCH($B110,Systems!$B$2:$B$179,0)),0)</f>
        <v>0</v>
      </c>
      <c r="J110" s="27" t="n">
        <f aca="false">H110*I110</f>
        <v>0</v>
      </c>
      <c r="K110" s="6" t="str">
        <f aca="false">IFERROR(IF(INDEX(Resources!$D$2:$D$64,MATCH($D110,Resources!$A$2:$A$64,0))="","",INDEX(Resources!$D$2:$D$64,MATCH($D110,Resources!$A$2:$A$64,0))),"")</f>
        <v>Est. Required Labor</v>
      </c>
      <c r="L110" s="28" t="n">
        <f aca="false">IF(K110="","",J110*INDEX(Resources!$E$2:$E$64,MATCH($D110,Resources!$A$2:$A$64,0)))</f>
        <v>0</v>
      </c>
      <c r="M110" s="6" t="str">
        <f aca="false">B110&amp;"|"&amp;D110&amp;"|"&amp;C110</f>
        <v>Drinking Water Filter|Labor|Input</v>
      </c>
      <c r="N110" s="6" t="s">
        <v>940</v>
      </c>
    </row>
    <row r="111" customFormat="false" ht="15" hidden="false" customHeight="true" outlineLevel="0" collapsed="false">
      <c r="A111" s="6" t="s">
        <v>1066</v>
      </c>
      <c r="B111" s="6" t="s">
        <v>277</v>
      </c>
      <c r="C111" s="6" t="s">
        <v>938</v>
      </c>
      <c r="D111" s="6" t="s">
        <v>49</v>
      </c>
      <c r="E111" s="26" t="n">
        <v>14</v>
      </c>
      <c r="F111" s="6" t="str">
        <f aca="false">IFERROR(INDEX(Resources!$B$2:$B$64,MATCH($D111,Resources!$A$2:$A$64,0)),"?")</f>
        <v>gal</v>
      </c>
      <c r="G111" s="6" t="s">
        <v>939</v>
      </c>
      <c r="H111" s="27" t="n">
        <f aca="false">E111*INDEX(Assumptions!$D$17:$D$23,MATCH(G111,Assumptions!$B$17:$B$23,0))</f>
        <v>14</v>
      </c>
      <c r="I111" s="6" t="n">
        <f aca="false">IFERROR(INDEX(Systems!$R$2:$R$179,MATCH($B111,Systems!$B$2:$B$179,0)),0)</f>
        <v>0</v>
      </c>
      <c r="J111" s="27" t="n">
        <f aca="false">H111*I111</f>
        <v>0</v>
      </c>
      <c r="K111" s="6" t="str">
        <f aca="false">IFERROR(IF(INDEX(Resources!$D$2:$D$64,MATCH($D111,Resources!$A$2:$A$64,0))="","",INDEX(Resources!$D$2:$D$64,MATCH($D111,Resources!$A$2:$A$64,0))),"")</f>
        <v>Water</v>
      </c>
      <c r="L111" s="28" t="n">
        <f aca="false">IF(K111="","",J111*INDEX(Resources!$E$2:$E$64,MATCH($D111,Resources!$A$2:$A$64,0)))</f>
        <v>0</v>
      </c>
      <c r="M111" s="6" t="str">
        <f aca="false">B111&amp;"|"&amp;D111&amp;"|"&amp;C111</f>
        <v>Drinking Water Filter|Water|Input</v>
      </c>
    </row>
    <row r="112" customFormat="false" ht="15" hidden="false" customHeight="true" outlineLevel="0" collapsed="false">
      <c r="A112" s="6" t="s">
        <v>1067</v>
      </c>
      <c r="B112" s="6" t="s">
        <v>277</v>
      </c>
      <c r="C112" s="6" t="s">
        <v>943</v>
      </c>
      <c r="D112" s="6" t="s">
        <v>51</v>
      </c>
      <c r="E112" s="26" t="n">
        <v>14</v>
      </c>
      <c r="F112" s="6" t="str">
        <f aca="false">IFERROR(INDEX(Resources!$B$2:$B$64,MATCH($D112,Resources!$A$2:$A$64,0)),"?")</f>
        <v>gal</v>
      </c>
      <c r="G112" s="6" t="s">
        <v>939</v>
      </c>
      <c r="H112" s="27" t="n">
        <f aca="false">E112*INDEX(Assumptions!$D$17:$D$23,MATCH(G112,Assumptions!$B$17:$B$23,0))</f>
        <v>14</v>
      </c>
      <c r="I112" s="6" t="n">
        <f aca="false">IFERROR(INDEX(Systems!$R$2:$R$179,MATCH($B112,Systems!$B$2:$B$179,0)),0)</f>
        <v>0</v>
      </c>
      <c r="J112" s="27" t="n">
        <f aca="false">H112*I112</f>
        <v>0</v>
      </c>
      <c r="K112" s="6" t="str">
        <f aca="false">IFERROR(IF(INDEX(Resources!$D$2:$D$64,MATCH($D112,Resources!$A$2:$A$64,0))="","",INDEX(Resources!$D$2:$D$64,MATCH($D112,Resources!$A$2:$A$64,0))),"")</f>
        <v>Drinking water</v>
      </c>
      <c r="L112" s="28" t="n">
        <f aca="false">IF(K112="","",J112*INDEX(Resources!$E$2:$E$64,MATCH($D112,Resources!$A$2:$A$64,0)))</f>
        <v>0</v>
      </c>
      <c r="M112" s="6" t="str">
        <f aca="false">B112&amp;"|"&amp;D112&amp;"|"&amp;C112</f>
        <v>Drinking Water Filter|Drinking water|Output</v>
      </c>
    </row>
    <row r="113" customFormat="false" ht="15" hidden="false" customHeight="true" outlineLevel="0" collapsed="false">
      <c r="A113" s="6" t="s">
        <v>1068</v>
      </c>
      <c r="B113" s="6" t="s">
        <v>282</v>
      </c>
      <c r="C113" s="6" t="s">
        <v>938</v>
      </c>
      <c r="D113" s="6" t="s">
        <v>71</v>
      </c>
      <c r="E113" s="26" t="n">
        <v>0.1</v>
      </c>
      <c r="F113" s="6" t="str">
        <f aca="false">IFERROR(INDEX(Resources!$B$2:$B$64,MATCH($D113,Resources!$A$2:$A$64,0)),"?")</f>
        <v>hours</v>
      </c>
      <c r="G113" s="6" t="s">
        <v>939</v>
      </c>
      <c r="H113" s="27" t="n">
        <f aca="false">E113*INDEX(Assumptions!$D$17:$D$23,MATCH(G113,Assumptions!$B$17:$B$23,0))</f>
        <v>0.1</v>
      </c>
      <c r="I113" s="6" t="n">
        <f aca="false">IFERROR(INDEX(Systems!$R$2:$R$179,MATCH($B113,Systems!$B$2:$B$179,0)),0)</f>
        <v>0</v>
      </c>
      <c r="J113" s="27" t="n">
        <f aca="false">H113*I113</f>
        <v>0</v>
      </c>
      <c r="K113" s="6" t="str">
        <f aca="false">IFERROR(IF(INDEX(Resources!$D$2:$D$64,MATCH($D113,Resources!$A$2:$A$64,0))="","",INDEX(Resources!$D$2:$D$64,MATCH($D113,Resources!$A$2:$A$64,0))),"")</f>
        <v>Est. Required Labor</v>
      </c>
      <c r="L113" s="28" t="n">
        <f aca="false">IF(K113="","",J113*INDEX(Resources!$E$2:$E$64,MATCH($D113,Resources!$A$2:$A$64,0)))</f>
        <v>0</v>
      </c>
      <c r="M113" s="6" t="str">
        <f aca="false">B113&amp;"|"&amp;D113&amp;"|"&amp;C113</f>
        <v>GoSun Water Filter|Labor|Input</v>
      </c>
      <c r="N113" s="6" t="s">
        <v>940</v>
      </c>
    </row>
    <row r="114" customFormat="false" ht="15" hidden="false" customHeight="true" outlineLevel="0" collapsed="false">
      <c r="A114" s="6" t="s">
        <v>1069</v>
      </c>
      <c r="B114" s="6" t="s">
        <v>282</v>
      </c>
      <c r="C114" s="6" t="s">
        <v>938</v>
      </c>
      <c r="D114" s="6" t="s">
        <v>49</v>
      </c>
      <c r="E114" s="26" t="n">
        <v>7</v>
      </c>
      <c r="F114" s="6" t="str">
        <f aca="false">IFERROR(INDEX(Resources!$B$2:$B$64,MATCH($D114,Resources!$A$2:$A$64,0)),"?")</f>
        <v>gal</v>
      </c>
      <c r="G114" s="6" t="s">
        <v>939</v>
      </c>
      <c r="H114" s="27" t="n">
        <f aca="false">E114*INDEX(Assumptions!$D$17:$D$23,MATCH(G114,Assumptions!$B$17:$B$23,0))</f>
        <v>7</v>
      </c>
      <c r="I114" s="6" t="n">
        <f aca="false">IFERROR(INDEX(Systems!$R$2:$R$179,MATCH($B114,Systems!$B$2:$B$179,0)),0)</f>
        <v>0</v>
      </c>
      <c r="J114" s="27" t="n">
        <f aca="false">H114*I114</f>
        <v>0</v>
      </c>
      <c r="K114" s="6" t="str">
        <f aca="false">IFERROR(IF(INDEX(Resources!$D$2:$D$64,MATCH($D114,Resources!$A$2:$A$64,0))="","",INDEX(Resources!$D$2:$D$64,MATCH($D114,Resources!$A$2:$A$64,0))),"")</f>
        <v>Water</v>
      </c>
      <c r="L114" s="28" t="n">
        <f aca="false">IF(K114="","",J114*INDEX(Resources!$E$2:$E$64,MATCH($D114,Resources!$A$2:$A$64,0)))</f>
        <v>0</v>
      </c>
      <c r="M114" s="6" t="str">
        <f aca="false">B114&amp;"|"&amp;D114&amp;"|"&amp;C114</f>
        <v>GoSun Water Filter|Water|Input</v>
      </c>
    </row>
    <row r="115" customFormat="false" ht="15" hidden="false" customHeight="true" outlineLevel="0" collapsed="false">
      <c r="A115" s="6" t="s">
        <v>1070</v>
      </c>
      <c r="B115" s="6" t="s">
        <v>282</v>
      </c>
      <c r="C115" s="6" t="s">
        <v>938</v>
      </c>
      <c r="D115" s="6" t="s">
        <v>165</v>
      </c>
      <c r="E115" s="29" t="n">
        <f aca="false">Assumptions!$C$6*7</f>
        <v>35</v>
      </c>
      <c r="F115" s="6" t="str">
        <f aca="false">IFERROR(INDEX(Resources!$B$2:$B$64,MATCH($D115,Resources!$A$2:$A$64,0)),"?")</f>
        <v>sun-hours</v>
      </c>
      <c r="G115" s="6" t="s">
        <v>939</v>
      </c>
      <c r="H115" s="27" t="n">
        <f aca="false">E115*INDEX(Assumptions!$D$17:$D$23,MATCH(G115,Assumptions!$B$17:$B$23,0))</f>
        <v>35</v>
      </c>
      <c r="I115" s="6" t="n">
        <f aca="false">IFERROR(INDEX(Systems!$R$2:$R$179,MATCH($B115,Systems!$B$2:$B$179,0)),0)</f>
        <v>0</v>
      </c>
      <c r="J115" s="27" t="n">
        <f aca="false">H115*I115</f>
        <v>0</v>
      </c>
      <c r="K115" s="6" t="str">
        <f aca="false">IFERROR(IF(INDEX(Resources!$D$2:$D$64,MATCH($D115,Resources!$A$2:$A$64,0))="","",INDEX(Resources!$D$2:$D$64,MATCH($D115,Resources!$A$2:$A$64,0))),"")</f>
        <v/>
      </c>
      <c r="L115" s="28" t="str">
        <f aca="false">IF(K115="","",J115*INDEX(Resources!$E$2:$E$64,MATCH($D115,Resources!$A$2:$A$64,0)))</f>
        <v/>
      </c>
      <c r="M115" s="6" t="str">
        <f aca="false">B115&amp;"|"&amp;D115&amp;"|"&amp;C115</f>
        <v>GoSun Water Filter|Sunlight|Input</v>
      </c>
      <c r="N115" s="6" t="s">
        <v>948</v>
      </c>
    </row>
    <row r="116" customFormat="false" ht="15" hidden="false" customHeight="true" outlineLevel="0" collapsed="false">
      <c r="A116" s="6" t="s">
        <v>1071</v>
      </c>
      <c r="B116" s="6" t="s">
        <v>282</v>
      </c>
      <c r="C116" s="6" t="s">
        <v>943</v>
      </c>
      <c r="D116" s="6" t="s">
        <v>51</v>
      </c>
      <c r="E116" s="26" t="n">
        <v>7</v>
      </c>
      <c r="F116" s="6" t="str">
        <f aca="false">IFERROR(INDEX(Resources!$B$2:$B$64,MATCH($D116,Resources!$A$2:$A$64,0)),"?")</f>
        <v>gal</v>
      </c>
      <c r="G116" s="6" t="s">
        <v>939</v>
      </c>
      <c r="H116" s="27" t="n">
        <f aca="false">E116*INDEX(Assumptions!$D$17:$D$23,MATCH(G116,Assumptions!$B$17:$B$23,0))</f>
        <v>7</v>
      </c>
      <c r="I116" s="6" t="n">
        <f aca="false">IFERROR(INDEX(Systems!$R$2:$R$179,MATCH($B116,Systems!$B$2:$B$179,0)),0)</f>
        <v>0</v>
      </c>
      <c r="J116" s="27" t="n">
        <f aca="false">H116*I116</f>
        <v>0</v>
      </c>
      <c r="K116" s="6" t="str">
        <f aca="false">IFERROR(IF(INDEX(Resources!$D$2:$D$64,MATCH($D116,Resources!$A$2:$A$64,0))="","",INDEX(Resources!$D$2:$D$64,MATCH($D116,Resources!$A$2:$A$64,0))),"")</f>
        <v>Drinking water</v>
      </c>
      <c r="L116" s="28" t="n">
        <f aca="false">IF(K116="","",J116*INDEX(Resources!$E$2:$E$64,MATCH($D116,Resources!$A$2:$A$64,0)))</f>
        <v>0</v>
      </c>
      <c r="M116" s="6" t="str">
        <f aca="false">B116&amp;"|"&amp;D116&amp;"|"&amp;C116</f>
        <v>GoSun Water Filter|Drinking water|Output</v>
      </c>
    </row>
    <row r="117" customFormat="false" ht="15" hidden="false" customHeight="true" outlineLevel="0" collapsed="false">
      <c r="A117" s="6" t="s">
        <v>1072</v>
      </c>
      <c r="B117" s="6" t="s">
        <v>285</v>
      </c>
      <c r="C117" s="6" t="s">
        <v>938</v>
      </c>
      <c r="D117" s="6" t="s">
        <v>71</v>
      </c>
      <c r="E117" s="26" t="n">
        <v>0.25</v>
      </c>
      <c r="F117" s="6" t="str">
        <f aca="false">IFERROR(INDEX(Resources!$B$2:$B$64,MATCH($D117,Resources!$A$2:$A$64,0)),"?")</f>
        <v>hours</v>
      </c>
      <c r="G117" s="6" t="s">
        <v>939</v>
      </c>
      <c r="H117" s="27" t="n">
        <f aca="false">E117*INDEX(Assumptions!$D$17:$D$23,MATCH(G117,Assumptions!$B$17:$B$23,0))</f>
        <v>0.25</v>
      </c>
      <c r="I117" s="6" t="n">
        <f aca="false">IFERROR(INDEX(Systems!$R$2:$R$179,MATCH($B117,Systems!$B$2:$B$179,0)),0)</f>
        <v>0</v>
      </c>
      <c r="J117" s="27" t="n">
        <f aca="false">H117*I117</f>
        <v>0</v>
      </c>
      <c r="K117" s="6" t="str">
        <f aca="false">IFERROR(IF(INDEX(Resources!$D$2:$D$64,MATCH($D117,Resources!$A$2:$A$64,0))="","",INDEX(Resources!$D$2:$D$64,MATCH($D117,Resources!$A$2:$A$64,0))),"")</f>
        <v>Est. Required Labor</v>
      </c>
      <c r="L117" s="28" t="n">
        <f aca="false">IF(K117="","",J117*INDEX(Resources!$E$2:$E$64,MATCH($D117,Resources!$A$2:$A$64,0)))</f>
        <v>0</v>
      </c>
      <c r="M117" s="6" t="str">
        <f aca="false">B117&amp;"|"&amp;D117&amp;"|"&amp;C117</f>
        <v>Rainwater Collection System + Cistern (550 Gallons)|Labor|Input</v>
      </c>
      <c r="N117" s="6" t="s">
        <v>940</v>
      </c>
    </row>
    <row r="118" customFormat="false" ht="15" hidden="false" customHeight="true" outlineLevel="0" collapsed="false">
      <c r="A118" s="6" t="s">
        <v>1073</v>
      </c>
      <c r="B118" s="6" t="s">
        <v>285</v>
      </c>
      <c r="C118" s="6" t="s">
        <v>938</v>
      </c>
      <c r="D118" s="6" t="s">
        <v>288</v>
      </c>
      <c r="E118" s="29" t="n">
        <f aca="false">INDEX(Systems!$P$2:$P$179,MATCH($B118,Systems!$B$2:$B$179,0))</f>
        <v>1000</v>
      </c>
      <c r="F118" s="6" t="str">
        <f aca="false">IFERROR(INDEX(Resources!$B$2:$B$64,MATCH($D118,Resources!$A$2:$A$64,0)),"?")</f>
        <v>sq ft</v>
      </c>
      <c r="G118" s="6" t="s">
        <v>945</v>
      </c>
      <c r="H118" s="27" t="n">
        <f aca="false">E118*INDEX(Assumptions!$D$17:$D$23,MATCH(G118,Assumptions!$B$17:$B$23,0))</f>
        <v>1000</v>
      </c>
      <c r="I118" s="6" t="n">
        <f aca="false">IFERROR(INDEX(Systems!$R$2:$R$179,MATCH($B118,Systems!$B$2:$B$179,0)),0)</f>
        <v>0</v>
      </c>
      <c r="J118" s="27" t="n">
        <f aca="false">H118*I118</f>
        <v>0</v>
      </c>
      <c r="K118" s="6" t="str">
        <f aca="false">IFERROR(IF(INDEX(Resources!$D$2:$D$64,MATCH($D118,Resources!$A$2:$A$64,0))="","",INDEX(Resources!$D$2:$D$64,MATCH($D118,Resources!$A$2:$A$64,0))),"")</f>
        <v/>
      </c>
      <c r="L118" s="28" t="str">
        <f aca="false">IF(K118="","",J118*INDEX(Resources!$E$2:$E$64,MATCH($D118,Resources!$A$2:$A$64,0)))</f>
        <v/>
      </c>
      <c r="M118" s="6" t="str">
        <f aca="false">B118&amp;"|"&amp;D118&amp;"|"&amp;C118</f>
        <v>Rainwater Collection System + Cistern (550 Gallons)|Roofing area|Input</v>
      </c>
      <c r="N118" s="6" t="s">
        <v>1074</v>
      </c>
    </row>
    <row r="119" customFormat="false" ht="15" hidden="false" customHeight="true" outlineLevel="0" collapsed="false">
      <c r="A119" s="6" t="s">
        <v>1075</v>
      </c>
      <c r="B119" s="6" t="s">
        <v>285</v>
      </c>
      <c r="C119" s="6" t="s">
        <v>938</v>
      </c>
      <c r="D119" s="6" t="s">
        <v>864</v>
      </c>
      <c r="E119" s="29" t="n">
        <f aca="false">Assumptions!$C$8/52</f>
        <v>0.288461538461538</v>
      </c>
      <c r="F119" s="6" t="str">
        <f aca="false">IFERROR(INDEX(Resources!$B$2:$B$64,MATCH($D119,Resources!$A$2:$A$64,0)),"?")</f>
        <v>inches</v>
      </c>
      <c r="G119" s="6" t="s">
        <v>939</v>
      </c>
      <c r="H119" s="27" t="n">
        <f aca="false">E119*INDEX(Assumptions!$D$17:$D$23,MATCH(G119,Assumptions!$B$17:$B$23,0))</f>
        <v>0.288461538461538</v>
      </c>
      <c r="I119" s="6" t="n">
        <f aca="false">IFERROR(INDEX(Systems!$R$2:$R$179,MATCH($B119,Systems!$B$2:$B$179,0)),0)</f>
        <v>0</v>
      </c>
      <c r="J119" s="27" t="n">
        <f aca="false">H119*I119</f>
        <v>0</v>
      </c>
      <c r="K119" s="6" t="str">
        <f aca="false">IFERROR(IF(INDEX(Resources!$D$2:$D$64,MATCH($D119,Resources!$A$2:$A$64,0))="","",INDEX(Resources!$D$2:$D$64,MATCH($D119,Resources!$A$2:$A$64,0))),"")</f>
        <v/>
      </c>
      <c r="L119" s="28" t="str">
        <f aca="false">IF(K119="","",J119*INDEX(Resources!$E$2:$E$64,MATCH($D119,Resources!$A$2:$A$64,0)))</f>
        <v/>
      </c>
      <c r="M119" s="6" t="str">
        <f aca="false">B119&amp;"|"&amp;D119&amp;"|"&amp;C119</f>
        <v>Rainwater Collection System + Cistern (550 Gallons)|Rainfall|Input</v>
      </c>
      <c r="N119" s="6" t="s">
        <v>1076</v>
      </c>
    </row>
    <row r="120" customFormat="false" ht="15" hidden="false" customHeight="true" outlineLevel="0" collapsed="false">
      <c r="A120" s="6" t="s">
        <v>1077</v>
      </c>
      <c r="B120" s="6" t="s">
        <v>285</v>
      </c>
      <c r="C120" s="6" t="s">
        <v>943</v>
      </c>
      <c r="D120" s="6" t="s">
        <v>49</v>
      </c>
      <c r="E120" s="29" t="n">
        <f aca="false">INDEX(Systems!$P$2:$P$179,MATCH($B120,Systems!$B$2:$B$179,0))*Assumptions!$C$8/52*Assumptions!$C$9*INDEX(Systems!$Q$2:$Q$179,MATCH($B120,Systems!$B$2:$B$179,0))</f>
        <v>143.769230769231</v>
      </c>
      <c r="F120" s="6" t="str">
        <f aca="false">IFERROR(INDEX(Resources!$B$2:$B$64,MATCH($D120,Resources!$A$2:$A$64,0)),"?")</f>
        <v>gal</v>
      </c>
      <c r="G120" s="6" t="s">
        <v>939</v>
      </c>
      <c r="H120" s="27" t="n">
        <f aca="false">E120*INDEX(Assumptions!$D$17:$D$23,MATCH(G120,Assumptions!$B$17:$B$23,0))</f>
        <v>143.769230769231</v>
      </c>
      <c r="I120" s="6" t="n">
        <f aca="false">IFERROR(INDEX(Systems!$R$2:$R$179,MATCH($B120,Systems!$B$2:$B$179,0)),0)</f>
        <v>0</v>
      </c>
      <c r="J120" s="27" t="n">
        <f aca="false">H120*I120</f>
        <v>0</v>
      </c>
      <c r="K120" s="6" t="str">
        <f aca="false">IFERROR(IF(INDEX(Resources!$D$2:$D$64,MATCH($D120,Resources!$A$2:$A$64,0))="","",INDEX(Resources!$D$2:$D$64,MATCH($D120,Resources!$A$2:$A$64,0))),"")</f>
        <v>Water</v>
      </c>
      <c r="L120" s="28" t="n">
        <f aca="false">IF(K120="","",J120*INDEX(Resources!$E$2:$E$64,MATCH($D120,Resources!$A$2:$A$64,0)))</f>
        <v>0</v>
      </c>
      <c r="M120" s="6" t="str">
        <f aca="false">B120&amp;"|"&amp;D120&amp;"|"&amp;C120</f>
        <v>Rainwater Collection System + Cistern (550 Gallons)|Water|Output</v>
      </c>
      <c r="N120" s="6" t="s">
        <v>1078</v>
      </c>
    </row>
    <row r="121" customFormat="false" ht="15" hidden="false" customHeight="true" outlineLevel="0" collapsed="false">
      <c r="A121" s="6" t="s">
        <v>1079</v>
      </c>
      <c r="B121" s="6" t="s">
        <v>285</v>
      </c>
      <c r="C121" s="6" t="s">
        <v>943</v>
      </c>
      <c r="D121" s="6" t="s">
        <v>104</v>
      </c>
      <c r="E121" s="26" t="n">
        <v>550</v>
      </c>
      <c r="F121" s="6" t="str">
        <f aca="false">IFERROR(INDEX(Resources!$B$2:$B$64,MATCH($D121,Resources!$A$2:$A$64,0)),"?")</f>
        <v>gal</v>
      </c>
      <c r="G121" s="6" t="s">
        <v>945</v>
      </c>
      <c r="H121" s="27" t="n">
        <f aca="false">E121*INDEX(Assumptions!$D$17:$D$23,MATCH(G121,Assumptions!$B$17:$B$23,0))</f>
        <v>550</v>
      </c>
      <c r="I121" s="6" t="n">
        <f aca="false">IFERROR(INDEX(Systems!$R$2:$R$179,MATCH($B121,Systems!$B$2:$B$179,0)),0)</f>
        <v>0</v>
      </c>
      <c r="J121" s="27" t="n">
        <f aca="false">H121*I121</f>
        <v>0</v>
      </c>
      <c r="K121" s="6" t="str">
        <f aca="false">IFERROR(IF(INDEX(Resources!$D$2:$D$64,MATCH($D121,Resources!$A$2:$A$64,0))="","",INDEX(Resources!$D$2:$D$64,MATCH($D121,Resources!$A$2:$A$64,0))),"")</f>
        <v/>
      </c>
      <c r="L121" s="28" t="str">
        <f aca="false">IF(K121="","",J121*INDEX(Resources!$E$2:$E$64,MATCH($D121,Resources!$A$2:$A$64,0)))</f>
        <v/>
      </c>
      <c r="M121" s="6" t="str">
        <f aca="false">B121&amp;"|"&amp;D121&amp;"|"&amp;C121</f>
        <v>Rainwater Collection System + Cistern (550 Gallons)|Water storage|Output</v>
      </c>
    </row>
    <row r="122" customFormat="false" ht="15" hidden="false" customHeight="true" outlineLevel="0" collapsed="false">
      <c r="A122" s="6" t="s">
        <v>1080</v>
      </c>
      <c r="B122" s="6" t="s">
        <v>291</v>
      </c>
      <c r="C122" s="6" t="s">
        <v>938</v>
      </c>
      <c r="D122" s="6" t="s">
        <v>71</v>
      </c>
      <c r="E122" s="26" t="n">
        <v>0.1</v>
      </c>
      <c r="F122" s="6" t="str">
        <f aca="false">IFERROR(INDEX(Resources!$B$2:$B$64,MATCH($D122,Resources!$A$2:$A$64,0)),"?")</f>
        <v>hours</v>
      </c>
      <c r="G122" s="6" t="s">
        <v>939</v>
      </c>
      <c r="H122" s="27" t="n">
        <f aca="false">E122*INDEX(Assumptions!$D$17:$D$23,MATCH(G122,Assumptions!$B$17:$B$23,0))</f>
        <v>0.1</v>
      </c>
      <c r="I122" s="6" t="n">
        <f aca="false">IFERROR(INDEX(Systems!$R$2:$R$179,MATCH($B122,Systems!$B$2:$B$179,0)),0)</f>
        <v>0</v>
      </c>
      <c r="J122" s="27" t="n">
        <f aca="false">H122*I122</f>
        <v>0</v>
      </c>
      <c r="K122" s="6" t="str">
        <f aca="false">IFERROR(IF(INDEX(Resources!$D$2:$D$64,MATCH($D122,Resources!$A$2:$A$64,0))="","",INDEX(Resources!$D$2:$D$64,MATCH($D122,Resources!$A$2:$A$64,0))),"")</f>
        <v>Est. Required Labor</v>
      </c>
      <c r="L122" s="28" t="n">
        <f aca="false">IF(K122="","",J122*INDEX(Resources!$E$2:$E$64,MATCH($D122,Resources!$A$2:$A$64,0)))</f>
        <v>0</v>
      </c>
      <c r="M122" s="6" t="str">
        <f aca="false">B122&amp;"|"&amp;D122&amp;"|"&amp;C122</f>
        <v>Solar Hot Water Heater|Labor|Input</v>
      </c>
      <c r="N122" s="6" t="s">
        <v>940</v>
      </c>
    </row>
    <row r="123" customFormat="false" ht="15" hidden="false" customHeight="true" outlineLevel="0" collapsed="false">
      <c r="A123" s="6" t="s">
        <v>1081</v>
      </c>
      <c r="B123" s="6" t="s">
        <v>291</v>
      </c>
      <c r="C123" s="6" t="s">
        <v>938</v>
      </c>
      <c r="D123" s="6" t="s">
        <v>49</v>
      </c>
      <c r="E123" s="26" t="n">
        <v>140</v>
      </c>
      <c r="F123" s="6" t="str">
        <f aca="false">IFERROR(INDEX(Resources!$B$2:$B$64,MATCH($D123,Resources!$A$2:$A$64,0)),"?")</f>
        <v>gal</v>
      </c>
      <c r="G123" s="6" t="s">
        <v>939</v>
      </c>
      <c r="H123" s="27" t="n">
        <f aca="false">E123*INDEX(Assumptions!$D$17:$D$23,MATCH(G123,Assumptions!$B$17:$B$23,0))</f>
        <v>140</v>
      </c>
      <c r="I123" s="6" t="n">
        <f aca="false">IFERROR(INDEX(Systems!$R$2:$R$179,MATCH($B123,Systems!$B$2:$B$179,0)),0)</f>
        <v>0</v>
      </c>
      <c r="J123" s="27" t="n">
        <f aca="false">H123*I123</f>
        <v>0</v>
      </c>
      <c r="K123" s="6" t="str">
        <f aca="false">IFERROR(IF(INDEX(Resources!$D$2:$D$64,MATCH($D123,Resources!$A$2:$A$64,0))="","",INDEX(Resources!$D$2:$D$64,MATCH($D123,Resources!$A$2:$A$64,0))),"")</f>
        <v>Water</v>
      </c>
      <c r="L123" s="28" t="n">
        <f aca="false">IF(K123="","",J123*INDEX(Resources!$E$2:$E$64,MATCH($D123,Resources!$A$2:$A$64,0)))</f>
        <v>0</v>
      </c>
      <c r="M123" s="6" t="str">
        <f aca="false">B123&amp;"|"&amp;D123&amp;"|"&amp;C123</f>
        <v>Solar Hot Water Heater|Water|Input</v>
      </c>
    </row>
    <row r="124" customFormat="false" ht="15" hidden="false" customHeight="true" outlineLevel="0" collapsed="false">
      <c r="A124" s="6" t="s">
        <v>1082</v>
      </c>
      <c r="B124" s="6" t="s">
        <v>291</v>
      </c>
      <c r="C124" s="6" t="s">
        <v>938</v>
      </c>
      <c r="D124" s="6" t="s">
        <v>165</v>
      </c>
      <c r="E124" s="29" t="n">
        <f aca="false">Assumptions!$C$6*7</f>
        <v>35</v>
      </c>
      <c r="F124" s="6" t="str">
        <f aca="false">IFERROR(INDEX(Resources!$B$2:$B$64,MATCH($D124,Resources!$A$2:$A$64,0)),"?")</f>
        <v>sun-hours</v>
      </c>
      <c r="G124" s="6" t="s">
        <v>939</v>
      </c>
      <c r="H124" s="27" t="n">
        <f aca="false">E124*INDEX(Assumptions!$D$17:$D$23,MATCH(G124,Assumptions!$B$17:$B$23,0))</f>
        <v>35</v>
      </c>
      <c r="I124" s="6" t="n">
        <f aca="false">IFERROR(INDEX(Systems!$R$2:$R$179,MATCH($B124,Systems!$B$2:$B$179,0)),0)</f>
        <v>0</v>
      </c>
      <c r="J124" s="27" t="n">
        <f aca="false">H124*I124</f>
        <v>0</v>
      </c>
      <c r="K124" s="6" t="str">
        <f aca="false">IFERROR(IF(INDEX(Resources!$D$2:$D$64,MATCH($D124,Resources!$A$2:$A$64,0))="","",INDEX(Resources!$D$2:$D$64,MATCH($D124,Resources!$A$2:$A$64,0))),"")</f>
        <v/>
      </c>
      <c r="L124" s="28" t="str">
        <f aca="false">IF(K124="","",J124*INDEX(Resources!$E$2:$E$64,MATCH($D124,Resources!$A$2:$A$64,0)))</f>
        <v/>
      </c>
      <c r="M124" s="6" t="str">
        <f aca="false">B124&amp;"|"&amp;D124&amp;"|"&amp;C124</f>
        <v>Solar Hot Water Heater|Sunlight|Input</v>
      </c>
      <c r="N124" s="6" t="s">
        <v>948</v>
      </c>
    </row>
    <row r="125" customFormat="false" ht="15" hidden="false" customHeight="true" outlineLevel="0" collapsed="false">
      <c r="A125" s="6" t="s">
        <v>1083</v>
      </c>
      <c r="B125" s="6" t="s">
        <v>291</v>
      </c>
      <c r="C125" s="6" t="s">
        <v>943</v>
      </c>
      <c r="D125" s="6" t="s">
        <v>982</v>
      </c>
      <c r="E125" s="26" t="n">
        <v>140</v>
      </c>
      <c r="F125" s="6" t="str">
        <f aca="false">IFERROR(INDEX(Resources!$B$2:$B$64,MATCH($D125,Resources!$A$2:$A$64,0)),"?")</f>
        <v>gal</v>
      </c>
      <c r="G125" s="6" t="s">
        <v>939</v>
      </c>
      <c r="H125" s="27" t="n">
        <f aca="false">E125*INDEX(Assumptions!$D$17:$D$23,MATCH(G125,Assumptions!$B$17:$B$23,0))</f>
        <v>140</v>
      </c>
      <c r="I125" s="6" t="n">
        <f aca="false">IFERROR(INDEX(Systems!$R$2:$R$179,MATCH($B125,Systems!$B$2:$B$179,0)),0)</f>
        <v>0</v>
      </c>
      <c r="J125" s="27" t="n">
        <f aca="false">H125*I125</f>
        <v>0</v>
      </c>
      <c r="K125" s="6" t="str">
        <f aca="false">IFERROR(IF(INDEX(Resources!$D$2:$D$64,MATCH($D125,Resources!$A$2:$A$64,0))="","",INDEX(Resources!$D$2:$D$64,MATCH($D125,Resources!$A$2:$A$64,0))),"")</f>
        <v/>
      </c>
      <c r="L125" s="28" t="str">
        <f aca="false">IF(K125="","",J125*INDEX(Resources!$E$2:$E$64,MATCH($D125,Resources!$A$2:$A$64,0)))</f>
        <v/>
      </c>
      <c r="M125" s="6" t="str">
        <f aca="false">B125&amp;"|"&amp;D125&amp;"|"&amp;C125</f>
        <v>Solar Hot Water Heater|Hot water|Output</v>
      </c>
    </row>
    <row r="126" customFormat="false" ht="15" hidden="false" customHeight="true" outlineLevel="0" collapsed="false">
      <c r="A126" s="6" t="s">
        <v>1084</v>
      </c>
      <c r="B126" s="6" t="s">
        <v>296</v>
      </c>
      <c r="C126" s="6" t="s">
        <v>938</v>
      </c>
      <c r="D126" s="6" t="s">
        <v>71</v>
      </c>
      <c r="E126" s="26" t="n">
        <v>0.1</v>
      </c>
      <c r="F126" s="6" t="str">
        <f aca="false">IFERROR(INDEX(Resources!$B$2:$B$64,MATCH($D126,Resources!$A$2:$A$64,0)),"?")</f>
        <v>hours</v>
      </c>
      <c r="G126" s="6" t="s">
        <v>939</v>
      </c>
      <c r="H126" s="27" t="n">
        <f aca="false">E126*INDEX(Assumptions!$D$17:$D$23,MATCH(G126,Assumptions!$B$17:$B$23,0))</f>
        <v>0.1</v>
      </c>
      <c r="I126" s="6" t="n">
        <f aca="false">IFERROR(INDEX(Systems!$R$2:$R$179,MATCH($B126,Systems!$B$2:$B$179,0)),0)</f>
        <v>0</v>
      </c>
      <c r="J126" s="27" t="n">
        <f aca="false">H126*I126</f>
        <v>0</v>
      </c>
      <c r="K126" s="6" t="str">
        <f aca="false">IFERROR(IF(INDEX(Resources!$D$2:$D$64,MATCH($D126,Resources!$A$2:$A$64,0))="","",INDEX(Resources!$D$2:$D$64,MATCH($D126,Resources!$A$2:$A$64,0))),"")</f>
        <v>Est. Required Labor</v>
      </c>
      <c r="L126" s="28" t="n">
        <f aca="false">IF(K126="","",J126*INDEX(Resources!$E$2:$E$64,MATCH($D126,Resources!$A$2:$A$64,0)))</f>
        <v>0</v>
      </c>
      <c r="M126" s="6" t="str">
        <f aca="false">B126&amp;"|"&amp;D126&amp;"|"&amp;C126</f>
        <v>WaterDrop Water Filter|Labor|Input</v>
      </c>
      <c r="N126" s="6" t="s">
        <v>940</v>
      </c>
    </row>
    <row r="127" customFormat="false" ht="15" hidden="false" customHeight="true" outlineLevel="0" collapsed="false">
      <c r="A127" s="6" t="s">
        <v>1085</v>
      </c>
      <c r="B127" s="6" t="s">
        <v>296</v>
      </c>
      <c r="C127" s="6" t="s">
        <v>938</v>
      </c>
      <c r="D127" s="6" t="s">
        <v>49</v>
      </c>
      <c r="E127" s="26" t="n">
        <v>20</v>
      </c>
      <c r="F127" s="6" t="str">
        <f aca="false">IFERROR(INDEX(Resources!$B$2:$B$64,MATCH($D127,Resources!$A$2:$A$64,0)),"?")</f>
        <v>gal</v>
      </c>
      <c r="G127" s="6" t="s">
        <v>939</v>
      </c>
      <c r="H127" s="27" t="n">
        <f aca="false">E127*INDEX(Assumptions!$D$17:$D$23,MATCH(G127,Assumptions!$B$17:$B$23,0))</f>
        <v>20</v>
      </c>
      <c r="I127" s="6" t="n">
        <f aca="false">IFERROR(INDEX(Systems!$R$2:$R$179,MATCH($B127,Systems!$B$2:$B$179,0)),0)</f>
        <v>0</v>
      </c>
      <c r="J127" s="27" t="n">
        <f aca="false">H127*I127</f>
        <v>0</v>
      </c>
      <c r="K127" s="6" t="str">
        <f aca="false">IFERROR(IF(INDEX(Resources!$D$2:$D$64,MATCH($D127,Resources!$A$2:$A$64,0))="","",INDEX(Resources!$D$2:$D$64,MATCH($D127,Resources!$A$2:$A$64,0))),"")</f>
        <v>Water</v>
      </c>
      <c r="L127" s="28" t="n">
        <f aca="false">IF(K127="","",J127*INDEX(Resources!$E$2:$E$64,MATCH($D127,Resources!$A$2:$A$64,0)))</f>
        <v>0</v>
      </c>
      <c r="M127" s="6" t="str">
        <f aca="false">B127&amp;"|"&amp;D127&amp;"|"&amp;C127</f>
        <v>WaterDrop Water Filter|Water|Input</v>
      </c>
    </row>
    <row r="128" customFormat="false" ht="15" hidden="false" customHeight="true" outlineLevel="0" collapsed="false">
      <c r="A128" s="6" t="s">
        <v>1086</v>
      </c>
      <c r="B128" s="6" t="s">
        <v>296</v>
      </c>
      <c r="C128" s="6" t="s">
        <v>938</v>
      </c>
      <c r="D128" s="6" t="s">
        <v>59</v>
      </c>
      <c r="E128" s="26" t="n">
        <v>0.5</v>
      </c>
      <c r="F128" s="6" t="str">
        <f aca="false">IFERROR(INDEX(Resources!$B$2:$B$64,MATCH($D128,Resources!$A$2:$A$64,0)),"?")</f>
        <v>kWh</v>
      </c>
      <c r="G128" s="6" t="s">
        <v>939</v>
      </c>
      <c r="H128" s="27" t="n">
        <f aca="false">E128*INDEX(Assumptions!$D$17:$D$23,MATCH(G128,Assumptions!$B$17:$B$23,0))</f>
        <v>0.5</v>
      </c>
      <c r="I128" s="6" t="n">
        <f aca="false">IFERROR(INDEX(Systems!$R$2:$R$179,MATCH($B128,Systems!$B$2:$B$179,0)),0)</f>
        <v>0</v>
      </c>
      <c r="J128" s="27" t="n">
        <f aca="false">H128*I128</f>
        <v>0</v>
      </c>
      <c r="K128" s="6" t="str">
        <f aca="false">IFERROR(IF(INDEX(Resources!$D$2:$D$64,MATCH($D128,Resources!$A$2:$A$64,0))="","",INDEX(Resources!$D$2:$D$64,MATCH($D128,Resources!$A$2:$A$64,0))),"")</f>
        <v>Electricity</v>
      </c>
      <c r="L128" s="28" t="n">
        <f aca="false">IF(K128="","",J128*INDEX(Resources!$E$2:$E$64,MATCH($D128,Resources!$A$2:$A$64,0)))</f>
        <v>0</v>
      </c>
      <c r="M128" s="6" t="str">
        <f aca="false">B128&amp;"|"&amp;D128&amp;"|"&amp;C128</f>
        <v>WaterDrop Water Filter|Electricity|Input</v>
      </c>
    </row>
    <row r="129" customFormat="false" ht="15" hidden="false" customHeight="true" outlineLevel="0" collapsed="false">
      <c r="A129" s="6" t="s">
        <v>1087</v>
      </c>
      <c r="B129" s="6" t="s">
        <v>296</v>
      </c>
      <c r="C129" s="6" t="s">
        <v>943</v>
      </c>
      <c r="D129" s="6" t="s">
        <v>51</v>
      </c>
      <c r="E129" s="26" t="n">
        <v>10</v>
      </c>
      <c r="F129" s="6" t="str">
        <f aca="false">IFERROR(INDEX(Resources!$B$2:$B$64,MATCH($D129,Resources!$A$2:$A$64,0)),"?")</f>
        <v>gal</v>
      </c>
      <c r="G129" s="6" t="s">
        <v>939</v>
      </c>
      <c r="H129" s="27" t="n">
        <f aca="false">E129*INDEX(Assumptions!$D$17:$D$23,MATCH(G129,Assumptions!$B$17:$B$23,0))</f>
        <v>10</v>
      </c>
      <c r="I129" s="6" t="n">
        <f aca="false">IFERROR(INDEX(Systems!$R$2:$R$179,MATCH($B129,Systems!$B$2:$B$179,0)),0)</f>
        <v>0</v>
      </c>
      <c r="J129" s="27" t="n">
        <f aca="false">H129*I129</f>
        <v>0</v>
      </c>
      <c r="K129" s="6" t="str">
        <f aca="false">IFERROR(IF(INDEX(Resources!$D$2:$D$64,MATCH($D129,Resources!$A$2:$A$64,0))="","",INDEX(Resources!$D$2:$D$64,MATCH($D129,Resources!$A$2:$A$64,0))),"")</f>
        <v>Drinking water</v>
      </c>
      <c r="L129" s="28" t="n">
        <f aca="false">IF(K129="","",J129*INDEX(Resources!$E$2:$E$64,MATCH($D129,Resources!$A$2:$A$64,0)))</f>
        <v>0</v>
      </c>
      <c r="M129" s="6" t="str">
        <f aca="false">B129&amp;"|"&amp;D129&amp;"|"&amp;C129</f>
        <v>WaterDrop Water Filter|Drinking water|Output</v>
      </c>
    </row>
    <row r="130" customFormat="false" ht="15" hidden="false" customHeight="true" outlineLevel="0" collapsed="false">
      <c r="A130" s="6" t="s">
        <v>1088</v>
      </c>
      <c r="B130" s="6" t="s">
        <v>296</v>
      </c>
      <c r="C130" s="6" t="s">
        <v>943</v>
      </c>
      <c r="D130" s="6" t="s">
        <v>1089</v>
      </c>
      <c r="E130" s="26" t="n">
        <v>10</v>
      </c>
      <c r="F130" s="6" t="str">
        <f aca="false">IFERROR(INDEX(Resources!$B$2:$B$64,MATCH($D130,Resources!$A$2:$A$64,0)),"?")</f>
        <v>gal</v>
      </c>
      <c r="G130" s="6" t="s">
        <v>939</v>
      </c>
      <c r="H130" s="27" t="n">
        <f aca="false">E130*INDEX(Assumptions!$D$17:$D$23,MATCH(G130,Assumptions!$B$17:$B$23,0))</f>
        <v>10</v>
      </c>
      <c r="I130" s="6" t="n">
        <f aca="false">IFERROR(INDEX(Systems!$R$2:$R$179,MATCH($B130,Systems!$B$2:$B$179,0)),0)</f>
        <v>0</v>
      </c>
      <c r="J130" s="27" t="n">
        <f aca="false">H130*I130</f>
        <v>0</v>
      </c>
      <c r="K130" s="6" t="str">
        <f aca="false">IFERROR(IF(INDEX(Resources!$D$2:$D$64,MATCH($D130,Resources!$A$2:$A$64,0))="","",INDEX(Resources!$D$2:$D$64,MATCH($D130,Resources!$A$2:$A$64,0))),"")</f>
        <v/>
      </c>
      <c r="L130" s="28" t="str">
        <f aca="false">IF(K130="","",J130*INDEX(Resources!$E$2:$E$64,MATCH($D130,Resources!$A$2:$A$64,0)))</f>
        <v/>
      </c>
      <c r="M130" s="6" t="str">
        <f aca="false">B130&amp;"|"&amp;D130&amp;"|"&amp;C130</f>
        <v>WaterDrop Water Filter|Greywater|Output</v>
      </c>
    </row>
    <row r="131" customFormat="false" ht="15" hidden="false" customHeight="true" outlineLevel="0" collapsed="false">
      <c r="A131" s="6" t="s">
        <v>1090</v>
      </c>
      <c r="B131" s="6" t="s">
        <v>301</v>
      </c>
      <c r="C131" s="6" t="s">
        <v>938</v>
      </c>
      <c r="D131" s="6" t="s">
        <v>71</v>
      </c>
      <c r="E131" s="26" t="n">
        <v>40</v>
      </c>
      <c r="F131" s="6" t="str">
        <f aca="false">IFERROR(INDEX(Resources!$B$2:$B$64,MATCH($D131,Resources!$A$2:$A$64,0)),"?")</f>
        <v>hours</v>
      </c>
      <c r="G131" s="6" t="s">
        <v>939</v>
      </c>
      <c r="H131" s="27" t="n">
        <f aca="false">E131*INDEX(Assumptions!$D$17:$D$23,MATCH(G131,Assumptions!$B$17:$B$23,0))</f>
        <v>40</v>
      </c>
      <c r="I131" s="6" t="n">
        <f aca="false">IFERROR(INDEX(Systems!$R$2:$R$179,MATCH($B131,Systems!$B$2:$B$179,0)),0)</f>
        <v>0</v>
      </c>
      <c r="J131" s="27" t="n">
        <f aca="false">H131*I131</f>
        <v>0</v>
      </c>
      <c r="K131" s="6" t="str">
        <f aca="false">IFERROR(IF(INDEX(Resources!$D$2:$D$64,MATCH($D131,Resources!$A$2:$A$64,0))="","",INDEX(Resources!$D$2:$D$64,MATCH($D131,Resources!$A$2:$A$64,0))),"")</f>
        <v>Est. Required Labor</v>
      </c>
      <c r="L131" s="28" t="n">
        <f aca="false">IF(K131="","",J131*INDEX(Resources!$E$2:$E$64,MATCH($D131,Resources!$A$2:$A$64,0)))</f>
        <v>0</v>
      </c>
      <c r="M131" s="6" t="str">
        <f aca="false">B131&amp;"|"&amp;D131&amp;"|"&amp;C131</f>
        <v>Average Job|Labor|Input</v>
      </c>
    </row>
    <row r="132" customFormat="false" ht="15" hidden="false" customHeight="true" outlineLevel="0" collapsed="false">
      <c r="A132" s="6" t="s">
        <v>1091</v>
      </c>
      <c r="B132" s="6" t="s">
        <v>301</v>
      </c>
      <c r="C132" s="6" t="s">
        <v>938</v>
      </c>
      <c r="D132" s="6" t="s">
        <v>61</v>
      </c>
      <c r="E132" s="26" t="n">
        <v>150</v>
      </c>
      <c r="F132" s="6" t="str">
        <f aca="false">IFERROR(INDEX(Resources!$B$2:$B$64,MATCH($D132,Resources!$A$2:$A$64,0)),"?")</f>
        <v>miles</v>
      </c>
      <c r="G132" s="6" t="s">
        <v>939</v>
      </c>
      <c r="H132" s="27" t="n">
        <f aca="false">E132*INDEX(Assumptions!$D$17:$D$23,MATCH(G132,Assumptions!$B$17:$B$23,0))</f>
        <v>150</v>
      </c>
      <c r="I132" s="6" t="n">
        <f aca="false">IFERROR(INDEX(Systems!$R$2:$R$179,MATCH($B132,Systems!$B$2:$B$179,0)),0)</f>
        <v>0</v>
      </c>
      <c r="J132" s="27" t="n">
        <f aca="false">H132*I132</f>
        <v>0</v>
      </c>
      <c r="K132" s="6" t="str">
        <f aca="false">IFERROR(IF(INDEX(Resources!$D$2:$D$64,MATCH($D132,Resources!$A$2:$A$64,0))="","",INDEX(Resources!$D$2:$D$64,MATCH($D132,Resources!$A$2:$A$64,0))),"")</f>
        <v>Transportation</v>
      </c>
      <c r="L132" s="28" t="n">
        <f aca="false">IF(K132="","",J132*INDEX(Resources!$E$2:$E$64,MATCH($D132,Resources!$A$2:$A$64,0)))</f>
        <v>0</v>
      </c>
      <c r="M132" s="6" t="str">
        <f aca="false">B132&amp;"|"&amp;D132&amp;"|"&amp;C132</f>
        <v>Average Job|Transportation|Input</v>
      </c>
    </row>
    <row r="133" customFormat="false" ht="15" hidden="false" customHeight="true" outlineLevel="0" collapsed="false">
      <c r="A133" s="6" t="s">
        <v>1092</v>
      </c>
      <c r="B133" s="6" t="s">
        <v>301</v>
      </c>
      <c r="C133" s="6" t="s">
        <v>943</v>
      </c>
      <c r="D133" s="6" t="s">
        <v>269</v>
      </c>
      <c r="E133" s="26" t="n">
        <v>1150</v>
      </c>
      <c r="F133" s="6" t="str">
        <f aca="false">IFERROR(INDEX(Resources!$B$2:$B$64,MATCH($D133,Resources!$A$2:$A$64,0)),"?")</f>
        <v>$</v>
      </c>
      <c r="G133" s="6" t="s">
        <v>939</v>
      </c>
      <c r="H133" s="27" t="n">
        <f aca="false">E133*INDEX(Assumptions!$D$17:$D$23,MATCH(G133,Assumptions!$B$17:$B$23,0))</f>
        <v>1150</v>
      </c>
      <c r="I133" s="6" t="n">
        <f aca="false">IFERROR(INDEX(Systems!$R$2:$R$179,MATCH($B133,Systems!$B$2:$B$179,0)),0)</f>
        <v>0</v>
      </c>
      <c r="J133" s="27" t="n">
        <f aca="false">H133*I133</f>
        <v>0</v>
      </c>
      <c r="K133" s="6" t="str">
        <f aca="false">IFERROR(IF(INDEX(Resources!$D$2:$D$64,MATCH($D133,Resources!$A$2:$A$64,0))="","",INDEX(Resources!$D$2:$D$64,MATCH($D133,Resources!$A$2:$A$64,0))),"")</f>
        <v/>
      </c>
      <c r="L133" s="28" t="str">
        <f aca="false">IF(K133="","",J133*INDEX(Resources!$E$2:$E$64,MATCH($D133,Resources!$A$2:$A$64,0)))</f>
        <v/>
      </c>
      <c r="M133" s="6" t="str">
        <f aca="false">B133&amp;"|"&amp;D133&amp;"|"&amp;C133</f>
        <v>Average Job|Capital|Output</v>
      </c>
    </row>
    <row r="134" customFormat="false" ht="15" hidden="false" customHeight="true" outlineLevel="0" collapsed="false">
      <c r="A134" s="6" t="s">
        <v>1093</v>
      </c>
      <c r="B134" s="6" t="s">
        <v>306</v>
      </c>
      <c r="C134" s="6" t="s">
        <v>938</v>
      </c>
      <c r="D134" s="6" t="s">
        <v>269</v>
      </c>
      <c r="E134" s="26" t="n">
        <v>90</v>
      </c>
      <c r="F134" s="6" t="str">
        <f aca="false">IFERROR(INDEX(Resources!$B$2:$B$64,MATCH($D134,Resources!$A$2:$A$64,0)),"?")</f>
        <v>$</v>
      </c>
      <c r="G134" s="6" t="s">
        <v>939</v>
      </c>
      <c r="H134" s="27" t="n">
        <f aca="false">E134*INDEX(Assumptions!$D$17:$D$23,MATCH(G134,Assumptions!$B$17:$B$23,0))</f>
        <v>90</v>
      </c>
      <c r="I134" s="6" t="n">
        <f aca="false">IFERROR(INDEX(Systems!$R$2:$R$179,MATCH($B134,Systems!$B$2:$B$179,0)),0)</f>
        <v>0</v>
      </c>
      <c r="J134" s="27" t="n">
        <f aca="false">H134*I134</f>
        <v>0</v>
      </c>
      <c r="K134" s="6" t="str">
        <f aca="false">IFERROR(IF(INDEX(Resources!$D$2:$D$64,MATCH($D134,Resources!$A$2:$A$64,0))="","",INDEX(Resources!$D$2:$D$64,MATCH($D134,Resources!$A$2:$A$64,0))),"")</f>
        <v/>
      </c>
      <c r="L134" s="28" t="str">
        <f aca="false">IF(K134="","",J134*INDEX(Resources!$E$2:$E$64,MATCH($D134,Resources!$A$2:$A$64,0)))</f>
        <v/>
      </c>
      <c r="M134" s="6" t="str">
        <f aca="false">B134&amp;"|"&amp;D134&amp;"|"&amp;C134</f>
        <v>Big Box Grocery Store|Capital|Input</v>
      </c>
    </row>
    <row r="135" customFormat="false" ht="15" hidden="false" customHeight="true" outlineLevel="0" collapsed="false">
      <c r="A135" s="6" t="s">
        <v>1094</v>
      </c>
      <c r="B135" s="6" t="s">
        <v>306</v>
      </c>
      <c r="C135" s="6" t="s">
        <v>938</v>
      </c>
      <c r="D135" s="6" t="s">
        <v>61</v>
      </c>
      <c r="E135" s="26" t="n">
        <v>10</v>
      </c>
      <c r="F135" s="6" t="str">
        <f aca="false">IFERROR(INDEX(Resources!$B$2:$B$64,MATCH($D135,Resources!$A$2:$A$64,0)),"?")</f>
        <v>miles</v>
      </c>
      <c r="G135" s="6" t="s">
        <v>939</v>
      </c>
      <c r="H135" s="27" t="n">
        <f aca="false">E135*INDEX(Assumptions!$D$17:$D$23,MATCH(G135,Assumptions!$B$17:$B$23,0))</f>
        <v>10</v>
      </c>
      <c r="I135" s="6" t="n">
        <f aca="false">IFERROR(INDEX(Systems!$R$2:$R$179,MATCH($B135,Systems!$B$2:$B$179,0)),0)</f>
        <v>0</v>
      </c>
      <c r="J135" s="27" t="n">
        <f aca="false">H135*I135</f>
        <v>0</v>
      </c>
      <c r="K135" s="6" t="str">
        <f aca="false">IFERROR(IF(INDEX(Resources!$D$2:$D$64,MATCH($D135,Resources!$A$2:$A$64,0))="","",INDEX(Resources!$D$2:$D$64,MATCH($D135,Resources!$A$2:$A$64,0))),"")</f>
        <v>Transportation</v>
      </c>
      <c r="L135" s="28" t="n">
        <f aca="false">IF(K135="","",J135*INDEX(Resources!$E$2:$E$64,MATCH($D135,Resources!$A$2:$A$64,0)))</f>
        <v>0</v>
      </c>
      <c r="M135" s="6" t="str">
        <f aca="false">B135&amp;"|"&amp;D135&amp;"|"&amp;C135</f>
        <v>Big Box Grocery Store|Transportation|Input</v>
      </c>
    </row>
    <row r="136" customFormat="false" ht="15" hidden="false" customHeight="true" outlineLevel="0" collapsed="false">
      <c r="A136" s="6" t="s">
        <v>1095</v>
      </c>
      <c r="B136" s="6" t="s">
        <v>306</v>
      </c>
      <c r="C136" s="6" t="s">
        <v>943</v>
      </c>
      <c r="D136" s="6" t="s">
        <v>52</v>
      </c>
      <c r="E136" s="26" t="n">
        <v>14000</v>
      </c>
      <c r="F136" s="6" t="str">
        <f aca="false">IFERROR(INDEX(Resources!$B$2:$B$64,MATCH($D136,Resources!$A$2:$A$64,0)),"?")</f>
        <v>kcal</v>
      </c>
      <c r="G136" s="6" t="s">
        <v>939</v>
      </c>
      <c r="H136" s="27" t="n">
        <f aca="false">E136*INDEX(Assumptions!$D$17:$D$23,MATCH(G136,Assumptions!$B$17:$B$23,0))</f>
        <v>14000</v>
      </c>
      <c r="I136" s="6" t="n">
        <f aca="false">IFERROR(INDEX(Systems!$R$2:$R$179,MATCH($B136,Systems!$B$2:$B$179,0)),0)</f>
        <v>0</v>
      </c>
      <c r="J136" s="27" t="n">
        <f aca="false">H136*I136</f>
        <v>0</v>
      </c>
      <c r="K136" s="6" t="str">
        <f aca="false">IFERROR(IF(INDEX(Resources!$D$2:$D$64,MATCH($D136,Resources!$A$2:$A$64,0))="","",INDEX(Resources!$D$2:$D$64,MATCH($D136,Resources!$A$2:$A$64,0))),"")</f>
        <v>Food</v>
      </c>
      <c r="L136" s="28" t="n">
        <f aca="false">IF(K136="","",J136*INDEX(Resources!$E$2:$E$64,MATCH($D136,Resources!$A$2:$A$64,0)))</f>
        <v>0</v>
      </c>
      <c r="M136" s="6" t="str">
        <f aca="false">B136&amp;"|"&amp;D136&amp;"|"&amp;C136</f>
        <v>Big Box Grocery Store|Food|Output</v>
      </c>
    </row>
    <row r="137" customFormat="false" ht="15" hidden="false" customHeight="true" outlineLevel="0" collapsed="false">
      <c r="A137" s="6" t="s">
        <v>1096</v>
      </c>
      <c r="B137" s="6" t="s">
        <v>306</v>
      </c>
      <c r="C137" s="6" t="s">
        <v>943</v>
      </c>
      <c r="D137" s="6" t="s">
        <v>325</v>
      </c>
      <c r="E137" s="26" t="n">
        <v>2</v>
      </c>
      <c r="F137" s="6" t="str">
        <f aca="false">IFERROR(INDEX(Resources!$B$2:$B$64,MATCH($D137,Resources!$A$2:$A$64,0)),"?")</f>
        <v>lbs</v>
      </c>
      <c r="G137" s="6" t="s">
        <v>939</v>
      </c>
      <c r="H137" s="27" t="n">
        <f aca="false">E137*INDEX(Assumptions!$D$17:$D$23,MATCH(G137,Assumptions!$B$17:$B$23,0))</f>
        <v>2</v>
      </c>
      <c r="I137" s="6" t="n">
        <f aca="false">IFERROR(INDEX(Systems!$R$2:$R$179,MATCH($B137,Systems!$B$2:$B$179,0)),0)</f>
        <v>0</v>
      </c>
      <c r="J137" s="27" t="n">
        <f aca="false">H137*I137</f>
        <v>0</v>
      </c>
      <c r="K137" s="6" t="str">
        <f aca="false">IFERROR(IF(INDEX(Resources!$D$2:$D$64,MATCH($D137,Resources!$A$2:$A$64,0))="","",INDEX(Resources!$D$2:$D$64,MATCH($D137,Resources!$A$2:$A$64,0))),"")</f>
        <v/>
      </c>
      <c r="L137" s="28" t="str">
        <f aca="false">IF(K137="","",J137*INDEX(Resources!$E$2:$E$64,MATCH($D137,Resources!$A$2:$A$64,0)))</f>
        <v/>
      </c>
      <c r="M137" s="6" t="str">
        <f aca="false">B137&amp;"|"&amp;D137&amp;"|"&amp;C137</f>
        <v>Big Box Grocery Store|Food waste|Output</v>
      </c>
    </row>
    <row r="138" customFormat="false" ht="15" hidden="false" customHeight="true" outlineLevel="0" collapsed="false">
      <c r="A138" s="6" t="s">
        <v>1097</v>
      </c>
      <c r="B138" s="6" t="s">
        <v>310</v>
      </c>
      <c r="C138" s="6" t="s">
        <v>938</v>
      </c>
      <c r="D138" s="6" t="s">
        <v>269</v>
      </c>
      <c r="E138" s="26" t="n">
        <v>45</v>
      </c>
      <c r="F138" s="6" t="str">
        <f aca="false">IFERROR(INDEX(Resources!$B$2:$B$64,MATCH($D138,Resources!$A$2:$A$64,0)),"?")</f>
        <v>$</v>
      </c>
      <c r="G138" s="6" t="s">
        <v>939</v>
      </c>
      <c r="H138" s="27" t="n">
        <f aca="false">E138*INDEX(Assumptions!$D$17:$D$23,MATCH(G138,Assumptions!$B$17:$B$23,0))</f>
        <v>45</v>
      </c>
      <c r="I138" s="6" t="n">
        <f aca="false">IFERROR(INDEX(Systems!$R$2:$R$179,MATCH($B138,Systems!$B$2:$B$179,0)),0)</f>
        <v>0</v>
      </c>
      <c r="J138" s="27" t="n">
        <f aca="false">H138*I138</f>
        <v>0</v>
      </c>
      <c r="K138" s="6" t="str">
        <f aca="false">IFERROR(IF(INDEX(Resources!$D$2:$D$64,MATCH($D138,Resources!$A$2:$A$64,0))="","",INDEX(Resources!$D$2:$D$64,MATCH($D138,Resources!$A$2:$A$64,0))),"")</f>
        <v/>
      </c>
      <c r="L138" s="28" t="str">
        <f aca="false">IF(K138="","",J138*INDEX(Resources!$E$2:$E$64,MATCH($D138,Resources!$A$2:$A$64,0)))</f>
        <v/>
      </c>
      <c r="M138" s="6" t="str">
        <f aca="false">B138&amp;"|"&amp;D138&amp;"|"&amp;C138</f>
        <v>Central Power Plant (Coal / NatGas / Nuclear)|Capital|Input</v>
      </c>
    </row>
    <row r="139" customFormat="false" ht="15" hidden="false" customHeight="true" outlineLevel="0" collapsed="false">
      <c r="A139" s="6" t="s">
        <v>1098</v>
      </c>
      <c r="B139" s="6" t="s">
        <v>310</v>
      </c>
      <c r="C139" s="6" t="s">
        <v>943</v>
      </c>
      <c r="D139" s="6" t="s">
        <v>59</v>
      </c>
      <c r="E139" s="26" t="n">
        <v>200</v>
      </c>
      <c r="F139" s="6" t="str">
        <f aca="false">IFERROR(INDEX(Resources!$B$2:$B$64,MATCH($D139,Resources!$A$2:$A$64,0)),"?")</f>
        <v>kWh</v>
      </c>
      <c r="G139" s="6" t="s">
        <v>939</v>
      </c>
      <c r="H139" s="27" t="n">
        <f aca="false">E139*INDEX(Assumptions!$D$17:$D$23,MATCH(G139,Assumptions!$B$17:$B$23,0))</f>
        <v>200</v>
      </c>
      <c r="I139" s="6" t="n">
        <f aca="false">IFERROR(INDEX(Systems!$R$2:$R$179,MATCH($B139,Systems!$B$2:$B$179,0)),0)</f>
        <v>0</v>
      </c>
      <c r="J139" s="27" t="n">
        <f aca="false">H139*I139</f>
        <v>0</v>
      </c>
      <c r="K139" s="6" t="str">
        <f aca="false">IFERROR(IF(INDEX(Resources!$D$2:$D$64,MATCH($D139,Resources!$A$2:$A$64,0))="","",INDEX(Resources!$D$2:$D$64,MATCH($D139,Resources!$A$2:$A$64,0))),"")</f>
        <v>Electricity</v>
      </c>
      <c r="L139" s="28" t="n">
        <f aca="false">IF(K139="","",J139*INDEX(Resources!$E$2:$E$64,MATCH($D139,Resources!$A$2:$A$64,0)))</f>
        <v>0</v>
      </c>
      <c r="M139" s="6" t="str">
        <f aca="false">B139&amp;"|"&amp;D139&amp;"|"&amp;C139</f>
        <v>Central Power Plant (Coal / NatGas / Nuclear)|Electricity|Output</v>
      </c>
    </row>
    <row r="140" customFormat="false" ht="15" hidden="false" customHeight="true" outlineLevel="0" collapsed="false">
      <c r="A140" s="6" t="s">
        <v>1099</v>
      </c>
      <c r="B140" s="6" t="s">
        <v>310</v>
      </c>
      <c r="C140" s="6" t="s">
        <v>943</v>
      </c>
      <c r="D140" s="6" t="s">
        <v>67</v>
      </c>
      <c r="E140" s="26" t="n">
        <v>500000</v>
      </c>
      <c r="F140" s="6" t="str">
        <f aca="false">IFERROR(INDEX(Resources!$B$2:$B$64,MATCH($D140,Resources!$A$2:$A$64,0)),"?")</f>
        <v>BTU</v>
      </c>
      <c r="G140" s="6" t="s">
        <v>939</v>
      </c>
      <c r="H140" s="27" t="n">
        <f aca="false">E140*INDEX(Assumptions!$D$17:$D$23,MATCH(G140,Assumptions!$B$17:$B$23,0))</f>
        <v>500000</v>
      </c>
      <c r="I140" s="6" t="n">
        <f aca="false">IFERROR(INDEX(Systems!$R$2:$R$179,MATCH($B140,Systems!$B$2:$B$179,0)),0)</f>
        <v>0</v>
      </c>
      <c r="J140" s="27" t="n">
        <f aca="false">H140*I140</f>
        <v>0</v>
      </c>
      <c r="K140" s="6" t="str">
        <f aca="false">IFERROR(IF(INDEX(Resources!$D$2:$D$64,MATCH($D140,Resources!$A$2:$A$64,0))="","",INDEX(Resources!$D$2:$D$64,MATCH($D140,Resources!$A$2:$A$64,0))),"")</f>
        <v>Heated shelter</v>
      </c>
      <c r="L140" s="28" t="n">
        <f aca="false">IF(K140="","",J140*INDEX(Resources!$E$2:$E$64,MATCH($D140,Resources!$A$2:$A$64,0)))</f>
        <v>0</v>
      </c>
      <c r="M140" s="6" t="str">
        <f aca="false">B140&amp;"|"&amp;D140&amp;"|"&amp;C140</f>
        <v>Central Power Plant (Coal / NatGas / Nuclear)|Heat|Output</v>
      </c>
    </row>
    <row r="141" customFormat="false" ht="15" hidden="false" customHeight="true" outlineLevel="0" collapsed="false">
      <c r="A141" s="6" t="s">
        <v>1100</v>
      </c>
      <c r="B141" s="6" t="s">
        <v>310</v>
      </c>
      <c r="C141" s="6" t="s">
        <v>943</v>
      </c>
      <c r="D141" s="6" t="s">
        <v>63</v>
      </c>
      <c r="E141" s="26" t="n">
        <v>14</v>
      </c>
      <c r="F141" s="6" t="str">
        <f aca="false">IFERROR(INDEX(Resources!$B$2:$B$64,MATCH($D141,Resources!$A$2:$A$64,0)),"?")</f>
        <v>hours</v>
      </c>
      <c r="G141" s="6" t="s">
        <v>939</v>
      </c>
      <c r="H141" s="27" t="n">
        <f aca="false">E141*INDEX(Assumptions!$D$17:$D$23,MATCH(G141,Assumptions!$B$17:$B$23,0))</f>
        <v>14</v>
      </c>
      <c r="I141" s="6" t="n">
        <f aca="false">IFERROR(INDEX(Systems!$R$2:$R$179,MATCH($B141,Systems!$B$2:$B$179,0)),0)</f>
        <v>0</v>
      </c>
      <c r="J141" s="27" t="n">
        <f aca="false">H141*I141</f>
        <v>0</v>
      </c>
      <c r="K141" s="6" t="str">
        <f aca="false">IFERROR(IF(INDEX(Resources!$D$2:$D$64,MATCH($D141,Resources!$A$2:$A$64,0))="","",INDEX(Resources!$D$2:$D$64,MATCH($D141,Resources!$A$2:$A$64,0))),"")</f>
        <v>Cooking fuel</v>
      </c>
      <c r="L141" s="28" t="n">
        <f aca="false">IF(K141="","",J141*INDEX(Resources!$E$2:$E$64,MATCH($D141,Resources!$A$2:$A$64,0)))</f>
        <v>0</v>
      </c>
      <c r="M141" s="6" t="str">
        <f aca="false">B141&amp;"|"&amp;D141&amp;"|"&amp;C141</f>
        <v>Central Power Plant (Coal / NatGas / Nuclear)|Cooking fuel|Output</v>
      </c>
    </row>
    <row r="142" customFormat="false" ht="15" hidden="false" customHeight="true" outlineLevel="0" collapsed="false">
      <c r="A142" s="6" t="s">
        <v>1101</v>
      </c>
      <c r="B142" s="6" t="s">
        <v>310</v>
      </c>
      <c r="C142" s="6" t="s">
        <v>943</v>
      </c>
      <c r="D142" s="6" t="s">
        <v>69</v>
      </c>
      <c r="E142" s="26" t="n">
        <v>150000</v>
      </c>
      <c r="F142" s="6" t="str">
        <f aca="false">IFERROR(INDEX(Resources!$B$2:$B$64,MATCH($D142,Resources!$A$2:$A$64,0)),"?")</f>
        <v>BTU</v>
      </c>
      <c r="G142" s="6" t="s">
        <v>939</v>
      </c>
      <c r="H142" s="27" t="n">
        <f aca="false">E142*INDEX(Assumptions!$D$17:$D$23,MATCH(G142,Assumptions!$B$17:$B$23,0))</f>
        <v>150000</v>
      </c>
      <c r="I142" s="6" t="n">
        <f aca="false">IFERROR(INDEX(Systems!$R$2:$R$179,MATCH($B142,Systems!$B$2:$B$179,0)),0)</f>
        <v>0</v>
      </c>
      <c r="J142" s="27" t="n">
        <f aca="false">H142*I142</f>
        <v>0</v>
      </c>
      <c r="K142" s="6" t="str">
        <f aca="false">IFERROR(IF(INDEX(Resources!$D$2:$D$64,MATCH($D142,Resources!$A$2:$A$64,0))="","",INDEX(Resources!$D$2:$D$64,MATCH($D142,Resources!$A$2:$A$64,0))),"")</f>
        <v>Cooled shelter</v>
      </c>
      <c r="L142" s="28" t="n">
        <f aca="false">IF(K142="","",J142*INDEX(Resources!$E$2:$E$64,MATCH($D142,Resources!$A$2:$A$64,0)))</f>
        <v>0</v>
      </c>
      <c r="M142" s="6" t="str">
        <f aca="false">B142&amp;"|"&amp;D142&amp;"|"&amp;C142</f>
        <v>Central Power Plant (Coal / NatGas / Nuclear)|Cooling|Output</v>
      </c>
    </row>
    <row r="143" customFormat="false" ht="15" hidden="false" customHeight="true" outlineLevel="0" collapsed="false">
      <c r="A143" s="6" t="s">
        <v>1102</v>
      </c>
      <c r="B143" s="6" t="s">
        <v>316</v>
      </c>
      <c r="C143" s="6" t="s">
        <v>938</v>
      </c>
      <c r="D143" s="6" t="s">
        <v>269</v>
      </c>
      <c r="E143" s="26" t="n">
        <v>300</v>
      </c>
      <c r="F143" s="6" t="str">
        <f aca="false">IFERROR(INDEX(Resources!$B$2:$B$64,MATCH($D143,Resources!$A$2:$A$64,0)),"?")</f>
        <v>$</v>
      </c>
      <c r="G143" s="6" t="s">
        <v>939</v>
      </c>
      <c r="H143" s="27" t="n">
        <f aca="false">E143*INDEX(Assumptions!$D$17:$D$23,MATCH(G143,Assumptions!$B$17:$B$23,0))</f>
        <v>300</v>
      </c>
      <c r="I143" s="6" t="n">
        <f aca="false">IFERROR(INDEX(Systems!$R$2:$R$179,MATCH($B143,Systems!$B$2:$B$179,0)),0)</f>
        <v>0</v>
      </c>
      <c r="J143" s="27" t="n">
        <f aca="false">H143*I143</f>
        <v>0</v>
      </c>
      <c r="K143" s="6" t="str">
        <f aca="false">IFERROR(IF(INDEX(Resources!$D$2:$D$64,MATCH($D143,Resources!$A$2:$A$64,0))="","",INDEX(Resources!$D$2:$D$64,MATCH($D143,Resources!$A$2:$A$64,0))),"")</f>
        <v/>
      </c>
      <c r="L143" s="28" t="str">
        <f aca="false">IF(K143="","",J143*INDEX(Resources!$E$2:$E$64,MATCH($D143,Resources!$A$2:$A$64,0)))</f>
        <v/>
      </c>
      <c r="M143" s="6" t="str">
        <f aca="false">B143&amp;"|"&amp;D143&amp;"|"&amp;C143</f>
        <v>Factory Farmed Food (Family of Four)|Capital|Input</v>
      </c>
    </row>
    <row r="144" customFormat="false" ht="15" hidden="false" customHeight="true" outlineLevel="0" collapsed="false">
      <c r="A144" s="6" t="s">
        <v>1103</v>
      </c>
      <c r="B144" s="6" t="s">
        <v>316</v>
      </c>
      <c r="C144" s="6" t="s">
        <v>938</v>
      </c>
      <c r="D144" s="6" t="s">
        <v>61</v>
      </c>
      <c r="E144" s="26" t="n">
        <v>10</v>
      </c>
      <c r="F144" s="6" t="str">
        <f aca="false">IFERROR(INDEX(Resources!$B$2:$B$64,MATCH($D144,Resources!$A$2:$A$64,0)),"?")</f>
        <v>miles</v>
      </c>
      <c r="G144" s="6" t="s">
        <v>939</v>
      </c>
      <c r="H144" s="27" t="n">
        <f aca="false">E144*INDEX(Assumptions!$D$17:$D$23,MATCH(G144,Assumptions!$B$17:$B$23,0))</f>
        <v>10</v>
      </c>
      <c r="I144" s="6" t="n">
        <f aca="false">IFERROR(INDEX(Systems!$R$2:$R$179,MATCH($B144,Systems!$B$2:$B$179,0)),0)</f>
        <v>0</v>
      </c>
      <c r="J144" s="27" t="n">
        <f aca="false">H144*I144</f>
        <v>0</v>
      </c>
      <c r="K144" s="6" t="str">
        <f aca="false">IFERROR(IF(INDEX(Resources!$D$2:$D$64,MATCH($D144,Resources!$A$2:$A$64,0))="","",INDEX(Resources!$D$2:$D$64,MATCH($D144,Resources!$A$2:$A$64,0))),"")</f>
        <v>Transportation</v>
      </c>
      <c r="L144" s="28" t="n">
        <f aca="false">IF(K144="","",J144*INDEX(Resources!$E$2:$E$64,MATCH($D144,Resources!$A$2:$A$64,0)))</f>
        <v>0</v>
      </c>
      <c r="M144" s="6" t="str">
        <f aca="false">B144&amp;"|"&amp;D144&amp;"|"&amp;C144</f>
        <v>Factory Farmed Food (Family of Four)|Transportation|Input</v>
      </c>
    </row>
    <row r="145" customFormat="false" ht="15" hidden="false" customHeight="true" outlineLevel="0" collapsed="false">
      <c r="A145" s="6" t="s">
        <v>1104</v>
      </c>
      <c r="B145" s="6" t="s">
        <v>316</v>
      </c>
      <c r="C145" s="6" t="s">
        <v>943</v>
      </c>
      <c r="D145" s="6" t="s">
        <v>52</v>
      </c>
      <c r="E145" s="26" t="n">
        <v>56000</v>
      </c>
      <c r="F145" s="6" t="str">
        <f aca="false">IFERROR(INDEX(Resources!$B$2:$B$64,MATCH($D145,Resources!$A$2:$A$64,0)),"?")</f>
        <v>kcal</v>
      </c>
      <c r="G145" s="6" t="s">
        <v>939</v>
      </c>
      <c r="H145" s="27" t="n">
        <f aca="false">E145*INDEX(Assumptions!$D$17:$D$23,MATCH(G145,Assumptions!$B$17:$B$23,0))</f>
        <v>56000</v>
      </c>
      <c r="I145" s="6" t="n">
        <f aca="false">IFERROR(INDEX(Systems!$R$2:$R$179,MATCH($B145,Systems!$B$2:$B$179,0)),0)</f>
        <v>0</v>
      </c>
      <c r="J145" s="27" t="n">
        <f aca="false">H145*I145</f>
        <v>0</v>
      </c>
      <c r="K145" s="6" t="str">
        <f aca="false">IFERROR(IF(INDEX(Resources!$D$2:$D$64,MATCH($D145,Resources!$A$2:$A$64,0))="","",INDEX(Resources!$D$2:$D$64,MATCH($D145,Resources!$A$2:$A$64,0))),"")</f>
        <v>Food</v>
      </c>
      <c r="L145" s="28" t="n">
        <f aca="false">IF(K145="","",J145*INDEX(Resources!$E$2:$E$64,MATCH($D145,Resources!$A$2:$A$64,0)))</f>
        <v>0</v>
      </c>
      <c r="M145" s="6" t="str">
        <f aca="false">B145&amp;"|"&amp;D145&amp;"|"&amp;C145</f>
        <v>Factory Farmed Food (Family of Four)|Food|Output</v>
      </c>
    </row>
    <row r="146" customFormat="false" ht="15" hidden="false" customHeight="true" outlineLevel="0" collapsed="false">
      <c r="A146" s="6" t="s">
        <v>1105</v>
      </c>
      <c r="B146" s="6" t="s">
        <v>316</v>
      </c>
      <c r="C146" s="6" t="s">
        <v>943</v>
      </c>
      <c r="D146" s="6" t="s">
        <v>325</v>
      </c>
      <c r="E146" s="26" t="n">
        <v>10</v>
      </c>
      <c r="F146" s="6" t="str">
        <f aca="false">IFERROR(INDEX(Resources!$B$2:$B$64,MATCH($D146,Resources!$A$2:$A$64,0)),"?")</f>
        <v>lbs</v>
      </c>
      <c r="G146" s="6" t="s">
        <v>939</v>
      </c>
      <c r="H146" s="27" t="n">
        <f aca="false">E146*INDEX(Assumptions!$D$17:$D$23,MATCH(G146,Assumptions!$B$17:$B$23,0))</f>
        <v>10</v>
      </c>
      <c r="I146" s="6" t="n">
        <f aca="false">IFERROR(INDEX(Systems!$R$2:$R$179,MATCH($B146,Systems!$B$2:$B$179,0)),0)</f>
        <v>0</v>
      </c>
      <c r="J146" s="27" t="n">
        <f aca="false">H146*I146</f>
        <v>0</v>
      </c>
      <c r="K146" s="6" t="str">
        <f aca="false">IFERROR(IF(INDEX(Resources!$D$2:$D$64,MATCH($D146,Resources!$A$2:$A$64,0))="","",INDEX(Resources!$D$2:$D$64,MATCH($D146,Resources!$A$2:$A$64,0))),"")</f>
        <v/>
      </c>
      <c r="L146" s="28" t="str">
        <f aca="false">IF(K146="","",J146*INDEX(Resources!$E$2:$E$64,MATCH($D146,Resources!$A$2:$A$64,0)))</f>
        <v/>
      </c>
      <c r="M146" s="6" t="str">
        <f aca="false">B146&amp;"|"&amp;D146&amp;"|"&amp;C146</f>
        <v>Factory Farmed Food (Family of Four)|Food waste|Output</v>
      </c>
    </row>
    <row r="147" customFormat="false" ht="15" hidden="false" customHeight="true" outlineLevel="0" collapsed="false">
      <c r="A147" s="6" t="s">
        <v>1106</v>
      </c>
      <c r="B147" s="6" t="s">
        <v>321</v>
      </c>
      <c r="C147" s="6" t="s">
        <v>938</v>
      </c>
      <c r="D147" s="6" t="s">
        <v>71</v>
      </c>
      <c r="E147" s="26" t="n">
        <v>0.5</v>
      </c>
      <c r="F147" s="6" t="str">
        <f aca="false">IFERROR(INDEX(Resources!$B$2:$B$64,MATCH($D147,Resources!$A$2:$A$64,0)),"?")</f>
        <v>hours</v>
      </c>
      <c r="G147" s="6" t="s">
        <v>939</v>
      </c>
      <c r="H147" s="27" t="n">
        <f aca="false">E147*INDEX(Assumptions!$D$17:$D$23,MATCH(G147,Assumptions!$B$17:$B$23,0))</f>
        <v>0.5</v>
      </c>
      <c r="I147" s="6" t="n">
        <f aca="false">IFERROR(INDEX(Systems!$R$2:$R$179,MATCH($B147,Systems!$B$2:$B$179,0)),0)</f>
        <v>0</v>
      </c>
      <c r="J147" s="27" t="n">
        <f aca="false">H147*I147</f>
        <v>0</v>
      </c>
      <c r="K147" s="6" t="str">
        <f aca="false">IFERROR(IF(INDEX(Resources!$D$2:$D$64,MATCH($D147,Resources!$A$2:$A$64,0))="","",INDEX(Resources!$D$2:$D$64,MATCH($D147,Resources!$A$2:$A$64,0))),"")</f>
        <v>Est. Required Labor</v>
      </c>
      <c r="L147" s="28" t="n">
        <f aca="false">IF(K147="","",J147*INDEX(Resources!$E$2:$E$64,MATCH($D147,Resources!$A$2:$A$64,0)))</f>
        <v>0</v>
      </c>
      <c r="M147" s="6" t="str">
        <f aca="false">B147&amp;"|"&amp;D147&amp;"|"&amp;C147</f>
        <v>Food Waste|Labor|Input</v>
      </c>
      <c r="N147" s="6" t="s">
        <v>940</v>
      </c>
    </row>
    <row r="148" customFormat="false" ht="15" hidden="false" customHeight="true" outlineLevel="0" collapsed="false">
      <c r="A148" s="6" t="s">
        <v>1107</v>
      </c>
      <c r="B148" s="6" t="s">
        <v>321</v>
      </c>
      <c r="C148" s="6" t="s">
        <v>938</v>
      </c>
      <c r="D148" s="6" t="s">
        <v>61</v>
      </c>
      <c r="E148" s="26" t="n">
        <v>10</v>
      </c>
      <c r="F148" s="6" t="str">
        <f aca="false">IFERROR(INDEX(Resources!$B$2:$B$64,MATCH($D148,Resources!$A$2:$A$64,0)),"?")</f>
        <v>miles</v>
      </c>
      <c r="G148" s="6" t="s">
        <v>939</v>
      </c>
      <c r="H148" s="27" t="n">
        <f aca="false">E148*INDEX(Assumptions!$D$17:$D$23,MATCH(G148,Assumptions!$B$17:$B$23,0))</f>
        <v>10</v>
      </c>
      <c r="I148" s="6" t="n">
        <f aca="false">IFERROR(INDEX(Systems!$R$2:$R$179,MATCH($B148,Systems!$B$2:$B$179,0)),0)</f>
        <v>0</v>
      </c>
      <c r="J148" s="27" t="n">
        <f aca="false">H148*I148</f>
        <v>0</v>
      </c>
      <c r="K148" s="6" t="str">
        <f aca="false">IFERROR(IF(INDEX(Resources!$D$2:$D$64,MATCH($D148,Resources!$A$2:$A$64,0))="","",INDEX(Resources!$D$2:$D$64,MATCH($D148,Resources!$A$2:$A$64,0))),"")</f>
        <v>Transportation</v>
      </c>
      <c r="L148" s="28" t="n">
        <f aca="false">IF(K148="","",J148*INDEX(Resources!$E$2:$E$64,MATCH($D148,Resources!$A$2:$A$64,0)))</f>
        <v>0</v>
      </c>
      <c r="M148" s="6" t="str">
        <f aca="false">B148&amp;"|"&amp;D148&amp;"|"&amp;C148</f>
        <v>Food Waste|Transportation|Input</v>
      </c>
    </row>
    <row r="149" customFormat="false" ht="15" hidden="false" customHeight="true" outlineLevel="0" collapsed="false">
      <c r="A149" s="6" t="s">
        <v>1108</v>
      </c>
      <c r="B149" s="6" t="s">
        <v>321</v>
      </c>
      <c r="C149" s="6" t="s">
        <v>943</v>
      </c>
      <c r="D149" s="6" t="s">
        <v>325</v>
      </c>
      <c r="E149" s="26" t="n">
        <v>25</v>
      </c>
      <c r="F149" s="6" t="str">
        <f aca="false">IFERROR(INDEX(Resources!$B$2:$B$64,MATCH($D149,Resources!$A$2:$A$64,0)),"?")</f>
        <v>lbs</v>
      </c>
      <c r="G149" s="6" t="s">
        <v>939</v>
      </c>
      <c r="H149" s="27" t="n">
        <f aca="false">E149*INDEX(Assumptions!$D$17:$D$23,MATCH(G149,Assumptions!$B$17:$B$23,0))</f>
        <v>25</v>
      </c>
      <c r="I149" s="6" t="n">
        <f aca="false">IFERROR(INDEX(Systems!$R$2:$R$179,MATCH($B149,Systems!$B$2:$B$179,0)),0)</f>
        <v>0</v>
      </c>
      <c r="J149" s="27" t="n">
        <f aca="false">H149*I149</f>
        <v>0</v>
      </c>
      <c r="K149" s="6" t="str">
        <f aca="false">IFERROR(IF(INDEX(Resources!$D$2:$D$64,MATCH($D149,Resources!$A$2:$A$64,0))="","",INDEX(Resources!$D$2:$D$64,MATCH($D149,Resources!$A$2:$A$64,0))),"")</f>
        <v/>
      </c>
      <c r="L149" s="28" t="str">
        <f aca="false">IF(K149="","",J149*INDEX(Resources!$E$2:$E$64,MATCH($D149,Resources!$A$2:$A$64,0)))</f>
        <v/>
      </c>
      <c r="M149" s="6" t="str">
        <f aca="false">B149&amp;"|"&amp;D149&amp;"|"&amp;C149</f>
        <v>Food Waste|Food waste|Output</v>
      </c>
    </row>
    <row r="150" customFormat="false" ht="15" hidden="false" customHeight="true" outlineLevel="0" collapsed="false">
      <c r="A150" s="6" t="s">
        <v>1109</v>
      </c>
      <c r="B150" s="6" t="s">
        <v>321</v>
      </c>
      <c r="C150" s="6" t="s">
        <v>943</v>
      </c>
      <c r="D150" s="6" t="s">
        <v>1036</v>
      </c>
      <c r="E150" s="26" t="n">
        <v>5</v>
      </c>
      <c r="F150" s="6" t="str">
        <f aca="false">IFERROR(INDEX(Resources!$B$2:$B$64,MATCH($D150,Resources!$A$2:$A$64,0)),"?")</f>
        <v>lbs</v>
      </c>
      <c r="G150" s="6" t="s">
        <v>939</v>
      </c>
      <c r="H150" s="27" t="n">
        <f aca="false">E150*INDEX(Assumptions!$D$17:$D$23,MATCH(G150,Assumptions!$B$17:$B$23,0))</f>
        <v>5</v>
      </c>
      <c r="I150" s="6" t="n">
        <f aca="false">IFERROR(INDEX(Systems!$R$2:$R$179,MATCH($B150,Systems!$B$2:$B$179,0)),0)</f>
        <v>0</v>
      </c>
      <c r="J150" s="27" t="n">
        <f aca="false">H150*I150</f>
        <v>0</v>
      </c>
      <c r="K150" s="6" t="str">
        <f aca="false">IFERROR(IF(INDEX(Resources!$D$2:$D$64,MATCH($D150,Resources!$A$2:$A$64,0))="","",INDEX(Resources!$D$2:$D$64,MATCH($D150,Resources!$A$2:$A$64,0))),"")</f>
        <v/>
      </c>
      <c r="L150" s="28" t="str">
        <f aca="false">IF(K150="","",J150*INDEX(Resources!$E$2:$E$64,MATCH($D150,Resources!$A$2:$A$64,0)))</f>
        <v/>
      </c>
      <c r="M150" s="6" t="str">
        <f aca="false">B150&amp;"|"&amp;D150&amp;"|"&amp;C150</f>
        <v>Food Waste|Coffee grounds|Output</v>
      </c>
    </row>
    <row r="151" customFormat="false" ht="15" hidden="false" customHeight="true" outlineLevel="0" collapsed="false">
      <c r="A151" s="6" t="s">
        <v>1110</v>
      </c>
      <c r="B151" s="6" t="s">
        <v>327</v>
      </c>
      <c r="C151" s="6" t="s">
        <v>938</v>
      </c>
      <c r="D151" s="6" t="s">
        <v>71</v>
      </c>
      <c r="E151" s="26" t="n">
        <v>0.05</v>
      </c>
      <c r="F151" s="6" t="str">
        <f aca="false">IFERROR(INDEX(Resources!$B$2:$B$64,MATCH($D151,Resources!$A$2:$A$64,0)),"?")</f>
        <v>hours</v>
      </c>
      <c r="G151" s="6" t="s">
        <v>939</v>
      </c>
      <c r="H151" s="27" t="n">
        <f aca="false">E151*INDEX(Assumptions!$D$17:$D$23,MATCH(G151,Assumptions!$B$17:$B$23,0))</f>
        <v>0.05</v>
      </c>
      <c r="I151" s="6" t="n">
        <f aca="false">IFERROR(INDEX(Systems!$R$2:$R$179,MATCH($B151,Systems!$B$2:$B$179,0)),0)</f>
        <v>0</v>
      </c>
      <c r="J151" s="27" t="n">
        <f aca="false">H151*I151</f>
        <v>0</v>
      </c>
      <c r="K151" s="6" t="str">
        <f aca="false">IFERROR(IF(INDEX(Resources!$D$2:$D$64,MATCH($D151,Resources!$A$2:$A$64,0))="","",INDEX(Resources!$D$2:$D$64,MATCH($D151,Resources!$A$2:$A$64,0))),"")</f>
        <v>Est. Required Labor</v>
      </c>
      <c r="L151" s="28" t="n">
        <f aca="false">IF(K151="","",J151*INDEX(Resources!$E$2:$E$64,MATCH($D151,Resources!$A$2:$A$64,0)))</f>
        <v>0</v>
      </c>
      <c r="M151" s="6" t="str">
        <f aca="false">B151&amp;"|"&amp;D151&amp;"|"&amp;C151</f>
        <v>IBC Tank (food grade)|Labor|Input</v>
      </c>
      <c r="N151" s="6" t="s">
        <v>940</v>
      </c>
    </row>
    <row r="152" customFormat="false" ht="15" hidden="false" customHeight="true" outlineLevel="0" collapsed="false">
      <c r="A152" s="6" t="s">
        <v>1111</v>
      </c>
      <c r="B152" s="6" t="s">
        <v>327</v>
      </c>
      <c r="C152" s="6" t="s">
        <v>943</v>
      </c>
      <c r="D152" s="6" t="s">
        <v>104</v>
      </c>
      <c r="E152" s="26" t="n">
        <v>275</v>
      </c>
      <c r="F152" s="6" t="str">
        <f aca="false">IFERROR(INDEX(Resources!$B$2:$B$64,MATCH($D152,Resources!$A$2:$A$64,0)),"?")</f>
        <v>gal</v>
      </c>
      <c r="G152" s="6" t="s">
        <v>945</v>
      </c>
      <c r="H152" s="27" t="n">
        <f aca="false">E152*INDEX(Assumptions!$D$17:$D$23,MATCH(G152,Assumptions!$B$17:$B$23,0))</f>
        <v>275</v>
      </c>
      <c r="I152" s="6" t="n">
        <f aca="false">IFERROR(INDEX(Systems!$R$2:$R$179,MATCH($B152,Systems!$B$2:$B$179,0)),0)</f>
        <v>0</v>
      </c>
      <c r="J152" s="27" t="n">
        <f aca="false">H152*I152</f>
        <v>0</v>
      </c>
      <c r="K152" s="6" t="str">
        <f aca="false">IFERROR(IF(INDEX(Resources!$D$2:$D$64,MATCH($D152,Resources!$A$2:$A$64,0))="","",INDEX(Resources!$D$2:$D$64,MATCH($D152,Resources!$A$2:$A$64,0))),"")</f>
        <v/>
      </c>
      <c r="L152" s="28" t="str">
        <f aca="false">IF(K152="","",J152*INDEX(Resources!$E$2:$E$64,MATCH($D152,Resources!$A$2:$A$64,0)))</f>
        <v/>
      </c>
      <c r="M152" s="6" t="str">
        <f aca="false">B152&amp;"|"&amp;D152&amp;"|"&amp;C152</f>
        <v>IBC Tank (food grade)|Water storage|Output</v>
      </c>
    </row>
    <row r="153" customFormat="false" ht="15" hidden="false" customHeight="true" outlineLevel="0" collapsed="false">
      <c r="A153" s="6" t="s">
        <v>1112</v>
      </c>
      <c r="B153" s="6" t="s">
        <v>332</v>
      </c>
      <c r="C153" s="6" t="s">
        <v>938</v>
      </c>
      <c r="D153" s="6" t="s">
        <v>71</v>
      </c>
      <c r="E153" s="26" t="n">
        <v>3</v>
      </c>
      <c r="F153" s="6" t="str">
        <f aca="false">IFERROR(INDEX(Resources!$B$2:$B$64,MATCH($D153,Resources!$A$2:$A$64,0)),"?")</f>
        <v>hours</v>
      </c>
      <c r="G153" s="6" t="s">
        <v>939</v>
      </c>
      <c r="H153" s="27" t="n">
        <f aca="false">E153*INDEX(Assumptions!$D$17:$D$23,MATCH(G153,Assumptions!$B$17:$B$23,0))</f>
        <v>3</v>
      </c>
      <c r="I153" s="6" t="n">
        <f aca="false">IFERROR(INDEX(Systems!$R$2:$R$179,MATCH($B153,Systems!$B$2:$B$179,0)),0)</f>
        <v>0</v>
      </c>
      <c r="J153" s="27" t="n">
        <f aca="false">H153*I153</f>
        <v>0</v>
      </c>
      <c r="K153" s="6" t="str">
        <f aca="false">IFERROR(IF(INDEX(Resources!$D$2:$D$64,MATCH($D153,Resources!$A$2:$A$64,0))="","",INDEX(Resources!$D$2:$D$64,MATCH($D153,Resources!$A$2:$A$64,0))),"")</f>
        <v>Est. Required Labor</v>
      </c>
      <c r="L153" s="28" t="n">
        <f aca="false">IF(K153="","",J153*INDEX(Resources!$E$2:$E$64,MATCH($D153,Resources!$A$2:$A$64,0)))</f>
        <v>0</v>
      </c>
      <c r="M153" s="6" t="str">
        <f aca="false">B153&amp;"|"&amp;D153&amp;"|"&amp;C153</f>
        <v>Permaculture Food Forest (1/4 acre)|Labor|Input</v>
      </c>
      <c r="N153" s="6" t="s">
        <v>940</v>
      </c>
    </row>
    <row r="154" customFormat="false" ht="15" hidden="false" customHeight="true" outlineLevel="0" collapsed="false">
      <c r="A154" s="6" t="s">
        <v>1113</v>
      </c>
      <c r="B154" s="6" t="s">
        <v>332</v>
      </c>
      <c r="C154" s="6" t="s">
        <v>938</v>
      </c>
      <c r="D154" s="6" t="s">
        <v>1114</v>
      </c>
      <c r="E154" s="26" t="n">
        <v>60</v>
      </c>
      <c r="F154" s="6" t="str">
        <f aca="false">IFERROR(INDEX(Resources!$B$2:$B$64,MATCH($D154,Resources!$A$2:$A$64,0)),"?")</f>
        <v>plants</v>
      </c>
      <c r="G154" s="6" t="s">
        <v>1115</v>
      </c>
      <c r="H154" s="27" t="n">
        <f aca="false">E154*INDEX(Assumptions!$D$17:$D$23,MATCH(G154,Assumptions!$B$17:$B$23,0))</f>
        <v>0</v>
      </c>
      <c r="I154" s="6" t="n">
        <f aca="false">IFERROR(INDEX(Systems!$R$2:$R$179,MATCH($B154,Systems!$B$2:$B$179,0)),0)</f>
        <v>0</v>
      </c>
      <c r="J154" s="27" t="n">
        <f aca="false">H154*I154</f>
        <v>0</v>
      </c>
      <c r="K154" s="6" t="str">
        <f aca="false">IFERROR(IF(INDEX(Resources!$D$2:$D$64,MATCH($D154,Resources!$A$2:$A$64,0))="","",INDEX(Resources!$D$2:$D$64,MATCH($D154,Resources!$A$2:$A$64,0))),"")</f>
        <v/>
      </c>
      <c r="L154" s="28" t="str">
        <f aca="false">IF(K154="","",J154*INDEX(Resources!$E$2:$E$64,MATCH($D154,Resources!$A$2:$A$64,0)))</f>
        <v/>
      </c>
      <c r="M154" s="6" t="str">
        <f aca="false">B154&amp;"|"&amp;D154&amp;"|"&amp;C154</f>
        <v>Permaculture Food Forest (1/4 acre)|Seedlings|Input</v>
      </c>
    </row>
    <row r="155" customFormat="false" ht="15" hidden="false" customHeight="true" outlineLevel="0" collapsed="false">
      <c r="A155" s="6" t="s">
        <v>1116</v>
      </c>
      <c r="B155" s="6" t="s">
        <v>332</v>
      </c>
      <c r="C155" s="6" t="s">
        <v>938</v>
      </c>
      <c r="D155" s="6" t="s">
        <v>49</v>
      </c>
      <c r="E155" s="26" t="n">
        <v>400</v>
      </c>
      <c r="F155" s="6" t="str">
        <f aca="false">IFERROR(INDEX(Resources!$B$2:$B$64,MATCH($D155,Resources!$A$2:$A$64,0)),"?")</f>
        <v>gal</v>
      </c>
      <c r="G155" s="6" t="s">
        <v>939</v>
      </c>
      <c r="H155" s="27" t="n">
        <f aca="false">E155*INDEX(Assumptions!$D$17:$D$23,MATCH(G155,Assumptions!$B$17:$B$23,0))</f>
        <v>400</v>
      </c>
      <c r="I155" s="6" t="n">
        <f aca="false">IFERROR(INDEX(Systems!$R$2:$R$179,MATCH($B155,Systems!$B$2:$B$179,0)),0)</f>
        <v>0</v>
      </c>
      <c r="J155" s="27" t="n">
        <f aca="false">H155*I155</f>
        <v>0</v>
      </c>
      <c r="K155" s="6" t="str">
        <f aca="false">IFERROR(IF(INDEX(Resources!$D$2:$D$64,MATCH($D155,Resources!$A$2:$A$64,0))="","",INDEX(Resources!$D$2:$D$64,MATCH($D155,Resources!$A$2:$A$64,0))),"")</f>
        <v>Water</v>
      </c>
      <c r="L155" s="28" t="n">
        <f aca="false">IF(K155="","",J155*INDEX(Resources!$E$2:$E$64,MATCH($D155,Resources!$A$2:$A$64,0)))</f>
        <v>0</v>
      </c>
      <c r="M155" s="6" t="str">
        <f aca="false">B155&amp;"|"&amp;D155&amp;"|"&amp;C155</f>
        <v>Permaculture Food Forest (1/4 acre)|Water|Input</v>
      </c>
    </row>
    <row r="156" customFormat="false" ht="15" hidden="false" customHeight="true" outlineLevel="0" collapsed="false">
      <c r="A156" s="6" t="s">
        <v>1117</v>
      </c>
      <c r="B156" s="6" t="s">
        <v>332</v>
      </c>
      <c r="C156" s="6" t="s">
        <v>938</v>
      </c>
      <c r="D156" s="6" t="s">
        <v>322</v>
      </c>
      <c r="E156" s="26" t="n">
        <v>500</v>
      </c>
      <c r="F156" s="6" t="str">
        <f aca="false">IFERROR(INDEX(Resources!$B$2:$B$64,MATCH($D156,Resources!$A$2:$A$64,0)),"?")</f>
        <v>lbs</v>
      </c>
      <c r="G156" s="6" t="s">
        <v>1032</v>
      </c>
      <c r="H156" s="27" t="n">
        <f aca="false">E156*INDEX(Assumptions!$D$17:$D$23,MATCH(G156,Assumptions!$B$17:$B$23,0))</f>
        <v>9.61538461538462</v>
      </c>
      <c r="I156" s="6" t="n">
        <f aca="false">IFERROR(INDEX(Systems!$R$2:$R$179,MATCH($B156,Systems!$B$2:$B$179,0)),0)</f>
        <v>0</v>
      </c>
      <c r="J156" s="27" t="n">
        <f aca="false">H156*I156</f>
        <v>0</v>
      </c>
      <c r="K156" s="6" t="str">
        <f aca="false">IFERROR(IF(INDEX(Resources!$D$2:$D$64,MATCH($D156,Resources!$A$2:$A$64,0))="","",INDEX(Resources!$D$2:$D$64,MATCH($D156,Resources!$A$2:$A$64,0))),"")</f>
        <v/>
      </c>
      <c r="L156" s="28" t="str">
        <f aca="false">IF(K156="","",J156*INDEX(Resources!$E$2:$E$64,MATCH($D156,Resources!$A$2:$A$64,0)))</f>
        <v/>
      </c>
      <c r="M156" s="6" t="str">
        <f aca="false">B156&amp;"|"&amp;D156&amp;"|"&amp;C156</f>
        <v>Permaculture Food Forest (1/4 acre)|Compost|Input</v>
      </c>
    </row>
    <row r="157" customFormat="false" ht="15" hidden="false" customHeight="true" outlineLevel="0" collapsed="false">
      <c r="A157" s="6" t="s">
        <v>1118</v>
      </c>
      <c r="B157" s="6" t="s">
        <v>332</v>
      </c>
      <c r="C157" s="6" t="s">
        <v>938</v>
      </c>
      <c r="D157" s="6" t="s">
        <v>437</v>
      </c>
      <c r="E157" s="26" t="n">
        <v>1</v>
      </c>
      <c r="F157" s="6" t="str">
        <f aca="false">IFERROR(INDEX(Resources!$B$2:$B$64,MATCH($D157,Resources!$A$2:$A$64,0)),"?")</f>
        <v>units</v>
      </c>
      <c r="G157" s="6" t="s">
        <v>945</v>
      </c>
      <c r="H157" s="27" t="n">
        <f aca="false">E157*INDEX(Assumptions!$D$17:$D$23,MATCH(G157,Assumptions!$B$17:$B$23,0))</f>
        <v>1</v>
      </c>
      <c r="I157" s="6" t="n">
        <f aca="false">IFERROR(INDEX(Systems!$R$2:$R$179,MATCH($B157,Systems!$B$2:$B$179,0)),0)</f>
        <v>0</v>
      </c>
      <c r="J157" s="27" t="n">
        <f aca="false">H157*I157</f>
        <v>0</v>
      </c>
      <c r="K157" s="6" t="str">
        <f aca="false">IFERROR(IF(INDEX(Resources!$D$2:$D$64,MATCH($D157,Resources!$A$2:$A$64,0))="","",INDEX(Resources!$D$2:$D$64,MATCH($D157,Resources!$A$2:$A$64,0))),"")</f>
        <v/>
      </c>
      <c r="L157" s="28" t="str">
        <f aca="false">IF(K157="","",J157*INDEX(Resources!$E$2:$E$64,MATCH($D157,Resources!$A$2:$A$64,0)))</f>
        <v/>
      </c>
      <c r="M157" s="6" t="str">
        <f aca="false">B157&amp;"|"&amp;D157&amp;"|"&amp;C157</f>
        <v>Permaculture Food Forest (1/4 acre)|Pollination|Input</v>
      </c>
    </row>
    <row r="158" customFormat="false" ht="15" hidden="false" customHeight="true" outlineLevel="0" collapsed="false">
      <c r="A158" s="6" t="s">
        <v>1119</v>
      </c>
      <c r="B158" s="6" t="s">
        <v>332</v>
      </c>
      <c r="C158" s="6" t="s">
        <v>943</v>
      </c>
      <c r="D158" s="6" t="s">
        <v>561</v>
      </c>
      <c r="E158" s="26" t="n">
        <v>15</v>
      </c>
      <c r="F158" s="6" t="str">
        <f aca="false">IFERROR(INDEX(Resources!$B$2:$B$64,MATCH($D158,Resources!$A$2:$A$64,0)),"?")</f>
        <v>lbs</v>
      </c>
      <c r="G158" s="6" t="s">
        <v>939</v>
      </c>
      <c r="H158" s="27" t="n">
        <f aca="false">E158*INDEX(Assumptions!$D$17:$D$23,MATCH(G158,Assumptions!$B$17:$B$23,0))</f>
        <v>15</v>
      </c>
      <c r="I158" s="6" t="n">
        <f aca="false">IFERROR(INDEX(Systems!$R$2:$R$179,MATCH($B158,Systems!$B$2:$B$179,0)),0)</f>
        <v>0</v>
      </c>
      <c r="J158" s="27" t="n">
        <f aca="false">H158*I158</f>
        <v>0</v>
      </c>
      <c r="K158" s="6" t="str">
        <f aca="false">IFERROR(IF(INDEX(Resources!$D$2:$D$64,MATCH($D158,Resources!$A$2:$A$64,0))="","",INDEX(Resources!$D$2:$D$64,MATCH($D158,Resources!$A$2:$A$64,0))),"")</f>
        <v>Food</v>
      </c>
      <c r="L158" s="28" t="n">
        <f aca="false">IF(K158="","",J158*INDEX(Resources!$E$2:$E$64,MATCH($D158,Resources!$A$2:$A$64,0)))</f>
        <v>0</v>
      </c>
      <c r="M158" s="6" t="str">
        <f aca="false">B158&amp;"|"&amp;D158&amp;"|"&amp;C158</f>
        <v>Permaculture Food Forest (1/4 acre)|Vegetables fruit fiber herbs|Output</v>
      </c>
    </row>
    <row r="159" customFormat="false" ht="15" hidden="false" customHeight="true" outlineLevel="0" collapsed="false">
      <c r="A159" s="6" t="s">
        <v>1120</v>
      </c>
      <c r="B159" s="6" t="s">
        <v>332</v>
      </c>
      <c r="C159" s="6" t="s">
        <v>943</v>
      </c>
      <c r="D159" s="6" t="s">
        <v>1121</v>
      </c>
      <c r="E159" s="26" t="n">
        <v>20</v>
      </c>
      <c r="F159" s="6" t="str">
        <f aca="false">IFERROR(INDEX(Resources!$B$2:$B$64,MATCH($D159,Resources!$A$2:$A$64,0)),"?")</f>
        <v>lbs</v>
      </c>
      <c r="G159" s="6" t="s">
        <v>1032</v>
      </c>
      <c r="H159" s="27" t="n">
        <f aca="false">E159*INDEX(Assumptions!$D$17:$D$23,MATCH(G159,Assumptions!$B$17:$B$23,0))</f>
        <v>0.384615384615385</v>
      </c>
      <c r="I159" s="6" t="n">
        <f aca="false">IFERROR(INDEX(Systems!$R$2:$R$179,MATCH($B159,Systems!$B$2:$B$179,0)),0)</f>
        <v>0</v>
      </c>
      <c r="J159" s="27" t="n">
        <f aca="false">H159*I159</f>
        <v>0</v>
      </c>
      <c r="K159" s="6" t="str">
        <f aca="false">IFERROR(IF(INDEX(Resources!$D$2:$D$64,MATCH($D159,Resources!$A$2:$A$64,0))="","",INDEX(Resources!$D$2:$D$64,MATCH($D159,Resources!$A$2:$A$64,0))),"")</f>
        <v>Food</v>
      </c>
      <c r="L159" s="28" t="n">
        <f aca="false">IF(K159="","",J159*INDEX(Resources!$E$2:$E$64,MATCH($D159,Resources!$A$2:$A$64,0)))</f>
        <v>0</v>
      </c>
      <c r="M159" s="6" t="str">
        <f aca="false">B159&amp;"|"&amp;D159&amp;"|"&amp;C159</f>
        <v>Permaculture Food Forest (1/4 acre)|Nuts|Output</v>
      </c>
    </row>
    <row r="160" customFormat="false" ht="15" hidden="false" customHeight="true" outlineLevel="0" collapsed="false">
      <c r="A160" s="6" t="s">
        <v>1122</v>
      </c>
      <c r="B160" s="6" t="s">
        <v>332</v>
      </c>
      <c r="C160" s="6" t="s">
        <v>943</v>
      </c>
      <c r="D160" s="6" t="s">
        <v>462</v>
      </c>
      <c r="E160" s="26" t="n">
        <v>10</v>
      </c>
      <c r="F160" s="6" t="str">
        <f aca="false">IFERROR(INDEX(Resources!$B$2:$B$64,MATCH($D160,Resources!$A$2:$A$64,0)),"?")</f>
        <v>points</v>
      </c>
      <c r="G160" s="6" t="s">
        <v>939</v>
      </c>
      <c r="H160" s="27" t="n">
        <f aca="false">E160*INDEX(Assumptions!$D$17:$D$23,MATCH(G160,Assumptions!$B$17:$B$23,0))</f>
        <v>10</v>
      </c>
      <c r="I160" s="6" t="n">
        <f aca="false">IFERROR(INDEX(Systems!$R$2:$R$179,MATCH($B160,Systems!$B$2:$B$179,0)),0)</f>
        <v>0</v>
      </c>
      <c r="J160" s="27" t="n">
        <f aca="false">H160*I160</f>
        <v>0</v>
      </c>
      <c r="K160" s="6" t="str">
        <f aca="false">IFERROR(IF(INDEX(Resources!$D$2:$D$64,MATCH($D160,Resources!$A$2:$A$64,0))="","",INDEX(Resources!$D$2:$D$64,MATCH($D160,Resources!$A$2:$A$64,0))),"")</f>
        <v/>
      </c>
      <c r="L160" s="28" t="str">
        <f aca="false">IF(K160="","",J160*INDEX(Resources!$E$2:$E$64,MATCH($D160,Resources!$A$2:$A$64,0)))</f>
        <v/>
      </c>
      <c r="M160" s="6" t="str">
        <f aca="false">B160&amp;"|"&amp;D160&amp;"|"&amp;C160</f>
        <v>Permaculture Food Forest (1/4 acre)|Wellbeing|Output</v>
      </c>
    </row>
    <row r="161" customFormat="false" ht="15" hidden="false" customHeight="true" outlineLevel="0" collapsed="false">
      <c r="A161" s="6" t="s">
        <v>1123</v>
      </c>
      <c r="B161" s="6" t="s">
        <v>332</v>
      </c>
      <c r="C161" s="6" t="s">
        <v>943</v>
      </c>
      <c r="D161" s="6" t="s">
        <v>436</v>
      </c>
      <c r="E161" s="26" t="n">
        <v>2000</v>
      </c>
      <c r="F161" s="6" t="str">
        <f aca="false">IFERROR(INDEX(Resources!$B$2:$B$64,MATCH($D161,Resources!$A$2:$A$64,0)),"?")</f>
        <v>sq ft</v>
      </c>
      <c r="G161" s="6" t="s">
        <v>945</v>
      </c>
      <c r="H161" s="27" t="n">
        <f aca="false">E161*INDEX(Assumptions!$D$17:$D$23,MATCH(G161,Assumptions!$B$17:$B$23,0))</f>
        <v>2000</v>
      </c>
      <c r="I161" s="6" t="n">
        <f aca="false">IFERROR(INDEX(Systems!$R$2:$R$179,MATCH($B161,Systems!$B$2:$B$179,0)),0)</f>
        <v>0</v>
      </c>
      <c r="J161" s="27" t="n">
        <f aca="false">H161*I161</f>
        <v>0</v>
      </c>
      <c r="K161" s="6" t="str">
        <f aca="false">IFERROR(IF(INDEX(Resources!$D$2:$D$64,MATCH($D161,Resources!$A$2:$A$64,0))="","",INDEX(Resources!$D$2:$D$64,MATCH($D161,Resources!$A$2:$A$64,0))),"")</f>
        <v/>
      </c>
      <c r="L161" s="28" t="str">
        <f aca="false">IF(K161="","",J161*INDEX(Resources!$E$2:$E$64,MATCH($D161,Resources!$A$2:$A$64,0)))</f>
        <v/>
      </c>
      <c r="M161" s="6" t="str">
        <f aca="false">B161&amp;"|"&amp;D161&amp;"|"&amp;C161</f>
        <v>Permaculture Food Forest (1/4 acre)|Pollinator flowers|Output</v>
      </c>
    </row>
    <row r="162" customFormat="false" ht="15" hidden="false" customHeight="true" outlineLevel="0" collapsed="false">
      <c r="A162" s="6" t="s">
        <v>1124</v>
      </c>
      <c r="B162" s="6" t="s">
        <v>339</v>
      </c>
      <c r="C162" s="6" t="s">
        <v>938</v>
      </c>
      <c r="D162" s="6" t="s">
        <v>71</v>
      </c>
      <c r="E162" s="26" t="n">
        <v>0.5</v>
      </c>
      <c r="F162" s="6" t="str">
        <f aca="false">IFERROR(INDEX(Resources!$B$2:$B$64,MATCH($D162,Resources!$A$2:$A$64,0)),"?")</f>
        <v>hours</v>
      </c>
      <c r="G162" s="6" t="s">
        <v>939</v>
      </c>
      <c r="H162" s="27" t="n">
        <f aca="false">E162*INDEX(Assumptions!$D$17:$D$23,MATCH(G162,Assumptions!$B$17:$B$23,0))</f>
        <v>0.5</v>
      </c>
      <c r="I162" s="6" t="n">
        <f aca="false">IFERROR(INDEX(Systems!$R$2:$R$179,MATCH($B162,Systems!$B$2:$B$179,0)),0)</f>
        <v>1</v>
      </c>
      <c r="J162" s="27" t="n">
        <f aca="false">H162*I162</f>
        <v>0.5</v>
      </c>
      <c r="K162" s="6" t="str">
        <f aca="false">IFERROR(IF(INDEX(Resources!$D$2:$D$64,MATCH($D162,Resources!$A$2:$A$64,0))="","",INDEX(Resources!$D$2:$D$64,MATCH($D162,Resources!$A$2:$A$64,0))),"")</f>
        <v>Est. Required Labor</v>
      </c>
      <c r="L162" s="28" t="n">
        <f aca="false">IF(K162="","",J162*INDEX(Resources!$E$2:$E$64,MATCH($D162,Resources!$A$2:$A$64,0)))</f>
        <v>0.5</v>
      </c>
      <c r="M162" s="6" t="str">
        <f aca="false">B162&amp;"|"&amp;D162&amp;"|"&amp;C162</f>
        <v>Composting Outhouse|Labor|Input</v>
      </c>
      <c r="N162" s="6" t="s">
        <v>940</v>
      </c>
    </row>
    <row r="163" customFormat="false" ht="15" hidden="false" customHeight="true" outlineLevel="0" collapsed="false">
      <c r="A163" s="6" t="s">
        <v>1125</v>
      </c>
      <c r="B163" s="6" t="s">
        <v>339</v>
      </c>
      <c r="C163" s="6" t="s">
        <v>938</v>
      </c>
      <c r="D163" s="6" t="s">
        <v>341</v>
      </c>
      <c r="E163" s="26" t="n">
        <v>35</v>
      </c>
      <c r="F163" s="6" t="str">
        <f aca="false">IFERROR(INDEX(Resources!$B$2:$B$64,MATCH($D163,Resources!$A$2:$A$64,0)),"?")</f>
        <v>lbs</v>
      </c>
      <c r="G163" s="6" t="s">
        <v>939</v>
      </c>
      <c r="H163" s="27" t="n">
        <f aca="false">E163*INDEX(Assumptions!$D$17:$D$23,MATCH(G163,Assumptions!$B$17:$B$23,0))</f>
        <v>35</v>
      </c>
      <c r="I163" s="6" t="n">
        <f aca="false">IFERROR(INDEX(Systems!$R$2:$R$179,MATCH($B163,Systems!$B$2:$B$179,0)),0)</f>
        <v>1</v>
      </c>
      <c r="J163" s="27" t="n">
        <f aca="false">H163*I163</f>
        <v>35</v>
      </c>
      <c r="K163" s="6" t="str">
        <f aca="false">IFERROR(IF(INDEX(Resources!$D$2:$D$64,MATCH($D163,Resources!$A$2:$A$64,0))="","",INDEX(Resources!$D$2:$D$64,MATCH($D163,Resources!$A$2:$A$64,0))),"")</f>
        <v/>
      </c>
      <c r="L163" s="28" t="str">
        <f aca="false">IF(K163="","",J163*INDEX(Resources!$E$2:$E$64,MATCH($D163,Resources!$A$2:$A$64,0)))</f>
        <v/>
      </c>
      <c r="M163" s="6" t="str">
        <f aca="false">B163&amp;"|"&amp;D163&amp;"|"&amp;C163</f>
        <v>Composting Outhouse|Organic waste|Input</v>
      </c>
    </row>
    <row r="164" customFormat="false" ht="15" hidden="false" customHeight="true" outlineLevel="0" collapsed="false">
      <c r="A164" s="6" t="s">
        <v>1126</v>
      </c>
      <c r="B164" s="6" t="s">
        <v>339</v>
      </c>
      <c r="C164" s="6" t="s">
        <v>938</v>
      </c>
      <c r="D164" s="6" t="s">
        <v>1127</v>
      </c>
      <c r="E164" s="26" t="n">
        <v>5</v>
      </c>
      <c r="F164" s="6" t="str">
        <f aca="false">IFERROR(INDEX(Resources!$B$2:$B$64,MATCH($D164,Resources!$A$2:$A$64,0)),"?")</f>
        <v>lbs</v>
      </c>
      <c r="G164" s="6" t="s">
        <v>939</v>
      </c>
      <c r="H164" s="27" t="n">
        <f aca="false">E164*INDEX(Assumptions!$D$17:$D$23,MATCH(G164,Assumptions!$B$17:$B$23,0))</f>
        <v>5</v>
      </c>
      <c r="I164" s="6" t="n">
        <f aca="false">IFERROR(INDEX(Systems!$R$2:$R$179,MATCH($B164,Systems!$B$2:$B$179,0)),0)</f>
        <v>1</v>
      </c>
      <c r="J164" s="27" t="n">
        <f aca="false">H164*I164</f>
        <v>5</v>
      </c>
      <c r="K164" s="6" t="str">
        <f aca="false">IFERROR(IF(INDEX(Resources!$D$2:$D$64,MATCH($D164,Resources!$A$2:$A$64,0))="","",INDEX(Resources!$D$2:$D$64,MATCH($D164,Resources!$A$2:$A$64,0))),"")</f>
        <v/>
      </c>
      <c r="L164" s="28" t="str">
        <f aca="false">IF(K164="","",J164*INDEX(Resources!$E$2:$E$64,MATCH($D164,Resources!$A$2:$A$64,0)))</f>
        <v/>
      </c>
      <c r="M164" s="6" t="str">
        <f aca="false">B164&amp;"|"&amp;D164&amp;"|"&amp;C164</f>
        <v>Composting Outhouse|Carbon|Input</v>
      </c>
    </row>
    <row r="165" customFormat="false" ht="15" hidden="false" customHeight="true" outlineLevel="0" collapsed="false">
      <c r="A165" s="6" t="s">
        <v>1128</v>
      </c>
      <c r="B165" s="6" t="s">
        <v>339</v>
      </c>
      <c r="C165" s="6" t="s">
        <v>943</v>
      </c>
      <c r="D165" s="6" t="s">
        <v>57</v>
      </c>
      <c r="E165" s="26" t="n">
        <v>35</v>
      </c>
      <c r="F165" s="6" t="str">
        <f aca="false">IFERROR(INDEX(Resources!$B$2:$B$64,MATCH($D165,Resources!$A$2:$A$64,0)),"?")</f>
        <v>lbs</v>
      </c>
      <c r="G165" s="6" t="s">
        <v>939</v>
      </c>
      <c r="H165" s="27" t="n">
        <f aca="false">E165*INDEX(Assumptions!$D$17:$D$23,MATCH(G165,Assumptions!$B$17:$B$23,0))</f>
        <v>35</v>
      </c>
      <c r="I165" s="6" t="n">
        <f aca="false">IFERROR(INDEX(Systems!$R$2:$R$179,MATCH($B165,Systems!$B$2:$B$179,0)),0)</f>
        <v>1</v>
      </c>
      <c r="J165" s="27" t="n">
        <f aca="false">H165*I165</f>
        <v>35</v>
      </c>
      <c r="K165" s="6" t="str">
        <f aca="false">IFERROR(IF(INDEX(Resources!$D$2:$D$64,MATCH($D165,Resources!$A$2:$A$64,0))="","",INDEX(Resources!$D$2:$D$64,MATCH($D165,Resources!$A$2:$A$64,0))),"")</f>
        <v>Sanitation</v>
      </c>
      <c r="L165" s="28" t="n">
        <f aca="false">IF(K165="","",J165*INDEX(Resources!$E$2:$E$64,MATCH($D165,Resources!$A$2:$A$64,0)))</f>
        <v>35</v>
      </c>
      <c r="M165" s="6" t="str">
        <f aca="false">B165&amp;"|"&amp;D165&amp;"|"&amp;C165</f>
        <v>Composting Outhouse|Sanitation|Output</v>
      </c>
    </row>
    <row r="166" customFormat="false" ht="15" hidden="false" customHeight="true" outlineLevel="0" collapsed="false">
      <c r="A166" s="6" t="s">
        <v>1129</v>
      </c>
      <c r="B166" s="6" t="s">
        <v>339</v>
      </c>
      <c r="C166" s="6" t="s">
        <v>943</v>
      </c>
      <c r="D166" s="6" t="s">
        <v>322</v>
      </c>
      <c r="E166" s="26" t="n">
        <v>10</v>
      </c>
      <c r="F166" s="6" t="str">
        <f aca="false">IFERROR(INDEX(Resources!$B$2:$B$64,MATCH($D166,Resources!$A$2:$A$64,0)),"?")</f>
        <v>lbs</v>
      </c>
      <c r="G166" s="6" t="s">
        <v>939</v>
      </c>
      <c r="H166" s="27" t="n">
        <f aca="false">E166*INDEX(Assumptions!$D$17:$D$23,MATCH(G166,Assumptions!$B$17:$B$23,0))</f>
        <v>10</v>
      </c>
      <c r="I166" s="6" t="n">
        <f aca="false">IFERROR(INDEX(Systems!$R$2:$R$179,MATCH($B166,Systems!$B$2:$B$179,0)),0)</f>
        <v>1</v>
      </c>
      <c r="J166" s="27" t="n">
        <f aca="false">H166*I166</f>
        <v>10</v>
      </c>
      <c r="K166" s="6" t="str">
        <f aca="false">IFERROR(IF(INDEX(Resources!$D$2:$D$64,MATCH($D166,Resources!$A$2:$A$64,0))="","",INDEX(Resources!$D$2:$D$64,MATCH($D166,Resources!$A$2:$A$64,0))),"")</f>
        <v/>
      </c>
      <c r="L166" s="28" t="str">
        <f aca="false">IF(K166="","",J166*INDEX(Resources!$E$2:$E$64,MATCH($D166,Resources!$A$2:$A$64,0)))</f>
        <v/>
      </c>
      <c r="M166" s="6" t="str">
        <f aca="false">B166&amp;"|"&amp;D166&amp;"|"&amp;C166</f>
        <v>Composting Outhouse|Compost|Output</v>
      </c>
    </row>
    <row r="167" customFormat="false" ht="15" hidden="false" customHeight="true" outlineLevel="0" collapsed="false">
      <c r="A167" s="6" t="s">
        <v>1130</v>
      </c>
      <c r="B167" s="6" t="s">
        <v>344</v>
      </c>
      <c r="C167" s="6" t="s">
        <v>938</v>
      </c>
      <c r="D167" s="6" t="s">
        <v>71</v>
      </c>
      <c r="E167" s="26" t="n">
        <v>1</v>
      </c>
      <c r="F167" s="6" t="str">
        <f aca="false">IFERROR(INDEX(Resources!$B$2:$B$64,MATCH($D167,Resources!$A$2:$A$64,0)),"?")</f>
        <v>hours</v>
      </c>
      <c r="G167" s="6" t="s">
        <v>939</v>
      </c>
      <c r="H167" s="27" t="n">
        <f aca="false">E167*INDEX(Assumptions!$D$17:$D$23,MATCH(G167,Assumptions!$B$17:$B$23,0))</f>
        <v>1</v>
      </c>
      <c r="I167" s="6" t="n">
        <f aca="false">IFERROR(INDEX(Systems!$R$2:$R$179,MATCH($B167,Systems!$B$2:$B$179,0)),0)</f>
        <v>1</v>
      </c>
      <c r="J167" s="27" t="n">
        <f aca="false">H167*I167</f>
        <v>1</v>
      </c>
      <c r="K167" s="6" t="str">
        <f aca="false">IFERROR(IF(INDEX(Resources!$D$2:$D$64,MATCH($D167,Resources!$A$2:$A$64,0))="","",INDEX(Resources!$D$2:$D$64,MATCH($D167,Resources!$A$2:$A$64,0))),"")</f>
        <v>Est. Required Labor</v>
      </c>
      <c r="L167" s="28" t="n">
        <f aca="false">IF(K167="","",J167*INDEX(Resources!$E$2:$E$64,MATCH($D167,Resources!$A$2:$A$64,0)))</f>
        <v>1</v>
      </c>
      <c r="M167" s="6" t="str">
        <f aca="false">B167&amp;"|"&amp;D167&amp;"|"&amp;C167</f>
        <v>Compost Piles|Labor|Input</v>
      </c>
      <c r="N167" s="6" t="s">
        <v>940</v>
      </c>
    </row>
    <row r="168" customFormat="false" ht="15" hidden="false" customHeight="true" outlineLevel="0" collapsed="false">
      <c r="A168" s="6" t="s">
        <v>1131</v>
      </c>
      <c r="B168" s="6" t="s">
        <v>344</v>
      </c>
      <c r="C168" s="6" t="s">
        <v>938</v>
      </c>
      <c r="D168" s="6" t="s">
        <v>49</v>
      </c>
      <c r="E168" s="26" t="n">
        <v>15</v>
      </c>
      <c r="F168" s="6" t="str">
        <f aca="false">IFERROR(INDEX(Resources!$B$2:$B$64,MATCH($D168,Resources!$A$2:$A$64,0)),"?")</f>
        <v>gal</v>
      </c>
      <c r="G168" s="6" t="s">
        <v>939</v>
      </c>
      <c r="H168" s="27" t="n">
        <f aca="false">E168*INDEX(Assumptions!$D$17:$D$23,MATCH(G168,Assumptions!$B$17:$B$23,0))</f>
        <v>15</v>
      </c>
      <c r="I168" s="6" t="n">
        <f aca="false">IFERROR(INDEX(Systems!$R$2:$R$179,MATCH($B168,Systems!$B$2:$B$179,0)),0)</f>
        <v>1</v>
      </c>
      <c r="J168" s="27" t="n">
        <f aca="false">H168*I168</f>
        <v>15</v>
      </c>
      <c r="K168" s="6" t="str">
        <f aca="false">IFERROR(IF(INDEX(Resources!$D$2:$D$64,MATCH($D168,Resources!$A$2:$A$64,0))="","",INDEX(Resources!$D$2:$D$64,MATCH($D168,Resources!$A$2:$A$64,0))),"")</f>
        <v>Water</v>
      </c>
      <c r="L168" s="28" t="n">
        <f aca="false">IF(K168="","",J168*INDEX(Resources!$E$2:$E$64,MATCH($D168,Resources!$A$2:$A$64,0)))</f>
        <v>15</v>
      </c>
      <c r="M168" s="6" t="str">
        <f aca="false">B168&amp;"|"&amp;D168&amp;"|"&amp;C168</f>
        <v>Compost Piles|Water|Input</v>
      </c>
    </row>
    <row r="169" customFormat="false" ht="15" hidden="false" customHeight="true" outlineLevel="0" collapsed="false">
      <c r="A169" s="6" t="s">
        <v>1132</v>
      </c>
      <c r="B169" s="6" t="s">
        <v>344</v>
      </c>
      <c r="C169" s="6" t="s">
        <v>938</v>
      </c>
      <c r="D169" s="6" t="s">
        <v>216</v>
      </c>
      <c r="E169" s="26" t="n">
        <v>20</v>
      </c>
      <c r="F169" s="6" t="str">
        <f aca="false">IFERROR(INDEX(Resources!$B$2:$B$64,MATCH($D169,Resources!$A$2:$A$64,0)),"?")</f>
        <v>lbs</v>
      </c>
      <c r="G169" s="6" t="s">
        <v>939</v>
      </c>
      <c r="H169" s="27" t="n">
        <f aca="false">E169*INDEX(Assumptions!$D$17:$D$23,MATCH(G169,Assumptions!$B$17:$B$23,0))</f>
        <v>20</v>
      </c>
      <c r="I169" s="6" t="n">
        <f aca="false">IFERROR(INDEX(Systems!$R$2:$R$179,MATCH($B169,Systems!$B$2:$B$179,0)),0)</f>
        <v>1</v>
      </c>
      <c r="J169" s="27" t="n">
        <f aca="false">H169*I169</f>
        <v>20</v>
      </c>
      <c r="K169" s="6" t="str">
        <f aca="false">IFERROR(IF(INDEX(Resources!$D$2:$D$64,MATCH($D169,Resources!$A$2:$A$64,0))="","",INDEX(Resources!$D$2:$D$64,MATCH($D169,Resources!$A$2:$A$64,0))),"")</f>
        <v/>
      </c>
      <c r="L169" s="28" t="str">
        <f aca="false">IF(K169="","",J169*INDEX(Resources!$E$2:$E$64,MATCH($D169,Resources!$A$2:$A$64,0)))</f>
        <v/>
      </c>
      <c r="M169" s="6" t="str">
        <f aca="false">B169&amp;"|"&amp;D169&amp;"|"&amp;C169</f>
        <v>Compost Piles|Green biomass|Input</v>
      </c>
    </row>
    <row r="170" customFormat="false" ht="15" hidden="false" customHeight="true" outlineLevel="0" collapsed="false">
      <c r="A170" s="6" t="s">
        <v>1133</v>
      </c>
      <c r="B170" s="6" t="s">
        <v>344</v>
      </c>
      <c r="C170" s="6" t="s">
        <v>938</v>
      </c>
      <c r="D170" s="6" t="s">
        <v>1127</v>
      </c>
      <c r="E170" s="26" t="n">
        <v>30</v>
      </c>
      <c r="F170" s="6" t="str">
        <f aca="false">IFERROR(INDEX(Resources!$B$2:$B$64,MATCH($D170,Resources!$A$2:$A$64,0)),"?")</f>
        <v>lbs</v>
      </c>
      <c r="G170" s="6" t="s">
        <v>939</v>
      </c>
      <c r="H170" s="27" t="n">
        <f aca="false">E170*INDEX(Assumptions!$D$17:$D$23,MATCH(G170,Assumptions!$B$17:$B$23,0))</f>
        <v>30</v>
      </c>
      <c r="I170" s="6" t="n">
        <f aca="false">IFERROR(INDEX(Systems!$R$2:$R$179,MATCH($B170,Systems!$B$2:$B$179,0)),0)</f>
        <v>1</v>
      </c>
      <c r="J170" s="27" t="n">
        <f aca="false">H170*I170</f>
        <v>30</v>
      </c>
      <c r="K170" s="6" t="str">
        <f aca="false">IFERROR(IF(INDEX(Resources!$D$2:$D$64,MATCH($D170,Resources!$A$2:$A$64,0))="","",INDEX(Resources!$D$2:$D$64,MATCH($D170,Resources!$A$2:$A$64,0))),"")</f>
        <v/>
      </c>
      <c r="L170" s="28" t="str">
        <f aca="false">IF(K170="","",J170*INDEX(Resources!$E$2:$E$64,MATCH($D170,Resources!$A$2:$A$64,0)))</f>
        <v/>
      </c>
      <c r="M170" s="6" t="str">
        <f aca="false">B170&amp;"|"&amp;D170&amp;"|"&amp;C170</f>
        <v>Compost Piles|Carbon|Input</v>
      </c>
    </row>
    <row r="171" customFormat="false" ht="15" hidden="false" customHeight="true" outlineLevel="0" collapsed="false">
      <c r="A171" s="6" t="s">
        <v>1134</v>
      </c>
      <c r="B171" s="6" t="s">
        <v>344</v>
      </c>
      <c r="C171" s="6" t="s">
        <v>938</v>
      </c>
      <c r="D171" s="6" t="s">
        <v>174</v>
      </c>
      <c r="E171" s="26" t="n">
        <v>2</v>
      </c>
      <c r="F171" s="6" t="str">
        <f aca="false">IFERROR(INDEX(Resources!$B$2:$B$64,MATCH($D171,Resources!$A$2:$A$64,0)),"?")</f>
        <v>lbs</v>
      </c>
      <c r="G171" s="6" t="s">
        <v>939</v>
      </c>
      <c r="H171" s="27" t="n">
        <f aca="false">E171*INDEX(Assumptions!$D$17:$D$23,MATCH(G171,Assumptions!$B$17:$B$23,0))</f>
        <v>2</v>
      </c>
      <c r="I171" s="6" t="n">
        <f aca="false">IFERROR(INDEX(Systems!$R$2:$R$179,MATCH($B171,Systems!$B$2:$B$179,0)),0)</f>
        <v>1</v>
      </c>
      <c r="J171" s="27" t="n">
        <f aca="false">H171*I171</f>
        <v>2</v>
      </c>
      <c r="K171" s="6" t="str">
        <f aca="false">IFERROR(IF(INDEX(Resources!$D$2:$D$64,MATCH($D171,Resources!$A$2:$A$64,0))="","",INDEX(Resources!$D$2:$D$64,MATCH($D171,Resources!$A$2:$A$64,0))),"")</f>
        <v/>
      </c>
      <c r="L171" s="28" t="str">
        <f aca="false">IF(K171="","",J171*INDEX(Resources!$E$2:$E$64,MATCH($D171,Resources!$A$2:$A$64,0)))</f>
        <v/>
      </c>
      <c r="M171" s="6" t="str">
        <f aca="false">B171&amp;"|"&amp;D171&amp;"|"&amp;C171</f>
        <v>Compost Piles|Biochar|Input</v>
      </c>
    </row>
    <row r="172" customFormat="false" ht="15" hidden="false" customHeight="true" outlineLevel="0" collapsed="false">
      <c r="A172" s="6" t="s">
        <v>1135</v>
      </c>
      <c r="B172" s="6" t="s">
        <v>344</v>
      </c>
      <c r="C172" s="6" t="s">
        <v>943</v>
      </c>
      <c r="D172" s="6" t="s">
        <v>322</v>
      </c>
      <c r="E172" s="26" t="n">
        <v>20</v>
      </c>
      <c r="F172" s="6" t="str">
        <f aca="false">IFERROR(INDEX(Resources!$B$2:$B$64,MATCH($D172,Resources!$A$2:$A$64,0)),"?")</f>
        <v>lbs</v>
      </c>
      <c r="G172" s="6" t="s">
        <v>939</v>
      </c>
      <c r="H172" s="27" t="n">
        <f aca="false">E172*INDEX(Assumptions!$D$17:$D$23,MATCH(G172,Assumptions!$B$17:$B$23,0))</f>
        <v>20</v>
      </c>
      <c r="I172" s="6" t="n">
        <f aca="false">IFERROR(INDEX(Systems!$R$2:$R$179,MATCH($B172,Systems!$B$2:$B$179,0)),0)</f>
        <v>1</v>
      </c>
      <c r="J172" s="27" t="n">
        <f aca="false">H172*I172</f>
        <v>20</v>
      </c>
      <c r="K172" s="6" t="str">
        <f aca="false">IFERROR(IF(INDEX(Resources!$D$2:$D$64,MATCH($D172,Resources!$A$2:$A$64,0))="","",INDEX(Resources!$D$2:$D$64,MATCH($D172,Resources!$A$2:$A$64,0))),"")</f>
        <v/>
      </c>
      <c r="L172" s="28" t="str">
        <f aca="false">IF(K172="","",J172*INDEX(Resources!$E$2:$E$64,MATCH($D172,Resources!$A$2:$A$64,0)))</f>
        <v/>
      </c>
      <c r="M172" s="6" t="str">
        <f aca="false">B172&amp;"|"&amp;D172&amp;"|"&amp;C172</f>
        <v>Compost Piles|Compost|Output</v>
      </c>
    </row>
    <row r="173" customFormat="false" ht="15" hidden="false" customHeight="true" outlineLevel="0" collapsed="false">
      <c r="A173" s="6" t="s">
        <v>1136</v>
      </c>
      <c r="B173" s="6" t="s">
        <v>349</v>
      </c>
      <c r="C173" s="6" t="s">
        <v>938</v>
      </c>
      <c r="D173" s="6" t="s">
        <v>71</v>
      </c>
      <c r="E173" s="26" t="n">
        <v>0.5</v>
      </c>
      <c r="F173" s="6" t="str">
        <f aca="false">IFERROR(INDEX(Resources!$B$2:$B$64,MATCH($D173,Resources!$A$2:$A$64,0)),"?")</f>
        <v>hours</v>
      </c>
      <c r="G173" s="6" t="s">
        <v>939</v>
      </c>
      <c r="H173" s="27" t="n">
        <f aca="false">E173*INDEX(Assumptions!$D$17:$D$23,MATCH(G173,Assumptions!$B$17:$B$23,0))</f>
        <v>0.5</v>
      </c>
      <c r="I173" s="6" t="n">
        <f aca="false">IFERROR(INDEX(Systems!$R$2:$R$179,MATCH($B173,Systems!$B$2:$B$179,0)),0)</f>
        <v>0</v>
      </c>
      <c r="J173" s="27" t="n">
        <f aca="false">H173*I173</f>
        <v>0</v>
      </c>
      <c r="K173" s="6" t="str">
        <f aca="false">IFERROR(IF(INDEX(Resources!$D$2:$D$64,MATCH($D173,Resources!$A$2:$A$64,0))="","",INDEX(Resources!$D$2:$D$64,MATCH($D173,Resources!$A$2:$A$64,0))),"")</f>
        <v>Est. Required Labor</v>
      </c>
      <c r="L173" s="28" t="n">
        <f aca="false">IF(K173="","",J173*INDEX(Resources!$E$2:$E$64,MATCH($D173,Resources!$A$2:$A$64,0)))</f>
        <v>0</v>
      </c>
      <c r="M173" s="6" t="str">
        <f aca="false">B173&amp;"|"&amp;D173&amp;"|"&amp;C173</f>
        <v>Compost Roller|Labor|Input</v>
      </c>
      <c r="N173" s="6" t="s">
        <v>940</v>
      </c>
    </row>
    <row r="174" customFormat="false" ht="15" hidden="false" customHeight="true" outlineLevel="0" collapsed="false">
      <c r="A174" s="6" t="s">
        <v>1137</v>
      </c>
      <c r="B174" s="6" t="s">
        <v>349</v>
      </c>
      <c r="C174" s="6" t="s">
        <v>938</v>
      </c>
      <c r="D174" s="6" t="s">
        <v>49</v>
      </c>
      <c r="E174" s="26" t="n">
        <v>3</v>
      </c>
      <c r="F174" s="6" t="str">
        <f aca="false">IFERROR(INDEX(Resources!$B$2:$B$64,MATCH($D174,Resources!$A$2:$A$64,0)),"?")</f>
        <v>gal</v>
      </c>
      <c r="G174" s="6" t="s">
        <v>939</v>
      </c>
      <c r="H174" s="27" t="n">
        <f aca="false">E174*INDEX(Assumptions!$D$17:$D$23,MATCH(G174,Assumptions!$B$17:$B$23,0))</f>
        <v>3</v>
      </c>
      <c r="I174" s="6" t="n">
        <f aca="false">IFERROR(INDEX(Systems!$R$2:$R$179,MATCH($B174,Systems!$B$2:$B$179,0)),0)</f>
        <v>0</v>
      </c>
      <c r="J174" s="27" t="n">
        <f aca="false">H174*I174</f>
        <v>0</v>
      </c>
      <c r="K174" s="6" t="str">
        <f aca="false">IFERROR(IF(INDEX(Resources!$D$2:$D$64,MATCH($D174,Resources!$A$2:$A$64,0))="","",INDEX(Resources!$D$2:$D$64,MATCH($D174,Resources!$A$2:$A$64,0))),"")</f>
        <v>Water</v>
      </c>
      <c r="L174" s="28" t="n">
        <f aca="false">IF(K174="","",J174*INDEX(Resources!$E$2:$E$64,MATCH($D174,Resources!$A$2:$A$64,0)))</f>
        <v>0</v>
      </c>
      <c r="M174" s="6" t="str">
        <f aca="false">B174&amp;"|"&amp;D174&amp;"|"&amp;C174</f>
        <v>Compost Roller|Water|Input</v>
      </c>
    </row>
    <row r="175" customFormat="false" ht="15" hidden="false" customHeight="true" outlineLevel="0" collapsed="false">
      <c r="A175" s="6" t="s">
        <v>1138</v>
      </c>
      <c r="B175" s="6" t="s">
        <v>349</v>
      </c>
      <c r="C175" s="6" t="s">
        <v>938</v>
      </c>
      <c r="D175" s="6" t="s">
        <v>216</v>
      </c>
      <c r="E175" s="26" t="n">
        <v>8</v>
      </c>
      <c r="F175" s="6" t="str">
        <f aca="false">IFERROR(INDEX(Resources!$B$2:$B$64,MATCH($D175,Resources!$A$2:$A$64,0)),"?")</f>
        <v>lbs</v>
      </c>
      <c r="G175" s="6" t="s">
        <v>939</v>
      </c>
      <c r="H175" s="27" t="n">
        <f aca="false">E175*INDEX(Assumptions!$D$17:$D$23,MATCH(G175,Assumptions!$B$17:$B$23,0))</f>
        <v>8</v>
      </c>
      <c r="I175" s="6" t="n">
        <f aca="false">IFERROR(INDEX(Systems!$R$2:$R$179,MATCH($B175,Systems!$B$2:$B$179,0)),0)</f>
        <v>0</v>
      </c>
      <c r="J175" s="27" t="n">
        <f aca="false">H175*I175</f>
        <v>0</v>
      </c>
      <c r="K175" s="6" t="str">
        <f aca="false">IFERROR(IF(INDEX(Resources!$D$2:$D$64,MATCH($D175,Resources!$A$2:$A$64,0))="","",INDEX(Resources!$D$2:$D$64,MATCH($D175,Resources!$A$2:$A$64,0))),"")</f>
        <v/>
      </c>
      <c r="L175" s="28" t="str">
        <f aca="false">IF(K175="","",J175*INDEX(Resources!$E$2:$E$64,MATCH($D175,Resources!$A$2:$A$64,0)))</f>
        <v/>
      </c>
      <c r="M175" s="6" t="str">
        <f aca="false">B175&amp;"|"&amp;D175&amp;"|"&amp;C175</f>
        <v>Compost Roller|Green biomass|Input</v>
      </c>
    </row>
    <row r="176" customFormat="false" ht="15" hidden="false" customHeight="true" outlineLevel="0" collapsed="false">
      <c r="A176" s="6" t="s">
        <v>1139</v>
      </c>
      <c r="B176" s="6" t="s">
        <v>349</v>
      </c>
      <c r="C176" s="6" t="s">
        <v>938</v>
      </c>
      <c r="D176" s="6" t="s">
        <v>1127</v>
      </c>
      <c r="E176" s="26" t="n">
        <v>8</v>
      </c>
      <c r="F176" s="6" t="str">
        <f aca="false">IFERROR(INDEX(Resources!$B$2:$B$64,MATCH($D176,Resources!$A$2:$A$64,0)),"?")</f>
        <v>lbs</v>
      </c>
      <c r="G176" s="6" t="s">
        <v>939</v>
      </c>
      <c r="H176" s="27" t="n">
        <f aca="false">E176*INDEX(Assumptions!$D$17:$D$23,MATCH(G176,Assumptions!$B$17:$B$23,0))</f>
        <v>8</v>
      </c>
      <c r="I176" s="6" t="n">
        <f aca="false">IFERROR(INDEX(Systems!$R$2:$R$179,MATCH($B176,Systems!$B$2:$B$179,0)),0)</f>
        <v>0</v>
      </c>
      <c r="J176" s="27" t="n">
        <f aca="false">H176*I176</f>
        <v>0</v>
      </c>
      <c r="K176" s="6" t="str">
        <f aca="false">IFERROR(IF(INDEX(Resources!$D$2:$D$64,MATCH($D176,Resources!$A$2:$A$64,0))="","",INDEX(Resources!$D$2:$D$64,MATCH($D176,Resources!$A$2:$A$64,0))),"")</f>
        <v/>
      </c>
      <c r="L176" s="28" t="str">
        <f aca="false">IF(K176="","",J176*INDEX(Resources!$E$2:$E$64,MATCH($D176,Resources!$A$2:$A$64,0)))</f>
        <v/>
      </c>
      <c r="M176" s="6" t="str">
        <f aca="false">B176&amp;"|"&amp;D176&amp;"|"&amp;C176</f>
        <v>Compost Roller|Carbon|Input</v>
      </c>
    </row>
    <row r="177" customFormat="false" ht="15" hidden="false" customHeight="true" outlineLevel="0" collapsed="false">
      <c r="A177" s="6" t="s">
        <v>1140</v>
      </c>
      <c r="B177" s="6" t="s">
        <v>349</v>
      </c>
      <c r="C177" s="6" t="s">
        <v>943</v>
      </c>
      <c r="D177" s="6" t="s">
        <v>322</v>
      </c>
      <c r="E177" s="26" t="n">
        <v>7</v>
      </c>
      <c r="F177" s="6" t="str">
        <f aca="false">IFERROR(INDEX(Resources!$B$2:$B$64,MATCH($D177,Resources!$A$2:$A$64,0)),"?")</f>
        <v>lbs</v>
      </c>
      <c r="G177" s="6" t="s">
        <v>939</v>
      </c>
      <c r="H177" s="27" t="n">
        <f aca="false">E177*INDEX(Assumptions!$D$17:$D$23,MATCH(G177,Assumptions!$B$17:$B$23,0))</f>
        <v>7</v>
      </c>
      <c r="I177" s="6" t="n">
        <f aca="false">IFERROR(INDEX(Systems!$R$2:$R$179,MATCH($B177,Systems!$B$2:$B$179,0)),0)</f>
        <v>0</v>
      </c>
      <c r="J177" s="27" t="n">
        <f aca="false">H177*I177</f>
        <v>0</v>
      </c>
      <c r="K177" s="6" t="str">
        <f aca="false">IFERROR(IF(INDEX(Resources!$D$2:$D$64,MATCH($D177,Resources!$A$2:$A$64,0))="","",INDEX(Resources!$D$2:$D$64,MATCH($D177,Resources!$A$2:$A$64,0))),"")</f>
        <v/>
      </c>
      <c r="L177" s="28" t="str">
        <f aca="false">IF(K177="","",J177*INDEX(Resources!$E$2:$E$64,MATCH($D177,Resources!$A$2:$A$64,0)))</f>
        <v/>
      </c>
      <c r="M177" s="6" t="str">
        <f aca="false">B177&amp;"|"&amp;D177&amp;"|"&amp;C177</f>
        <v>Compost Roller|Compost|Output</v>
      </c>
    </row>
    <row r="178" customFormat="false" ht="15" hidden="false" customHeight="true" outlineLevel="0" collapsed="false">
      <c r="A178" s="6" t="s">
        <v>1141</v>
      </c>
      <c r="B178" s="6" t="s">
        <v>354</v>
      </c>
      <c r="C178" s="6" t="s">
        <v>938</v>
      </c>
      <c r="D178" s="6" t="s">
        <v>71</v>
      </c>
      <c r="E178" s="26" t="n">
        <v>0.5</v>
      </c>
      <c r="F178" s="6" t="str">
        <f aca="false">IFERROR(INDEX(Resources!$B$2:$B$64,MATCH($D178,Resources!$A$2:$A$64,0)),"?")</f>
        <v>hours</v>
      </c>
      <c r="G178" s="6" t="s">
        <v>939</v>
      </c>
      <c r="H178" s="27" t="n">
        <f aca="false">E178*INDEX(Assumptions!$D$17:$D$23,MATCH(G178,Assumptions!$B$17:$B$23,0))</f>
        <v>0.5</v>
      </c>
      <c r="I178" s="6" t="n">
        <f aca="false">IFERROR(INDEX(Systems!$R$2:$R$179,MATCH($B178,Systems!$B$2:$B$179,0)),0)</f>
        <v>0</v>
      </c>
      <c r="J178" s="27" t="n">
        <f aca="false">H178*I178</f>
        <v>0</v>
      </c>
      <c r="K178" s="6" t="str">
        <f aca="false">IFERROR(IF(INDEX(Resources!$D$2:$D$64,MATCH($D178,Resources!$A$2:$A$64,0))="","",INDEX(Resources!$D$2:$D$64,MATCH($D178,Resources!$A$2:$A$64,0))),"")</f>
        <v>Est. Required Labor</v>
      </c>
      <c r="L178" s="28" t="n">
        <f aca="false">IF(K178="","",J178*INDEX(Resources!$E$2:$E$64,MATCH($D178,Resources!$A$2:$A$64,0)))</f>
        <v>0</v>
      </c>
      <c r="M178" s="6" t="str">
        <f aca="false">B178&amp;"|"&amp;D178&amp;"|"&amp;C178</f>
        <v>Compost Toilet|Labor|Input</v>
      </c>
      <c r="N178" s="6" t="s">
        <v>940</v>
      </c>
    </row>
    <row r="179" customFormat="false" ht="15" hidden="false" customHeight="true" outlineLevel="0" collapsed="false">
      <c r="A179" s="6" t="s">
        <v>1142</v>
      </c>
      <c r="B179" s="6" t="s">
        <v>354</v>
      </c>
      <c r="C179" s="6" t="s">
        <v>938</v>
      </c>
      <c r="D179" s="6" t="s">
        <v>341</v>
      </c>
      <c r="E179" s="26" t="n">
        <v>17.5</v>
      </c>
      <c r="F179" s="6" t="str">
        <f aca="false">IFERROR(INDEX(Resources!$B$2:$B$64,MATCH($D179,Resources!$A$2:$A$64,0)),"?")</f>
        <v>lbs</v>
      </c>
      <c r="G179" s="6" t="s">
        <v>939</v>
      </c>
      <c r="H179" s="27" t="n">
        <f aca="false">E179*INDEX(Assumptions!$D$17:$D$23,MATCH(G179,Assumptions!$B$17:$B$23,0))</f>
        <v>17.5</v>
      </c>
      <c r="I179" s="6" t="n">
        <f aca="false">IFERROR(INDEX(Systems!$R$2:$R$179,MATCH($B179,Systems!$B$2:$B$179,0)),0)</f>
        <v>0</v>
      </c>
      <c r="J179" s="27" t="n">
        <f aca="false">H179*I179</f>
        <v>0</v>
      </c>
      <c r="K179" s="6" t="str">
        <f aca="false">IFERROR(IF(INDEX(Resources!$D$2:$D$64,MATCH($D179,Resources!$A$2:$A$64,0))="","",INDEX(Resources!$D$2:$D$64,MATCH($D179,Resources!$A$2:$A$64,0))),"")</f>
        <v/>
      </c>
      <c r="L179" s="28" t="str">
        <f aca="false">IF(K179="","",J179*INDEX(Resources!$E$2:$E$64,MATCH($D179,Resources!$A$2:$A$64,0)))</f>
        <v/>
      </c>
      <c r="M179" s="6" t="str">
        <f aca="false">B179&amp;"|"&amp;D179&amp;"|"&amp;C179</f>
        <v>Compost Toilet|Organic waste|Input</v>
      </c>
    </row>
    <row r="180" customFormat="false" ht="15" hidden="false" customHeight="true" outlineLevel="0" collapsed="false">
      <c r="A180" s="6" t="s">
        <v>1143</v>
      </c>
      <c r="B180" s="6" t="s">
        <v>354</v>
      </c>
      <c r="C180" s="6" t="s">
        <v>938</v>
      </c>
      <c r="D180" s="6" t="s">
        <v>1127</v>
      </c>
      <c r="E180" s="26" t="n">
        <v>2</v>
      </c>
      <c r="F180" s="6" t="str">
        <f aca="false">IFERROR(INDEX(Resources!$B$2:$B$64,MATCH($D180,Resources!$A$2:$A$64,0)),"?")</f>
        <v>lbs</v>
      </c>
      <c r="G180" s="6" t="s">
        <v>939</v>
      </c>
      <c r="H180" s="27" t="n">
        <f aca="false">E180*INDEX(Assumptions!$D$17:$D$23,MATCH(G180,Assumptions!$B$17:$B$23,0))</f>
        <v>2</v>
      </c>
      <c r="I180" s="6" t="n">
        <f aca="false">IFERROR(INDEX(Systems!$R$2:$R$179,MATCH($B180,Systems!$B$2:$B$179,0)),0)</f>
        <v>0</v>
      </c>
      <c r="J180" s="27" t="n">
        <f aca="false">H180*I180</f>
        <v>0</v>
      </c>
      <c r="K180" s="6" t="str">
        <f aca="false">IFERROR(IF(INDEX(Resources!$D$2:$D$64,MATCH($D180,Resources!$A$2:$A$64,0))="","",INDEX(Resources!$D$2:$D$64,MATCH($D180,Resources!$A$2:$A$64,0))),"")</f>
        <v/>
      </c>
      <c r="L180" s="28" t="str">
        <f aca="false">IF(K180="","",J180*INDEX(Resources!$E$2:$E$64,MATCH($D180,Resources!$A$2:$A$64,0)))</f>
        <v/>
      </c>
      <c r="M180" s="6" t="str">
        <f aca="false">B180&amp;"|"&amp;D180&amp;"|"&amp;C180</f>
        <v>Compost Toilet|Carbon|Input</v>
      </c>
    </row>
    <row r="181" customFormat="false" ht="15" hidden="false" customHeight="true" outlineLevel="0" collapsed="false">
      <c r="A181" s="6" t="s">
        <v>1144</v>
      </c>
      <c r="B181" s="6" t="s">
        <v>354</v>
      </c>
      <c r="C181" s="6" t="s">
        <v>938</v>
      </c>
      <c r="D181" s="6" t="s">
        <v>59</v>
      </c>
      <c r="E181" s="26" t="n">
        <v>0.2</v>
      </c>
      <c r="F181" s="6" t="str">
        <f aca="false">IFERROR(INDEX(Resources!$B$2:$B$64,MATCH($D181,Resources!$A$2:$A$64,0)),"?")</f>
        <v>kWh</v>
      </c>
      <c r="G181" s="6" t="s">
        <v>939</v>
      </c>
      <c r="H181" s="27" t="n">
        <f aca="false">E181*INDEX(Assumptions!$D$17:$D$23,MATCH(G181,Assumptions!$B$17:$B$23,0))</f>
        <v>0.2</v>
      </c>
      <c r="I181" s="6" t="n">
        <f aca="false">IFERROR(INDEX(Systems!$R$2:$R$179,MATCH($B181,Systems!$B$2:$B$179,0)),0)</f>
        <v>0</v>
      </c>
      <c r="J181" s="27" t="n">
        <f aca="false">H181*I181</f>
        <v>0</v>
      </c>
      <c r="K181" s="6" t="str">
        <f aca="false">IFERROR(IF(INDEX(Resources!$D$2:$D$64,MATCH($D181,Resources!$A$2:$A$64,0))="","",INDEX(Resources!$D$2:$D$64,MATCH($D181,Resources!$A$2:$A$64,0))),"")</f>
        <v>Electricity</v>
      </c>
      <c r="L181" s="28" t="n">
        <f aca="false">IF(K181="","",J181*INDEX(Resources!$E$2:$E$64,MATCH($D181,Resources!$A$2:$A$64,0)))</f>
        <v>0</v>
      </c>
      <c r="M181" s="6" t="str">
        <f aca="false">B181&amp;"|"&amp;D181&amp;"|"&amp;C181</f>
        <v>Compost Toilet|Electricity|Input</v>
      </c>
    </row>
    <row r="182" customFormat="false" ht="15" hidden="false" customHeight="true" outlineLevel="0" collapsed="false">
      <c r="A182" s="6" t="s">
        <v>1145</v>
      </c>
      <c r="B182" s="6" t="s">
        <v>354</v>
      </c>
      <c r="C182" s="6" t="s">
        <v>943</v>
      </c>
      <c r="D182" s="6" t="s">
        <v>57</v>
      </c>
      <c r="E182" s="26" t="n">
        <v>17.5</v>
      </c>
      <c r="F182" s="6" t="str">
        <f aca="false">IFERROR(INDEX(Resources!$B$2:$B$64,MATCH($D182,Resources!$A$2:$A$64,0)),"?")</f>
        <v>lbs</v>
      </c>
      <c r="G182" s="6" t="s">
        <v>939</v>
      </c>
      <c r="H182" s="27" t="n">
        <f aca="false">E182*INDEX(Assumptions!$D$17:$D$23,MATCH(G182,Assumptions!$B$17:$B$23,0))</f>
        <v>17.5</v>
      </c>
      <c r="I182" s="6" t="n">
        <f aca="false">IFERROR(INDEX(Systems!$R$2:$R$179,MATCH($B182,Systems!$B$2:$B$179,0)),0)</f>
        <v>0</v>
      </c>
      <c r="J182" s="27" t="n">
        <f aca="false">H182*I182</f>
        <v>0</v>
      </c>
      <c r="K182" s="6" t="str">
        <f aca="false">IFERROR(IF(INDEX(Resources!$D$2:$D$64,MATCH($D182,Resources!$A$2:$A$64,0))="","",INDEX(Resources!$D$2:$D$64,MATCH($D182,Resources!$A$2:$A$64,0))),"")</f>
        <v>Sanitation</v>
      </c>
      <c r="L182" s="28" t="n">
        <f aca="false">IF(K182="","",J182*INDEX(Resources!$E$2:$E$64,MATCH($D182,Resources!$A$2:$A$64,0)))</f>
        <v>0</v>
      </c>
      <c r="M182" s="6" t="str">
        <f aca="false">B182&amp;"|"&amp;D182&amp;"|"&amp;C182</f>
        <v>Compost Toilet|Sanitation|Output</v>
      </c>
    </row>
    <row r="183" customFormat="false" ht="15" hidden="false" customHeight="true" outlineLevel="0" collapsed="false">
      <c r="A183" s="6" t="s">
        <v>1146</v>
      </c>
      <c r="B183" s="6" t="s">
        <v>354</v>
      </c>
      <c r="C183" s="6" t="s">
        <v>943</v>
      </c>
      <c r="D183" s="6" t="s">
        <v>410</v>
      </c>
      <c r="E183" s="26" t="n">
        <v>2.8</v>
      </c>
      <c r="F183" s="6" t="str">
        <f aca="false">IFERROR(INDEX(Resources!$B$2:$B$64,MATCH($D183,Resources!$A$2:$A$64,0)),"?")</f>
        <v>gal</v>
      </c>
      <c r="G183" s="6" t="s">
        <v>939</v>
      </c>
      <c r="H183" s="27" t="n">
        <f aca="false">E183*INDEX(Assumptions!$D$17:$D$23,MATCH(G183,Assumptions!$B$17:$B$23,0))</f>
        <v>2.8</v>
      </c>
      <c r="I183" s="6" t="n">
        <f aca="false">IFERROR(INDEX(Systems!$R$2:$R$179,MATCH($B183,Systems!$B$2:$B$179,0)),0)</f>
        <v>0</v>
      </c>
      <c r="J183" s="27" t="n">
        <f aca="false">H183*I183</f>
        <v>0</v>
      </c>
      <c r="K183" s="6" t="str">
        <f aca="false">IFERROR(IF(INDEX(Resources!$D$2:$D$64,MATCH($D183,Resources!$A$2:$A$64,0))="","",INDEX(Resources!$D$2:$D$64,MATCH($D183,Resources!$A$2:$A$64,0))),"")</f>
        <v/>
      </c>
      <c r="L183" s="28" t="str">
        <f aca="false">IF(K183="","",J183*INDEX(Resources!$E$2:$E$64,MATCH($D183,Resources!$A$2:$A$64,0)))</f>
        <v/>
      </c>
      <c r="M183" s="6" t="str">
        <f aca="false">B183&amp;"|"&amp;D183&amp;"|"&amp;C183</f>
        <v>Compost Toilet|Liquid fertilizer|Output</v>
      </c>
    </row>
    <row r="184" customFormat="false" ht="15" hidden="false" customHeight="true" outlineLevel="0" collapsed="false">
      <c r="A184" s="6" t="s">
        <v>1147</v>
      </c>
      <c r="B184" s="6" t="s">
        <v>354</v>
      </c>
      <c r="C184" s="6" t="s">
        <v>943</v>
      </c>
      <c r="D184" s="6" t="s">
        <v>322</v>
      </c>
      <c r="E184" s="26" t="n">
        <v>3</v>
      </c>
      <c r="F184" s="6" t="str">
        <f aca="false">IFERROR(INDEX(Resources!$B$2:$B$64,MATCH($D184,Resources!$A$2:$A$64,0)),"?")</f>
        <v>lbs</v>
      </c>
      <c r="G184" s="6" t="s">
        <v>939</v>
      </c>
      <c r="H184" s="27" t="n">
        <f aca="false">E184*INDEX(Assumptions!$D$17:$D$23,MATCH(G184,Assumptions!$B$17:$B$23,0))</f>
        <v>3</v>
      </c>
      <c r="I184" s="6" t="n">
        <f aca="false">IFERROR(INDEX(Systems!$R$2:$R$179,MATCH($B184,Systems!$B$2:$B$179,0)),0)</f>
        <v>0</v>
      </c>
      <c r="J184" s="27" t="n">
        <f aca="false">H184*I184</f>
        <v>0</v>
      </c>
      <c r="K184" s="6" t="str">
        <f aca="false">IFERROR(IF(INDEX(Resources!$D$2:$D$64,MATCH($D184,Resources!$A$2:$A$64,0))="","",INDEX(Resources!$D$2:$D$64,MATCH($D184,Resources!$A$2:$A$64,0))),"")</f>
        <v/>
      </c>
      <c r="L184" s="28" t="str">
        <f aca="false">IF(K184="","",J184*INDEX(Resources!$E$2:$E$64,MATCH($D184,Resources!$A$2:$A$64,0)))</f>
        <v/>
      </c>
      <c r="M184" s="6" t="str">
        <f aca="false">B184&amp;"|"&amp;D184&amp;"|"&amp;C184</f>
        <v>Compost Toilet|Compost|Output</v>
      </c>
    </row>
    <row r="185" customFormat="false" ht="15" hidden="false" customHeight="true" outlineLevel="0" collapsed="false">
      <c r="A185" s="6" t="s">
        <v>1148</v>
      </c>
      <c r="B185" s="6" t="s">
        <v>360</v>
      </c>
      <c r="C185" s="6" t="s">
        <v>938</v>
      </c>
      <c r="D185" s="6" t="s">
        <v>71</v>
      </c>
      <c r="E185" s="26" t="n">
        <v>0.5</v>
      </c>
      <c r="F185" s="6" t="str">
        <f aca="false">IFERROR(INDEX(Resources!$B$2:$B$64,MATCH($D185,Resources!$A$2:$A$64,0)),"?")</f>
        <v>hours</v>
      </c>
      <c r="G185" s="6" t="s">
        <v>939</v>
      </c>
      <c r="H185" s="27" t="n">
        <f aca="false">E185*INDEX(Assumptions!$D$17:$D$23,MATCH(G185,Assumptions!$B$17:$B$23,0))</f>
        <v>0.5</v>
      </c>
      <c r="I185" s="6" t="n">
        <f aca="false">IFERROR(INDEX(Systems!$R$2:$R$179,MATCH($B185,Systems!$B$2:$B$179,0)),0)</f>
        <v>0</v>
      </c>
      <c r="J185" s="27" t="n">
        <f aca="false">H185*I185</f>
        <v>0</v>
      </c>
      <c r="K185" s="6" t="str">
        <f aca="false">IFERROR(IF(INDEX(Resources!$D$2:$D$64,MATCH($D185,Resources!$A$2:$A$64,0))="","",INDEX(Resources!$D$2:$D$64,MATCH($D185,Resources!$A$2:$A$64,0))),"")</f>
        <v>Est. Required Labor</v>
      </c>
      <c r="L185" s="28" t="n">
        <f aca="false">IF(K185="","",J185*INDEX(Resources!$E$2:$E$64,MATCH($D185,Resources!$A$2:$A$64,0)))</f>
        <v>0</v>
      </c>
      <c r="M185" s="6" t="str">
        <f aca="false">B185&amp;"|"&amp;D185&amp;"|"&amp;C185</f>
        <v>Throne Composting Toilet|Labor|Input</v>
      </c>
      <c r="N185" s="6" t="s">
        <v>940</v>
      </c>
    </row>
    <row r="186" customFormat="false" ht="15" hidden="false" customHeight="true" outlineLevel="0" collapsed="false">
      <c r="A186" s="6" t="s">
        <v>1149</v>
      </c>
      <c r="B186" s="6" t="s">
        <v>360</v>
      </c>
      <c r="C186" s="6" t="s">
        <v>938</v>
      </c>
      <c r="D186" s="6" t="s">
        <v>341</v>
      </c>
      <c r="E186" s="26" t="n">
        <v>17.5</v>
      </c>
      <c r="F186" s="6" t="str">
        <f aca="false">IFERROR(INDEX(Resources!$B$2:$B$64,MATCH($D186,Resources!$A$2:$A$64,0)),"?")</f>
        <v>lbs</v>
      </c>
      <c r="G186" s="6" t="s">
        <v>939</v>
      </c>
      <c r="H186" s="27" t="n">
        <f aca="false">E186*INDEX(Assumptions!$D$17:$D$23,MATCH(G186,Assumptions!$B$17:$B$23,0))</f>
        <v>17.5</v>
      </c>
      <c r="I186" s="6" t="n">
        <f aca="false">IFERROR(INDEX(Systems!$R$2:$R$179,MATCH($B186,Systems!$B$2:$B$179,0)),0)</f>
        <v>0</v>
      </c>
      <c r="J186" s="27" t="n">
        <f aca="false">H186*I186</f>
        <v>0</v>
      </c>
      <c r="K186" s="6" t="str">
        <f aca="false">IFERROR(IF(INDEX(Resources!$D$2:$D$64,MATCH($D186,Resources!$A$2:$A$64,0))="","",INDEX(Resources!$D$2:$D$64,MATCH($D186,Resources!$A$2:$A$64,0))),"")</f>
        <v/>
      </c>
      <c r="L186" s="28" t="str">
        <f aca="false">IF(K186="","",J186*INDEX(Resources!$E$2:$E$64,MATCH($D186,Resources!$A$2:$A$64,0)))</f>
        <v/>
      </c>
      <c r="M186" s="6" t="str">
        <f aca="false">B186&amp;"|"&amp;D186&amp;"|"&amp;C186</f>
        <v>Throne Composting Toilet|Organic waste|Input</v>
      </c>
    </row>
    <row r="187" customFormat="false" ht="15" hidden="false" customHeight="true" outlineLevel="0" collapsed="false">
      <c r="A187" s="6" t="s">
        <v>1150</v>
      </c>
      <c r="B187" s="6" t="s">
        <v>360</v>
      </c>
      <c r="C187" s="6" t="s">
        <v>938</v>
      </c>
      <c r="D187" s="6" t="s">
        <v>1127</v>
      </c>
      <c r="E187" s="26" t="n">
        <v>2</v>
      </c>
      <c r="F187" s="6" t="str">
        <f aca="false">IFERROR(INDEX(Resources!$B$2:$B$64,MATCH($D187,Resources!$A$2:$A$64,0)),"?")</f>
        <v>lbs</v>
      </c>
      <c r="G187" s="6" t="s">
        <v>939</v>
      </c>
      <c r="H187" s="27" t="n">
        <f aca="false">E187*INDEX(Assumptions!$D$17:$D$23,MATCH(G187,Assumptions!$B$17:$B$23,0))</f>
        <v>2</v>
      </c>
      <c r="I187" s="6" t="n">
        <f aca="false">IFERROR(INDEX(Systems!$R$2:$R$179,MATCH($B187,Systems!$B$2:$B$179,0)),0)</f>
        <v>0</v>
      </c>
      <c r="J187" s="27" t="n">
        <f aca="false">H187*I187</f>
        <v>0</v>
      </c>
      <c r="K187" s="6" t="str">
        <f aca="false">IFERROR(IF(INDEX(Resources!$D$2:$D$64,MATCH($D187,Resources!$A$2:$A$64,0))="","",INDEX(Resources!$D$2:$D$64,MATCH($D187,Resources!$A$2:$A$64,0))),"")</f>
        <v/>
      </c>
      <c r="L187" s="28" t="str">
        <f aca="false">IF(K187="","",J187*INDEX(Resources!$E$2:$E$64,MATCH($D187,Resources!$A$2:$A$64,0)))</f>
        <v/>
      </c>
      <c r="M187" s="6" t="str">
        <f aca="false">B187&amp;"|"&amp;D187&amp;"|"&amp;C187</f>
        <v>Throne Composting Toilet|Carbon|Input</v>
      </c>
    </row>
    <row r="188" customFormat="false" ht="15" hidden="false" customHeight="true" outlineLevel="0" collapsed="false">
      <c r="A188" s="6" t="s">
        <v>1151</v>
      </c>
      <c r="B188" s="6" t="s">
        <v>360</v>
      </c>
      <c r="C188" s="6" t="s">
        <v>938</v>
      </c>
      <c r="D188" s="6" t="s">
        <v>59</v>
      </c>
      <c r="E188" s="26" t="n">
        <v>0.2</v>
      </c>
      <c r="F188" s="6" t="str">
        <f aca="false">IFERROR(INDEX(Resources!$B$2:$B$64,MATCH($D188,Resources!$A$2:$A$64,0)),"?")</f>
        <v>kWh</v>
      </c>
      <c r="G188" s="6" t="s">
        <v>939</v>
      </c>
      <c r="H188" s="27" t="n">
        <f aca="false">E188*INDEX(Assumptions!$D$17:$D$23,MATCH(G188,Assumptions!$B$17:$B$23,0))</f>
        <v>0.2</v>
      </c>
      <c r="I188" s="6" t="n">
        <f aca="false">IFERROR(INDEX(Systems!$R$2:$R$179,MATCH($B188,Systems!$B$2:$B$179,0)),0)</f>
        <v>0</v>
      </c>
      <c r="J188" s="27" t="n">
        <f aca="false">H188*I188</f>
        <v>0</v>
      </c>
      <c r="K188" s="6" t="str">
        <f aca="false">IFERROR(IF(INDEX(Resources!$D$2:$D$64,MATCH($D188,Resources!$A$2:$A$64,0))="","",INDEX(Resources!$D$2:$D$64,MATCH($D188,Resources!$A$2:$A$64,0))),"")</f>
        <v>Electricity</v>
      </c>
      <c r="L188" s="28" t="n">
        <f aca="false">IF(K188="","",J188*INDEX(Resources!$E$2:$E$64,MATCH($D188,Resources!$A$2:$A$64,0)))</f>
        <v>0</v>
      </c>
      <c r="M188" s="6" t="str">
        <f aca="false">B188&amp;"|"&amp;D188&amp;"|"&amp;C188</f>
        <v>Throne Composting Toilet|Electricity|Input</v>
      </c>
    </row>
    <row r="189" customFormat="false" ht="15" hidden="false" customHeight="true" outlineLevel="0" collapsed="false">
      <c r="A189" s="6" t="s">
        <v>1152</v>
      </c>
      <c r="B189" s="6" t="s">
        <v>360</v>
      </c>
      <c r="C189" s="6" t="s">
        <v>943</v>
      </c>
      <c r="D189" s="6" t="s">
        <v>57</v>
      </c>
      <c r="E189" s="26" t="n">
        <v>17.5</v>
      </c>
      <c r="F189" s="6" t="str">
        <f aca="false">IFERROR(INDEX(Resources!$B$2:$B$64,MATCH($D189,Resources!$A$2:$A$64,0)),"?")</f>
        <v>lbs</v>
      </c>
      <c r="G189" s="6" t="s">
        <v>939</v>
      </c>
      <c r="H189" s="27" t="n">
        <f aca="false">E189*INDEX(Assumptions!$D$17:$D$23,MATCH(G189,Assumptions!$B$17:$B$23,0))</f>
        <v>17.5</v>
      </c>
      <c r="I189" s="6" t="n">
        <f aca="false">IFERROR(INDEX(Systems!$R$2:$R$179,MATCH($B189,Systems!$B$2:$B$179,0)),0)</f>
        <v>0</v>
      </c>
      <c r="J189" s="27" t="n">
        <f aca="false">H189*I189</f>
        <v>0</v>
      </c>
      <c r="K189" s="6" t="str">
        <f aca="false">IFERROR(IF(INDEX(Resources!$D$2:$D$64,MATCH($D189,Resources!$A$2:$A$64,0))="","",INDEX(Resources!$D$2:$D$64,MATCH($D189,Resources!$A$2:$A$64,0))),"")</f>
        <v>Sanitation</v>
      </c>
      <c r="L189" s="28" t="n">
        <f aca="false">IF(K189="","",J189*INDEX(Resources!$E$2:$E$64,MATCH($D189,Resources!$A$2:$A$64,0)))</f>
        <v>0</v>
      </c>
      <c r="M189" s="6" t="str">
        <f aca="false">B189&amp;"|"&amp;D189&amp;"|"&amp;C189</f>
        <v>Throne Composting Toilet|Sanitation|Output</v>
      </c>
    </row>
    <row r="190" customFormat="false" ht="15" hidden="false" customHeight="true" outlineLevel="0" collapsed="false">
      <c r="A190" s="6" t="s">
        <v>1153</v>
      </c>
      <c r="B190" s="6" t="s">
        <v>360</v>
      </c>
      <c r="C190" s="6" t="s">
        <v>943</v>
      </c>
      <c r="D190" s="6" t="s">
        <v>322</v>
      </c>
      <c r="E190" s="26" t="n">
        <v>3</v>
      </c>
      <c r="F190" s="6" t="str">
        <f aca="false">IFERROR(INDEX(Resources!$B$2:$B$64,MATCH($D190,Resources!$A$2:$A$64,0)),"?")</f>
        <v>lbs</v>
      </c>
      <c r="G190" s="6" t="s">
        <v>939</v>
      </c>
      <c r="H190" s="27" t="n">
        <f aca="false">E190*INDEX(Assumptions!$D$17:$D$23,MATCH(G190,Assumptions!$B$17:$B$23,0))</f>
        <v>3</v>
      </c>
      <c r="I190" s="6" t="n">
        <f aca="false">IFERROR(INDEX(Systems!$R$2:$R$179,MATCH($B190,Systems!$B$2:$B$179,0)),0)</f>
        <v>0</v>
      </c>
      <c r="J190" s="27" t="n">
        <f aca="false">H190*I190</f>
        <v>0</v>
      </c>
      <c r="K190" s="6" t="str">
        <f aca="false">IFERROR(IF(INDEX(Resources!$D$2:$D$64,MATCH($D190,Resources!$A$2:$A$64,0))="","",INDEX(Resources!$D$2:$D$64,MATCH($D190,Resources!$A$2:$A$64,0))),"")</f>
        <v/>
      </c>
      <c r="L190" s="28" t="str">
        <f aca="false">IF(K190="","",J190*INDEX(Resources!$E$2:$E$64,MATCH($D190,Resources!$A$2:$A$64,0)))</f>
        <v/>
      </c>
      <c r="M190" s="6" t="str">
        <f aca="false">B190&amp;"|"&amp;D190&amp;"|"&amp;C190</f>
        <v>Throne Composting Toilet|Compost|Output</v>
      </c>
    </row>
    <row r="191" customFormat="false" ht="15" hidden="false" customHeight="true" outlineLevel="0" collapsed="false">
      <c r="A191" s="6" t="s">
        <v>1154</v>
      </c>
      <c r="B191" s="6" t="s">
        <v>364</v>
      </c>
      <c r="C191" s="6" t="s">
        <v>938</v>
      </c>
      <c r="D191" s="6" t="s">
        <v>71</v>
      </c>
      <c r="E191" s="26" t="n">
        <v>0.1</v>
      </c>
      <c r="F191" s="6" t="str">
        <f aca="false">IFERROR(INDEX(Resources!$B$2:$B$64,MATCH($D191,Resources!$A$2:$A$64,0)),"?")</f>
        <v>hours</v>
      </c>
      <c r="G191" s="6" t="s">
        <v>939</v>
      </c>
      <c r="H191" s="27" t="n">
        <f aca="false">E191*INDEX(Assumptions!$D$17:$D$23,MATCH(G191,Assumptions!$B$17:$B$23,0))</f>
        <v>0.1</v>
      </c>
      <c r="I191" s="6" t="n">
        <f aca="false">IFERROR(INDEX(Systems!$R$2:$R$179,MATCH($B191,Systems!$B$2:$B$179,0)),0)</f>
        <v>0</v>
      </c>
      <c r="J191" s="27" t="n">
        <f aca="false">H191*I191</f>
        <v>0</v>
      </c>
      <c r="K191" s="6" t="str">
        <f aca="false">IFERROR(IF(INDEX(Resources!$D$2:$D$64,MATCH($D191,Resources!$A$2:$A$64,0))="","",INDEX(Resources!$D$2:$D$64,MATCH($D191,Resources!$A$2:$A$64,0))),"")</f>
        <v>Est. Required Labor</v>
      </c>
      <c r="L191" s="28" t="n">
        <f aca="false">IF(K191="","",J191*INDEX(Resources!$E$2:$E$64,MATCH($D191,Resources!$A$2:$A$64,0)))</f>
        <v>0</v>
      </c>
      <c r="M191" s="6" t="str">
        <f aca="false">B191&amp;"|"&amp;D191&amp;"|"&amp;C191</f>
        <v>GoSun Solar Oven|Labor|Input</v>
      </c>
      <c r="N191" s="6" t="s">
        <v>940</v>
      </c>
    </row>
    <row r="192" customFormat="false" ht="15" hidden="false" customHeight="true" outlineLevel="0" collapsed="false">
      <c r="A192" s="6" t="s">
        <v>1155</v>
      </c>
      <c r="B192" s="6" t="s">
        <v>364</v>
      </c>
      <c r="C192" s="6" t="s">
        <v>938</v>
      </c>
      <c r="D192" s="6" t="s">
        <v>165</v>
      </c>
      <c r="E192" s="29" t="n">
        <f aca="false">Assumptions!$C$6*7</f>
        <v>35</v>
      </c>
      <c r="F192" s="6" t="str">
        <f aca="false">IFERROR(INDEX(Resources!$B$2:$B$64,MATCH($D192,Resources!$A$2:$A$64,0)),"?")</f>
        <v>sun-hours</v>
      </c>
      <c r="G192" s="6" t="s">
        <v>939</v>
      </c>
      <c r="H192" s="27" t="n">
        <f aca="false">E192*INDEX(Assumptions!$D$17:$D$23,MATCH(G192,Assumptions!$B$17:$B$23,0))</f>
        <v>35</v>
      </c>
      <c r="I192" s="6" t="n">
        <f aca="false">IFERROR(INDEX(Systems!$R$2:$R$179,MATCH($B192,Systems!$B$2:$B$179,0)),0)</f>
        <v>0</v>
      </c>
      <c r="J192" s="27" t="n">
        <f aca="false">H192*I192</f>
        <v>0</v>
      </c>
      <c r="K192" s="6" t="str">
        <f aca="false">IFERROR(IF(INDEX(Resources!$D$2:$D$64,MATCH($D192,Resources!$A$2:$A$64,0))="","",INDEX(Resources!$D$2:$D$64,MATCH($D192,Resources!$A$2:$A$64,0))),"")</f>
        <v/>
      </c>
      <c r="L192" s="28" t="str">
        <f aca="false">IF(K192="","",J192*INDEX(Resources!$E$2:$E$64,MATCH($D192,Resources!$A$2:$A$64,0)))</f>
        <v/>
      </c>
      <c r="M192" s="6" t="str">
        <f aca="false">B192&amp;"|"&amp;D192&amp;"|"&amp;C192</f>
        <v>GoSun Solar Oven|Sunlight|Input</v>
      </c>
      <c r="N192" s="6" t="s">
        <v>948</v>
      </c>
    </row>
    <row r="193" customFormat="false" ht="15" hidden="false" customHeight="true" outlineLevel="0" collapsed="false">
      <c r="A193" s="6" t="s">
        <v>1156</v>
      </c>
      <c r="B193" s="6" t="s">
        <v>364</v>
      </c>
      <c r="C193" s="6" t="s">
        <v>943</v>
      </c>
      <c r="D193" s="6" t="s">
        <v>63</v>
      </c>
      <c r="E193" s="26" t="n">
        <v>7</v>
      </c>
      <c r="F193" s="6" t="str">
        <f aca="false">IFERROR(INDEX(Resources!$B$2:$B$64,MATCH($D193,Resources!$A$2:$A$64,0)),"?")</f>
        <v>hours</v>
      </c>
      <c r="G193" s="6" t="s">
        <v>939</v>
      </c>
      <c r="H193" s="27" t="n">
        <f aca="false">E193*INDEX(Assumptions!$D$17:$D$23,MATCH(G193,Assumptions!$B$17:$B$23,0))</f>
        <v>7</v>
      </c>
      <c r="I193" s="6" t="n">
        <f aca="false">IFERROR(INDEX(Systems!$R$2:$R$179,MATCH($B193,Systems!$B$2:$B$179,0)),0)</f>
        <v>0</v>
      </c>
      <c r="J193" s="27" t="n">
        <f aca="false">H193*I193</f>
        <v>0</v>
      </c>
      <c r="K193" s="6" t="str">
        <f aca="false">IFERROR(IF(INDEX(Resources!$D$2:$D$64,MATCH($D193,Resources!$A$2:$A$64,0))="","",INDEX(Resources!$D$2:$D$64,MATCH($D193,Resources!$A$2:$A$64,0))),"")</f>
        <v>Cooking fuel</v>
      </c>
      <c r="L193" s="28" t="n">
        <f aca="false">IF(K193="","",J193*INDEX(Resources!$E$2:$E$64,MATCH($D193,Resources!$A$2:$A$64,0)))</f>
        <v>0</v>
      </c>
      <c r="M193" s="6" t="str">
        <f aca="false">B193&amp;"|"&amp;D193&amp;"|"&amp;C193</f>
        <v>GoSun Solar Oven|Cooking fuel|Output</v>
      </c>
    </row>
    <row r="194" customFormat="false" ht="15" hidden="false" customHeight="true" outlineLevel="0" collapsed="false">
      <c r="A194" s="6" t="s">
        <v>1157</v>
      </c>
      <c r="B194" s="6" t="s">
        <v>368</v>
      </c>
      <c r="C194" s="6" t="s">
        <v>938</v>
      </c>
      <c r="D194" s="6" t="s">
        <v>71</v>
      </c>
      <c r="E194" s="26" t="n">
        <v>0.5</v>
      </c>
      <c r="F194" s="6" t="str">
        <f aca="false">IFERROR(INDEX(Resources!$B$2:$B$64,MATCH($D194,Resources!$A$2:$A$64,0)),"?")</f>
        <v>hours</v>
      </c>
      <c r="G194" s="6" t="s">
        <v>939</v>
      </c>
      <c r="H194" s="27" t="n">
        <f aca="false">E194*INDEX(Assumptions!$D$17:$D$23,MATCH(G194,Assumptions!$B$17:$B$23,0))</f>
        <v>0.5</v>
      </c>
      <c r="I194" s="6" t="n">
        <f aca="false">IFERROR(INDEX(Systems!$R$2:$R$179,MATCH($B194,Systems!$B$2:$B$179,0)),0)</f>
        <v>0</v>
      </c>
      <c r="J194" s="27" t="n">
        <f aca="false">H194*I194</f>
        <v>0</v>
      </c>
      <c r="K194" s="6" t="str">
        <f aca="false">IFERROR(IF(INDEX(Resources!$D$2:$D$64,MATCH($D194,Resources!$A$2:$A$64,0))="","",INDEX(Resources!$D$2:$D$64,MATCH($D194,Resources!$A$2:$A$64,0))),"")</f>
        <v>Est. Required Labor</v>
      </c>
      <c r="L194" s="28" t="n">
        <f aca="false">IF(K194="","",J194*INDEX(Resources!$E$2:$E$64,MATCH($D194,Resources!$A$2:$A$64,0)))</f>
        <v>0</v>
      </c>
      <c r="M194" s="6" t="str">
        <f aca="false">B194&amp;"|"&amp;D194&amp;"|"&amp;C194</f>
        <v>Solar Cabin|Labor|Input</v>
      </c>
      <c r="N194" s="6" t="s">
        <v>940</v>
      </c>
    </row>
    <row r="195" customFormat="false" ht="15" hidden="false" customHeight="true" outlineLevel="0" collapsed="false">
      <c r="A195" s="6" t="s">
        <v>1158</v>
      </c>
      <c r="B195" s="6" t="s">
        <v>368</v>
      </c>
      <c r="C195" s="6" t="s">
        <v>938</v>
      </c>
      <c r="D195" s="6" t="s">
        <v>165</v>
      </c>
      <c r="E195" s="29" t="n">
        <f aca="false">Assumptions!$C$6*7</f>
        <v>35</v>
      </c>
      <c r="F195" s="6" t="str">
        <f aca="false">IFERROR(INDEX(Resources!$B$2:$B$64,MATCH($D195,Resources!$A$2:$A$64,0)),"?")</f>
        <v>sun-hours</v>
      </c>
      <c r="G195" s="6" t="s">
        <v>939</v>
      </c>
      <c r="H195" s="27" t="n">
        <f aca="false">E195*INDEX(Assumptions!$D$17:$D$23,MATCH(G195,Assumptions!$B$17:$B$23,0))</f>
        <v>35</v>
      </c>
      <c r="I195" s="6" t="n">
        <f aca="false">IFERROR(INDEX(Systems!$R$2:$R$179,MATCH($B195,Systems!$B$2:$B$179,0)),0)</f>
        <v>0</v>
      </c>
      <c r="J195" s="27" t="n">
        <f aca="false">H195*I195</f>
        <v>0</v>
      </c>
      <c r="K195" s="6" t="str">
        <f aca="false">IFERROR(IF(INDEX(Resources!$D$2:$D$64,MATCH($D195,Resources!$A$2:$A$64,0))="","",INDEX(Resources!$D$2:$D$64,MATCH($D195,Resources!$A$2:$A$64,0))),"")</f>
        <v/>
      </c>
      <c r="L195" s="28" t="str">
        <f aca="false">IF(K195="","",J195*INDEX(Resources!$E$2:$E$64,MATCH($D195,Resources!$A$2:$A$64,0)))</f>
        <v/>
      </c>
      <c r="M195" s="6" t="str">
        <f aca="false">B195&amp;"|"&amp;D195&amp;"|"&amp;C195</f>
        <v>Solar Cabin|Sunlight|Input</v>
      </c>
      <c r="N195" s="6" t="s">
        <v>948</v>
      </c>
    </row>
    <row r="196" customFormat="false" ht="15" hidden="false" customHeight="true" outlineLevel="0" collapsed="false">
      <c r="A196" s="6" t="s">
        <v>1159</v>
      </c>
      <c r="B196" s="6" t="s">
        <v>368</v>
      </c>
      <c r="C196" s="6" t="s">
        <v>943</v>
      </c>
      <c r="D196" s="6" t="s">
        <v>55</v>
      </c>
      <c r="E196" s="26" t="n">
        <v>400</v>
      </c>
      <c r="F196" s="6" t="str">
        <f aca="false">IFERROR(INDEX(Resources!$B$2:$B$64,MATCH($D196,Resources!$A$2:$A$64,0)),"?")</f>
        <v>sq ft</v>
      </c>
      <c r="G196" s="6" t="s">
        <v>945</v>
      </c>
      <c r="H196" s="27" t="n">
        <f aca="false">E196*INDEX(Assumptions!$D$17:$D$23,MATCH(G196,Assumptions!$B$17:$B$23,0))</f>
        <v>400</v>
      </c>
      <c r="I196" s="6" t="n">
        <f aca="false">IFERROR(INDEX(Systems!$R$2:$R$179,MATCH($B196,Systems!$B$2:$B$179,0)),0)</f>
        <v>0</v>
      </c>
      <c r="J196" s="27" t="n">
        <f aca="false">H196*I196</f>
        <v>0</v>
      </c>
      <c r="K196" s="6" t="str">
        <f aca="false">IFERROR(IF(INDEX(Resources!$D$2:$D$64,MATCH($D196,Resources!$A$2:$A$64,0))="","",INDEX(Resources!$D$2:$D$64,MATCH($D196,Resources!$A$2:$A$64,0))),"")</f>
        <v>Shelter</v>
      </c>
      <c r="L196" s="28" t="n">
        <f aca="false">IF(K196="","",J196*INDEX(Resources!$E$2:$E$64,MATCH($D196,Resources!$A$2:$A$64,0)))</f>
        <v>0</v>
      </c>
      <c r="M196" s="6" t="str">
        <f aca="false">B196&amp;"|"&amp;D196&amp;"|"&amp;C196</f>
        <v>Solar Cabin|Shelter|Output</v>
      </c>
    </row>
    <row r="197" customFormat="false" ht="15" hidden="false" customHeight="true" outlineLevel="0" collapsed="false">
      <c r="A197" s="6" t="s">
        <v>1160</v>
      </c>
      <c r="B197" s="6" t="s">
        <v>368</v>
      </c>
      <c r="C197" s="6" t="s">
        <v>943</v>
      </c>
      <c r="D197" s="6" t="s">
        <v>288</v>
      </c>
      <c r="E197" s="26" t="n">
        <v>500</v>
      </c>
      <c r="F197" s="6" t="str">
        <f aca="false">IFERROR(INDEX(Resources!$B$2:$B$64,MATCH($D197,Resources!$A$2:$A$64,0)),"?")</f>
        <v>sq ft</v>
      </c>
      <c r="G197" s="6" t="s">
        <v>945</v>
      </c>
      <c r="H197" s="27" t="n">
        <f aca="false">E197*INDEX(Assumptions!$D$17:$D$23,MATCH(G197,Assumptions!$B$17:$B$23,0))</f>
        <v>500</v>
      </c>
      <c r="I197" s="6" t="n">
        <f aca="false">IFERROR(INDEX(Systems!$R$2:$R$179,MATCH($B197,Systems!$B$2:$B$179,0)),0)</f>
        <v>0</v>
      </c>
      <c r="J197" s="27" t="n">
        <f aca="false">H197*I197</f>
        <v>0</v>
      </c>
      <c r="K197" s="6" t="str">
        <f aca="false">IFERROR(IF(INDEX(Resources!$D$2:$D$64,MATCH($D197,Resources!$A$2:$A$64,0))="","",INDEX(Resources!$D$2:$D$64,MATCH($D197,Resources!$A$2:$A$64,0))),"")</f>
        <v/>
      </c>
      <c r="L197" s="28" t="str">
        <f aca="false">IF(K197="","",J197*INDEX(Resources!$E$2:$E$64,MATCH($D197,Resources!$A$2:$A$64,0)))</f>
        <v/>
      </c>
      <c r="M197" s="6" t="str">
        <f aca="false">B197&amp;"|"&amp;D197&amp;"|"&amp;C197</f>
        <v>Solar Cabin|Roofing area|Output</v>
      </c>
    </row>
    <row r="198" customFormat="false" ht="15" hidden="false" customHeight="true" outlineLevel="0" collapsed="false">
      <c r="A198" s="6" t="s">
        <v>1161</v>
      </c>
      <c r="B198" s="6" t="s">
        <v>368</v>
      </c>
      <c r="C198" s="6" t="s">
        <v>943</v>
      </c>
      <c r="D198" s="6" t="s">
        <v>59</v>
      </c>
      <c r="E198" s="29" t="n">
        <f aca="false">1*Assumptions!$C$6*7*Assumptions!$C$7</f>
        <v>28</v>
      </c>
      <c r="F198" s="6" t="str">
        <f aca="false">IFERROR(INDEX(Resources!$B$2:$B$64,MATCH($D198,Resources!$A$2:$A$64,0)),"?")</f>
        <v>kWh</v>
      </c>
      <c r="G198" s="6" t="s">
        <v>939</v>
      </c>
      <c r="H198" s="27" t="n">
        <f aca="false">E198*INDEX(Assumptions!$D$17:$D$23,MATCH(G198,Assumptions!$B$17:$B$23,0))</f>
        <v>28</v>
      </c>
      <c r="I198" s="6" t="n">
        <f aca="false">IFERROR(INDEX(Systems!$R$2:$R$179,MATCH($B198,Systems!$B$2:$B$179,0)),0)</f>
        <v>0</v>
      </c>
      <c r="J198" s="27" t="n">
        <f aca="false">H198*I198</f>
        <v>0</v>
      </c>
      <c r="K198" s="6" t="str">
        <f aca="false">IFERROR(IF(INDEX(Resources!$D$2:$D$64,MATCH($D198,Resources!$A$2:$A$64,0))="","",INDEX(Resources!$D$2:$D$64,MATCH($D198,Resources!$A$2:$A$64,0))),"")</f>
        <v>Electricity</v>
      </c>
      <c r="L198" s="28" t="n">
        <f aca="false">IF(K198="","",J198*INDEX(Resources!$E$2:$E$64,MATCH($D198,Resources!$A$2:$A$64,0)))</f>
        <v>0</v>
      </c>
      <c r="M198" s="6" t="str">
        <f aca="false">B198&amp;"|"&amp;D198&amp;"|"&amp;C198</f>
        <v>Solar Cabin|Electricity|Output</v>
      </c>
      <c r="N198" s="6" t="s">
        <v>1162</v>
      </c>
    </row>
    <row r="199" customFormat="false" ht="15" hidden="false" customHeight="true" outlineLevel="0" collapsed="false">
      <c r="A199" s="6" t="s">
        <v>1163</v>
      </c>
      <c r="B199" s="6" t="s">
        <v>368</v>
      </c>
      <c r="C199" s="6" t="s">
        <v>943</v>
      </c>
      <c r="D199" s="6" t="s">
        <v>67</v>
      </c>
      <c r="E199" s="26" t="n">
        <v>100000</v>
      </c>
      <c r="F199" s="6" t="str">
        <f aca="false">IFERROR(INDEX(Resources!$B$2:$B$64,MATCH($D199,Resources!$A$2:$A$64,0)),"?")</f>
        <v>BTU</v>
      </c>
      <c r="G199" s="6" t="s">
        <v>939</v>
      </c>
      <c r="H199" s="27" t="n">
        <f aca="false">E199*INDEX(Assumptions!$D$17:$D$23,MATCH(G199,Assumptions!$B$17:$B$23,0))</f>
        <v>100000</v>
      </c>
      <c r="I199" s="6" t="n">
        <f aca="false">IFERROR(INDEX(Systems!$R$2:$R$179,MATCH($B199,Systems!$B$2:$B$179,0)),0)</f>
        <v>0</v>
      </c>
      <c r="J199" s="27" t="n">
        <f aca="false">H199*I199</f>
        <v>0</v>
      </c>
      <c r="K199" s="6" t="str">
        <f aca="false">IFERROR(IF(INDEX(Resources!$D$2:$D$64,MATCH($D199,Resources!$A$2:$A$64,0))="","",INDEX(Resources!$D$2:$D$64,MATCH($D199,Resources!$A$2:$A$64,0))),"")</f>
        <v>Heated shelter</v>
      </c>
      <c r="L199" s="28" t="n">
        <f aca="false">IF(K199="","",J199*INDEX(Resources!$E$2:$E$64,MATCH($D199,Resources!$A$2:$A$64,0)))</f>
        <v>0</v>
      </c>
      <c r="M199" s="6" t="str">
        <f aca="false">B199&amp;"|"&amp;D199&amp;"|"&amp;C199</f>
        <v>Solar Cabin|Heat|Output</v>
      </c>
    </row>
    <row r="200" customFormat="false" ht="15" hidden="false" customHeight="true" outlineLevel="0" collapsed="false">
      <c r="A200" s="6" t="s">
        <v>1164</v>
      </c>
      <c r="B200" s="6" t="s">
        <v>368</v>
      </c>
      <c r="C200" s="6" t="s">
        <v>938</v>
      </c>
      <c r="D200" s="6" t="s">
        <v>67</v>
      </c>
      <c r="E200" s="29" t="n">
        <f aca="false">INDEX(Systems!$N$2:$N$179,MATCH($B200,Systems!$B$2:$B$179,0))*INDEX(Systems!$O$2:$O$179,MATCH($B200,Systems!$B$2:$B$179,0))*Assumptions!$C$4*24/52</f>
        <v>221538.461538462</v>
      </c>
      <c r="F200" s="6" t="str">
        <f aca="false">IFERROR(INDEX(Resources!$B$2:$B$64,MATCH($D200,Resources!$A$2:$A$64,0)),"?")</f>
        <v>BTU</v>
      </c>
      <c r="G200" s="6" t="s">
        <v>939</v>
      </c>
      <c r="H200" s="27" t="n">
        <f aca="false">E200*INDEX(Assumptions!$D$17:$D$23,MATCH(G200,Assumptions!$B$17:$B$23,0))</f>
        <v>221538.461538462</v>
      </c>
      <c r="I200" s="6" t="n">
        <f aca="false">IFERROR(INDEX(Systems!$R$2:$R$179,MATCH($B200,Systems!$B$2:$B$179,0)),0)</f>
        <v>0</v>
      </c>
      <c r="J200" s="27" t="n">
        <f aca="false">H200*I200</f>
        <v>0</v>
      </c>
      <c r="K200" s="6" t="str">
        <f aca="false">IFERROR(IF(INDEX(Resources!$D$2:$D$64,MATCH($D200,Resources!$A$2:$A$64,0))="","",INDEX(Resources!$D$2:$D$64,MATCH($D200,Resources!$A$2:$A$64,0))),"")</f>
        <v>Heated shelter</v>
      </c>
      <c r="L200" s="28" t="n">
        <f aca="false">IF(K200="","",J200*INDEX(Resources!$E$2:$E$64,MATCH($D200,Resources!$A$2:$A$64,0)))</f>
        <v>0</v>
      </c>
      <c r="M200" s="6" t="str">
        <f aca="false">B200&amp;"|"&amp;D200&amp;"|"&amp;C200</f>
        <v>Solar Cabin|Heat|Input</v>
      </c>
      <c r="N200" s="6" t="s">
        <v>972</v>
      </c>
    </row>
    <row r="201" customFormat="false" ht="15" hidden="false" customHeight="true" outlineLevel="0" collapsed="false">
      <c r="A201" s="6" t="s">
        <v>1165</v>
      </c>
      <c r="B201" s="6" t="s">
        <v>368</v>
      </c>
      <c r="C201" s="6" t="s">
        <v>938</v>
      </c>
      <c r="D201" s="6" t="s">
        <v>69</v>
      </c>
      <c r="E201" s="29" t="n">
        <f aca="false">INDEX(Systems!$N$2:$N$179,MATCH($B201,Systems!$B$2:$B$179,0))*INDEX(Systems!$O$2:$O$179,MATCH($B201,Systems!$B$2:$B$179,0))*Assumptions!$C$5*24/52</f>
        <v>29538.4615384615</v>
      </c>
      <c r="F201" s="6" t="str">
        <f aca="false">IFERROR(INDEX(Resources!$B$2:$B$64,MATCH($D201,Resources!$A$2:$A$64,0)),"?")</f>
        <v>BTU</v>
      </c>
      <c r="G201" s="6" t="s">
        <v>939</v>
      </c>
      <c r="H201" s="27" t="n">
        <f aca="false">E201*INDEX(Assumptions!$D$17:$D$23,MATCH(G201,Assumptions!$B$17:$B$23,0))</f>
        <v>29538.4615384615</v>
      </c>
      <c r="I201" s="6" t="n">
        <f aca="false">IFERROR(INDEX(Systems!$R$2:$R$179,MATCH($B201,Systems!$B$2:$B$179,0)),0)</f>
        <v>0</v>
      </c>
      <c r="J201" s="27" t="n">
        <f aca="false">H201*I201</f>
        <v>0</v>
      </c>
      <c r="K201" s="6" t="str">
        <f aca="false">IFERROR(IF(INDEX(Resources!$D$2:$D$64,MATCH($D201,Resources!$A$2:$A$64,0))="","",INDEX(Resources!$D$2:$D$64,MATCH($D201,Resources!$A$2:$A$64,0))),"")</f>
        <v>Cooled shelter</v>
      </c>
      <c r="L201" s="28" t="n">
        <f aca="false">IF(K201="","",J201*INDEX(Resources!$E$2:$E$64,MATCH($D201,Resources!$A$2:$A$64,0)))</f>
        <v>0</v>
      </c>
      <c r="M201" s="6" t="str">
        <f aca="false">B201&amp;"|"&amp;D201&amp;"|"&amp;C201</f>
        <v>Solar Cabin|Cooling|Input</v>
      </c>
      <c r="N201" s="6" t="s">
        <v>974</v>
      </c>
    </row>
    <row r="202" customFormat="false" ht="15" hidden="false" customHeight="true" outlineLevel="0" collapsed="false">
      <c r="A202" s="6" t="s">
        <v>1166</v>
      </c>
      <c r="B202" s="6" t="s">
        <v>374</v>
      </c>
      <c r="C202" s="6" t="s">
        <v>938</v>
      </c>
      <c r="D202" s="6" t="s">
        <v>71</v>
      </c>
      <c r="E202" s="26" t="n">
        <v>0.5</v>
      </c>
      <c r="F202" s="6" t="str">
        <f aca="false">IFERROR(INDEX(Resources!$B$2:$B$64,MATCH($D202,Resources!$A$2:$A$64,0)),"?")</f>
        <v>hours</v>
      </c>
      <c r="G202" s="6" t="s">
        <v>939</v>
      </c>
      <c r="H202" s="27" t="n">
        <f aca="false">E202*INDEX(Assumptions!$D$17:$D$23,MATCH(G202,Assumptions!$B$17:$B$23,0))</f>
        <v>0.5</v>
      </c>
      <c r="I202" s="6" t="n">
        <f aca="false">IFERROR(INDEX(Systems!$R$2:$R$179,MATCH($B202,Systems!$B$2:$B$179,0)),0)</f>
        <v>0</v>
      </c>
      <c r="J202" s="27" t="n">
        <f aca="false">H202*I202</f>
        <v>0</v>
      </c>
      <c r="K202" s="6" t="str">
        <f aca="false">IFERROR(IF(INDEX(Resources!$D$2:$D$64,MATCH($D202,Resources!$A$2:$A$64,0))="","",INDEX(Resources!$D$2:$D$64,MATCH($D202,Resources!$A$2:$A$64,0))),"")</f>
        <v>Est. Required Labor</v>
      </c>
      <c r="L202" s="28" t="n">
        <f aca="false">IF(K202="","",J202*INDEX(Resources!$E$2:$E$64,MATCH($D202,Resources!$A$2:$A$64,0)))</f>
        <v>0</v>
      </c>
      <c r="M202" s="6" t="str">
        <f aca="false">B202&amp;"|"&amp;D202&amp;"|"&amp;C202</f>
        <v>Solar Electric Fencing System|Labor|Input</v>
      </c>
      <c r="N202" s="6" t="s">
        <v>940</v>
      </c>
    </row>
    <row r="203" customFormat="false" ht="15" hidden="false" customHeight="true" outlineLevel="0" collapsed="false">
      <c r="A203" s="6" t="s">
        <v>1167</v>
      </c>
      <c r="B203" s="6" t="s">
        <v>374</v>
      </c>
      <c r="C203" s="6" t="s">
        <v>938</v>
      </c>
      <c r="D203" s="6" t="s">
        <v>165</v>
      </c>
      <c r="E203" s="29" t="n">
        <f aca="false">Assumptions!$C$6*7</f>
        <v>35</v>
      </c>
      <c r="F203" s="6" t="str">
        <f aca="false">IFERROR(INDEX(Resources!$B$2:$B$64,MATCH($D203,Resources!$A$2:$A$64,0)),"?")</f>
        <v>sun-hours</v>
      </c>
      <c r="G203" s="6" t="s">
        <v>939</v>
      </c>
      <c r="H203" s="27" t="n">
        <f aca="false">E203*INDEX(Assumptions!$D$17:$D$23,MATCH(G203,Assumptions!$B$17:$B$23,0))</f>
        <v>35</v>
      </c>
      <c r="I203" s="6" t="n">
        <f aca="false">IFERROR(INDEX(Systems!$R$2:$R$179,MATCH($B203,Systems!$B$2:$B$179,0)),0)</f>
        <v>0</v>
      </c>
      <c r="J203" s="27" t="n">
        <f aca="false">H203*I203</f>
        <v>0</v>
      </c>
      <c r="K203" s="6" t="str">
        <f aca="false">IFERROR(IF(INDEX(Resources!$D$2:$D$64,MATCH($D203,Resources!$A$2:$A$64,0))="","",INDEX(Resources!$D$2:$D$64,MATCH($D203,Resources!$A$2:$A$64,0))),"")</f>
        <v/>
      </c>
      <c r="L203" s="28" t="str">
        <f aca="false">IF(K203="","",J203*INDEX(Resources!$E$2:$E$64,MATCH($D203,Resources!$A$2:$A$64,0)))</f>
        <v/>
      </c>
      <c r="M203" s="6" t="str">
        <f aca="false">B203&amp;"|"&amp;D203&amp;"|"&amp;C203</f>
        <v>Solar Electric Fencing System|Sunlight|Input</v>
      </c>
      <c r="N203" s="6" t="s">
        <v>948</v>
      </c>
    </row>
    <row r="204" customFormat="false" ht="15" hidden="false" customHeight="true" outlineLevel="0" collapsed="false">
      <c r="A204" s="6" t="s">
        <v>1168</v>
      </c>
      <c r="B204" s="6" t="s">
        <v>374</v>
      </c>
      <c r="C204" s="6" t="s">
        <v>943</v>
      </c>
      <c r="D204" s="6" t="s">
        <v>1169</v>
      </c>
      <c r="E204" s="26" t="n">
        <v>43560</v>
      </c>
      <c r="F204" s="6" t="str">
        <f aca="false">IFERROR(INDEX(Resources!$B$2:$B$64,MATCH($D204,Resources!$A$2:$A$64,0)),"?")</f>
        <v>sq ft</v>
      </c>
      <c r="G204" s="6" t="s">
        <v>945</v>
      </c>
      <c r="H204" s="27" t="n">
        <f aca="false">E204*INDEX(Assumptions!$D$17:$D$23,MATCH(G204,Assumptions!$B$17:$B$23,0))</f>
        <v>43560</v>
      </c>
      <c r="I204" s="6" t="n">
        <f aca="false">IFERROR(INDEX(Systems!$R$2:$R$179,MATCH($B204,Systems!$B$2:$B$179,0)),0)</f>
        <v>0</v>
      </c>
      <c r="J204" s="27" t="n">
        <f aca="false">H204*I204</f>
        <v>0</v>
      </c>
      <c r="K204" s="6" t="str">
        <f aca="false">IFERROR(IF(INDEX(Resources!$D$2:$D$64,MATCH($D204,Resources!$A$2:$A$64,0))="","",INDEX(Resources!$D$2:$D$64,MATCH($D204,Resources!$A$2:$A$64,0))),"")</f>
        <v/>
      </c>
      <c r="L204" s="28" t="str">
        <f aca="false">IF(K204="","",J204*INDEX(Resources!$E$2:$E$64,MATCH($D204,Resources!$A$2:$A$64,0)))</f>
        <v/>
      </c>
      <c r="M204" s="6" t="str">
        <f aca="false">B204&amp;"|"&amp;D204&amp;"|"&amp;C204</f>
        <v>Solar Electric Fencing System|Fenced paddock|Output</v>
      </c>
    </row>
    <row r="205" customFormat="false" ht="15" hidden="false" customHeight="true" outlineLevel="0" collapsed="false">
      <c r="A205" s="6" t="s">
        <v>1170</v>
      </c>
      <c r="B205" s="6" t="s">
        <v>374</v>
      </c>
      <c r="C205" s="6" t="s">
        <v>943</v>
      </c>
      <c r="D205" s="6" t="s">
        <v>462</v>
      </c>
      <c r="E205" s="26" t="n">
        <v>2</v>
      </c>
      <c r="F205" s="6" t="str">
        <f aca="false">IFERROR(INDEX(Resources!$B$2:$B$64,MATCH($D205,Resources!$A$2:$A$64,0)),"?")</f>
        <v>points</v>
      </c>
      <c r="G205" s="6" t="s">
        <v>939</v>
      </c>
      <c r="H205" s="27" t="n">
        <f aca="false">E205*INDEX(Assumptions!$D$17:$D$23,MATCH(G205,Assumptions!$B$17:$B$23,0))</f>
        <v>2</v>
      </c>
      <c r="I205" s="6" t="n">
        <f aca="false">IFERROR(INDEX(Systems!$R$2:$R$179,MATCH($B205,Systems!$B$2:$B$179,0)),0)</f>
        <v>0</v>
      </c>
      <c r="J205" s="27" t="n">
        <f aca="false">H205*I205</f>
        <v>0</v>
      </c>
      <c r="K205" s="6" t="str">
        <f aca="false">IFERROR(IF(INDEX(Resources!$D$2:$D$64,MATCH($D205,Resources!$A$2:$A$64,0))="","",INDEX(Resources!$D$2:$D$64,MATCH($D205,Resources!$A$2:$A$64,0))),"")</f>
        <v/>
      </c>
      <c r="L205" s="28" t="str">
        <f aca="false">IF(K205="","",J205*INDEX(Resources!$E$2:$E$64,MATCH($D205,Resources!$A$2:$A$64,0)))</f>
        <v/>
      </c>
      <c r="M205" s="6" t="str">
        <f aca="false">B205&amp;"|"&amp;D205&amp;"|"&amp;C205</f>
        <v>Solar Electric Fencing System|Wellbeing|Output</v>
      </c>
    </row>
    <row r="206" customFormat="false" ht="15" hidden="false" customHeight="true" outlineLevel="0" collapsed="false">
      <c r="A206" s="6" t="s">
        <v>1171</v>
      </c>
      <c r="B206" s="6" t="s">
        <v>380</v>
      </c>
      <c r="C206" s="6" t="s">
        <v>938</v>
      </c>
      <c r="D206" s="6" t="s">
        <v>71</v>
      </c>
      <c r="E206" s="26" t="n">
        <v>0.2</v>
      </c>
      <c r="F206" s="6" t="str">
        <f aca="false">IFERROR(INDEX(Resources!$B$2:$B$64,MATCH($D206,Resources!$A$2:$A$64,0)),"?")</f>
        <v>hours</v>
      </c>
      <c r="G206" s="6" t="s">
        <v>939</v>
      </c>
      <c r="H206" s="27" t="n">
        <f aca="false">E206*INDEX(Assumptions!$D$17:$D$23,MATCH(G206,Assumptions!$B$17:$B$23,0))</f>
        <v>0.2</v>
      </c>
      <c r="I206" s="6" t="n">
        <f aca="false">IFERROR(INDEX(Systems!$R$2:$R$179,MATCH($B206,Systems!$B$2:$B$179,0)),0)</f>
        <v>0</v>
      </c>
      <c r="J206" s="27" t="n">
        <f aca="false">H206*I206</f>
        <v>0</v>
      </c>
      <c r="K206" s="6" t="str">
        <f aca="false">IFERROR(IF(INDEX(Resources!$D$2:$D$64,MATCH($D206,Resources!$A$2:$A$64,0))="","",INDEX(Resources!$D$2:$D$64,MATCH($D206,Resources!$A$2:$A$64,0))),"")</f>
        <v>Est. Required Labor</v>
      </c>
      <c r="L206" s="28" t="n">
        <f aca="false">IF(K206="","",J206*INDEX(Resources!$E$2:$E$64,MATCH($D206,Resources!$A$2:$A$64,0)))</f>
        <v>0</v>
      </c>
      <c r="M206" s="6" t="str">
        <f aca="false">B206&amp;"|"&amp;D206&amp;"|"&amp;C206</f>
        <v>Solar Golf Cart|Labor|Input</v>
      </c>
      <c r="N206" s="6" t="s">
        <v>940</v>
      </c>
    </row>
    <row r="207" customFormat="false" ht="15" hidden="false" customHeight="true" outlineLevel="0" collapsed="false">
      <c r="A207" s="6" t="s">
        <v>1172</v>
      </c>
      <c r="B207" s="6" t="s">
        <v>380</v>
      </c>
      <c r="C207" s="6" t="s">
        <v>938</v>
      </c>
      <c r="D207" s="6" t="s">
        <v>165</v>
      </c>
      <c r="E207" s="29" t="n">
        <f aca="false">Assumptions!$C$6*7</f>
        <v>35</v>
      </c>
      <c r="F207" s="6" t="str">
        <f aca="false">IFERROR(INDEX(Resources!$B$2:$B$64,MATCH($D207,Resources!$A$2:$A$64,0)),"?")</f>
        <v>sun-hours</v>
      </c>
      <c r="G207" s="6" t="s">
        <v>939</v>
      </c>
      <c r="H207" s="27" t="n">
        <f aca="false">E207*INDEX(Assumptions!$D$17:$D$23,MATCH(G207,Assumptions!$B$17:$B$23,0))</f>
        <v>35</v>
      </c>
      <c r="I207" s="6" t="n">
        <f aca="false">IFERROR(INDEX(Systems!$R$2:$R$179,MATCH($B207,Systems!$B$2:$B$179,0)),0)</f>
        <v>0</v>
      </c>
      <c r="J207" s="27" t="n">
        <f aca="false">H207*I207</f>
        <v>0</v>
      </c>
      <c r="K207" s="6" t="str">
        <f aca="false">IFERROR(IF(INDEX(Resources!$D$2:$D$64,MATCH($D207,Resources!$A$2:$A$64,0))="","",INDEX(Resources!$D$2:$D$64,MATCH($D207,Resources!$A$2:$A$64,0))),"")</f>
        <v/>
      </c>
      <c r="L207" s="28" t="str">
        <f aca="false">IF(K207="","",J207*INDEX(Resources!$E$2:$E$64,MATCH($D207,Resources!$A$2:$A$64,0)))</f>
        <v/>
      </c>
      <c r="M207" s="6" t="str">
        <f aca="false">B207&amp;"|"&amp;D207&amp;"|"&amp;C207</f>
        <v>Solar Golf Cart|Sunlight|Input</v>
      </c>
      <c r="N207" s="6" t="s">
        <v>948</v>
      </c>
    </row>
    <row r="208" customFormat="false" ht="15" hidden="false" customHeight="true" outlineLevel="0" collapsed="false">
      <c r="A208" s="6" t="s">
        <v>1173</v>
      </c>
      <c r="B208" s="6" t="s">
        <v>380</v>
      </c>
      <c r="C208" s="6" t="s">
        <v>938</v>
      </c>
      <c r="D208" s="6" t="s">
        <v>59</v>
      </c>
      <c r="E208" s="26" t="n">
        <v>5</v>
      </c>
      <c r="F208" s="6" t="str">
        <f aca="false">IFERROR(INDEX(Resources!$B$2:$B$64,MATCH($D208,Resources!$A$2:$A$64,0)),"?")</f>
        <v>kWh</v>
      </c>
      <c r="G208" s="6" t="s">
        <v>939</v>
      </c>
      <c r="H208" s="27" t="n">
        <f aca="false">E208*INDEX(Assumptions!$D$17:$D$23,MATCH(G208,Assumptions!$B$17:$B$23,0))</f>
        <v>5</v>
      </c>
      <c r="I208" s="6" t="n">
        <f aca="false">IFERROR(INDEX(Systems!$R$2:$R$179,MATCH($B208,Systems!$B$2:$B$179,0)),0)</f>
        <v>0</v>
      </c>
      <c r="J208" s="27" t="n">
        <f aca="false">H208*I208</f>
        <v>0</v>
      </c>
      <c r="K208" s="6" t="str">
        <f aca="false">IFERROR(IF(INDEX(Resources!$D$2:$D$64,MATCH($D208,Resources!$A$2:$A$64,0))="","",INDEX(Resources!$D$2:$D$64,MATCH($D208,Resources!$A$2:$A$64,0))),"")</f>
        <v>Electricity</v>
      </c>
      <c r="L208" s="28" t="n">
        <f aca="false">IF(K208="","",J208*INDEX(Resources!$E$2:$E$64,MATCH($D208,Resources!$A$2:$A$64,0)))</f>
        <v>0</v>
      </c>
      <c r="M208" s="6" t="str">
        <f aca="false">B208&amp;"|"&amp;D208&amp;"|"&amp;C208</f>
        <v>Solar Golf Cart|Electricity|Input</v>
      </c>
    </row>
    <row r="209" customFormat="false" ht="15" hidden="false" customHeight="true" outlineLevel="0" collapsed="false">
      <c r="A209" s="6" t="s">
        <v>1174</v>
      </c>
      <c r="B209" s="6" t="s">
        <v>380</v>
      </c>
      <c r="C209" s="6" t="s">
        <v>943</v>
      </c>
      <c r="D209" s="6" t="s">
        <v>61</v>
      </c>
      <c r="E209" s="26" t="n">
        <v>40</v>
      </c>
      <c r="F209" s="6" t="str">
        <f aca="false">IFERROR(INDEX(Resources!$B$2:$B$64,MATCH($D209,Resources!$A$2:$A$64,0)),"?")</f>
        <v>miles</v>
      </c>
      <c r="G209" s="6" t="s">
        <v>939</v>
      </c>
      <c r="H209" s="27" t="n">
        <f aca="false">E209*INDEX(Assumptions!$D$17:$D$23,MATCH(G209,Assumptions!$B$17:$B$23,0))</f>
        <v>40</v>
      </c>
      <c r="I209" s="6" t="n">
        <f aca="false">IFERROR(INDEX(Systems!$R$2:$R$179,MATCH($B209,Systems!$B$2:$B$179,0)),0)</f>
        <v>0</v>
      </c>
      <c r="J209" s="27" t="n">
        <f aca="false">H209*I209</f>
        <v>0</v>
      </c>
      <c r="K209" s="6" t="str">
        <f aca="false">IFERROR(IF(INDEX(Resources!$D$2:$D$64,MATCH($D209,Resources!$A$2:$A$64,0))="","",INDEX(Resources!$D$2:$D$64,MATCH($D209,Resources!$A$2:$A$64,0))),"")</f>
        <v>Transportation</v>
      </c>
      <c r="L209" s="28" t="n">
        <f aca="false">IF(K209="","",J209*INDEX(Resources!$E$2:$E$64,MATCH($D209,Resources!$A$2:$A$64,0)))</f>
        <v>0</v>
      </c>
      <c r="M209" s="6" t="str">
        <f aca="false">B209&amp;"|"&amp;D209&amp;"|"&amp;C209</f>
        <v>Solar Golf Cart|Transportation|Output</v>
      </c>
    </row>
    <row r="210" customFormat="false" ht="15" hidden="false" customHeight="true" outlineLevel="0" collapsed="false">
      <c r="A210" s="6" t="s">
        <v>1175</v>
      </c>
      <c r="B210" s="6" t="s">
        <v>384</v>
      </c>
      <c r="C210" s="6" t="s">
        <v>938</v>
      </c>
      <c r="D210" s="6" t="s">
        <v>71</v>
      </c>
      <c r="E210" s="26" t="n">
        <v>0.1</v>
      </c>
      <c r="F210" s="6" t="str">
        <f aca="false">IFERROR(INDEX(Resources!$B$2:$B$64,MATCH($D210,Resources!$A$2:$A$64,0)),"?")</f>
        <v>hours</v>
      </c>
      <c r="G210" s="6" t="s">
        <v>939</v>
      </c>
      <c r="H210" s="27" t="n">
        <f aca="false">E210*INDEX(Assumptions!$D$17:$D$23,MATCH(G210,Assumptions!$B$17:$B$23,0))</f>
        <v>0.1</v>
      </c>
      <c r="I210" s="6" t="n">
        <f aca="false">IFERROR(INDEX(Systems!$R$2:$R$179,MATCH($B210,Systems!$B$2:$B$179,0)),0)</f>
        <v>0</v>
      </c>
      <c r="J210" s="27" t="n">
        <f aca="false">H210*I210</f>
        <v>0</v>
      </c>
      <c r="K210" s="6" t="str">
        <f aca="false">IFERROR(IF(INDEX(Resources!$D$2:$D$64,MATCH($D210,Resources!$A$2:$A$64,0))="","",INDEX(Resources!$D$2:$D$64,MATCH($D210,Resources!$A$2:$A$64,0))),"")</f>
        <v>Est. Required Labor</v>
      </c>
      <c r="L210" s="28" t="n">
        <f aca="false">IF(K210="","",J210*INDEX(Resources!$E$2:$E$64,MATCH($D210,Resources!$A$2:$A$64,0)))</f>
        <v>0</v>
      </c>
      <c r="M210" s="6" t="str">
        <f aca="false">B210&amp;"|"&amp;D210&amp;"|"&amp;C210</f>
        <v>Butterfly Pea Flower|Labor|Input</v>
      </c>
      <c r="N210" s="6" t="s">
        <v>940</v>
      </c>
    </row>
    <row r="211" customFormat="false" ht="15" hidden="false" customHeight="true" outlineLevel="0" collapsed="false">
      <c r="A211" s="6" t="s">
        <v>1176</v>
      </c>
      <c r="B211" s="6" t="s">
        <v>384</v>
      </c>
      <c r="C211" s="6" t="s">
        <v>938</v>
      </c>
      <c r="D211" s="6" t="s">
        <v>1114</v>
      </c>
      <c r="E211" s="26" t="n">
        <v>1</v>
      </c>
      <c r="F211" s="6" t="str">
        <f aca="false">IFERROR(INDEX(Resources!$B$2:$B$64,MATCH($D211,Resources!$A$2:$A$64,0)),"?")</f>
        <v>plants</v>
      </c>
      <c r="G211" s="6" t="s">
        <v>1115</v>
      </c>
      <c r="H211" s="27" t="n">
        <f aca="false">E211*INDEX(Assumptions!$D$17:$D$23,MATCH(G211,Assumptions!$B$17:$B$23,0))</f>
        <v>0</v>
      </c>
      <c r="I211" s="6" t="n">
        <f aca="false">IFERROR(INDEX(Systems!$R$2:$R$179,MATCH($B211,Systems!$B$2:$B$179,0)),0)</f>
        <v>0</v>
      </c>
      <c r="J211" s="27" t="n">
        <f aca="false">H211*I211</f>
        <v>0</v>
      </c>
      <c r="K211" s="6" t="str">
        <f aca="false">IFERROR(IF(INDEX(Resources!$D$2:$D$64,MATCH($D211,Resources!$A$2:$A$64,0))="","",INDEX(Resources!$D$2:$D$64,MATCH($D211,Resources!$A$2:$A$64,0))),"")</f>
        <v/>
      </c>
      <c r="L211" s="28" t="str">
        <f aca="false">IF(K211="","",J211*INDEX(Resources!$E$2:$E$64,MATCH($D211,Resources!$A$2:$A$64,0)))</f>
        <v/>
      </c>
      <c r="M211" s="6" t="str">
        <f aca="false">B211&amp;"|"&amp;D211&amp;"|"&amp;C211</f>
        <v>Butterfly Pea Flower|Seedlings|Input</v>
      </c>
    </row>
    <row r="212" customFormat="false" ht="15" hidden="false" customHeight="true" outlineLevel="0" collapsed="false">
      <c r="A212" s="6" t="s">
        <v>1177</v>
      </c>
      <c r="B212" s="6" t="s">
        <v>384</v>
      </c>
      <c r="C212" s="6" t="s">
        <v>938</v>
      </c>
      <c r="D212" s="6" t="s">
        <v>49</v>
      </c>
      <c r="E212" s="26" t="n">
        <v>3</v>
      </c>
      <c r="F212" s="6" t="str">
        <f aca="false">IFERROR(INDEX(Resources!$B$2:$B$64,MATCH($D212,Resources!$A$2:$A$64,0)),"?")</f>
        <v>gal</v>
      </c>
      <c r="G212" s="6" t="s">
        <v>939</v>
      </c>
      <c r="H212" s="27" t="n">
        <f aca="false">E212*INDEX(Assumptions!$D$17:$D$23,MATCH(G212,Assumptions!$B$17:$B$23,0))</f>
        <v>3</v>
      </c>
      <c r="I212" s="6" t="n">
        <f aca="false">IFERROR(INDEX(Systems!$R$2:$R$179,MATCH($B212,Systems!$B$2:$B$179,0)),0)</f>
        <v>0</v>
      </c>
      <c r="J212" s="27" t="n">
        <f aca="false">H212*I212</f>
        <v>0</v>
      </c>
      <c r="K212" s="6" t="str">
        <f aca="false">IFERROR(IF(INDEX(Resources!$D$2:$D$64,MATCH($D212,Resources!$A$2:$A$64,0))="","",INDEX(Resources!$D$2:$D$64,MATCH($D212,Resources!$A$2:$A$64,0))),"")</f>
        <v>Water</v>
      </c>
      <c r="L212" s="28" t="n">
        <f aca="false">IF(K212="","",J212*INDEX(Resources!$E$2:$E$64,MATCH($D212,Resources!$A$2:$A$64,0)))</f>
        <v>0</v>
      </c>
      <c r="M212" s="6" t="str">
        <f aca="false">B212&amp;"|"&amp;D212&amp;"|"&amp;C212</f>
        <v>Butterfly Pea Flower|Water|Input</v>
      </c>
    </row>
    <row r="213" customFormat="false" ht="15" hidden="false" customHeight="true" outlineLevel="0" collapsed="false">
      <c r="A213" s="6" t="s">
        <v>1178</v>
      </c>
      <c r="B213" s="6" t="s">
        <v>384</v>
      </c>
      <c r="C213" s="6" t="s">
        <v>943</v>
      </c>
      <c r="D213" s="6" t="s">
        <v>436</v>
      </c>
      <c r="E213" s="26" t="n">
        <v>10</v>
      </c>
      <c r="F213" s="6" t="str">
        <f aca="false">IFERROR(INDEX(Resources!$B$2:$B$64,MATCH($D213,Resources!$A$2:$A$64,0)),"?")</f>
        <v>sq ft</v>
      </c>
      <c r="G213" s="6" t="s">
        <v>945</v>
      </c>
      <c r="H213" s="27" t="n">
        <f aca="false">E213*INDEX(Assumptions!$D$17:$D$23,MATCH(G213,Assumptions!$B$17:$B$23,0))</f>
        <v>10</v>
      </c>
      <c r="I213" s="6" t="n">
        <f aca="false">IFERROR(INDEX(Systems!$R$2:$R$179,MATCH($B213,Systems!$B$2:$B$179,0)),0)</f>
        <v>0</v>
      </c>
      <c r="J213" s="27" t="n">
        <f aca="false">H213*I213</f>
        <v>0</v>
      </c>
      <c r="K213" s="6" t="str">
        <f aca="false">IFERROR(IF(INDEX(Resources!$D$2:$D$64,MATCH($D213,Resources!$A$2:$A$64,0))="","",INDEX(Resources!$D$2:$D$64,MATCH($D213,Resources!$A$2:$A$64,0))),"")</f>
        <v/>
      </c>
      <c r="L213" s="28" t="str">
        <f aca="false">IF(K213="","",J213*INDEX(Resources!$E$2:$E$64,MATCH($D213,Resources!$A$2:$A$64,0)))</f>
        <v/>
      </c>
      <c r="M213" s="6" t="str">
        <f aca="false">B213&amp;"|"&amp;D213&amp;"|"&amp;C213</f>
        <v>Butterfly Pea Flower|Pollinator flowers|Output</v>
      </c>
    </row>
    <row r="214" customFormat="false" ht="15" hidden="false" customHeight="true" outlineLevel="0" collapsed="false">
      <c r="A214" s="6" t="s">
        <v>1179</v>
      </c>
      <c r="B214" s="6" t="s">
        <v>384</v>
      </c>
      <c r="C214" s="6" t="s">
        <v>943</v>
      </c>
      <c r="D214" s="6" t="s">
        <v>561</v>
      </c>
      <c r="E214" s="26" t="n">
        <v>0.1</v>
      </c>
      <c r="F214" s="6" t="str">
        <f aca="false">IFERROR(INDEX(Resources!$B$2:$B$64,MATCH($D214,Resources!$A$2:$A$64,0)),"?")</f>
        <v>lbs</v>
      </c>
      <c r="G214" s="6" t="s">
        <v>939</v>
      </c>
      <c r="H214" s="27" t="n">
        <f aca="false">E214*INDEX(Assumptions!$D$17:$D$23,MATCH(G214,Assumptions!$B$17:$B$23,0))</f>
        <v>0.1</v>
      </c>
      <c r="I214" s="6" t="n">
        <f aca="false">IFERROR(INDEX(Systems!$R$2:$R$179,MATCH($B214,Systems!$B$2:$B$179,0)),0)</f>
        <v>0</v>
      </c>
      <c r="J214" s="27" t="n">
        <f aca="false">H214*I214</f>
        <v>0</v>
      </c>
      <c r="K214" s="6" t="str">
        <f aca="false">IFERROR(IF(INDEX(Resources!$D$2:$D$64,MATCH($D214,Resources!$A$2:$A$64,0))="","",INDEX(Resources!$D$2:$D$64,MATCH($D214,Resources!$A$2:$A$64,0))),"")</f>
        <v>Food</v>
      </c>
      <c r="L214" s="28" t="n">
        <f aca="false">IF(K214="","",J214*INDEX(Resources!$E$2:$E$64,MATCH($D214,Resources!$A$2:$A$64,0)))</f>
        <v>0</v>
      </c>
      <c r="M214" s="6" t="str">
        <f aca="false">B214&amp;"|"&amp;D214&amp;"|"&amp;C214</f>
        <v>Butterfly Pea Flower|Vegetables fruit fiber herbs|Output</v>
      </c>
    </row>
    <row r="215" customFormat="false" ht="15" hidden="false" customHeight="true" outlineLevel="0" collapsed="false">
      <c r="A215" s="6" t="s">
        <v>1180</v>
      </c>
      <c r="B215" s="6" t="s">
        <v>384</v>
      </c>
      <c r="C215" s="6" t="s">
        <v>943</v>
      </c>
      <c r="D215" s="6" t="s">
        <v>900</v>
      </c>
      <c r="E215" s="26" t="n">
        <v>0.1</v>
      </c>
      <c r="F215" s="6" t="str">
        <f aca="false">IFERROR(INDEX(Resources!$B$2:$B$64,MATCH($D215,Resources!$A$2:$A$64,0)),"?")</f>
        <v>cu ft</v>
      </c>
      <c r="G215" s="6" t="s">
        <v>939</v>
      </c>
      <c r="H215" s="27" t="n">
        <f aca="false">E215*INDEX(Assumptions!$D$17:$D$23,MATCH(G215,Assumptions!$B$17:$B$23,0))</f>
        <v>0.1</v>
      </c>
      <c r="I215" s="6" t="n">
        <f aca="false">IFERROR(INDEX(Systems!$R$2:$R$179,MATCH($B215,Systems!$B$2:$B$179,0)),0)</f>
        <v>0</v>
      </c>
      <c r="J215" s="27" t="n">
        <f aca="false">H215*I215</f>
        <v>0</v>
      </c>
      <c r="K215" s="6" t="str">
        <f aca="false">IFERROR(IF(INDEX(Resources!$D$2:$D$64,MATCH($D215,Resources!$A$2:$A$64,0))="","",INDEX(Resources!$D$2:$D$64,MATCH($D215,Resources!$A$2:$A$64,0))),"")</f>
        <v/>
      </c>
      <c r="L215" s="28" t="str">
        <f aca="false">IF(K215="","",J215*INDEX(Resources!$E$2:$E$64,MATCH($D215,Resources!$A$2:$A$64,0)))</f>
        <v/>
      </c>
      <c r="M215" s="6" t="str">
        <f aca="false">B215&amp;"|"&amp;D215&amp;"|"&amp;C215</f>
        <v>Butterfly Pea Flower|Soil|Output</v>
      </c>
    </row>
    <row r="216" customFormat="false" ht="15" hidden="false" customHeight="true" outlineLevel="0" collapsed="false">
      <c r="A216" s="6" t="s">
        <v>1181</v>
      </c>
      <c r="B216" s="6" t="s">
        <v>388</v>
      </c>
      <c r="C216" s="6" t="s">
        <v>938</v>
      </c>
      <c r="D216" s="6" t="s">
        <v>71</v>
      </c>
      <c r="E216" s="26" t="n">
        <v>0.1</v>
      </c>
      <c r="F216" s="6" t="str">
        <f aca="false">IFERROR(INDEX(Resources!$B$2:$B$64,MATCH($D216,Resources!$A$2:$A$64,0)),"?")</f>
        <v>hours</v>
      </c>
      <c r="G216" s="6" t="s">
        <v>939</v>
      </c>
      <c r="H216" s="27" t="n">
        <f aca="false">E216*INDEX(Assumptions!$D$17:$D$23,MATCH(G216,Assumptions!$B$17:$B$23,0))</f>
        <v>0.1</v>
      </c>
      <c r="I216" s="6" t="n">
        <f aca="false">IFERROR(INDEX(Systems!$R$2:$R$179,MATCH($B216,Systems!$B$2:$B$179,0)),0)</f>
        <v>0</v>
      </c>
      <c r="J216" s="27" t="n">
        <f aca="false">H216*I216</f>
        <v>0</v>
      </c>
      <c r="K216" s="6" t="str">
        <f aca="false">IFERROR(IF(INDEX(Resources!$D$2:$D$64,MATCH($D216,Resources!$A$2:$A$64,0))="","",INDEX(Resources!$D$2:$D$64,MATCH($D216,Resources!$A$2:$A$64,0))),"")</f>
        <v>Est. Required Labor</v>
      </c>
      <c r="L216" s="28" t="n">
        <f aca="false">IF(K216="","",J216*INDEX(Resources!$E$2:$E$64,MATCH($D216,Resources!$A$2:$A$64,0)))</f>
        <v>0</v>
      </c>
      <c r="M216" s="6" t="str">
        <f aca="false">B216&amp;"|"&amp;D216&amp;"|"&amp;C216</f>
        <v>Calendula Flower|Labor|Input</v>
      </c>
      <c r="N216" s="6" t="s">
        <v>940</v>
      </c>
    </row>
    <row r="217" customFormat="false" ht="15" hidden="false" customHeight="true" outlineLevel="0" collapsed="false">
      <c r="A217" s="6" t="s">
        <v>1182</v>
      </c>
      <c r="B217" s="6" t="s">
        <v>388</v>
      </c>
      <c r="C217" s="6" t="s">
        <v>938</v>
      </c>
      <c r="D217" s="6" t="s">
        <v>1183</v>
      </c>
      <c r="E217" s="26" t="n">
        <v>0.05</v>
      </c>
      <c r="F217" s="6" t="str">
        <f aca="false">IFERROR(INDEX(Resources!$B$2:$B$64,MATCH($D217,Resources!$A$2:$A$64,0)),"?")</f>
        <v>oz</v>
      </c>
      <c r="G217" s="6" t="s">
        <v>1184</v>
      </c>
      <c r="H217" s="27" t="n">
        <f aca="false">E217*INDEX(Assumptions!$D$17:$D$23,MATCH(G217,Assumptions!$B$17:$B$23,0))</f>
        <v>0.000961538461538462</v>
      </c>
      <c r="I217" s="6" t="n">
        <f aca="false">IFERROR(INDEX(Systems!$R$2:$R$179,MATCH($B217,Systems!$B$2:$B$179,0)),0)</f>
        <v>0</v>
      </c>
      <c r="J217" s="27" t="n">
        <f aca="false">H217*I217</f>
        <v>0</v>
      </c>
      <c r="K217" s="6" t="str">
        <f aca="false">IFERROR(IF(INDEX(Resources!$D$2:$D$64,MATCH($D217,Resources!$A$2:$A$64,0))="","",INDEX(Resources!$D$2:$D$64,MATCH($D217,Resources!$A$2:$A$64,0))),"")</f>
        <v/>
      </c>
      <c r="L217" s="28" t="str">
        <f aca="false">IF(K217="","",J217*INDEX(Resources!$E$2:$E$64,MATCH($D217,Resources!$A$2:$A$64,0)))</f>
        <v/>
      </c>
      <c r="M217" s="6" t="str">
        <f aca="false">B217&amp;"|"&amp;D217&amp;"|"&amp;C217</f>
        <v>Calendula Flower|Seeds|Input</v>
      </c>
    </row>
    <row r="218" customFormat="false" ht="15" hidden="false" customHeight="true" outlineLevel="0" collapsed="false">
      <c r="A218" s="6" t="s">
        <v>1185</v>
      </c>
      <c r="B218" s="6" t="s">
        <v>388</v>
      </c>
      <c r="C218" s="6" t="s">
        <v>938</v>
      </c>
      <c r="D218" s="6" t="s">
        <v>49</v>
      </c>
      <c r="E218" s="26" t="n">
        <v>3</v>
      </c>
      <c r="F218" s="6" t="str">
        <f aca="false">IFERROR(INDEX(Resources!$B$2:$B$64,MATCH($D218,Resources!$A$2:$A$64,0)),"?")</f>
        <v>gal</v>
      </c>
      <c r="G218" s="6" t="s">
        <v>939</v>
      </c>
      <c r="H218" s="27" t="n">
        <f aca="false">E218*INDEX(Assumptions!$D$17:$D$23,MATCH(G218,Assumptions!$B$17:$B$23,0))</f>
        <v>3</v>
      </c>
      <c r="I218" s="6" t="n">
        <f aca="false">IFERROR(INDEX(Systems!$R$2:$R$179,MATCH($B218,Systems!$B$2:$B$179,0)),0)</f>
        <v>0</v>
      </c>
      <c r="J218" s="27" t="n">
        <f aca="false">H218*I218</f>
        <v>0</v>
      </c>
      <c r="K218" s="6" t="str">
        <f aca="false">IFERROR(IF(INDEX(Resources!$D$2:$D$64,MATCH($D218,Resources!$A$2:$A$64,0))="","",INDEX(Resources!$D$2:$D$64,MATCH($D218,Resources!$A$2:$A$64,0))),"")</f>
        <v>Water</v>
      </c>
      <c r="L218" s="28" t="n">
        <f aca="false">IF(K218="","",J218*INDEX(Resources!$E$2:$E$64,MATCH($D218,Resources!$A$2:$A$64,0)))</f>
        <v>0</v>
      </c>
      <c r="M218" s="6" t="str">
        <f aca="false">B218&amp;"|"&amp;D218&amp;"|"&amp;C218</f>
        <v>Calendula Flower|Water|Input</v>
      </c>
    </row>
    <row r="219" customFormat="false" ht="15" hidden="false" customHeight="true" outlineLevel="0" collapsed="false">
      <c r="A219" s="6" t="s">
        <v>1186</v>
      </c>
      <c r="B219" s="6" t="s">
        <v>388</v>
      </c>
      <c r="C219" s="6" t="s">
        <v>943</v>
      </c>
      <c r="D219" s="6" t="s">
        <v>436</v>
      </c>
      <c r="E219" s="26" t="n">
        <v>10</v>
      </c>
      <c r="F219" s="6" t="str">
        <f aca="false">IFERROR(INDEX(Resources!$B$2:$B$64,MATCH($D219,Resources!$A$2:$A$64,0)),"?")</f>
        <v>sq ft</v>
      </c>
      <c r="G219" s="6" t="s">
        <v>945</v>
      </c>
      <c r="H219" s="27" t="n">
        <f aca="false">E219*INDEX(Assumptions!$D$17:$D$23,MATCH(G219,Assumptions!$B$17:$B$23,0))</f>
        <v>10</v>
      </c>
      <c r="I219" s="6" t="n">
        <f aca="false">IFERROR(INDEX(Systems!$R$2:$R$179,MATCH($B219,Systems!$B$2:$B$179,0)),0)</f>
        <v>0</v>
      </c>
      <c r="J219" s="27" t="n">
        <f aca="false">H219*I219</f>
        <v>0</v>
      </c>
      <c r="K219" s="6" t="str">
        <f aca="false">IFERROR(IF(INDEX(Resources!$D$2:$D$64,MATCH($D219,Resources!$A$2:$A$64,0))="","",INDEX(Resources!$D$2:$D$64,MATCH($D219,Resources!$A$2:$A$64,0))),"")</f>
        <v/>
      </c>
      <c r="L219" s="28" t="str">
        <f aca="false">IF(K219="","",J219*INDEX(Resources!$E$2:$E$64,MATCH($D219,Resources!$A$2:$A$64,0)))</f>
        <v/>
      </c>
      <c r="M219" s="6" t="str">
        <f aca="false">B219&amp;"|"&amp;D219&amp;"|"&amp;C219</f>
        <v>Calendula Flower|Pollinator flowers|Output</v>
      </c>
    </row>
    <row r="220" customFormat="false" ht="15" hidden="false" customHeight="true" outlineLevel="0" collapsed="false">
      <c r="A220" s="6" t="s">
        <v>1187</v>
      </c>
      <c r="B220" s="6" t="s">
        <v>388</v>
      </c>
      <c r="C220" s="6" t="s">
        <v>943</v>
      </c>
      <c r="D220" s="6" t="s">
        <v>1021</v>
      </c>
      <c r="E220" s="26" t="n">
        <v>0.1</v>
      </c>
      <c r="F220" s="6" t="str">
        <f aca="false">IFERROR(INDEX(Resources!$B$2:$B$64,MATCH($D220,Resources!$A$2:$A$64,0)),"?")</f>
        <v>units</v>
      </c>
      <c r="G220" s="6" t="s">
        <v>945</v>
      </c>
      <c r="H220" s="27" t="n">
        <f aca="false">E220*INDEX(Assumptions!$D$17:$D$23,MATCH(G220,Assumptions!$B$17:$B$23,0))</f>
        <v>0.1</v>
      </c>
      <c r="I220" s="6" t="n">
        <f aca="false">IFERROR(INDEX(Systems!$R$2:$R$179,MATCH($B220,Systems!$B$2:$B$179,0)),0)</f>
        <v>0</v>
      </c>
      <c r="J220" s="27" t="n">
        <f aca="false">H220*I220</f>
        <v>0</v>
      </c>
      <c r="K220" s="6" t="str">
        <f aca="false">IFERROR(IF(INDEX(Resources!$D$2:$D$64,MATCH($D220,Resources!$A$2:$A$64,0))="","",INDEX(Resources!$D$2:$D$64,MATCH($D220,Resources!$A$2:$A$64,0))),"")</f>
        <v/>
      </c>
      <c r="L220" s="28" t="str">
        <f aca="false">IF(K220="","",J220*INDEX(Resources!$E$2:$E$64,MATCH($D220,Resources!$A$2:$A$64,0)))</f>
        <v/>
      </c>
      <c r="M220" s="6" t="str">
        <f aca="false">B220&amp;"|"&amp;D220&amp;"|"&amp;C220</f>
        <v>Calendula Flower|Pest control|Output</v>
      </c>
    </row>
    <row r="221" customFormat="false" ht="15" hidden="false" customHeight="true" outlineLevel="0" collapsed="false">
      <c r="A221" s="6" t="s">
        <v>1188</v>
      </c>
      <c r="B221" s="6" t="s">
        <v>388</v>
      </c>
      <c r="C221" s="6" t="s">
        <v>943</v>
      </c>
      <c r="D221" s="6" t="s">
        <v>462</v>
      </c>
      <c r="E221" s="26" t="n">
        <v>1</v>
      </c>
      <c r="F221" s="6" t="str">
        <f aca="false">IFERROR(INDEX(Resources!$B$2:$B$64,MATCH($D221,Resources!$A$2:$A$64,0)),"?")</f>
        <v>points</v>
      </c>
      <c r="G221" s="6" t="s">
        <v>939</v>
      </c>
      <c r="H221" s="27" t="n">
        <f aca="false">E221*INDEX(Assumptions!$D$17:$D$23,MATCH(G221,Assumptions!$B$17:$B$23,0))</f>
        <v>1</v>
      </c>
      <c r="I221" s="6" t="n">
        <f aca="false">IFERROR(INDEX(Systems!$R$2:$R$179,MATCH($B221,Systems!$B$2:$B$179,0)),0)</f>
        <v>0</v>
      </c>
      <c r="J221" s="27" t="n">
        <f aca="false">H221*I221</f>
        <v>0</v>
      </c>
      <c r="K221" s="6" t="str">
        <f aca="false">IFERROR(IF(INDEX(Resources!$D$2:$D$64,MATCH($D221,Resources!$A$2:$A$64,0))="","",INDEX(Resources!$D$2:$D$64,MATCH($D221,Resources!$A$2:$A$64,0))),"")</f>
        <v/>
      </c>
      <c r="L221" s="28" t="str">
        <f aca="false">IF(K221="","",J221*INDEX(Resources!$E$2:$E$64,MATCH($D221,Resources!$A$2:$A$64,0)))</f>
        <v/>
      </c>
      <c r="M221" s="6" t="str">
        <f aca="false">B221&amp;"|"&amp;D221&amp;"|"&amp;C221</f>
        <v>Calendula Flower|Wellbeing|Output</v>
      </c>
    </row>
    <row r="222" customFormat="false" ht="15" hidden="false" customHeight="true" outlineLevel="0" collapsed="false">
      <c r="A222" s="6" t="s">
        <v>1189</v>
      </c>
      <c r="B222" s="6" t="s">
        <v>392</v>
      </c>
      <c r="C222" s="6" t="s">
        <v>938</v>
      </c>
      <c r="D222" s="6" t="s">
        <v>71</v>
      </c>
      <c r="E222" s="26" t="n">
        <v>0.05</v>
      </c>
      <c r="F222" s="6" t="str">
        <f aca="false">IFERROR(INDEX(Resources!$B$2:$B$64,MATCH($D222,Resources!$A$2:$A$64,0)),"?")</f>
        <v>hours</v>
      </c>
      <c r="G222" s="6" t="s">
        <v>939</v>
      </c>
      <c r="H222" s="27" t="n">
        <f aca="false">E222*INDEX(Assumptions!$D$17:$D$23,MATCH(G222,Assumptions!$B$17:$B$23,0))</f>
        <v>0.05</v>
      </c>
      <c r="I222" s="6" t="n">
        <f aca="false">IFERROR(INDEX(Systems!$R$2:$R$179,MATCH($B222,Systems!$B$2:$B$179,0)),0)</f>
        <v>0</v>
      </c>
      <c r="J222" s="27" t="n">
        <f aca="false">H222*I222</f>
        <v>0</v>
      </c>
      <c r="K222" s="6" t="str">
        <f aca="false">IFERROR(IF(INDEX(Resources!$D$2:$D$64,MATCH($D222,Resources!$A$2:$A$64,0))="","",INDEX(Resources!$D$2:$D$64,MATCH($D222,Resources!$A$2:$A$64,0))),"")</f>
        <v>Est. Required Labor</v>
      </c>
      <c r="L222" s="28" t="n">
        <f aca="false">IF(K222="","",J222*INDEX(Resources!$E$2:$E$64,MATCH($D222,Resources!$A$2:$A$64,0)))</f>
        <v>0</v>
      </c>
      <c r="M222" s="6" t="str">
        <f aca="false">B222&amp;"|"&amp;D222&amp;"|"&amp;C222</f>
        <v>Comfrey|Labor|Input</v>
      </c>
      <c r="N222" s="6" t="s">
        <v>940</v>
      </c>
    </row>
    <row r="223" customFormat="false" ht="15" hidden="false" customHeight="true" outlineLevel="0" collapsed="false">
      <c r="A223" s="6" t="s">
        <v>1190</v>
      </c>
      <c r="B223" s="6" t="s">
        <v>392</v>
      </c>
      <c r="C223" s="6" t="s">
        <v>938</v>
      </c>
      <c r="D223" s="6" t="s">
        <v>1114</v>
      </c>
      <c r="E223" s="26" t="n">
        <v>1</v>
      </c>
      <c r="F223" s="6" t="str">
        <f aca="false">IFERROR(INDEX(Resources!$B$2:$B$64,MATCH($D223,Resources!$A$2:$A$64,0)),"?")</f>
        <v>plants</v>
      </c>
      <c r="G223" s="6" t="s">
        <v>1115</v>
      </c>
      <c r="H223" s="27" t="n">
        <f aca="false">E223*INDEX(Assumptions!$D$17:$D$23,MATCH(G223,Assumptions!$B$17:$B$23,0))</f>
        <v>0</v>
      </c>
      <c r="I223" s="6" t="n">
        <f aca="false">IFERROR(INDEX(Systems!$R$2:$R$179,MATCH($B223,Systems!$B$2:$B$179,0)),0)</f>
        <v>0</v>
      </c>
      <c r="J223" s="27" t="n">
        <f aca="false">H223*I223</f>
        <v>0</v>
      </c>
      <c r="K223" s="6" t="str">
        <f aca="false">IFERROR(IF(INDEX(Resources!$D$2:$D$64,MATCH($D223,Resources!$A$2:$A$64,0))="","",INDEX(Resources!$D$2:$D$64,MATCH($D223,Resources!$A$2:$A$64,0))),"")</f>
        <v/>
      </c>
      <c r="L223" s="28" t="str">
        <f aca="false">IF(K223="","",J223*INDEX(Resources!$E$2:$E$64,MATCH($D223,Resources!$A$2:$A$64,0)))</f>
        <v/>
      </c>
      <c r="M223" s="6" t="str">
        <f aca="false">B223&amp;"|"&amp;D223&amp;"|"&amp;C223</f>
        <v>Comfrey|Seedlings|Input</v>
      </c>
    </row>
    <row r="224" customFormat="false" ht="15" hidden="false" customHeight="true" outlineLevel="0" collapsed="false">
      <c r="A224" s="6" t="s">
        <v>1191</v>
      </c>
      <c r="B224" s="6" t="s">
        <v>392</v>
      </c>
      <c r="C224" s="6" t="s">
        <v>938</v>
      </c>
      <c r="D224" s="6" t="s">
        <v>49</v>
      </c>
      <c r="E224" s="26" t="n">
        <v>2</v>
      </c>
      <c r="F224" s="6" t="str">
        <f aca="false">IFERROR(INDEX(Resources!$B$2:$B$64,MATCH($D224,Resources!$A$2:$A$64,0)),"?")</f>
        <v>gal</v>
      </c>
      <c r="G224" s="6" t="s">
        <v>939</v>
      </c>
      <c r="H224" s="27" t="n">
        <f aca="false">E224*INDEX(Assumptions!$D$17:$D$23,MATCH(G224,Assumptions!$B$17:$B$23,0))</f>
        <v>2</v>
      </c>
      <c r="I224" s="6" t="n">
        <f aca="false">IFERROR(INDEX(Systems!$R$2:$R$179,MATCH($B224,Systems!$B$2:$B$179,0)),0)</f>
        <v>0</v>
      </c>
      <c r="J224" s="27" t="n">
        <f aca="false">H224*I224</f>
        <v>0</v>
      </c>
      <c r="K224" s="6" t="str">
        <f aca="false">IFERROR(IF(INDEX(Resources!$D$2:$D$64,MATCH($D224,Resources!$A$2:$A$64,0))="","",INDEX(Resources!$D$2:$D$64,MATCH($D224,Resources!$A$2:$A$64,0))),"")</f>
        <v>Water</v>
      </c>
      <c r="L224" s="28" t="n">
        <f aca="false">IF(K224="","",J224*INDEX(Resources!$E$2:$E$64,MATCH($D224,Resources!$A$2:$A$64,0)))</f>
        <v>0</v>
      </c>
      <c r="M224" s="6" t="str">
        <f aca="false">B224&amp;"|"&amp;D224&amp;"|"&amp;C224</f>
        <v>Comfrey|Water|Input</v>
      </c>
    </row>
    <row r="225" customFormat="false" ht="15" hidden="false" customHeight="true" outlineLevel="0" collapsed="false">
      <c r="A225" s="6" t="s">
        <v>1192</v>
      </c>
      <c r="B225" s="6" t="s">
        <v>392</v>
      </c>
      <c r="C225" s="6" t="s">
        <v>943</v>
      </c>
      <c r="D225" s="6" t="s">
        <v>436</v>
      </c>
      <c r="E225" s="26" t="n">
        <v>9</v>
      </c>
      <c r="F225" s="6" t="str">
        <f aca="false">IFERROR(INDEX(Resources!$B$2:$B$64,MATCH($D225,Resources!$A$2:$A$64,0)),"?")</f>
        <v>sq ft</v>
      </c>
      <c r="G225" s="6" t="s">
        <v>945</v>
      </c>
      <c r="H225" s="27" t="n">
        <f aca="false">E225*INDEX(Assumptions!$D$17:$D$23,MATCH(G225,Assumptions!$B$17:$B$23,0))</f>
        <v>9</v>
      </c>
      <c r="I225" s="6" t="n">
        <f aca="false">IFERROR(INDEX(Systems!$R$2:$R$179,MATCH($B225,Systems!$B$2:$B$179,0)),0)</f>
        <v>0</v>
      </c>
      <c r="J225" s="27" t="n">
        <f aca="false">H225*I225</f>
        <v>0</v>
      </c>
      <c r="K225" s="6" t="str">
        <f aca="false">IFERROR(IF(INDEX(Resources!$D$2:$D$64,MATCH($D225,Resources!$A$2:$A$64,0))="","",INDEX(Resources!$D$2:$D$64,MATCH($D225,Resources!$A$2:$A$64,0))),"")</f>
        <v/>
      </c>
      <c r="L225" s="28" t="str">
        <f aca="false">IF(K225="","",J225*INDEX(Resources!$E$2:$E$64,MATCH($D225,Resources!$A$2:$A$64,0)))</f>
        <v/>
      </c>
      <c r="M225" s="6" t="str">
        <f aca="false">B225&amp;"|"&amp;D225&amp;"|"&amp;C225</f>
        <v>Comfrey|Pollinator flowers|Output</v>
      </c>
    </row>
    <row r="226" customFormat="false" ht="15" hidden="false" customHeight="true" outlineLevel="0" collapsed="false">
      <c r="A226" s="6" t="s">
        <v>1193</v>
      </c>
      <c r="B226" s="6" t="s">
        <v>392</v>
      </c>
      <c r="C226" s="6" t="s">
        <v>943</v>
      </c>
      <c r="D226" s="6" t="s">
        <v>462</v>
      </c>
      <c r="E226" s="26" t="n">
        <v>1</v>
      </c>
      <c r="F226" s="6" t="str">
        <f aca="false">IFERROR(INDEX(Resources!$B$2:$B$64,MATCH($D226,Resources!$A$2:$A$64,0)),"?")</f>
        <v>points</v>
      </c>
      <c r="G226" s="6" t="s">
        <v>939</v>
      </c>
      <c r="H226" s="27" t="n">
        <f aca="false">E226*INDEX(Assumptions!$D$17:$D$23,MATCH(G226,Assumptions!$B$17:$B$23,0))</f>
        <v>1</v>
      </c>
      <c r="I226" s="6" t="n">
        <f aca="false">IFERROR(INDEX(Systems!$R$2:$R$179,MATCH($B226,Systems!$B$2:$B$179,0)),0)</f>
        <v>0</v>
      </c>
      <c r="J226" s="27" t="n">
        <f aca="false">H226*I226</f>
        <v>0</v>
      </c>
      <c r="K226" s="6" t="str">
        <f aca="false">IFERROR(IF(INDEX(Resources!$D$2:$D$64,MATCH($D226,Resources!$A$2:$A$64,0))="","",INDEX(Resources!$D$2:$D$64,MATCH($D226,Resources!$A$2:$A$64,0))),"")</f>
        <v/>
      </c>
      <c r="L226" s="28" t="str">
        <f aca="false">IF(K226="","",J226*INDEX(Resources!$E$2:$E$64,MATCH($D226,Resources!$A$2:$A$64,0)))</f>
        <v/>
      </c>
      <c r="M226" s="6" t="str">
        <f aca="false">B226&amp;"|"&amp;D226&amp;"|"&amp;C226</f>
        <v>Comfrey|Wellbeing|Output</v>
      </c>
    </row>
    <row r="227" customFormat="false" ht="15" hidden="false" customHeight="true" outlineLevel="0" collapsed="false">
      <c r="A227" s="6" t="s">
        <v>1194</v>
      </c>
      <c r="B227" s="6" t="s">
        <v>392</v>
      </c>
      <c r="C227" s="6" t="s">
        <v>943</v>
      </c>
      <c r="D227" s="6" t="s">
        <v>216</v>
      </c>
      <c r="E227" s="26" t="n">
        <v>1</v>
      </c>
      <c r="F227" s="6" t="str">
        <f aca="false">IFERROR(INDEX(Resources!$B$2:$B$64,MATCH($D227,Resources!$A$2:$A$64,0)),"?")</f>
        <v>lbs</v>
      </c>
      <c r="G227" s="6" t="s">
        <v>939</v>
      </c>
      <c r="H227" s="27" t="n">
        <f aca="false">E227*INDEX(Assumptions!$D$17:$D$23,MATCH(G227,Assumptions!$B$17:$B$23,0))</f>
        <v>1</v>
      </c>
      <c r="I227" s="6" t="n">
        <f aca="false">IFERROR(INDEX(Systems!$R$2:$R$179,MATCH($B227,Systems!$B$2:$B$179,0)),0)</f>
        <v>0</v>
      </c>
      <c r="J227" s="27" t="n">
        <f aca="false">H227*I227</f>
        <v>0</v>
      </c>
      <c r="K227" s="6" t="str">
        <f aca="false">IFERROR(IF(INDEX(Resources!$D$2:$D$64,MATCH($D227,Resources!$A$2:$A$64,0))="","",INDEX(Resources!$D$2:$D$64,MATCH($D227,Resources!$A$2:$A$64,0))),"")</f>
        <v/>
      </c>
      <c r="L227" s="28" t="str">
        <f aca="false">IF(K227="","",J227*INDEX(Resources!$E$2:$E$64,MATCH($D227,Resources!$A$2:$A$64,0)))</f>
        <v/>
      </c>
      <c r="M227" s="6" t="str">
        <f aca="false">B227&amp;"|"&amp;D227&amp;"|"&amp;C227</f>
        <v>Comfrey|Green biomass|Output</v>
      </c>
    </row>
    <row r="228" customFormat="false" ht="15" hidden="false" customHeight="true" outlineLevel="0" collapsed="false">
      <c r="A228" s="6" t="s">
        <v>1195</v>
      </c>
      <c r="B228" s="6" t="s">
        <v>398</v>
      </c>
      <c r="C228" s="6" t="s">
        <v>938</v>
      </c>
      <c r="D228" s="6" t="s">
        <v>71</v>
      </c>
      <c r="E228" s="26" t="n">
        <v>0.05</v>
      </c>
      <c r="F228" s="6" t="str">
        <f aca="false">IFERROR(INDEX(Resources!$B$2:$B$64,MATCH($D228,Resources!$A$2:$A$64,0)),"?")</f>
        <v>hours</v>
      </c>
      <c r="G228" s="6" t="s">
        <v>939</v>
      </c>
      <c r="H228" s="27" t="n">
        <f aca="false">E228*INDEX(Assumptions!$D$17:$D$23,MATCH(G228,Assumptions!$B$17:$B$23,0))</f>
        <v>0.05</v>
      </c>
      <c r="I228" s="6" t="n">
        <f aca="false">IFERROR(INDEX(Systems!$R$2:$R$179,MATCH($B228,Systems!$B$2:$B$179,0)),0)</f>
        <v>0</v>
      </c>
      <c r="J228" s="27" t="n">
        <f aca="false">H228*I228</f>
        <v>0</v>
      </c>
      <c r="K228" s="6" t="str">
        <f aca="false">IFERROR(IF(INDEX(Resources!$D$2:$D$64,MATCH($D228,Resources!$A$2:$A$64,0))="","",INDEX(Resources!$D$2:$D$64,MATCH($D228,Resources!$A$2:$A$64,0))),"")</f>
        <v>Est. Required Labor</v>
      </c>
      <c r="L228" s="28" t="n">
        <f aca="false">IF(K228="","",J228*INDEX(Resources!$E$2:$E$64,MATCH($D228,Resources!$A$2:$A$64,0)))</f>
        <v>0</v>
      </c>
      <c r="M228" s="6" t="str">
        <f aca="false">B228&amp;"|"&amp;D228&amp;"|"&amp;C228</f>
        <v>Elderberry Bush|Labor|Input</v>
      </c>
      <c r="N228" s="6" t="s">
        <v>940</v>
      </c>
    </row>
    <row r="229" customFormat="false" ht="15" hidden="false" customHeight="true" outlineLevel="0" collapsed="false">
      <c r="A229" s="6" t="s">
        <v>1196</v>
      </c>
      <c r="B229" s="6" t="s">
        <v>398</v>
      </c>
      <c r="C229" s="6" t="s">
        <v>938</v>
      </c>
      <c r="D229" s="6" t="s">
        <v>1114</v>
      </c>
      <c r="E229" s="26" t="n">
        <v>1</v>
      </c>
      <c r="F229" s="6" t="str">
        <f aca="false">IFERROR(INDEX(Resources!$B$2:$B$64,MATCH($D229,Resources!$A$2:$A$64,0)),"?")</f>
        <v>plants</v>
      </c>
      <c r="G229" s="6" t="s">
        <v>1115</v>
      </c>
      <c r="H229" s="27" t="n">
        <f aca="false">E229*INDEX(Assumptions!$D$17:$D$23,MATCH(G229,Assumptions!$B$17:$B$23,0))</f>
        <v>0</v>
      </c>
      <c r="I229" s="6" t="n">
        <f aca="false">IFERROR(INDEX(Systems!$R$2:$R$179,MATCH($B229,Systems!$B$2:$B$179,0)),0)</f>
        <v>0</v>
      </c>
      <c r="J229" s="27" t="n">
        <f aca="false">H229*I229</f>
        <v>0</v>
      </c>
      <c r="K229" s="6" t="str">
        <f aca="false">IFERROR(IF(INDEX(Resources!$D$2:$D$64,MATCH($D229,Resources!$A$2:$A$64,0))="","",INDEX(Resources!$D$2:$D$64,MATCH($D229,Resources!$A$2:$A$64,0))),"")</f>
        <v/>
      </c>
      <c r="L229" s="28" t="str">
        <f aca="false">IF(K229="","",J229*INDEX(Resources!$E$2:$E$64,MATCH($D229,Resources!$A$2:$A$64,0)))</f>
        <v/>
      </c>
      <c r="M229" s="6" t="str">
        <f aca="false">B229&amp;"|"&amp;D229&amp;"|"&amp;C229</f>
        <v>Elderberry Bush|Seedlings|Input</v>
      </c>
    </row>
    <row r="230" customFormat="false" ht="15" hidden="false" customHeight="true" outlineLevel="0" collapsed="false">
      <c r="A230" s="6" t="s">
        <v>1197</v>
      </c>
      <c r="B230" s="6" t="s">
        <v>398</v>
      </c>
      <c r="C230" s="6" t="s">
        <v>938</v>
      </c>
      <c r="D230" s="6" t="s">
        <v>49</v>
      </c>
      <c r="E230" s="26" t="n">
        <v>5</v>
      </c>
      <c r="F230" s="6" t="str">
        <f aca="false">IFERROR(INDEX(Resources!$B$2:$B$64,MATCH($D230,Resources!$A$2:$A$64,0)),"?")</f>
        <v>gal</v>
      </c>
      <c r="G230" s="6" t="s">
        <v>939</v>
      </c>
      <c r="H230" s="27" t="n">
        <f aca="false">E230*INDEX(Assumptions!$D$17:$D$23,MATCH(G230,Assumptions!$B$17:$B$23,0))</f>
        <v>5</v>
      </c>
      <c r="I230" s="6" t="n">
        <f aca="false">IFERROR(INDEX(Systems!$R$2:$R$179,MATCH($B230,Systems!$B$2:$B$179,0)),0)</f>
        <v>0</v>
      </c>
      <c r="J230" s="27" t="n">
        <f aca="false">H230*I230</f>
        <v>0</v>
      </c>
      <c r="K230" s="6" t="str">
        <f aca="false">IFERROR(IF(INDEX(Resources!$D$2:$D$64,MATCH($D230,Resources!$A$2:$A$64,0))="","",INDEX(Resources!$D$2:$D$64,MATCH($D230,Resources!$A$2:$A$64,0))),"")</f>
        <v>Water</v>
      </c>
      <c r="L230" s="28" t="n">
        <f aca="false">IF(K230="","",J230*INDEX(Resources!$E$2:$E$64,MATCH($D230,Resources!$A$2:$A$64,0)))</f>
        <v>0</v>
      </c>
      <c r="M230" s="6" t="str">
        <f aca="false">B230&amp;"|"&amp;D230&amp;"|"&amp;C230</f>
        <v>Elderberry Bush|Water|Input</v>
      </c>
    </row>
    <row r="231" customFormat="false" ht="15" hidden="false" customHeight="true" outlineLevel="0" collapsed="false">
      <c r="A231" s="6" t="s">
        <v>1198</v>
      </c>
      <c r="B231" s="6" t="s">
        <v>398</v>
      </c>
      <c r="C231" s="6" t="s">
        <v>943</v>
      </c>
      <c r="D231" s="6" t="s">
        <v>561</v>
      </c>
      <c r="E231" s="26" t="n">
        <v>12</v>
      </c>
      <c r="F231" s="6" t="str">
        <f aca="false">IFERROR(INDEX(Resources!$B$2:$B$64,MATCH($D231,Resources!$A$2:$A$64,0)),"?")</f>
        <v>lbs</v>
      </c>
      <c r="G231" s="6" t="s">
        <v>1032</v>
      </c>
      <c r="H231" s="27" t="n">
        <f aca="false">E231*INDEX(Assumptions!$D$17:$D$23,MATCH(G231,Assumptions!$B$17:$B$23,0))</f>
        <v>0.230769230769231</v>
      </c>
      <c r="I231" s="6" t="n">
        <f aca="false">IFERROR(INDEX(Systems!$R$2:$R$179,MATCH($B231,Systems!$B$2:$B$179,0)),0)</f>
        <v>0</v>
      </c>
      <c r="J231" s="27" t="n">
        <f aca="false">H231*I231</f>
        <v>0</v>
      </c>
      <c r="K231" s="6" t="str">
        <f aca="false">IFERROR(IF(INDEX(Resources!$D$2:$D$64,MATCH($D231,Resources!$A$2:$A$64,0))="","",INDEX(Resources!$D$2:$D$64,MATCH($D231,Resources!$A$2:$A$64,0))),"")</f>
        <v>Food</v>
      </c>
      <c r="L231" s="28" t="n">
        <f aca="false">IF(K231="","",J231*INDEX(Resources!$E$2:$E$64,MATCH($D231,Resources!$A$2:$A$64,0)))</f>
        <v>0</v>
      </c>
      <c r="M231" s="6" t="str">
        <f aca="false">B231&amp;"|"&amp;D231&amp;"|"&amp;C231</f>
        <v>Elderberry Bush|Vegetables fruit fiber herbs|Output</v>
      </c>
    </row>
    <row r="232" customFormat="false" ht="15" hidden="false" customHeight="true" outlineLevel="0" collapsed="false">
      <c r="A232" s="6" t="s">
        <v>1199</v>
      </c>
      <c r="B232" s="6" t="s">
        <v>398</v>
      </c>
      <c r="C232" s="6" t="s">
        <v>943</v>
      </c>
      <c r="D232" s="6" t="s">
        <v>436</v>
      </c>
      <c r="E232" s="26" t="n">
        <v>36</v>
      </c>
      <c r="F232" s="6" t="str">
        <f aca="false">IFERROR(INDEX(Resources!$B$2:$B$64,MATCH($D232,Resources!$A$2:$A$64,0)),"?")</f>
        <v>sq ft</v>
      </c>
      <c r="G232" s="6" t="s">
        <v>945</v>
      </c>
      <c r="H232" s="27" t="n">
        <f aca="false">E232*INDEX(Assumptions!$D$17:$D$23,MATCH(G232,Assumptions!$B$17:$B$23,0))</f>
        <v>36</v>
      </c>
      <c r="I232" s="6" t="n">
        <f aca="false">IFERROR(INDEX(Systems!$R$2:$R$179,MATCH($B232,Systems!$B$2:$B$179,0)),0)</f>
        <v>0</v>
      </c>
      <c r="J232" s="27" t="n">
        <f aca="false">H232*I232</f>
        <v>0</v>
      </c>
      <c r="K232" s="6" t="str">
        <f aca="false">IFERROR(IF(INDEX(Resources!$D$2:$D$64,MATCH($D232,Resources!$A$2:$A$64,0))="","",INDEX(Resources!$D$2:$D$64,MATCH($D232,Resources!$A$2:$A$64,0))),"")</f>
        <v/>
      </c>
      <c r="L232" s="28" t="str">
        <f aca="false">IF(K232="","",J232*INDEX(Resources!$E$2:$E$64,MATCH($D232,Resources!$A$2:$A$64,0)))</f>
        <v/>
      </c>
      <c r="M232" s="6" t="str">
        <f aca="false">B232&amp;"|"&amp;D232&amp;"|"&amp;C232</f>
        <v>Elderberry Bush|Pollinator flowers|Output</v>
      </c>
    </row>
    <row r="233" customFormat="false" ht="15" hidden="false" customHeight="true" outlineLevel="0" collapsed="false">
      <c r="A233" s="6" t="s">
        <v>1200</v>
      </c>
      <c r="B233" s="6" t="s">
        <v>401</v>
      </c>
      <c r="C233" s="6" t="s">
        <v>938</v>
      </c>
      <c r="D233" s="6" t="s">
        <v>71</v>
      </c>
      <c r="E233" s="26" t="n">
        <v>0.05</v>
      </c>
      <c r="F233" s="6" t="str">
        <f aca="false">IFERROR(INDEX(Resources!$B$2:$B$64,MATCH($D233,Resources!$A$2:$A$64,0)),"?")</f>
        <v>hours</v>
      </c>
      <c r="G233" s="6" t="s">
        <v>939</v>
      </c>
      <c r="H233" s="27" t="n">
        <f aca="false">E233*INDEX(Assumptions!$D$17:$D$23,MATCH(G233,Assumptions!$B$17:$B$23,0))</f>
        <v>0.05</v>
      </c>
      <c r="I233" s="6" t="n">
        <f aca="false">IFERROR(INDEX(Systems!$R$2:$R$179,MATCH($B233,Systems!$B$2:$B$179,0)),0)</f>
        <v>0</v>
      </c>
      <c r="J233" s="27" t="n">
        <f aca="false">H233*I233</f>
        <v>0</v>
      </c>
      <c r="K233" s="6" t="str">
        <f aca="false">IFERROR(IF(INDEX(Resources!$D$2:$D$64,MATCH($D233,Resources!$A$2:$A$64,0))="","",INDEX(Resources!$D$2:$D$64,MATCH($D233,Resources!$A$2:$A$64,0))),"")</f>
        <v>Est. Required Labor</v>
      </c>
      <c r="L233" s="28" t="n">
        <f aca="false">IF(K233="","",J233*INDEX(Resources!$E$2:$E$64,MATCH($D233,Resources!$A$2:$A$64,0)))</f>
        <v>0</v>
      </c>
      <c r="M233" s="6" t="str">
        <f aca="false">B233&amp;"|"&amp;D233&amp;"|"&amp;C233</f>
        <v>Hardwood Tree|Labor|Input</v>
      </c>
      <c r="N233" s="6" t="s">
        <v>940</v>
      </c>
    </row>
    <row r="234" customFormat="false" ht="15" hidden="false" customHeight="true" outlineLevel="0" collapsed="false">
      <c r="A234" s="6" t="s">
        <v>1201</v>
      </c>
      <c r="B234" s="6" t="s">
        <v>401</v>
      </c>
      <c r="C234" s="6" t="s">
        <v>938</v>
      </c>
      <c r="D234" s="6" t="s">
        <v>1114</v>
      </c>
      <c r="E234" s="26" t="n">
        <v>1</v>
      </c>
      <c r="F234" s="6" t="str">
        <f aca="false">IFERROR(INDEX(Resources!$B$2:$B$64,MATCH($D234,Resources!$A$2:$A$64,0)),"?")</f>
        <v>plants</v>
      </c>
      <c r="G234" s="6" t="s">
        <v>1115</v>
      </c>
      <c r="H234" s="27" t="n">
        <f aca="false">E234*INDEX(Assumptions!$D$17:$D$23,MATCH(G234,Assumptions!$B$17:$B$23,0))</f>
        <v>0</v>
      </c>
      <c r="I234" s="6" t="n">
        <f aca="false">IFERROR(INDEX(Systems!$R$2:$R$179,MATCH($B234,Systems!$B$2:$B$179,0)),0)</f>
        <v>0</v>
      </c>
      <c r="J234" s="27" t="n">
        <f aca="false">H234*I234</f>
        <v>0</v>
      </c>
      <c r="K234" s="6" t="str">
        <f aca="false">IFERROR(IF(INDEX(Resources!$D$2:$D$64,MATCH($D234,Resources!$A$2:$A$64,0))="","",INDEX(Resources!$D$2:$D$64,MATCH($D234,Resources!$A$2:$A$64,0))),"")</f>
        <v/>
      </c>
      <c r="L234" s="28" t="str">
        <f aca="false">IF(K234="","",J234*INDEX(Resources!$E$2:$E$64,MATCH($D234,Resources!$A$2:$A$64,0)))</f>
        <v/>
      </c>
      <c r="M234" s="6" t="str">
        <f aca="false">B234&amp;"|"&amp;D234&amp;"|"&amp;C234</f>
        <v>Hardwood Tree|Seedlings|Input</v>
      </c>
    </row>
    <row r="235" customFormat="false" ht="15" hidden="false" customHeight="true" outlineLevel="0" collapsed="false">
      <c r="A235" s="6" t="s">
        <v>1202</v>
      </c>
      <c r="B235" s="6" t="s">
        <v>401</v>
      </c>
      <c r="C235" s="6" t="s">
        <v>938</v>
      </c>
      <c r="D235" s="6" t="s">
        <v>49</v>
      </c>
      <c r="E235" s="26" t="n">
        <v>5</v>
      </c>
      <c r="F235" s="6" t="str">
        <f aca="false">IFERROR(INDEX(Resources!$B$2:$B$64,MATCH($D235,Resources!$A$2:$A$64,0)),"?")</f>
        <v>gal</v>
      </c>
      <c r="G235" s="6" t="s">
        <v>939</v>
      </c>
      <c r="H235" s="27" t="n">
        <f aca="false">E235*INDEX(Assumptions!$D$17:$D$23,MATCH(G235,Assumptions!$B$17:$B$23,0))</f>
        <v>5</v>
      </c>
      <c r="I235" s="6" t="n">
        <f aca="false">IFERROR(INDEX(Systems!$R$2:$R$179,MATCH($B235,Systems!$B$2:$B$179,0)),0)</f>
        <v>0</v>
      </c>
      <c r="J235" s="27" t="n">
        <f aca="false">H235*I235</f>
        <v>0</v>
      </c>
      <c r="K235" s="6" t="str">
        <f aca="false">IFERROR(IF(INDEX(Resources!$D$2:$D$64,MATCH($D235,Resources!$A$2:$A$64,0))="","",INDEX(Resources!$D$2:$D$64,MATCH($D235,Resources!$A$2:$A$64,0))),"")</f>
        <v>Water</v>
      </c>
      <c r="L235" s="28" t="n">
        <f aca="false">IF(K235="","",J235*INDEX(Resources!$E$2:$E$64,MATCH($D235,Resources!$A$2:$A$64,0)))</f>
        <v>0</v>
      </c>
      <c r="M235" s="6" t="str">
        <f aca="false">B235&amp;"|"&amp;D235&amp;"|"&amp;C235</f>
        <v>Hardwood Tree|Water|Input</v>
      </c>
    </row>
    <row r="236" customFormat="false" ht="15" hidden="false" customHeight="true" outlineLevel="0" collapsed="false">
      <c r="A236" s="6" t="s">
        <v>1203</v>
      </c>
      <c r="B236" s="6" t="s">
        <v>401</v>
      </c>
      <c r="C236" s="6" t="s">
        <v>943</v>
      </c>
      <c r="D236" s="6" t="s">
        <v>177</v>
      </c>
      <c r="E236" s="26" t="n">
        <v>200</v>
      </c>
      <c r="F236" s="6" t="str">
        <f aca="false">IFERROR(INDEX(Resources!$B$2:$B$64,MATCH($D236,Resources!$A$2:$A$64,0)),"?")</f>
        <v>lbs</v>
      </c>
      <c r="G236" s="6" t="s">
        <v>1032</v>
      </c>
      <c r="H236" s="27" t="n">
        <f aca="false">E236*INDEX(Assumptions!$D$17:$D$23,MATCH(G236,Assumptions!$B$17:$B$23,0))</f>
        <v>3.84615384615385</v>
      </c>
      <c r="I236" s="6" t="n">
        <f aca="false">IFERROR(INDEX(Systems!$R$2:$R$179,MATCH($B236,Systems!$B$2:$B$179,0)),0)</f>
        <v>0</v>
      </c>
      <c r="J236" s="27" t="n">
        <f aca="false">H236*I236</f>
        <v>0</v>
      </c>
      <c r="K236" s="6" t="str">
        <f aca="false">IFERROR(IF(INDEX(Resources!$D$2:$D$64,MATCH($D236,Resources!$A$2:$A$64,0))="","",INDEX(Resources!$D$2:$D$64,MATCH($D236,Resources!$A$2:$A$64,0))),"")</f>
        <v/>
      </c>
      <c r="L236" s="28" t="str">
        <f aca="false">IF(K236="","",J236*INDEX(Resources!$E$2:$E$64,MATCH($D236,Resources!$A$2:$A$64,0)))</f>
        <v/>
      </c>
      <c r="M236" s="6" t="str">
        <f aca="false">B236&amp;"|"&amp;D236&amp;"|"&amp;C236</f>
        <v>Hardwood Tree|Woody biomass|Output</v>
      </c>
    </row>
    <row r="237" customFormat="false" ht="15" hidden="false" customHeight="true" outlineLevel="0" collapsed="false">
      <c r="A237" s="6" t="s">
        <v>1204</v>
      </c>
      <c r="B237" s="6" t="s">
        <v>401</v>
      </c>
      <c r="C237" s="6" t="s">
        <v>943</v>
      </c>
      <c r="D237" s="6" t="s">
        <v>1127</v>
      </c>
      <c r="E237" s="26" t="n">
        <v>30</v>
      </c>
      <c r="F237" s="6" t="str">
        <f aca="false">IFERROR(INDEX(Resources!$B$2:$B$64,MATCH($D237,Resources!$A$2:$A$64,0)),"?")</f>
        <v>lbs</v>
      </c>
      <c r="G237" s="6" t="s">
        <v>1032</v>
      </c>
      <c r="H237" s="27" t="n">
        <f aca="false">E237*INDEX(Assumptions!$D$17:$D$23,MATCH(G237,Assumptions!$B$17:$B$23,0))</f>
        <v>0.576923076923077</v>
      </c>
      <c r="I237" s="6" t="n">
        <f aca="false">IFERROR(INDEX(Systems!$R$2:$R$179,MATCH($B237,Systems!$B$2:$B$179,0)),0)</f>
        <v>0</v>
      </c>
      <c r="J237" s="27" t="n">
        <f aca="false">H237*I237</f>
        <v>0</v>
      </c>
      <c r="K237" s="6" t="str">
        <f aca="false">IFERROR(IF(INDEX(Resources!$D$2:$D$64,MATCH($D237,Resources!$A$2:$A$64,0))="","",INDEX(Resources!$D$2:$D$64,MATCH($D237,Resources!$A$2:$A$64,0))),"")</f>
        <v/>
      </c>
      <c r="L237" s="28" t="str">
        <f aca="false">IF(K237="","",J237*INDEX(Resources!$E$2:$E$64,MATCH($D237,Resources!$A$2:$A$64,0)))</f>
        <v/>
      </c>
      <c r="M237" s="6" t="str">
        <f aca="false">B237&amp;"|"&amp;D237&amp;"|"&amp;C237</f>
        <v>Hardwood Tree|Carbon|Output</v>
      </c>
    </row>
    <row r="238" customFormat="false" ht="15" hidden="false" customHeight="true" outlineLevel="0" collapsed="false">
      <c r="A238" s="6" t="s">
        <v>1205</v>
      </c>
      <c r="B238" s="6" t="s">
        <v>401</v>
      </c>
      <c r="C238" s="6" t="s">
        <v>943</v>
      </c>
      <c r="D238" s="6" t="s">
        <v>462</v>
      </c>
      <c r="E238" s="26" t="n">
        <v>2</v>
      </c>
      <c r="F238" s="6" t="str">
        <f aca="false">IFERROR(INDEX(Resources!$B$2:$B$64,MATCH($D238,Resources!$A$2:$A$64,0)),"?")</f>
        <v>points</v>
      </c>
      <c r="G238" s="6" t="s">
        <v>939</v>
      </c>
      <c r="H238" s="27" t="n">
        <f aca="false">E238*INDEX(Assumptions!$D$17:$D$23,MATCH(G238,Assumptions!$B$17:$B$23,0))</f>
        <v>2</v>
      </c>
      <c r="I238" s="6" t="n">
        <f aca="false">IFERROR(INDEX(Systems!$R$2:$R$179,MATCH($B238,Systems!$B$2:$B$179,0)),0)</f>
        <v>0</v>
      </c>
      <c r="J238" s="27" t="n">
        <f aca="false">H238*I238</f>
        <v>0</v>
      </c>
      <c r="K238" s="6" t="str">
        <f aca="false">IFERROR(IF(INDEX(Resources!$D$2:$D$64,MATCH($D238,Resources!$A$2:$A$64,0))="","",INDEX(Resources!$D$2:$D$64,MATCH($D238,Resources!$A$2:$A$64,0))),"")</f>
        <v/>
      </c>
      <c r="L238" s="28" t="str">
        <f aca="false">IF(K238="","",J238*INDEX(Resources!$E$2:$E$64,MATCH($D238,Resources!$A$2:$A$64,0)))</f>
        <v/>
      </c>
      <c r="M238" s="6" t="str">
        <f aca="false">B238&amp;"|"&amp;D238&amp;"|"&amp;C238</f>
        <v>Hardwood Tree|Wellbeing|Output</v>
      </c>
    </row>
    <row r="239" customFormat="false" ht="15" hidden="false" customHeight="true" outlineLevel="0" collapsed="false">
      <c r="A239" s="6" t="s">
        <v>1206</v>
      </c>
      <c r="B239" s="6" t="s">
        <v>406</v>
      </c>
      <c r="C239" s="6" t="s">
        <v>938</v>
      </c>
      <c r="D239" s="6" t="s">
        <v>71</v>
      </c>
      <c r="E239" s="26" t="n">
        <v>0.25</v>
      </c>
      <c r="F239" s="6" t="str">
        <f aca="false">IFERROR(INDEX(Resources!$B$2:$B$64,MATCH($D239,Resources!$A$2:$A$64,0)),"?")</f>
        <v>hours</v>
      </c>
      <c r="G239" s="6" t="s">
        <v>939</v>
      </c>
      <c r="H239" s="27" t="n">
        <f aca="false">E239*INDEX(Assumptions!$D$17:$D$23,MATCH(G239,Assumptions!$B$17:$B$23,0))</f>
        <v>0.25</v>
      </c>
      <c r="I239" s="6" t="n">
        <f aca="false">IFERROR(INDEX(Systems!$R$2:$R$179,MATCH($B239,Systems!$B$2:$B$179,0)),0)</f>
        <v>0</v>
      </c>
      <c r="J239" s="27" t="n">
        <f aca="false">H239*I239</f>
        <v>0</v>
      </c>
      <c r="K239" s="6" t="str">
        <f aca="false">IFERROR(IF(INDEX(Resources!$D$2:$D$64,MATCH($D239,Resources!$A$2:$A$64,0))="","",INDEX(Resources!$D$2:$D$64,MATCH($D239,Resources!$A$2:$A$64,0))),"")</f>
        <v>Est. Required Labor</v>
      </c>
      <c r="L239" s="28" t="n">
        <f aca="false">IF(K239="","",J239*INDEX(Resources!$E$2:$E$64,MATCH($D239,Resources!$A$2:$A$64,0)))</f>
        <v>0</v>
      </c>
      <c r="M239" s="6" t="str">
        <f aca="false">B239&amp;"|"&amp;D239&amp;"|"&amp;C239</f>
        <v>Organic Liquid Anaerobic Fertilizer|Labor|Input</v>
      </c>
      <c r="N239" s="6" t="s">
        <v>940</v>
      </c>
    </row>
    <row r="240" customFormat="false" ht="15" hidden="false" customHeight="true" outlineLevel="0" collapsed="false">
      <c r="A240" s="6" t="s">
        <v>1207</v>
      </c>
      <c r="B240" s="6" t="s">
        <v>406</v>
      </c>
      <c r="C240" s="6" t="s">
        <v>938</v>
      </c>
      <c r="D240" s="6" t="s">
        <v>49</v>
      </c>
      <c r="E240" s="26" t="n">
        <v>5</v>
      </c>
      <c r="F240" s="6" t="str">
        <f aca="false">IFERROR(INDEX(Resources!$B$2:$B$64,MATCH($D240,Resources!$A$2:$A$64,0)),"?")</f>
        <v>gal</v>
      </c>
      <c r="G240" s="6" t="s">
        <v>939</v>
      </c>
      <c r="H240" s="27" t="n">
        <f aca="false">E240*INDEX(Assumptions!$D$17:$D$23,MATCH(G240,Assumptions!$B$17:$B$23,0))</f>
        <v>5</v>
      </c>
      <c r="I240" s="6" t="n">
        <f aca="false">IFERROR(INDEX(Systems!$R$2:$R$179,MATCH($B240,Systems!$B$2:$B$179,0)),0)</f>
        <v>0</v>
      </c>
      <c r="J240" s="27" t="n">
        <f aca="false">H240*I240</f>
        <v>0</v>
      </c>
      <c r="K240" s="6" t="str">
        <f aca="false">IFERROR(IF(INDEX(Resources!$D$2:$D$64,MATCH($D240,Resources!$A$2:$A$64,0))="","",INDEX(Resources!$D$2:$D$64,MATCH($D240,Resources!$A$2:$A$64,0))),"")</f>
        <v>Water</v>
      </c>
      <c r="L240" s="28" t="n">
        <f aca="false">IF(K240="","",J240*INDEX(Resources!$E$2:$E$64,MATCH($D240,Resources!$A$2:$A$64,0)))</f>
        <v>0</v>
      </c>
      <c r="M240" s="6" t="str">
        <f aca="false">B240&amp;"|"&amp;D240&amp;"|"&amp;C240</f>
        <v>Organic Liquid Anaerobic Fertilizer|Water|Input</v>
      </c>
    </row>
    <row r="241" customFormat="false" ht="15" hidden="false" customHeight="true" outlineLevel="0" collapsed="false">
      <c r="A241" s="6" t="s">
        <v>1208</v>
      </c>
      <c r="B241" s="6" t="s">
        <v>406</v>
      </c>
      <c r="C241" s="6" t="s">
        <v>938</v>
      </c>
      <c r="D241" s="6" t="s">
        <v>216</v>
      </c>
      <c r="E241" s="26" t="n">
        <v>5</v>
      </c>
      <c r="F241" s="6" t="str">
        <f aca="false">IFERROR(INDEX(Resources!$B$2:$B$64,MATCH($D241,Resources!$A$2:$A$64,0)),"?")</f>
        <v>lbs</v>
      </c>
      <c r="G241" s="6" t="s">
        <v>939</v>
      </c>
      <c r="H241" s="27" t="n">
        <f aca="false">E241*INDEX(Assumptions!$D$17:$D$23,MATCH(G241,Assumptions!$B$17:$B$23,0))</f>
        <v>5</v>
      </c>
      <c r="I241" s="6" t="n">
        <f aca="false">IFERROR(INDEX(Systems!$R$2:$R$179,MATCH($B241,Systems!$B$2:$B$179,0)),0)</f>
        <v>0</v>
      </c>
      <c r="J241" s="27" t="n">
        <f aca="false">H241*I241</f>
        <v>0</v>
      </c>
      <c r="K241" s="6" t="str">
        <f aca="false">IFERROR(IF(INDEX(Resources!$D$2:$D$64,MATCH($D241,Resources!$A$2:$A$64,0))="","",INDEX(Resources!$D$2:$D$64,MATCH($D241,Resources!$A$2:$A$64,0))),"")</f>
        <v/>
      </c>
      <c r="L241" s="28" t="str">
        <f aca="false">IF(K241="","",J241*INDEX(Resources!$E$2:$E$64,MATCH($D241,Resources!$A$2:$A$64,0)))</f>
        <v/>
      </c>
      <c r="M241" s="6" t="str">
        <f aca="false">B241&amp;"|"&amp;D241&amp;"|"&amp;C241</f>
        <v>Organic Liquid Anaerobic Fertilizer|Green biomass|Input</v>
      </c>
    </row>
    <row r="242" customFormat="false" ht="15" hidden="false" customHeight="true" outlineLevel="0" collapsed="false">
      <c r="A242" s="6" t="s">
        <v>1209</v>
      </c>
      <c r="B242" s="6" t="s">
        <v>406</v>
      </c>
      <c r="C242" s="6" t="s">
        <v>938</v>
      </c>
      <c r="D242" s="6" t="s">
        <v>240</v>
      </c>
      <c r="E242" s="26" t="n">
        <v>3</v>
      </c>
      <c r="F242" s="6" t="str">
        <f aca="false">IFERROR(INDEX(Resources!$B$2:$B$64,MATCH($D242,Resources!$A$2:$A$64,0)),"?")</f>
        <v>lbs</v>
      </c>
      <c r="G242" s="6" t="s">
        <v>939</v>
      </c>
      <c r="H242" s="27" t="n">
        <f aca="false">E242*INDEX(Assumptions!$D$17:$D$23,MATCH(G242,Assumptions!$B$17:$B$23,0))</f>
        <v>3</v>
      </c>
      <c r="I242" s="6" t="n">
        <f aca="false">IFERROR(INDEX(Systems!$R$2:$R$179,MATCH($B242,Systems!$B$2:$B$179,0)),0)</f>
        <v>0</v>
      </c>
      <c r="J242" s="27" t="n">
        <f aca="false">H242*I242</f>
        <v>0</v>
      </c>
      <c r="K242" s="6" t="str">
        <f aca="false">IFERROR(IF(INDEX(Resources!$D$2:$D$64,MATCH($D242,Resources!$A$2:$A$64,0))="","",INDEX(Resources!$D$2:$D$64,MATCH($D242,Resources!$A$2:$A$64,0))),"")</f>
        <v/>
      </c>
      <c r="L242" s="28" t="str">
        <f aca="false">IF(K242="","",J242*INDEX(Resources!$E$2:$E$64,MATCH($D242,Resources!$A$2:$A$64,0)))</f>
        <v/>
      </c>
      <c r="M242" s="6" t="str">
        <f aca="false">B242&amp;"|"&amp;D242&amp;"|"&amp;C242</f>
        <v>Organic Liquid Anaerobic Fertilizer|Manure|Input</v>
      </c>
    </row>
    <row r="243" customFormat="false" ht="15" hidden="false" customHeight="true" outlineLevel="0" collapsed="false">
      <c r="A243" s="6" t="s">
        <v>1210</v>
      </c>
      <c r="B243" s="6" t="s">
        <v>406</v>
      </c>
      <c r="C243" s="6" t="s">
        <v>943</v>
      </c>
      <c r="D243" s="6" t="s">
        <v>410</v>
      </c>
      <c r="E243" s="26" t="n">
        <v>5</v>
      </c>
      <c r="F243" s="6" t="str">
        <f aca="false">IFERROR(INDEX(Resources!$B$2:$B$64,MATCH($D243,Resources!$A$2:$A$64,0)),"?")</f>
        <v>gal</v>
      </c>
      <c r="G243" s="6" t="s">
        <v>939</v>
      </c>
      <c r="H243" s="27" t="n">
        <f aca="false">E243*INDEX(Assumptions!$D$17:$D$23,MATCH(G243,Assumptions!$B$17:$B$23,0))</f>
        <v>5</v>
      </c>
      <c r="I243" s="6" t="n">
        <f aca="false">IFERROR(INDEX(Systems!$R$2:$R$179,MATCH($B243,Systems!$B$2:$B$179,0)),0)</f>
        <v>0</v>
      </c>
      <c r="J243" s="27" t="n">
        <f aca="false">H243*I243</f>
        <v>0</v>
      </c>
      <c r="K243" s="6" t="str">
        <f aca="false">IFERROR(IF(INDEX(Resources!$D$2:$D$64,MATCH($D243,Resources!$A$2:$A$64,0))="","",INDEX(Resources!$D$2:$D$64,MATCH($D243,Resources!$A$2:$A$64,0))),"")</f>
        <v/>
      </c>
      <c r="L243" s="28" t="str">
        <f aca="false">IF(K243="","",J243*INDEX(Resources!$E$2:$E$64,MATCH($D243,Resources!$A$2:$A$64,0)))</f>
        <v/>
      </c>
      <c r="M243" s="6" t="str">
        <f aca="false">B243&amp;"|"&amp;D243&amp;"|"&amp;C243</f>
        <v>Organic Liquid Anaerobic Fertilizer|Liquid fertilizer|Output</v>
      </c>
    </row>
    <row r="244" customFormat="false" ht="15" hidden="false" customHeight="true" outlineLevel="0" collapsed="false">
      <c r="A244" s="6" t="s">
        <v>1211</v>
      </c>
      <c r="B244" s="6" t="s">
        <v>412</v>
      </c>
      <c r="C244" s="6" t="s">
        <v>938</v>
      </c>
      <c r="D244" s="6" t="s">
        <v>71</v>
      </c>
      <c r="E244" s="26" t="n">
        <v>0.5</v>
      </c>
      <c r="F244" s="6" t="str">
        <f aca="false">IFERROR(INDEX(Resources!$B$2:$B$64,MATCH($D244,Resources!$A$2:$A$64,0)),"?")</f>
        <v>hours</v>
      </c>
      <c r="G244" s="6" t="s">
        <v>939</v>
      </c>
      <c r="H244" s="27" t="n">
        <f aca="false">E244*INDEX(Assumptions!$D$17:$D$23,MATCH(G244,Assumptions!$B$17:$B$23,0))</f>
        <v>0.5</v>
      </c>
      <c r="I244" s="6" t="n">
        <f aca="false">IFERROR(INDEX(Systems!$R$2:$R$179,MATCH($B244,Systems!$B$2:$B$179,0)),0)</f>
        <v>0</v>
      </c>
      <c r="J244" s="27" t="n">
        <f aca="false">H244*I244</f>
        <v>0</v>
      </c>
      <c r="K244" s="6" t="str">
        <f aca="false">IFERROR(IF(INDEX(Resources!$D$2:$D$64,MATCH($D244,Resources!$A$2:$A$64,0))="","",INDEX(Resources!$D$2:$D$64,MATCH($D244,Resources!$A$2:$A$64,0))),"")</f>
        <v>Est. Required Labor</v>
      </c>
      <c r="L244" s="28" t="n">
        <f aca="false">IF(K244="","",J244*INDEX(Resources!$E$2:$E$64,MATCH($D244,Resources!$A$2:$A$64,0)))</f>
        <v>0</v>
      </c>
      <c r="M244" s="6" t="str">
        <f aca="false">B244&amp;"|"&amp;D244&amp;"|"&amp;C244</f>
        <v>Toolshed Workshop|Labor|Input</v>
      </c>
      <c r="N244" s="6" t="s">
        <v>940</v>
      </c>
    </row>
    <row r="245" customFormat="false" ht="15" hidden="false" customHeight="true" outlineLevel="0" collapsed="false">
      <c r="A245" s="6" t="s">
        <v>1212</v>
      </c>
      <c r="B245" s="6" t="s">
        <v>412</v>
      </c>
      <c r="C245" s="6" t="s">
        <v>938</v>
      </c>
      <c r="D245" s="6" t="s">
        <v>415</v>
      </c>
      <c r="E245" s="26" t="n">
        <v>500</v>
      </c>
      <c r="F245" s="6" t="str">
        <f aca="false">IFERROR(INDEX(Resources!$B$2:$B$64,MATCH($D245,Resources!$A$2:$A$64,0)),"?")</f>
        <v>lbs</v>
      </c>
      <c r="G245" s="6" t="s">
        <v>1115</v>
      </c>
      <c r="H245" s="27" t="n">
        <f aca="false">E245*INDEX(Assumptions!$D$17:$D$23,MATCH(G245,Assumptions!$B$17:$B$23,0))</f>
        <v>0</v>
      </c>
      <c r="I245" s="6" t="n">
        <f aca="false">IFERROR(INDEX(Systems!$R$2:$R$179,MATCH($B245,Systems!$B$2:$B$179,0)),0)</f>
        <v>0</v>
      </c>
      <c r="J245" s="27" t="n">
        <f aca="false">H245*I245</f>
        <v>0</v>
      </c>
      <c r="K245" s="6" t="str">
        <f aca="false">IFERROR(IF(INDEX(Resources!$D$2:$D$64,MATCH($D245,Resources!$A$2:$A$64,0))="","",INDEX(Resources!$D$2:$D$64,MATCH($D245,Resources!$A$2:$A$64,0))),"")</f>
        <v/>
      </c>
      <c r="L245" s="28" t="str">
        <f aca="false">IF(K245="","",J245*INDEX(Resources!$E$2:$E$64,MATCH($D245,Resources!$A$2:$A$64,0)))</f>
        <v/>
      </c>
      <c r="M245" s="6" t="str">
        <f aca="false">B245&amp;"|"&amp;D245&amp;"|"&amp;C245</f>
        <v>Toolshed Workshop|Waste lumber|Input</v>
      </c>
    </row>
    <row r="246" customFormat="false" ht="15" hidden="false" customHeight="true" outlineLevel="0" collapsed="false">
      <c r="A246" s="6" t="s">
        <v>1213</v>
      </c>
      <c r="B246" s="6" t="s">
        <v>412</v>
      </c>
      <c r="C246" s="6" t="s">
        <v>943</v>
      </c>
      <c r="D246" s="6" t="s">
        <v>288</v>
      </c>
      <c r="E246" s="26" t="n">
        <v>150</v>
      </c>
      <c r="F246" s="6" t="str">
        <f aca="false">IFERROR(INDEX(Resources!$B$2:$B$64,MATCH($D246,Resources!$A$2:$A$64,0)),"?")</f>
        <v>sq ft</v>
      </c>
      <c r="G246" s="6" t="s">
        <v>945</v>
      </c>
      <c r="H246" s="27" t="n">
        <f aca="false">E246*INDEX(Assumptions!$D$17:$D$23,MATCH(G246,Assumptions!$B$17:$B$23,0))</f>
        <v>150</v>
      </c>
      <c r="I246" s="6" t="n">
        <f aca="false">IFERROR(INDEX(Systems!$R$2:$R$179,MATCH($B246,Systems!$B$2:$B$179,0)),0)</f>
        <v>0</v>
      </c>
      <c r="J246" s="27" t="n">
        <f aca="false">H246*I246</f>
        <v>0</v>
      </c>
      <c r="K246" s="6" t="str">
        <f aca="false">IFERROR(IF(INDEX(Resources!$D$2:$D$64,MATCH($D246,Resources!$A$2:$A$64,0))="","",INDEX(Resources!$D$2:$D$64,MATCH($D246,Resources!$A$2:$A$64,0))),"")</f>
        <v/>
      </c>
      <c r="L246" s="28" t="str">
        <f aca="false">IF(K246="","",J246*INDEX(Resources!$E$2:$E$64,MATCH($D246,Resources!$A$2:$A$64,0)))</f>
        <v/>
      </c>
      <c r="M246" s="6" t="str">
        <f aca="false">B246&amp;"|"&amp;D246&amp;"|"&amp;C246</f>
        <v>Toolshed Workshop|Roofing area|Output</v>
      </c>
    </row>
    <row r="247" customFormat="false" ht="15" hidden="false" customHeight="true" outlineLevel="0" collapsed="false">
      <c r="A247" s="6" t="s">
        <v>1214</v>
      </c>
      <c r="B247" s="6" t="s">
        <v>412</v>
      </c>
      <c r="C247" s="6" t="s">
        <v>943</v>
      </c>
      <c r="D247" s="6" t="s">
        <v>329</v>
      </c>
      <c r="E247" s="26" t="n">
        <v>800</v>
      </c>
      <c r="F247" s="6" t="str">
        <f aca="false">IFERROR(INDEX(Resources!$B$2:$B$64,MATCH($D247,Resources!$A$2:$A$64,0)),"?")</f>
        <v>cu ft</v>
      </c>
      <c r="G247" s="6" t="s">
        <v>945</v>
      </c>
      <c r="H247" s="27" t="n">
        <f aca="false">E247*INDEX(Assumptions!$D$17:$D$23,MATCH(G247,Assumptions!$B$17:$B$23,0))</f>
        <v>800</v>
      </c>
      <c r="I247" s="6" t="n">
        <f aca="false">IFERROR(INDEX(Systems!$R$2:$R$179,MATCH($B247,Systems!$B$2:$B$179,0)),0)</f>
        <v>0</v>
      </c>
      <c r="J247" s="27" t="n">
        <f aca="false">H247*I247</f>
        <v>0</v>
      </c>
      <c r="K247" s="6" t="str">
        <f aca="false">IFERROR(IF(INDEX(Resources!$D$2:$D$64,MATCH($D247,Resources!$A$2:$A$64,0))="","",INDEX(Resources!$D$2:$D$64,MATCH($D247,Resources!$A$2:$A$64,0))),"")</f>
        <v/>
      </c>
      <c r="L247" s="28" t="str">
        <f aca="false">IF(K247="","",J247*INDEX(Resources!$E$2:$E$64,MATCH($D247,Resources!$A$2:$A$64,0)))</f>
        <v/>
      </c>
      <c r="M247" s="6" t="str">
        <f aca="false">B247&amp;"|"&amp;D247&amp;"|"&amp;C247</f>
        <v>Toolshed Workshop|Storage space|Output</v>
      </c>
    </row>
    <row r="248" customFormat="false" ht="15" hidden="false" customHeight="true" outlineLevel="0" collapsed="false">
      <c r="A248" s="6" t="s">
        <v>1215</v>
      </c>
      <c r="B248" s="6" t="s">
        <v>412</v>
      </c>
      <c r="C248" s="6" t="s">
        <v>943</v>
      </c>
      <c r="D248" s="6" t="s">
        <v>462</v>
      </c>
      <c r="E248" s="26" t="n">
        <v>2</v>
      </c>
      <c r="F248" s="6" t="str">
        <f aca="false">IFERROR(INDEX(Resources!$B$2:$B$64,MATCH($D248,Resources!$A$2:$A$64,0)),"?")</f>
        <v>points</v>
      </c>
      <c r="G248" s="6" t="s">
        <v>939</v>
      </c>
      <c r="H248" s="27" t="n">
        <f aca="false">E248*INDEX(Assumptions!$D$17:$D$23,MATCH(G248,Assumptions!$B$17:$B$23,0))</f>
        <v>2</v>
      </c>
      <c r="I248" s="6" t="n">
        <f aca="false">IFERROR(INDEX(Systems!$R$2:$R$179,MATCH($B248,Systems!$B$2:$B$179,0)),0)</f>
        <v>0</v>
      </c>
      <c r="J248" s="27" t="n">
        <f aca="false">H248*I248</f>
        <v>0</v>
      </c>
      <c r="K248" s="6" t="str">
        <f aca="false">IFERROR(IF(INDEX(Resources!$D$2:$D$64,MATCH($D248,Resources!$A$2:$A$64,0))="","",INDEX(Resources!$D$2:$D$64,MATCH($D248,Resources!$A$2:$A$64,0))),"")</f>
        <v/>
      </c>
      <c r="L248" s="28" t="str">
        <f aca="false">IF(K248="","",J248*INDEX(Resources!$E$2:$E$64,MATCH($D248,Resources!$A$2:$A$64,0)))</f>
        <v/>
      </c>
      <c r="M248" s="6" t="str">
        <f aca="false">B248&amp;"|"&amp;D248&amp;"|"&amp;C248</f>
        <v>Toolshed Workshop|Wellbeing|Output</v>
      </c>
    </row>
    <row r="249" customFormat="false" ht="15" hidden="false" customHeight="true" outlineLevel="0" collapsed="false">
      <c r="A249" s="6" t="s">
        <v>1216</v>
      </c>
      <c r="B249" s="6" t="s">
        <v>418</v>
      </c>
      <c r="C249" s="6" t="s">
        <v>938</v>
      </c>
      <c r="D249" s="6" t="s">
        <v>71</v>
      </c>
      <c r="E249" s="26" t="n">
        <v>0.2</v>
      </c>
      <c r="F249" s="6" t="str">
        <f aca="false">IFERROR(INDEX(Resources!$B$2:$B$64,MATCH($D249,Resources!$A$2:$A$64,0)),"?")</f>
        <v>hours</v>
      </c>
      <c r="G249" s="6" t="s">
        <v>939</v>
      </c>
      <c r="H249" s="27" t="n">
        <f aca="false">E249*INDEX(Assumptions!$D$17:$D$23,MATCH(G249,Assumptions!$B$17:$B$23,0))</f>
        <v>0.2</v>
      </c>
      <c r="I249" s="6" t="n">
        <f aca="false">IFERROR(INDEX(Systems!$R$2:$R$179,MATCH($B249,Systems!$B$2:$B$179,0)),0)</f>
        <v>0</v>
      </c>
      <c r="J249" s="27" t="n">
        <f aca="false">H249*I249</f>
        <v>0</v>
      </c>
      <c r="K249" s="6" t="str">
        <f aca="false">IFERROR(IF(INDEX(Resources!$D$2:$D$64,MATCH($D249,Resources!$A$2:$A$64,0))="","",INDEX(Resources!$D$2:$D$64,MATCH($D249,Resources!$A$2:$A$64,0))),"")</f>
        <v>Est. Required Labor</v>
      </c>
      <c r="L249" s="28" t="n">
        <f aca="false">IF(K249="","",J249*INDEX(Resources!$E$2:$E$64,MATCH($D249,Resources!$A$2:$A$64,0)))</f>
        <v>0</v>
      </c>
      <c r="M249" s="6" t="str">
        <f aca="false">B249&amp;"|"&amp;D249&amp;"|"&amp;C249</f>
        <v>Duck|Labor|Input</v>
      </c>
      <c r="N249" s="6" t="s">
        <v>940</v>
      </c>
    </row>
    <row r="250" customFormat="false" ht="15" hidden="false" customHeight="true" outlineLevel="0" collapsed="false">
      <c r="A250" s="6" t="s">
        <v>1217</v>
      </c>
      <c r="B250" s="6" t="s">
        <v>418</v>
      </c>
      <c r="C250" s="6" t="s">
        <v>938</v>
      </c>
      <c r="D250" s="6" t="s">
        <v>216</v>
      </c>
      <c r="E250" s="26" t="n">
        <v>0.5</v>
      </c>
      <c r="F250" s="6" t="str">
        <f aca="false">IFERROR(INDEX(Resources!$B$2:$B$64,MATCH($D250,Resources!$A$2:$A$64,0)),"?")</f>
        <v>lbs</v>
      </c>
      <c r="G250" s="6" t="s">
        <v>939</v>
      </c>
      <c r="H250" s="27" t="n">
        <f aca="false">E250*INDEX(Assumptions!$D$17:$D$23,MATCH(G250,Assumptions!$B$17:$B$23,0))</f>
        <v>0.5</v>
      </c>
      <c r="I250" s="6" t="n">
        <f aca="false">IFERROR(INDEX(Systems!$R$2:$R$179,MATCH($B250,Systems!$B$2:$B$179,0)),0)</f>
        <v>0</v>
      </c>
      <c r="J250" s="27" t="n">
        <f aca="false">H250*I250</f>
        <v>0</v>
      </c>
      <c r="K250" s="6" t="str">
        <f aca="false">IFERROR(IF(INDEX(Resources!$D$2:$D$64,MATCH($D250,Resources!$A$2:$A$64,0))="","",INDEX(Resources!$D$2:$D$64,MATCH($D250,Resources!$A$2:$A$64,0))),"")</f>
        <v/>
      </c>
      <c r="L250" s="28" t="str">
        <f aca="false">IF(K250="","",J250*INDEX(Resources!$E$2:$E$64,MATCH($D250,Resources!$A$2:$A$64,0)))</f>
        <v/>
      </c>
      <c r="M250" s="6" t="str">
        <f aca="false">B250&amp;"|"&amp;D250&amp;"|"&amp;C250</f>
        <v>Duck|Green biomass|Input</v>
      </c>
    </row>
    <row r="251" customFormat="false" ht="15" hidden="false" customHeight="true" outlineLevel="0" collapsed="false">
      <c r="A251" s="6" t="s">
        <v>1218</v>
      </c>
      <c r="B251" s="6" t="s">
        <v>418</v>
      </c>
      <c r="C251" s="6" t="s">
        <v>938</v>
      </c>
      <c r="D251" s="6" t="s">
        <v>49</v>
      </c>
      <c r="E251" s="26" t="n">
        <v>1.5</v>
      </c>
      <c r="F251" s="6" t="str">
        <f aca="false">IFERROR(INDEX(Resources!$B$2:$B$64,MATCH($D251,Resources!$A$2:$A$64,0)),"?")</f>
        <v>gal</v>
      </c>
      <c r="G251" s="6" t="s">
        <v>939</v>
      </c>
      <c r="H251" s="27" t="n">
        <f aca="false">E251*INDEX(Assumptions!$D$17:$D$23,MATCH(G251,Assumptions!$B$17:$B$23,0))</f>
        <v>1.5</v>
      </c>
      <c r="I251" s="6" t="n">
        <f aca="false">IFERROR(INDEX(Systems!$R$2:$R$179,MATCH($B251,Systems!$B$2:$B$179,0)),0)</f>
        <v>0</v>
      </c>
      <c r="J251" s="27" t="n">
        <f aca="false">H251*I251</f>
        <v>0</v>
      </c>
      <c r="K251" s="6" t="str">
        <f aca="false">IFERROR(IF(INDEX(Resources!$D$2:$D$64,MATCH($D251,Resources!$A$2:$A$64,0))="","",INDEX(Resources!$D$2:$D$64,MATCH($D251,Resources!$A$2:$A$64,0))),"")</f>
        <v>Water</v>
      </c>
      <c r="L251" s="28" t="n">
        <f aca="false">IF(K251="","",J251*INDEX(Resources!$E$2:$E$64,MATCH($D251,Resources!$A$2:$A$64,0)))</f>
        <v>0</v>
      </c>
      <c r="M251" s="6" t="str">
        <f aca="false">B251&amp;"|"&amp;D251&amp;"|"&amp;C251</f>
        <v>Duck|Water|Input</v>
      </c>
    </row>
    <row r="252" customFormat="false" ht="15" hidden="false" customHeight="true" outlineLevel="0" collapsed="false">
      <c r="A252" s="6" t="s">
        <v>1219</v>
      </c>
      <c r="B252" s="6" t="s">
        <v>418</v>
      </c>
      <c r="C252" s="6" t="s">
        <v>938</v>
      </c>
      <c r="D252" s="6" t="s">
        <v>1025</v>
      </c>
      <c r="E252" s="26" t="n">
        <v>1.8</v>
      </c>
      <c r="F252" s="6" t="str">
        <f aca="false">IFERROR(INDEX(Resources!$B$2:$B$64,MATCH($D252,Resources!$A$2:$A$64,0)),"?")</f>
        <v>lbs</v>
      </c>
      <c r="G252" s="6" t="s">
        <v>939</v>
      </c>
      <c r="H252" s="27" t="n">
        <f aca="false">E252*INDEX(Assumptions!$D$17:$D$23,MATCH(G252,Assumptions!$B$17:$B$23,0))</f>
        <v>1.8</v>
      </c>
      <c r="I252" s="6" t="n">
        <f aca="false">IFERROR(INDEX(Systems!$R$2:$R$179,MATCH($B252,Systems!$B$2:$B$179,0)),0)</f>
        <v>0</v>
      </c>
      <c r="J252" s="27" t="n">
        <f aca="false">H252*I252</f>
        <v>0</v>
      </c>
      <c r="K252" s="6" t="str">
        <f aca="false">IFERROR(IF(INDEX(Resources!$D$2:$D$64,MATCH($D252,Resources!$A$2:$A$64,0))="","",INDEX(Resources!$D$2:$D$64,MATCH($D252,Resources!$A$2:$A$64,0))),"")</f>
        <v/>
      </c>
      <c r="L252" s="28" t="str">
        <f aca="false">IF(K252="","",J252*INDEX(Resources!$E$2:$E$64,MATCH($D252,Resources!$A$2:$A$64,0)))</f>
        <v/>
      </c>
      <c r="M252" s="6" t="str">
        <f aca="false">B252&amp;"|"&amp;D252&amp;"|"&amp;C252</f>
        <v>Duck|Chicken feed|Input</v>
      </c>
    </row>
    <row r="253" customFormat="false" ht="15" hidden="false" customHeight="true" outlineLevel="0" collapsed="false">
      <c r="A253" s="6" t="s">
        <v>1220</v>
      </c>
      <c r="B253" s="6" t="s">
        <v>418</v>
      </c>
      <c r="C253" s="6" t="s">
        <v>943</v>
      </c>
      <c r="D253" s="6" t="s">
        <v>240</v>
      </c>
      <c r="E253" s="26" t="n">
        <v>2</v>
      </c>
      <c r="F253" s="6" t="str">
        <f aca="false">IFERROR(INDEX(Resources!$B$2:$B$64,MATCH($D253,Resources!$A$2:$A$64,0)),"?")</f>
        <v>lbs</v>
      </c>
      <c r="G253" s="6" t="s">
        <v>939</v>
      </c>
      <c r="H253" s="27" t="n">
        <f aca="false">E253*INDEX(Assumptions!$D$17:$D$23,MATCH(G253,Assumptions!$B$17:$B$23,0))</f>
        <v>2</v>
      </c>
      <c r="I253" s="6" t="n">
        <f aca="false">IFERROR(INDEX(Systems!$R$2:$R$179,MATCH($B253,Systems!$B$2:$B$179,0)),0)</f>
        <v>0</v>
      </c>
      <c r="J253" s="27" t="n">
        <f aca="false">H253*I253</f>
        <v>0</v>
      </c>
      <c r="K253" s="6" t="str">
        <f aca="false">IFERROR(IF(INDEX(Resources!$D$2:$D$64,MATCH($D253,Resources!$A$2:$A$64,0))="","",INDEX(Resources!$D$2:$D$64,MATCH($D253,Resources!$A$2:$A$64,0))),"")</f>
        <v/>
      </c>
      <c r="L253" s="28" t="str">
        <f aca="false">IF(K253="","",J253*INDEX(Resources!$E$2:$E$64,MATCH($D253,Resources!$A$2:$A$64,0)))</f>
        <v/>
      </c>
      <c r="M253" s="6" t="str">
        <f aca="false">B253&amp;"|"&amp;D253&amp;"|"&amp;C253</f>
        <v>Duck|Manure|Output</v>
      </c>
    </row>
    <row r="254" customFormat="false" ht="15" hidden="false" customHeight="true" outlineLevel="0" collapsed="false">
      <c r="A254" s="6" t="s">
        <v>1221</v>
      </c>
      <c r="B254" s="6" t="s">
        <v>418</v>
      </c>
      <c r="C254" s="6" t="s">
        <v>943</v>
      </c>
      <c r="D254" s="6" t="s">
        <v>1049</v>
      </c>
      <c r="E254" s="26" t="n">
        <v>3.5</v>
      </c>
      <c r="F254" s="6" t="str">
        <f aca="false">IFERROR(INDEX(Resources!$B$2:$B$64,MATCH($D254,Resources!$A$2:$A$64,0)),"?")</f>
        <v>eggs</v>
      </c>
      <c r="G254" s="6" t="s">
        <v>939</v>
      </c>
      <c r="H254" s="27" t="n">
        <f aca="false">E254*INDEX(Assumptions!$D$17:$D$23,MATCH(G254,Assumptions!$B$17:$B$23,0))</f>
        <v>3.5</v>
      </c>
      <c r="I254" s="6" t="n">
        <f aca="false">IFERROR(INDEX(Systems!$R$2:$R$179,MATCH($B254,Systems!$B$2:$B$179,0)),0)</f>
        <v>0</v>
      </c>
      <c r="J254" s="27" t="n">
        <f aca="false">H254*I254</f>
        <v>0</v>
      </c>
      <c r="K254" s="6" t="str">
        <f aca="false">IFERROR(IF(INDEX(Resources!$D$2:$D$64,MATCH($D254,Resources!$A$2:$A$64,0))="","",INDEX(Resources!$D$2:$D$64,MATCH($D254,Resources!$A$2:$A$64,0))),"")</f>
        <v>Food</v>
      </c>
      <c r="L254" s="28" t="n">
        <f aca="false">IF(K254="","",J254*INDEX(Resources!$E$2:$E$64,MATCH($D254,Resources!$A$2:$A$64,0)))</f>
        <v>0</v>
      </c>
      <c r="M254" s="6" t="str">
        <f aca="false">B254&amp;"|"&amp;D254&amp;"|"&amp;C254</f>
        <v>Duck|Eggs|Output</v>
      </c>
    </row>
    <row r="255" customFormat="false" ht="15" hidden="false" customHeight="true" outlineLevel="0" collapsed="false">
      <c r="A255" s="6" t="s">
        <v>1222</v>
      </c>
      <c r="B255" s="6" t="s">
        <v>418</v>
      </c>
      <c r="C255" s="6" t="s">
        <v>943</v>
      </c>
      <c r="D255" s="6" t="s">
        <v>1021</v>
      </c>
      <c r="E255" s="26" t="n">
        <v>0.5</v>
      </c>
      <c r="F255" s="6" t="str">
        <f aca="false">IFERROR(INDEX(Resources!$B$2:$B$64,MATCH($D255,Resources!$A$2:$A$64,0)),"?")</f>
        <v>units</v>
      </c>
      <c r="G255" s="6" t="s">
        <v>945</v>
      </c>
      <c r="H255" s="27" t="n">
        <f aca="false">E255*INDEX(Assumptions!$D$17:$D$23,MATCH(G255,Assumptions!$B$17:$B$23,0))</f>
        <v>0.5</v>
      </c>
      <c r="I255" s="6" t="n">
        <f aca="false">IFERROR(INDEX(Systems!$R$2:$R$179,MATCH($B255,Systems!$B$2:$B$179,0)),0)</f>
        <v>0</v>
      </c>
      <c r="J255" s="27" t="n">
        <f aca="false">H255*I255</f>
        <v>0</v>
      </c>
      <c r="K255" s="6" t="str">
        <f aca="false">IFERROR(IF(INDEX(Resources!$D$2:$D$64,MATCH($D255,Resources!$A$2:$A$64,0))="","",INDEX(Resources!$D$2:$D$64,MATCH($D255,Resources!$A$2:$A$64,0))),"")</f>
        <v/>
      </c>
      <c r="L255" s="28" t="str">
        <f aca="false">IF(K255="","",J255*INDEX(Resources!$E$2:$E$64,MATCH($D255,Resources!$A$2:$A$64,0)))</f>
        <v/>
      </c>
      <c r="M255" s="6" t="str">
        <f aca="false">B255&amp;"|"&amp;D255&amp;"|"&amp;C255</f>
        <v>Duck|Pest control|Output</v>
      </c>
    </row>
    <row r="256" customFormat="false" ht="15" hidden="false" customHeight="true" outlineLevel="0" collapsed="false">
      <c r="A256" s="6" t="s">
        <v>1223</v>
      </c>
      <c r="B256" s="6" t="s">
        <v>424</v>
      </c>
      <c r="C256" s="6" t="s">
        <v>938</v>
      </c>
      <c r="D256" s="6" t="s">
        <v>71</v>
      </c>
      <c r="E256" s="26" t="n">
        <v>0.3</v>
      </c>
      <c r="F256" s="6" t="str">
        <f aca="false">IFERROR(INDEX(Resources!$B$2:$B$64,MATCH($D256,Resources!$A$2:$A$64,0)),"?")</f>
        <v>hours</v>
      </c>
      <c r="G256" s="6" t="s">
        <v>939</v>
      </c>
      <c r="H256" s="27" t="n">
        <f aca="false">E256*INDEX(Assumptions!$D$17:$D$23,MATCH(G256,Assumptions!$B$17:$B$23,0))</f>
        <v>0.3</v>
      </c>
      <c r="I256" s="6" t="n">
        <f aca="false">IFERROR(INDEX(Systems!$R$2:$R$179,MATCH($B256,Systems!$B$2:$B$179,0)),0)</f>
        <v>0</v>
      </c>
      <c r="J256" s="27" t="n">
        <f aca="false">H256*I256</f>
        <v>0</v>
      </c>
      <c r="K256" s="6" t="str">
        <f aca="false">IFERROR(IF(INDEX(Resources!$D$2:$D$64,MATCH($D256,Resources!$A$2:$A$64,0))="","",INDEX(Resources!$D$2:$D$64,MATCH($D256,Resources!$A$2:$A$64,0))),"")</f>
        <v>Est. Required Labor</v>
      </c>
      <c r="L256" s="28" t="n">
        <f aca="false">IF(K256="","",J256*INDEX(Resources!$E$2:$E$64,MATCH($D256,Resources!$A$2:$A$64,0)))</f>
        <v>0</v>
      </c>
      <c r="M256" s="6" t="str">
        <f aca="false">B256&amp;"|"&amp;D256&amp;"|"&amp;C256</f>
        <v>Turkey|Labor|Input</v>
      </c>
      <c r="N256" s="6" t="s">
        <v>940</v>
      </c>
    </row>
    <row r="257" customFormat="false" ht="15" hidden="false" customHeight="true" outlineLevel="0" collapsed="false">
      <c r="A257" s="6" t="s">
        <v>1224</v>
      </c>
      <c r="B257" s="6" t="s">
        <v>424</v>
      </c>
      <c r="C257" s="6" t="s">
        <v>938</v>
      </c>
      <c r="D257" s="6" t="s">
        <v>216</v>
      </c>
      <c r="E257" s="26" t="n">
        <v>1</v>
      </c>
      <c r="F257" s="6" t="str">
        <f aca="false">IFERROR(INDEX(Resources!$B$2:$B$64,MATCH($D257,Resources!$A$2:$A$64,0)),"?")</f>
        <v>lbs</v>
      </c>
      <c r="G257" s="6" t="s">
        <v>939</v>
      </c>
      <c r="H257" s="27" t="n">
        <f aca="false">E257*INDEX(Assumptions!$D$17:$D$23,MATCH(G257,Assumptions!$B$17:$B$23,0))</f>
        <v>1</v>
      </c>
      <c r="I257" s="6" t="n">
        <f aca="false">IFERROR(INDEX(Systems!$R$2:$R$179,MATCH($B257,Systems!$B$2:$B$179,0)),0)</f>
        <v>0</v>
      </c>
      <c r="J257" s="27" t="n">
        <f aca="false">H257*I257</f>
        <v>0</v>
      </c>
      <c r="K257" s="6" t="str">
        <f aca="false">IFERROR(IF(INDEX(Resources!$D$2:$D$64,MATCH($D257,Resources!$A$2:$A$64,0))="","",INDEX(Resources!$D$2:$D$64,MATCH($D257,Resources!$A$2:$A$64,0))),"")</f>
        <v/>
      </c>
      <c r="L257" s="28" t="str">
        <f aca="false">IF(K257="","",J257*INDEX(Resources!$E$2:$E$64,MATCH($D257,Resources!$A$2:$A$64,0)))</f>
        <v/>
      </c>
      <c r="M257" s="6" t="str">
        <f aca="false">B257&amp;"|"&amp;D257&amp;"|"&amp;C257</f>
        <v>Turkey|Green biomass|Input</v>
      </c>
    </row>
    <row r="258" customFormat="false" ht="15" hidden="false" customHeight="true" outlineLevel="0" collapsed="false">
      <c r="A258" s="6" t="s">
        <v>1225</v>
      </c>
      <c r="B258" s="6" t="s">
        <v>424</v>
      </c>
      <c r="C258" s="6" t="s">
        <v>938</v>
      </c>
      <c r="D258" s="6" t="s">
        <v>1040</v>
      </c>
      <c r="E258" s="26" t="n">
        <v>0.2</v>
      </c>
      <c r="F258" s="6" t="str">
        <f aca="false">IFERROR(INDEX(Resources!$B$2:$B$64,MATCH($D258,Resources!$A$2:$A$64,0)),"?")</f>
        <v>lbs</v>
      </c>
      <c r="G258" s="6" t="s">
        <v>939</v>
      </c>
      <c r="H258" s="27" t="n">
        <f aca="false">E258*INDEX(Assumptions!$D$17:$D$23,MATCH(G258,Assumptions!$B$17:$B$23,0))</f>
        <v>0.2</v>
      </c>
      <c r="I258" s="6" t="n">
        <f aca="false">IFERROR(INDEX(Systems!$R$2:$R$179,MATCH($B258,Systems!$B$2:$B$179,0)),0)</f>
        <v>0</v>
      </c>
      <c r="J258" s="27" t="n">
        <f aca="false">H258*I258</f>
        <v>0</v>
      </c>
      <c r="K258" s="6" t="str">
        <f aca="false">IFERROR(IF(INDEX(Resources!$D$2:$D$64,MATCH($D258,Resources!$A$2:$A$64,0))="","",INDEX(Resources!$D$2:$D$64,MATCH($D258,Resources!$A$2:$A$64,0))),"")</f>
        <v/>
      </c>
      <c r="L258" s="28" t="str">
        <f aca="false">IF(K258="","",J258*INDEX(Resources!$E$2:$E$64,MATCH($D258,Resources!$A$2:$A$64,0)))</f>
        <v/>
      </c>
      <c r="M258" s="6" t="str">
        <f aca="false">B258&amp;"|"&amp;D258&amp;"|"&amp;C258</f>
        <v>Turkey|Grubs|Input</v>
      </c>
    </row>
    <row r="259" customFormat="false" ht="15" hidden="false" customHeight="true" outlineLevel="0" collapsed="false">
      <c r="A259" s="6" t="s">
        <v>1226</v>
      </c>
      <c r="B259" s="6" t="s">
        <v>424</v>
      </c>
      <c r="C259" s="6" t="s">
        <v>938</v>
      </c>
      <c r="D259" s="6" t="s">
        <v>49</v>
      </c>
      <c r="E259" s="26" t="n">
        <v>1</v>
      </c>
      <c r="F259" s="6" t="str">
        <f aca="false">IFERROR(INDEX(Resources!$B$2:$B$64,MATCH($D259,Resources!$A$2:$A$64,0)),"?")</f>
        <v>gal</v>
      </c>
      <c r="G259" s="6" t="s">
        <v>939</v>
      </c>
      <c r="H259" s="27" t="n">
        <f aca="false">E259*INDEX(Assumptions!$D$17:$D$23,MATCH(G259,Assumptions!$B$17:$B$23,0))</f>
        <v>1</v>
      </c>
      <c r="I259" s="6" t="n">
        <f aca="false">IFERROR(INDEX(Systems!$R$2:$R$179,MATCH($B259,Systems!$B$2:$B$179,0)),0)</f>
        <v>0</v>
      </c>
      <c r="J259" s="27" t="n">
        <f aca="false">H259*I259</f>
        <v>0</v>
      </c>
      <c r="K259" s="6" t="str">
        <f aca="false">IFERROR(IF(INDEX(Resources!$D$2:$D$64,MATCH($D259,Resources!$A$2:$A$64,0))="","",INDEX(Resources!$D$2:$D$64,MATCH($D259,Resources!$A$2:$A$64,0))),"")</f>
        <v>Water</v>
      </c>
      <c r="L259" s="28" t="n">
        <f aca="false">IF(K259="","",J259*INDEX(Resources!$E$2:$E$64,MATCH($D259,Resources!$A$2:$A$64,0)))</f>
        <v>0</v>
      </c>
      <c r="M259" s="6" t="str">
        <f aca="false">B259&amp;"|"&amp;D259&amp;"|"&amp;C259</f>
        <v>Turkey|Water|Input</v>
      </c>
    </row>
    <row r="260" customFormat="false" ht="15" hidden="false" customHeight="true" outlineLevel="0" collapsed="false">
      <c r="A260" s="6" t="s">
        <v>1227</v>
      </c>
      <c r="B260" s="6" t="s">
        <v>424</v>
      </c>
      <c r="C260" s="6" t="s">
        <v>938</v>
      </c>
      <c r="D260" s="6" t="s">
        <v>1025</v>
      </c>
      <c r="E260" s="26" t="n">
        <v>3</v>
      </c>
      <c r="F260" s="6" t="str">
        <f aca="false">IFERROR(INDEX(Resources!$B$2:$B$64,MATCH($D260,Resources!$A$2:$A$64,0)),"?")</f>
        <v>lbs</v>
      </c>
      <c r="G260" s="6" t="s">
        <v>939</v>
      </c>
      <c r="H260" s="27" t="n">
        <f aca="false">E260*INDEX(Assumptions!$D$17:$D$23,MATCH(G260,Assumptions!$B$17:$B$23,0))</f>
        <v>3</v>
      </c>
      <c r="I260" s="6" t="n">
        <f aca="false">IFERROR(INDEX(Systems!$R$2:$R$179,MATCH($B260,Systems!$B$2:$B$179,0)),0)</f>
        <v>0</v>
      </c>
      <c r="J260" s="27" t="n">
        <f aca="false">H260*I260</f>
        <v>0</v>
      </c>
      <c r="K260" s="6" t="str">
        <f aca="false">IFERROR(IF(INDEX(Resources!$D$2:$D$64,MATCH($D260,Resources!$A$2:$A$64,0))="","",INDEX(Resources!$D$2:$D$64,MATCH($D260,Resources!$A$2:$A$64,0))),"")</f>
        <v/>
      </c>
      <c r="L260" s="28" t="str">
        <f aca="false">IF(K260="","",J260*INDEX(Resources!$E$2:$E$64,MATCH($D260,Resources!$A$2:$A$64,0)))</f>
        <v/>
      </c>
      <c r="M260" s="6" t="str">
        <f aca="false">B260&amp;"|"&amp;D260&amp;"|"&amp;C260</f>
        <v>Turkey|Chicken feed|Input</v>
      </c>
    </row>
    <row r="261" customFormat="false" ht="15" hidden="false" customHeight="true" outlineLevel="0" collapsed="false">
      <c r="A261" s="6" t="s">
        <v>1228</v>
      </c>
      <c r="B261" s="6" t="s">
        <v>424</v>
      </c>
      <c r="C261" s="6" t="s">
        <v>938</v>
      </c>
      <c r="D261" s="6" t="s">
        <v>325</v>
      </c>
      <c r="E261" s="26" t="n">
        <v>0.3</v>
      </c>
      <c r="F261" s="6" t="str">
        <f aca="false">IFERROR(INDEX(Resources!$B$2:$B$64,MATCH($D261,Resources!$A$2:$A$64,0)),"?")</f>
        <v>lbs</v>
      </c>
      <c r="G261" s="6" t="s">
        <v>939</v>
      </c>
      <c r="H261" s="27" t="n">
        <f aca="false">E261*INDEX(Assumptions!$D$17:$D$23,MATCH(G261,Assumptions!$B$17:$B$23,0))</f>
        <v>0.3</v>
      </c>
      <c r="I261" s="6" t="n">
        <f aca="false">IFERROR(INDEX(Systems!$R$2:$R$179,MATCH($B261,Systems!$B$2:$B$179,0)),0)</f>
        <v>0</v>
      </c>
      <c r="J261" s="27" t="n">
        <f aca="false">H261*I261</f>
        <v>0</v>
      </c>
      <c r="K261" s="6" t="str">
        <f aca="false">IFERROR(IF(INDEX(Resources!$D$2:$D$64,MATCH($D261,Resources!$A$2:$A$64,0))="","",INDEX(Resources!$D$2:$D$64,MATCH($D261,Resources!$A$2:$A$64,0))),"")</f>
        <v/>
      </c>
      <c r="L261" s="28" t="str">
        <f aca="false">IF(K261="","",J261*INDEX(Resources!$E$2:$E$64,MATCH($D261,Resources!$A$2:$A$64,0)))</f>
        <v/>
      </c>
      <c r="M261" s="6" t="str">
        <f aca="false">B261&amp;"|"&amp;D261&amp;"|"&amp;C261</f>
        <v>Turkey|Food waste|Input</v>
      </c>
    </row>
    <row r="262" customFormat="false" ht="15" hidden="false" customHeight="true" outlineLevel="0" collapsed="false">
      <c r="A262" s="6" t="s">
        <v>1229</v>
      </c>
      <c r="B262" s="6" t="s">
        <v>424</v>
      </c>
      <c r="C262" s="6" t="s">
        <v>943</v>
      </c>
      <c r="D262" s="6" t="s">
        <v>1230</v>
      </c>
      <c r="E262" s="26" t="n">
        <v>0.7</v>
      </c>
      <c r="F262" s="6" t="str">
        <f aca="false">IFERROR(INDEX(Resources!$B$2:$B$64,MATCH($D262,Resources!$A$2:$A$64,0)),"?")</f>
        <v>lbs</v>
      </c>
      <c r="G262" s="6" t="s">
        <v>939</v>
      </c>
      <c r="H262" s="27" t="n">
        <f aca="false">E262*INDEX(Assumptions!$D$17:$D$23,MATCH(G262,Assumptions!$B$17:$B$23,0))</f>
        <v>0.7</v>
      </c>
      <c r="I262" s="6" t="n">
        <f aca="false">IFERROR(INDEX(Systems!$R$2:$R$179,MATCH($B262,Systems!$B$2:$B$179,0)),0)</f>
        <v>0</v>
      </c>
      <c r="J262" s="27" t="n">
        <f aca="false">H262*I262</f>
        <v>0</v>
      </c>
      <c r="K262" s="6" t="str">
        <f aca="false">IFERROR(IF(INDEX(Resources!$D$2:$D$64,MATCH($D262,Resources!$A$2:$A$64,0))="","",INDEX(Resources!$D$2:$D$64,MATCH($D262,Resources!$A$2:$A$64,0))),"")</f>
        <v>Food</v>
      </c>
      <c r="L262" s="28" t="n">
        <f aca="false">IF(K262="","",J262*INDEX(Resources!$E$2:$E$64,MATCH($D262,Resources!$A$2:$A$64,0)))</f>
        <v>0</v>
      </c>
      <c r="M262" s="6" t="str">
        <f aca="false">B262&amp;"|"&amp;D262&amp;"|"&amp;C262</f>
        <v>Turkey|Meat|Output</v>
      </c>
    </row>
    <row r="263" customFormat="false" ht="15" hidden="false" customHeight="true" outlineLevel="0" collapsed="false">
      <c r="A263" s="6" t="s">
        <v>1231</v>
      </c>
      <c r="B263" s="6" t="s">
        <v>424</v>
      </c>
      <c r="C263" s="6" t="s">
        <v>943</v>
      </c>
      <c r="D263" s="6" t="s">
        <v>240</v>
      </c>
      <c r="E263" s="26" t="n">
        <v>3</v>
      </c>
      <c r="F263" s="6" t="str">
        <f aca="false">IFERROR(INDEX(Resources!$B$2:$B$64,MATCH($D263,Resources!$A$2:$A$64,0)),"?")</f>
        <v>lbs</v>
      </c>
      <c r="G263" s="6" t="s">
        <v>939</v>
      </c>
      <c r="H263" s="27" t="n">
        <f aca="false">E263*INDEX(Assumptions!$D$17:$D$23,MATCH(G263,Assumptions!$B$17:$B$23,0))</f>
        <v>3</v>
      </c>
      <c r="I263" s="6" t="n">
        <f aca="false">IFERROR(INDEX(Systems!$R$2:$R$179,MATCH($B263,Systems!$B$2:$B$179,0)),0)</f>
        <v>0</v>
      </c>
      <c r="J263" s="27" t="n">
        <f aca="false">H263*I263</f>
        <v>0</v>
      </c>
      <c r="K263" s="6" t="str">
        <f aca="false">IFERROR(IF(INDEX(Resources!$D$2:$D$64,MATCH($D263,Resources!$A$2:$A$64,0))="","",INDEX(Resources!$D$2:$D$64,MATCH($D263,Resources!$A$2:$A$64,0))),"")</f>
        <v/>
      </c>
      <c r="L263" s="28" t="str">
        <f aca="false">IF(K263="","",J263*INDEX(Resources!$E$2:$E$64,MATCH($D263,Resources!$A$2:$A$64,0)))</f>
        <v/>
      </c>
      <c r="M263" s="6" t="str">
        <f aca="false">B263&amp;"|"&amp;D263&amp;"|"&amp;C263</f>
        <v>Turkey|Manure|Output</v>
      </c>
    </row>
    <row r="264" customFormat="false" ht="15" hidden="false" customHeight="true" outlineLevel="0" collapsed="false">
      <c r="A264" s="6" t="s">
        <v>1232</v>
      </c>
      <c r="B264" s="6" t="s">
        <v>432</v>
      </c>
      <c r="C264" s="6" t="s">
        <v>938</v>
      </c>
      <c r="D264" s="6" t="s">
        <v>436</v>
      </c>
      <c r="E264" s="26" t="n">
        <v>500</v>
      </c>
      <c r="F264" s="6" t="str">
        <f aca="false">IFERROR(INDEX(Resources!$B$2:$B$64,MATCH($D264,Resources!$A$2:$A$64,0)),"?")</f>
        <v>sq ft</v>
      </c>
      <c r="G264" s="6" t="s">
        <v>945</v>
      </c>
      <c r="H264" s="27" t="n">
        <f aca="false">E264*INDEX(Assumptions!$D$17:$D$23,MATCH(G264,Assumptions!$B$17:$B$23,0))</f>
        <v>500</v>
      </c>
      <c r="I264" s="6" t="n">
        <f aca="false">IFERROR(INDEX(Systems!$R$2:$R$179,MATCH($B264,Systems!$B$2:$B$179,0)),0)</f>
        <v>0</v>
      </c>
      <c r="J264" s="27" t="n">
        <f aca="false">H264*I264</f>
        <v>0</v>
      </c>
      <c r="K264" s="6" t="str">
        <f aca="false">IFERROR(IF(INDEX(Resources!$D$2:$D$64,MATCH($D264,Resources!$A$2:$A$64,0))="","",INDEX(Resources!$D$2:$D$64,MATCH($D264,Resources!$A$2:$A$64,0))),"")</f>
        <v/>
      </c>
      <c r="L264" s="28" t="str">
        <f aca="false">IF(K264="","",J264*INDEX(Resources!$E$2:$E$64,MATCH($D264,Resources!$A$2:$A$64,0)))</f>
        <v/>
      </c>
      <c r="M264" s="6" t="str">
        <f aca="false">B264&amp;"|"&amp;D264&amp;"|"&amp;C264</f>
        <v>Pollinators|Pollinator flowers|Input</v>
      </c>
    </row>
    <row r="265" customFormat="false" ht="15" hidden="false" customHeight="true" outlineLevel="0" collapsed="false">
      <c r="A265" s="6" t="s">
        <v>1233</v>
      </c>
      <c r="B265" s="6" t="s">
        <v>432</v>
      </c>
      <c r="C265" s="6" t="s">
        <v>943</v>
      </c>
      <c r="D265" s="6" t="s">
        <v>437</v>
      </c>
      <c r="E265" s="26" t="n">
        <v>2</v>
      </c>
      <c r="F265" s="6" t="str">
        <f aca="false">IFERROR(INDEX(Resources!$B$2:$B$64,MATCH($D265,Resources!$A$2:$A$64,0)),"?")</f>
        <v>units</v>
      </c>
      <c r="G265" s="6" t="s">
        <v>945</v>
      </c>
      <c r="H265" s="27" t="n">
        <f aca="false">E265*INDEX(Assumptions!$D$17:$D$23,MATCH(G265,Assumptions!$B$17:$B$23,0))</f>
        <v>2</v>
      </c>
      <c r="I265" s="6" t="n">
        <f aca="false">IFERROR(INDEX(Systems!$R$2:$R$179,MATCH($B265,Systems!$B$2:$B$179,0)),0)</f>
        <v>0</v>
      </c>
      <c r="J265" s="27" t="n">
        <f aca="false">H265*I265</f>
        <v>0</v>
      </c>
      <c r="K265" s="6" t="str">
        <f aca="false">IFERROR(IF(INDEX(Resources!$D$2:$D$64,MATCH($D265,Resources!$A$2:$A$64,0))="","",INDEX(Resources!$D$2:$D$64,MATCH($D265,Resources!$A$2:$A$64,0))),"")</f>
        <v/>
      </c>
      <c r="L265" s="28" t="str">
        <f aca="false">IF(K265="","",J265*INDEX(Resources!$E$2:$E$64,MATCH($D265,Resources!$A$2:$A$64,0)))</f>
        <v/>
      </c>
      <c r="M265" s="6" t="str">
        <f aca="false">B265&amp;"|"&amp;D265&amp;"|"&amp;C265</f>
        <v>Pollinators|Pollination|Output</v>
      </c>
    </row>
    <row r="266" customFormat="false" ht="15" hidden="false" customHeight="true" outlineLevel="0" collapsed="false">
      <c r="A266" s="6" t="s">
        <v>1234</v>
      </c>
      <c r="B266" s="6" t="s">
        <v>439</v>
      </c>
      <c r="C266" s="6" t="s">
        <v>938</v>
      </c>
      <c r="D266" s="6" t="s">
        <v>71</v>
      </c>
      <c r="E266" s="26" t="n">
        <v>0.1</v>
      </c>
      <c r="F266" s="6" t="str">
        <f aca="false">IFERROR(INDEX(Resources!$B$2:$B$64,MATCH($D266,Resources!$A$2:$A$64,0)),"?")</f>
        <v>hours</v>
      </c>
      <c r="G266" s="6" t="s">
        <v>939</v>
      </c>
      <c r="H266" s="27" t="n">
        <f aca="false">E266*INDEX(Assumptions!$D$17:$D$23,MATCH(G266,Assumptions!$B$17:$B$23,0))</f>
        <v>0.1</v>
      </c>
      <c r="I266" s="6" t="n">
        <f aca="false">IFERROR(INDEX(Systems!$R$2:$R$179,MATCH($B266,Systems!$B$2:$B$179,0)),0)</f>
        <v>0</v>
      </c>
      <c r="J266" s="27" t="n">
        <f aca="false">H266*I266</f>
        <v>0</v>
      </c>
      <c r="K266" s="6" t="str">
        <f aca="false">IFERROR(IF(INDEX(Resources!$D$2:$D$64,MATCH($D266,Resources!$A$2:$A$64,0))="","",INDEX(Resources!$D$2:$D$64,MATCH($D266,Resources!$A$2:$A$64,0))),"")</f>
        <v>Est. Required Labor</v>
      </c>
      <c r="L266" s="28" t="n">
        <f aca="false">IF(K266="","",J266*INDEX(Resources!$E$2:$E$64,MATCH($D266,Resources!$A$2:$A$64,0)))</f>
        <v>0</v>
      </c>
      <c r="M266" s="6" t="str">
        <f aca="false">B266&amp;"|"&amp;D266&amp;"|"&amp;C266</f>
        <v>Sunflowers|Labor|Input</v>
      </c>
      <c r="N266" s="6" t="s">
        <v>940</v>
      </c>
    </row>
    <row r="267" customFormat="false" ht="15" hidden="false" customHeight="true" outlineLevel="0" collapsed="false">
      <c r="A267" s="6" t="s">
        <v>1235</v>
      </c>
      <c r="B267" s="6" t="s">
        <v>439</v>
      </c>
      <c r="C267" s="6" t="s">
        <v>938</v>
      </c>
      <c r="D267" s="6" t="s">
        <v>1183</v>
      </c>
      <c r="E267" s="26" t="n">
        <v>0.2</v>
      </c>
      <c r="F267" s="6" t="str">
        <f aca="false">IFERROR(INDEX(Resources!$B$2:$B$64,MATCH($D267,Resources!$A$2:$A$64,0)),"?")</f>
        <v>oz</v>
      </c>
      <c r="G267" s="6" t="s">
        <v>1184</v>
      </c>
      <c r="H267" s="27" t="n">
        <f aca="false">E267*INDEX(Assumptions!$D$17:$D$23,MATCH(G267,Assumptions!$B$17:$B$23,0))</f>
        <v>0.00384615384615385</v>
      </c>
      <c r="I267" s="6" t="n">
        <f aca="false">IFERROR(INDEX(Systems!$R$2:$R$179,MATCH($B267,Systems!$B$2:$B$179,0)),0)</f>
        <v>0</v>
      </c>
      <c r="J267" s="27" t="n">
        <f aca="false">H267*I267</f>
        <v>0</v>
      </c>
      <c r="K267" s="6" t="str">
        <f aca="false">IFERROR(IF(INDEX(Resources!$D$2:$D$64,MATCH($D267,Resources!$A$2:$A$64,0))="","",INDEX(Resources!$D$2:$D$64,MATCH($D267,Resources!$A$2:$A$64,0))),"")</f>
        <v/>
      </c>
      <c r="L267" s="28" t="str">
        <f aca="false">IF(K267="","",J267*INDEX(Resources!$E$2:$E$64,MATCH($D267,Resources!$A$2:$A$64,0)))</f>
        <v/>
      </c>
      <c r="M267" s="6" t="str">
        <f aca="false">B267&amp;"|"&amp;D267&amp;"|"&amp;C267</f>
        <v>Sunflowers|Seeds|Input</v>
      </c>
    </row>
    <row r="268" customFormat="false" ht="15" hidden="false" customHeight="true" outlineLevel="0" collapsed="false">
      <c r="A268" s="6" t="s">
        <v>1236</v>
      </c>
      <c r="B268" s="6" t="s">
        <v>439</v>
      </c>
      <c r="C268" s="6" t="s">
        <v>938</v>
      </c>
      <c r="D268" s="6" t="s">
        <v>49</v>
      </c>
      <c r="E268" s="26" t="n">
        <v>6</v>
      </c>
      <c r="F268" s="6" t="str">
        <f aca="false">IFERROR(INDEX(Resources!$B$2:$B$64,MATCH($D268,Resources!$A$2:$A$64,0)),"?")</f>
        <v>gal</v>
      </c>
      <c r="G268" s="6" t="s">
        <v>939</v>
      </c>
      <c r="H268" s="27" t="n">
        <f aca="false">E268*INDEX(Assumptions!$D$17:$D$23,MATCH(G268,Assumptions!$B$17:$B$23,0))</f>
        <v>6</v>
      </c>
      <c r="I268" s="6" t="n">
        <f aca="false">IFERROR(INDEX(Systems!$R$2:$R$179,MATCH($B268,Systems!$B$2:$B$179,0)),0)</f>
        <v>0</v>
      </c>
      <c r="J268" s="27" t="n">
        <f aca="false">H268*I268</f>
        <v>0</v>
      </c>
      <c r="K268" s="6" t="str">
        <f aca="false">IFERROR(IF(INDEX(Resources!$D$2:$D$64,MATCH($D268,Resources!$A$2:$A$64,0))="","",INDEX(Resources!$D$2:$D$64,MATCH($D268,Resources!$A$2:$A$64,0))),"")</f>
        <v>Water</v>
      </c>
      <c r="L268" s="28" t="n">
        <f aca="false">IF(K268="","",J268*INDEX(Resources!$E$2:$E$64,MATCH($D268,Resources!$A$2:$A$64,0)))</f>
        <v>0</v>
      </c>
      <c r="M268" s="6" t="str">
        <f aca="false">B268&amp;"|"&amp;D268&amp;"|"&amp;C268</f>
        <v>Sunflowers|Water|Input</v>
      </c>
    </row>
    <row r="269" customFormat="false" ht="15" hidden="false" customHeight="true" outlineLevel="0" collapsed="false">
      <c r="A269" s="6" t="s">
        <v>1237</v>
      </c>
      <c r="B269" s="6" t="s">
        <v>439</v>
      </c>
      <c r="C269" s="6" t="s">
        <v>938</v>
      </c>
      <c r="D269" s="6" t="s">
        <v>437</v>
      </c>
      <c r="E269" s="26" t="n">
        <v>0.1</v>
      </c>
      <c r="F269" s="6" t="str">
        <f aca="false">IFERROR(INDEX(Resources!$B$2:$B$64,MATCH($D269,Resources!$A$2:$A$64,0)),"?")</f>
        <v>units</v>
      </c>
      <c r="G269" s="6" t="s">
        <v>945</v>
      </c>
      <c r="H269" s="27" t="n">
        <f aca="false">E269*INDEX(Assumptions!$D$17:$D$23,MATCH(G269,Assumptions!$B$17:$B$23,0))</f>
        <v>0.1</v>
      </c>
      <c r="I269" s="6" t="n">
        <f aca="false">IFERROR(INDEX(Systems!$R$2:$R$179,MATCH($B269,Systems!$B$2:$B$179,0)),0)</f>
        <v>0</v>
      </c>
      <c r="J269" s="27" t="n">
        <f aca="false">H269*I269</f>
        <v>0</v>
      </c>
      <c r="K269" s="6" t="str">
        <f aca="false">IFERROR(IF(INDEX(Resources!$D$2:$D$64,MATCH($D269,Resources!$A$2:$A$64,0))="","",INDEX(Resources!$D$2:$D$64,MATCH($D269,Resources!$A$2:$A$64,0))),"")</f>
        <v/>
      </c>
      <c r="L269" s="28" t="str">
        <f aca="false">IF(K269="","",J269*INDEX(Resources!$E$2:$E$64,MATCH($D269,Resources!$A$2:$A$64,0)))</f>
        <v/>
      </c>
      <c r="M269" s="6" t="str">
        <f aca="false">B269&amp;"|"&amp;D269&amp;"|"&amp;C269</f>
        <v>Sunflowers|Pollination|Input</v>
      </c>
    </row>
    <row r="270" customFormat="false" ht="15" hidden="false" customHeight="true" outlineLevel="0" collapsed="false">
      <c r="A270" s="6" t="s">
        <v>1238</v>
      </c>
      <c r="B270" s="6" t="s">
        <v>439</v>
      </c>
      <c r="C270" s="6" t="s">
        <v>943</v>
      </c>
      <c r="D270" s="6" t="s">
        <v>1183</v>
      </c>
      <c r="E270" s="26" t="n">
        <v>16</v>
      </c>
      <c r="F270" s="6" t="str">
        <f aca="false">IFERROR(INDEX(Resources!$B$2:$B$64,MATCH($D270,Resources!$A$2:$A$64,0)),"?")</f>
        <v>oz</v>
      </c>
      <c r="G270" s="6" t="s">
        <v>1184</v>
      </c>
      <c r="H270" s="27" t="n">
        <f aca="false">E270*INDEX(Assumptions!$D$17:$D$23,MATCH(G270,Assumptions!$B$17:$B$23,0))</f>
        <v>0.307692307692308</v>
      </c>
      <c r="I270" s="6" t="n">
        <f aca="false">IFERROR(INDEX(Systems!$R$2:$R$179,MATCH($B270,Systems!$B$2:$B$179,0)),0)</f>
        <v>0</v>
      </c>
      <c r="J270" s="27" t="n">
        <f aca="false">H270*I270</f>
        <v>0</v>
      </c>
      <c r="K270" s="6" t="str">
        <f aca="false">IFERROR(IF(INDEX(Resources!$D$2:$D$64,MATCH($D270,Resources!$A$2:$A$64,0))="","",INDEX(Resources!$D$2:$D$64,MATCH($D270,Resources!$A$2:$A$64,0))),"")</f>
        <v/>
      </c>
      <c r="L270" s="28" t="str">
        <f aca="false">IF(K270="","",J270*INDEX(Resources!$E$2:$E$64,MATCH($D270,Resources!$A$2:$A$64,0)))</f>
        <v/>
      </c>
      <c r="M270" s="6" t="str">
        <f aca="false">B270&amp;"|"&amp;D270&amp;"|"&amp;C270</f>
        <v>Sunflowers|Seeds|Output</v>
      </c>
    </row>
    <row r="271" customFormat="false" ht="15" hidden="false" customHeight="true" outlineLevel="0" collapsed="false">
      <c r="A271" s="6" t="s">
        <v>1239</v>
      </c>
      <c r="B271" s="6" t="s">
        <v>439</v>
      </c>
      <c r="C271" s="6" t="s">
        <v>943</v>
      </c>
      <c r="D271" s="6" t="s">
        <v>436</v>
      </c>
      <c r="E271" s="26" t="n">
        <v>20</v>
      </c>
      <c r="F271" s="6" t="str">
        <f aca="false">IFERROR(INDEX(Resources!$B$2:$B$64,MATCH($D271,Resources!$A$2:$A$64,0)),"?")</f>
        <v>sq ft</v>
      </c>
      <c r="G271" s="6" t="s">
        <v>945</v>
      </c>
      <c r="H271" s="27" t="n">
        <f aca="false">E271*INDEX(Assumptions!$D$17:$D$23,MATCH(G271,Assumptions!$B$17:$B$23,0))</f>
        <v>20</v>
      </c>
      <c r="I271" s="6" t="n">
        <f aca="false">IFERROR(INDEX(Systems!$R$2:$R$179,MATCH($B271,Systems!$B$2:$B$179,0)),0)</f>
        <v>0</v>
      </c>
      <c r="J271" s="27" t="n">
        <f aca="false">H271*I271</f>
        <v>0</v>
      </c>
      <c r="K271" s="6" t="str">
        <f aca="false">IFERROR(IF(INDEX(Resources!$D$2:$D$64,MATCH($D271,Resources!$A$2:$A$64,0))="","",INDEX(Resources!$D$2:$D$64,MATCH($D271,Resources!$A$2:$A$64,0))),"")</f>
        <v/>
      </c>
      <c r="L271" s="28" t="str">
        <f aca="false">IF(K271="","",J271*INDEX(Resources!$E$2:$E$64,MATCH($D271,Resources!$A$2:$A$64,0)))</f>
        <v/>
      </c>
      <c r="M271" s="6" t="str">
        <f aca="false">B271&amp;"|"&amp;D271&amp;"|"&amp;C271</f>
        <v>Sunflowers|Pollinator flowers|Output</v>
      </c>
    </row>
    <row r="272" customFormat="false" ht="15" hidden="false" customHeight="true" outlineLevel="0" collapsed="false">
      <c r="A272" s="6" t="s">
        <v>1240</v>
      </c>
      <c r="B272" s="6" t="s">
        <v>439</v>
      </c>
      <c r="C272" s="6" t="s">
        <v>943</v>
      </c>
      <c r="D272" s="6" t="s">
        <v>1127</v>
      </c>
      <c r="E272" s="26" t="n">
        <v>3</v>
      </c>
      <c r="F272" s="6" t="str">
        <f aca="false">IFERROR(INDEX(Resources!$B$2:$B$64,MATCH($D272,Resources!$A$2:$A$64,0)),"?")</f>
        <v>lbs</v>
      </c>
      <c r="G272" s="6" t="s">
        <v>1032</v>
      </c>
      <c r="H272" s="27" t="n">
        <f aca="false">E272*INDEX(Assumptions!$D$17:$D$23,MATCH(G272,Assumptions!$B$17:$B$23,0))</f>
        <v>0.0576923076923077</v>
      </c>
      <c r="I272" s="6" t="n">
        <f aca="false">IFERROR(INDEX(Systems!$R$2:$R$179,MATCH($B272,Systems!$B$2:$B$179,0)),0)</f>
        <v>0</v>
      </c>
      <c r="J272" s="27" t="n">
        <f aca="false">H272*I272</f>
        <v>0</v>
      </c>
      <c r="K272" s="6" t="str">
        <f aca="false">IFERROR(IF(INDEX(Resources!$D$2:$D$64,MATCH($D272,Resources!$A$2:$A$64,0))="","",INDEX(Resources!$D$2:$D$64,MATCH($D272,Resources!$A$2:$A$64,0))),"")</f>
        <v/>
      </c>
      <c r="L272" s="28" t="str">
        <f aca="false">IF(K272="","",J272*INDEX(Resources!$E$2:$E$64,MATCH($D272,Resources!$A$2:$A$64,0)))</f>
        <v/>
      </c>
      <c r="M272" s="6" t="str">
        <f aca="false">B272&amp;"|"&amp;D272&amp;"|"&amp;C272</f>
        <v>Sunflowers|Carbon|Output</v>
      </c>
    </row>
    <row r="273" customFormat="false" ht="15" hidden="false" customHeight="true" outlineLevel="0" collapsed="false">
      <c r="A273" s="6" t="s">
        <v>1241</v>
      </c>
      <c r="B273" s="6" t="s">
        <v>445</v>
      </c>
      <c r="C273" s="6" t="s">
        <v>938</v>
      </c>
      <c r="D273" s="6" t="s">
        <v>71</v>
      </c>
      <c r="E273" s="26" t="n">
        <v>0.05</v>
      </c>
      <c r="F273" s="6" t="str">
        <f aca="false">IFERROR(INDEX(Resources!$B$2:$B$64,MATCH($D273,Resources!$A$2:$A$64,0)),"?")</f>
        <v>hours</v>
      </c>
      <c r="G273" s="6" t="s">
        <v>939</v>
      </c>
      <c r="H273" s="27" t="n">
        <f aca="false">E273*INDEX(Assumptions!$D$17:$D$23,MATCH(G273,Assumptions!$B$17:$B$23,0))</f>
        <v>0.05</v>
      </c>
      <c r="I273" s="6" t="n">
        <f aca="false">IFERROR(INDEX(Systems!$R$2:$R$179,MATCH($B273,Systems!$B$2:$B$179,0)),0)</f>
        <v>0</v>
      </c>
      <c r="J273" s="27" t="n">
        <f aca="false">H273*I273</f>
        <v>0</v>
      </c>
      <c r="K273" s="6" t="str">
        <f aca="false">IFERROR(IF(INDEX(Resources!$D$2:$D$64,MATCH($D273,Resources!$A$2:$A$64,0))="","",INDEX(Resources!$D$2:$D$64,MATCH($D273,Resources!$A$2:$A$64,0))),"")</f>
        <v>Est. Required Labor</v>
      </c>
      <c r="L273" s="28" t="n">
        <f aca="false">IF(K273="","",J273*INDEX(Resources!$E$2:$E$64,MATCH($D273,Resources!$A$2:$A$64,0)))</f>
        <v>0</v>
      </c>
      <c r="M273" s="6" t="str">
        <f aca="false">B273&amp;"|"&amp;D273&amp;"|"&amp;C273</f>
        <v>Yarrow|Labor|Input</v>
      </c>
      <c r="N273" s="6" t="s">
        <v>940</v>
      </c>
    </row>
    <row r="274" customFormat="false" ht="15" hidden="false" customHeight="true" outlineLevel="0" collapsed="false">
      <c r="A274" s="6" t="s">
        <v>1242</v>
      </c>
      <c r="B274" s="6" t="s">
        <v>445</v>
      </c>
      <c r="C274" s="6" t="s">
        <v>938</v>
      </c>
      <c r="D274" s="6" t="s">
        <v>1114</v>
      </c>
      <c r="E274" s="26" t="n">
        <v>1</v>
      </c>
      <c r="F274" s="6" t="str">
        <f aca="false">IFERROR(INDEX(Resources!$B$2:$B$64,MATCH($D274,Resources!$A$2:$A$64,0)),"?")</f>
        <v>plants</v>
      </c>
      <c r="G274" s="6" t="s">
        <v>1115</v>
      </c>
      <c r="H274" s="27" t="n">
        <f aca="false">E274*INDEX(Assumptions!$D$17:$D$23,MATCH(G274,Assumptions!$B$17:$B$23,0))</f>
        <v>0</v>
      </c>
      <c r="I274" s="6" t="n">
        <f aca="false">IFERROR(INDEX(Systems!$R$2:$R$179,MATCH($B274,Systems!$B$2:$B$179,0)),0)</f>
        <v>0</v>
      </c>
      <c r="J274" s="27" t="n">
        <f aca="false">H274*I274</f>
        <v>0</v>
      </c>
      <c r="K274" s="6" t="str">
        <f aca="false">IFERROR(IF(INDEX(Resources!$D$2:$D$64,MATCH($D274,Resources!$A$2:$A$64,0))="","",INDEX(Resources!$D$2:$D$64,MATCH($D274,Resources!$A$2:$A$64,0))),"")</f>
        <v/>
      </c>
      <c r="L274" s="28" t="str">
        <f aca="false">IF(K274="","",J274*INDEX(Resources!$E$2:$E$64,MATCH($D274,Resources!$A$2:$A$64,0)))</f>
        <v/>
      </c>
      <c r="M274" s="6" t="str">
        <f aca="false">B274&amp;"|"&amp;D274&amp;"|"&amp;C274</f>
        <v>Yarrow|Seedlings|Input</v>
      </c>
    </row>
    <row r="275" customFormat="false" ht="15" hidden="false" customHeight="true" outlineLevel="0" collapsed="false">
      <c r="A275" s="6" t="s">
        <v>1243</v>
      </c>
      <c r="B275" s="6" t="s">
        <v>445</v>
      </c>
      <c r="C275" s="6" t="s">
        <v>938</v>
      </c>
      <c r="D275" s="6" t="s">
        <v>49</v>
      </c>
      <c r="E275" s="26" t="n">
        <v>1</v>
      </c>
      <c r="F275" s="6" t="str">
        <f aca="false">IFERROR(INDEX(Resources!$B$2:$B$64,MATCH($D275,Resources!$A$2:$A$64,0)),"?")</f>
        <v>gal</v>
      </c>
      <c r="G275" s="6" t="s">
        <v>939</v>
      </c>
      <c r="H275" s="27" t="n">
        <f aca="false">E275*INDEX(Assumptions!$D$17:$D$23,MATCH(G275,Assumptions!$B$17:$B$23,0))</f>
        <v>1</v>
      </c>
      <c r="I275" s="6" t="n">
        <f aca="false">IFERROR(INDEX(Systems!$R$2:$R$179,MATCH($B275,Systems!$B$2:$B$179,0)),0)</f>
        <v>0</v>
      </c>
      <c r="J275" s="27" t="n">
        <f aca="false">H275*I275</f>
        <v>0</v>
      </c>
      <c r="K275" s="6" t="str">
        <f aca="false">IFERROR(IF(INDEX(Resources!$D$2:$D$64,MATCH($D275,Resources!$A$2:$A$64,0))="","",INDEX(Resources!$D$2:$D$64,MATCH($D275,Resources!$A$2:$A$64,0))),"")</f>
        <v>Water</v>
      </c>
      <c r="L275" s="28" t="n">
        <f aca="false">IF(K275="","",J275*INDEX(Resources!$E$2:$E$64,MATCH($D275,Resources!$A$2:$A$64,0)))</f>
        <v>0</v>
      </c>
      <c r="M275" s="6" t="str">
        <f aca="false">B275&amp;"|"&amp;D275&amp;"|"&amp;C275</f>
        <v>Yarrow|Water|Input</v>
      </c>
    </row>
    <row r="276" customFormat="false" ht="15" hidden="false" customHeight="true" outlineLevel="0" collapsed="false">
      <c r="A276" s="6" t="s">
        <v>1244</v>
      </c>
      <c r="B276" s="6" t="s">
        <v>445</v>
      </c>
      <c r="C276" s="6" t="s">
        <v>943</v>
      </c>
      <c r="D276" s="6" t="s">
        <v>436</v>
      </c>
      <c r="E276" s="26" t="n">
        <v>4</v>
      </c>
      <c r="F276" s="6" t="str">
        <f aca="false">IFERROR(INDEX(Resources!$B$2:$B$64,MATCH($D276,Resources!$A$2:$A$64,0)),"?")</f>
        <v>sq ft</v>
      </c>
      <c r="G276" s="6" t="s">
        <v>945</v>
      </c>
      <c r="H276" s="27" t="n">
        <f aca="false">E276*INDEX(Assumptions!$D$17:$D$23,MATCH(G276,Assumptions!$B$17:$B$23,0))</f>
        <v>4</v>
      </c>
      <c r="I276" s="6" t="n">
        <f aca="false">IFERROR(INDEX(Systems!$R$2:$R$179,MATCH($B276,Systems!$B$2:$B$179,0)),0)</f>
        <v>0</v>
      </c>
      <c r="J276" s="27" t="n">
        <f aca="false">H276*I276</f>
        <v>0</v>
      </c>
      <c r="K276" s="6" t="str">
        <f aca="false">IFERROR(IF(INDEX(Resources!$D$2:$D$64,MATCH($D276,Resources!$A$2:$A$64,0))="","",INDEX(Resources!$D$2:$D$64,MATCH($D276,Resources!$A$2:$A$64,0))),"")</f>
        <v/>
      </c>
      <c r="L276" s="28" t="str">
        <f aca="false">IF(K276="","",J276*INDEX(Resources!$E$2:$E$64,MATCH($D276,Resources!$A$2:$A$64,0)))</f>
        <v/>
      </c>
      <c r="M276" s="6" t="str">
        <f aca="false">B276&amp;"|"&amp;D276&amp;"|"&amp;C276</f>
        <v>Yarrow|Pollinator flowers|Output</v>
      </c>
    </row>
    <row r="277" customFormat="false" ht="15" hidden="false" customHeight="true" outlineLevel="0" collapsed="false">
      <c r="A277" s="6" t="s">
        <v>1245</v>
      </c>
      <c r="B277" s="6" t="s">
        <v>445</v>
      </c>
      <c r="C277" s="6" t="s">
        <v>943</v>
      </c>
      <c r="D277" s="6" t="s">
        <v>1021</v>
      </c>
      <c r="E277" s="26" t="n">
        <v>0.2</v>
      </c>
      <c r="F277" s="6" t="str">
        <f aca="false">IFERROR(INDEX(Resources!$B$2:$B$64,MATCH($D277,Resources!$A$2:$A$64,0)),"?")</f>
        <v>units</v>
      </c>
      <c r="G277" s="6" t="s">
        <v>945</v>
      </c>
      <c r="H277" s="27" t="n">
        <f aca="false">E277*INDEX(Assumptions!$D$17:$D$23,MATCH(G277,Assumptions!$B$17:$B$23,0))</f>
        <v>0.2</v>
      </c>
      <c r="I277" s="6" t="n">
        <f aca="false">IFERROR(INDEX(Systems!$R$2:$R$179,MATCH($B277,Systems!$B$2:$B$179,0)),0)</f>
        <v>0</v>
      </c>
      <c r="J277" s="27" t="n">
        <f aca="false">H277*I277</f>
        <v>0</v>
      </c>
      <c r="K277" s="6" t="str">
        <f aca="false">IFERROR(IF(INDEX(Resources!$D$2:$D$64,MATCH($D277,Resources!$A$2:$A$64,0))="","",INDEX(Resources!$D$2:$D$64,MATCH($D277,Resources!$A$2:$A$64,0))),"")</f>
        <v/>
      </c>
      <c r="L277" s="28" t="str">
        <f aca="false">IF(K277="","",J277*INDEX(Resources!$E$2:$E$64,MATCH($D277,Resources!$A$2:$A$64,0)))</f>
        <v/>
      </c>
      <c r="M277" s="6" t="str">
        <f aca="false">B277&amp;"|"&amp;D277&amp;"|"&amp;C277</f>
        <v>Yarrow|Pest control|Output</v>
      </c>
    </row>
    <row r="278" customFormat="false" ht="15" hidden="false" customHeight="true" outlineLevel="0" collapsed="false">
      <c r="A278" s="6" t="s">
        <v>1246</v>
      </c>
      <c r="B278" s="6" t="s">
        <v>445</v>
      </c>
      <c r="C278" s="6" t="s">
        <v>943</v>
      </c>
      <c r="D278" s="6" t="s">
        <v>462</v>
      </c>
      <c r="E278" s="26" t="n">
        <v>1</v>
      </c>
      <c r="F278" s="6" t="str">
        <f aca="false">IFERROR(INDEX(Resources!$B$2:$B$64,MATCH($D278,Resources!$A$2:$A$64,0)),"?")</f>
        <v>points</v>
      </c>
      <c r="G278" s="6" t="s">
        <v>939</v>
      </c>
      <c r="H278" s="27" t="n">
        <f aca="false">E278*INDEX(Assumptions!$D$17:$D$23,MATCH(G278,Assumptions!$B$17:$B$23,0))</f>
        <v>1</v>
      </c>
      <c r="I278" s="6" t="n">
        <f aca="false">IFERROR(INDEX(Systems!$R$2:$R$179,MATCH($B278,Systems!$B$2:$B$179,0)),0)</f>
        <v>0</v>
      </c>
      <c r="J278" s="27" t="n">
        <f aca="false">H278*I278</f>
        <v>0</v>
      </c>
      <c r="K278" s="6" t="str">
        <f aca="false">IFERROR(IF(INDEX(Resources!$D$2:$D$64,MATCH($D278,Resources!$A$2:$A$64,0))="","",INDEX(Resources!$D$2:$D$64,MATCH($D278,Resources!$A$2:$A$64,0))),"")</f>
        <v/>
      </c>
      <c r="L278" s="28" t="str">
        <f aca="false">IF(K278="","",J278*INDEX(Resources!$E$2:$E$64,MATCH($D278,Resources!$A$2:$A$64,0)))</f>
        <v/>
      </c>
      <c r="M278" s="6" t="str">
        <f aca="false">B278&amp;"|"&amp;D278&amp;"|"&amp;C278</f>
        <v>Yarrow|Wellbeing|Output</v>
      </c>
    </row>
    <row r="279" customFormat="false" ht="15" hidden="false" customHeight="true" outlineLevel="0" collapsed="false">
      <c r="A279" s="6" t="s">
        <v>1247</v>
      </c>
      <c r="B279" s="6" t="s">
        <v>449</v>
      </c>
      <c r="C279" s="6" t="s">
        <v>938</v>
      </c>
      <c r="D279" s="6" t="s">
        <v>71</v>
      </c>
      <c r="E279" s="26" t="n">
        <v>0.5</v>
      </c>
      <c r="F279" s="6" t="str">
        <f aca="false">IFERROR(INDEX(Resources!$B$2:$B$64,MATCH($D279,Resources!$A$2:$A$64,0)),"?")</f>
        <v>hours</v>
      </c>
      <c r="G279" s="6" t="s">
        <v>939</v>
      </c>
      <c r="H279" s="27" t="n">
        <f aca="false">E279*INDEX(Assumptions!$D$17:$D$23,MATCH(G279,Assumptions!$B$17:$B$23,0))</f>
        <v>0.5</v>
      </c>
      <c r="I279" s="6" t="n">
        <f aca="false">IFERROR(INDEX(Systems!$R$2:$R$179,MATCH($B279,Systems!$B$2:$B$179,0)),0)</f>
        <v>0</v>
      </c>
      <c r="J279" s="27" t="n">
        <f aca="false">H279*I279</f>
        <v>0</v>
      </c>
      <c r="K279" s="6" t="str">
        <f aca="false">IFERROR(IF(INDEX(Resources!$D$2:$D$64,MATCH($D279,Resources!$A$2:$A$64,0))="","",INDEX(Resources!$D$2:$D$64,MATCH($D279,Resources!$A$2:$A$64,0))),"")</f>
        <v>Est. Required Labor</v>
      </c>
      <c r="L279" s="28" t="n">
        <f aca="false">IF(K279="","",J279*INDEX(Resources!$E$2:$E$64,MATCH($D279,Resources!$A$2:$A$64,0)))</f>
        <v>0</v>
      </c>
      <c r="M279" s="6" t="str">
        <f aca="false">B279&amp;"|"&amp;D279&amp;"|"&amp;C279</f>
        <v>Teepee|Labor|Input</v>
      </c>
      <c r="N279" s="6" t="s">
        <v>940</v>
      </c>
    </row>
    <row r="280" customFormat="false" ht="15" hidden="false" customHeight="true" outlineLevel="0" collapsed="false">
      <c r="A280" s="6" t="s">
        <v>1248</v>
      </c>
      <c r="B280" s="6" t="s">
        <v>449</v>
      </c>
      <c r="C280" s="6" t="s">
        <v>938</v>
      </c>
      <c r="D280" s="6" t="s">
        <v>177</v>
      </c>
      <c r="E280" s="26" t="n">
        <v>150</v>
      </c>
      <c r="F280" s="6" t="str">
        <f aca="false">IFERROR(INDEX(Resources!$B$2:$B$64,MATCH($D280,Resources!$A$2:$A$64,0)),"?")</f>
        <v>lbs</v>
      </c>
      <c r="G280" s="6" t="s">
        <v>1115</v>
      </c>
      <c r="H280" s="27" t="n">
        <f aca="false">E280*INDEX(Assumptions!$D$17:$D$23,MATCH(G280,Assumptions!$B$17:$B$23,0))</f>
        <v>0</v>
      </c>
      <c r="I280" s="6" t="n">
        <f aca="false">IFERROR(INDEX(Systems!$R$2:$R$179,MATCH($B280,Systems!$B$2:$B$179,0)),0)</f>
        <v>0</v>
      </c>
      <c r="J280" s="27" t="n">
        <f aca="false">H280*I280</f>
        <v>0</v>
      </c>
      <c r="K280" s="6" t="str">
        <f aca="false">IFERROR(IF(INDEX(Resources!$D$2:$D$64,MATCH($D280,Resources!$A$2:$A$64,0))="","",INDEX(Resources!$D$2:$D$64,MATCH($D280,Resources!$A$2:$A$64,0))),"")</f>
        <v/>
      </c>
      <c r="L280" s="28" t="str">
        <f aca="false">IF(K280="","",J280*INDEX(Resources!$E$2:$E$64,MATCH($D280,Resources!$A$2:$A$64,0)))</f>
        <v/>
      </c>
      <c r="M280" s="6" t="str">
        <f aca="false">B280&amp;"|"&amp;D280&amp;"|"&amp;C280</f>
        <v>Teepee|Woody biomass|Input</v>
      </c>
    </row>
    <row r="281" customFormat="false" ht="15" hidden="false" customHeight="true" outlineLevel="0" collapsed="false">
      <c r="A281" s="6" t="s">
        <v>1249</v>
      </c>
      <c r="B281" s="6" t="s">
        <v>449</v>
      </c>
      <c r="C281" s="6" t="s">
        <v>943</v>
      </c>
      <c r="D281" s="6" t="s">
        <v>55</v>
      </c>
      <c r="E281" s="26" t="n">
        <v>250</v>
      </c>
      <c r="F281" s="6" t="str">
        <f aca="false">IFERROR(INDEX(Resources!$B$2:$B$64,MATCH($D281,Resources!$A$2:$A$64,0)),"?")</f>
        <v>sq ft</v>
      </c>
      <c r="G281" s="6" t="s">
        <v>945</v>
      </c>
      <c r="H281" s="27" t="n">
        <f aca="false">E281*INDEX(Assumptions!$D$17:$D$23,MATCH(G281,Assumptions!$B$17:$B$23,0))</f>
        <v>250</v>
      </c>
      <c r="I281" s="6" t="n">
        <f aca="false">IFERROR(INDEX(Systems!$R$2:$R$179,MATCH($B281,Systems!$B$2:$B$179,0)),0)</f>
        <v>0</v>
      </c>
      <c r="J281" s="27" t="n">
        <f aca="false">H281*I281</f>
        <v>0</v>
      </c>
      <c r="K281" s="6" t="str">
        <f aca="false">IFERROR(IF(INDEX(Resources!$D$2:$D$64,MATCH($D281,Resources!$A$2:$A$64,0))="","",INDEX(Resources!$D$2:$D$64,MATCH($D281,Resources!$A$2:$A$64,0))),"")</f>
        <v>Shelter</v>
      </c>
      <c r="L281" s="28" t="n">
        <f aca="false">IF(K281="","",J281*INDEX(Resources!$E$2:$E$64,MATCH($D281,Resources!$A$2:$A$64,0)))</f>
        <v>0</v>
      </c>
      <c r="M281" s="6" t="str">
        <f aca="false">B281&amp;"|"&amp;D281&amp;"|"&amp;C281</f>
        <v>Teepee|Shelter|Output</v>
      </c>
    </row>
    <row r="282" customFormat="false" ht="15" hidden="false" customHeight="true" outlineLevel="0" collapsed="false">
      <c r="A282" s="6" t="s">
        <v>1250</v>
      </c>
      <c r="B282" s="6" t="s">
        <v>449</v>
      </c>
      <c r="C282" s="6" t="s">
        <v>938</v>
      </c>
      <c r="D282" s="6" t="s">
        <v>67</v>
      </c>
      <c r="E282" s="29" t="n">
        <f aca="false">INDEX(Systems!$N$2:$N$179,MATCH($B282,Systems!$B$2:$B$179,0))*INDEX(Systems!$O$2:$O$179,MATCH($B282,Systems!$B$2:$B$179,0))*Assumptions!$C$4*24/52</f>
        <v>692307.692307692</v>
      </c>
      <c r="F282" s="6" t="str">
        <f aca="false">IFERROR(INDEX(Resources!$B$2:$B$64,MATCH($D282,Resources!$A$2:$A$64,0)),"?")</f>
        <v>BTU</v>
      </c>
      <c r="G282" s="6" t="s">
        <v>939</v>
      </c>
      <c r="H282" s="27" t="n">
        <f aca="false">E282*INDEX(Assumptions!$D$17:$D$23,MATCH(G282,Assumptions!$B$17:$B$23,0))</f>
        <v>692307.692307692</v>
      </c>
      <c r="I282" s="6" t="n">
        <f aca="false">IFERROR(INDEX(Systems!$R$2:$R$179,MATCH($B282,Systems!$B$2:$B$179,0)),0)</f>
        <v>0</v>
      </c>
      <c r="J282" s="27" t="n">
        <f aca="false">H282*I282</f>
        <v>0</v>
      </c>
      <c r="K282" s="6" t="str">
        <f aca="false">IFERROR(IF(INDEX(Resources!$D$2:$D$64,MATCH($D282,Resources!$A$2:$A$64,0))="","",INDEX(Resources!$D$2:$D$64,MATCH($D282,Resources!$A$2:$A$64,0))),"")</f>
        <v>Heated shelter</v>
      </c>
      <c r="L282" s="28" t="n">
        <f aca="false">IF(K282="","",J282*INDEX(Resources!$E$2:$E$64,MATCH($D282,Resources!$A$2:$A$64,0)))</f>
        <v>0</v>
      </c>
      <c r="M282" s="6" t="str">
        <f aca="false">B282&amp;"|"&amp;D282&amp;"|"&amp;C282</f>
        <v>Teepee|Heat|Input</v>
      </c>
      <c r="N282" s="6" t="s">
        <v>972</v>
      </c>
    </row>
    <row r="283" customFormat="false" ht="15" hidden="false" customHeight="true" outlineLevel="0" collapsed="false">
      <c r="A283" s="6" t="s">
        <v>1251</v>
      </c>
      <c r="B283" s="6" t="s">
        <v>449</v>
      </c>
      <c r="C283" s="6" t="s">
        <v>938</v>
      </c>
      <c r="D283" s="6" t="s">
        <v>69</v>
      </c>
      <c r="E283" s="29" t="n">
        <f aca="false">INDEX(Systems!$N$2:$N$179,MATCH($B283,Systems!$B$2:$B$179,0))*INDEX(Systems!$O$2:$O$179,MATCH($B283,Systems!$B$2:$B$179,0))*Assumptions!$C$5*24/52</f>
        <v>92307.6923076923</v>
      </c>
      <c r="F283" s="6" t="str">
        <f aca="false">IFERROR(INDEX(Resources!$B$2:$B$64,MATCH($D283,Resources!$A$2:$A$64,0)),"?")</f>
        <v>BTU</v>
      </c>
      <c r="G283" s="6" t="s">
        <v>939</v>
      </c>
      <c r="H283" s="27" t="n">
        <f aca="false">E283*INDEX(Assumptions!$D$17:$D$23,MATCH(G283,Assumptions!$B$17:$B$23,0))</f>
        <v>92307.6923076923</v>
      </c>
      <c r="I283" s="6" t="n">
        <f aca="false">IFERROR(INDEX(Systems!$R$2:$R$179,MATCH($B283,Systems!$B$2:$B$179,0)),0)</f>
        <v>0</v>
      </c>
      <c r="J283" s="27" t="n">
        <f aca="false">H283*I283</f>
        <v>0</v>
      </c>
      <c r="K283" s="6" t="str">
        <f aca="false">IFERROR(IF(INDEX(Resources!$D$2:$D$64,MATCH($D283,Resources!$A$2:$A$64,0))="","",INDEX(Resources!$D$2:$D$64,MATCH($D283,Resources!$A$2:$A$64,0))),"")</f>
        <v>Cooled shelter</v>
      </c>
      <c r="L283" s="28" t="n">
        <f aca="false">IF(K283="","",J283*INDEX(Resources!$E$2:$E$64,MATCH($D283,Resources!$A$2:$A$64,0)))</f>
        <v>0</v>
      </c>
      <c r="M283" s="6" t="str">
        <f aca="false">B283&amp;"|"&amp;D283&amp;"|"&amp;C283</f>
        <v>Teepee|Cooling|Input</v>
      </c>
      <c r="N283" s="6" t="s">
        <v>974</v>
      </c>
    </row>
    <row r="284" customFormat="false" ht="15" hidden="false" customHeight="true" outlineLevel="0" collapsed="false">
      <c r="A284" s="6" t="s">
        <v>1252</v>
      </c>
      <c r="B284" s="6" t="s">
        <v>452</v>
      </c>
      <c r="C284" s="6" t="s">
        <v>938</v>
      </c>
      <c r="D284" s="6" t="s">
        <v>71</v>
      </c>
      <c r="E284" s="26" t="n">
        <v>0.5</v>
      </c>
      <c r="F284" s="6" t="str">
        <f aca="false">IFERROR(INDEX(Resources!$B$2:$B$64,MATCH($D284,Resources!$A$2:$A$64,0)),"?")</f>
        <v>hours</v>
      </c>
      <c r="G284" s="6" t="s">
        <v>939</v>
      </c>
      <c r="H284" s="27" t="n">
        <f aca="false">E284*INDEX(Assumptions!$D$17:$D$23,MATCH(G284,Assumptions!$B$17:$B$23,0))</f>
        <v>0.5</v>
      </c>
      <c r="I284" s="6" t="n">
        <f aca="false">IFERROR(INDEX(Systems!$R$2:$R$179,MATCH($B284,Systems!$B$2:$B$179,0)),0)</f>
        <v>0</v>
      </c>
      <c r="J284" s="27" t="n">
        <f aca="false">H284*I284</f>
        <v>0</v>
      </c>
      <c r="K284" s="6" t="str">
        <f aca="false">IFERROR(IF(INDEX(Resources!$D$2:$D$64,MATCH($D284,Resources!$A$2:$A$64,0))="","",INDEX(Resources!$D$2:$D$64,MATCH($D284,Resources!$A$2:$A$64,0))),"")</f>
        <v>Est. Required Labor</v>
      </c>
      <c r="L284" s="28" t="n">
        <f aca="false">IF(K284="","",J284*INDEX(Resources!$E$2:$E$64,MATCH($D284,Resources!$A$2:$A$64,0)))</f>
        <v>0</v>
      </c>
      <c r="M284" s="6" t="str">
        <f aca="false">B284&amp;"|"&amp;D284&amp;"|"&amp;C284</f>
        <v>Yurt|Labor|Input</v>
      </c>
      <c r="N284" s="6" t="s">
        <v>940</v>
      </c>
    </row>
    <row r="285" customFormat="false" ht="15" hidden="false" customHeight="true" outlineLevel="0" collapsed="false">
      <c r="A285" s="6" t="s">
        <v>1253</v>
      </c>
      <c r="B285" s="6" t="s">
        <v>452</v>
      </c>
      <c r="C285" s="6" t="s">
        <v>943</v>
      </c>
      <c r="D285" s="6" t="s">
        <v>55</v>
      </c>
      <c r="E285" s="26" t="n">
        <v>314</v>
      </c>
      <c r="F285" s="6" t="str">
        <f aca="false">IFERROR(INDEX(Resources!$B$2:$B$64,MATCH($D285,Resources!$A$2:$A$64,0)),"?")</f>
        <v>sq ft</v>
      </c>
      <c r="G285" s="6" t="s">
        <v>945</v>
      </c>
      <c r="H285" s="27" t="n">
        <f aca="false">E285*INDEX(Assumptions!$D$17:$D$23,MATCH(G285,Assumptions!$B$17:$B$23,0))</f>
        <v>314</v>
      </c>
      <c r="I285" s="6" t="n">
        <f aca="false">IFERROR(INDEX(Systems!$R$2:$R$179,MATCH($B285,Systems!$B$2:$B$179,0)),0)</f>
        <v>0</v>
      </c>
      <c r="J285" s="27" t="n">
        <f aca="false">H285*I285</f>
        <v>0</v>
      </c>
      <c r="K285" s="6" t="str">
        <f aca="false">IFERROR(IF(INDEX(Resources!$D$2:$D$64,MATCH($D285,Resources!$A$2:$A$64,0))="","",INDEX(Resources!$D$2:$D$64,MATCH($D285,Resources!$A$2:$A$64,0))),"")</f>
        <v>Shelter</v>
      </c>
      <c r="L285" s="28" t="n">
        <f aca="false">IF(K285="","",J285*INDEX(Resources!$E$2:$E$64,MATCH($D285,Resources!$A$2:$A$64,0)))</f>
        <v>0</v>
      </c>
      <c r="M285" s="6" t="str">
        <f aca="false">B285&amp;"|"&amp;D285&amp;"|"&amp;C285</f>
        <v>Yurt|Shelter|Output</v>
      </c>
    </row>
    <row r="286" customFormat="false" ht="15" hidden="false" customHeight="true" outlineLevel="0" collapsed="false">
      <c r="A286" s="6" t="s">
        <v>1254</v>
      </c>
      <c r="B286" s="6" t="s">
        <v>452</v>
      </c>
      <c r="C286" s="6" t="s">
        <v>943</v>
      </c>
      <c r="D286" s="6" t="s">
        <v>288</v>
      </c>
      <c r="E286" s="26" t="n">
        <v>300</v>
      </c>
      <c r="F286" s="6" t="str">
        <f aca="false">IFERROR(INDEX(Resources!$B$2:$B$64,MATCH($D286,Resources!$A$2:$A$64,0)),"?")</f>
        <v>sq ft</v>
      </c>
      <c r="G286" s="6" t="s">
        <v>945</v>
      </c>
      <c r="H286" s="27" t="n">
        <f aca="false">E286*INDEX(Assumptions!$D$17:$D$23,MATCH(G286,Assumptions!$B$17:$B$23,0))</f>
        <v>300</v>
      </c>
      <c r="I286" s="6" t="n">
        <f aca="false">IFERROR(INDEX(Systems!$R$2:$R$179,MATCH($B286,Systems!$B$2:$B$179,0)),0)</f>
        <v>0</v>
      </c>
      <c r="J286" s="27" t="n">
        <f aca="false">H286*I286</f>
        <v>0</v>
      </c>
      <c r="K286" s="6" t="str">
        <f aca="false">IFERROR(IF(INDEX(Resources!$D$2:$D$64,MATCH($D286,Resources!$A$2:$A$64,0))="","",INDEX(Resources!$D$2:$D$64,MATCH($D286,Resources!$A$2:$A$64,0))),"")</f>
        <v/>
      </c>
      <c r="L286" s="28" t="str">
        <f aca="false">IF(K286="","",J286*INDEX(Resources!$E$2:$E$64,MATCH($D286,Resources!$A$2:$A$64,0)))</f>
        <v/>
      </c>
      <c r="M286" s="6" t="str">
        <f aca="false">B286&amp;"|"&amp;D286&amp;"|"&amp;C286</f>
        <v>Yurt|Roofing area|Output</v>
      </c>
    </row>
    <row r="287" customFormat="false" ht="15" hidden="false" customHeight="true" outlineLevel="0" collapsed="false">
      <c r="A287" s="6" t="s">
        <v>1255</v>
      </c>
      <c r="B287" s="6" t="s">
        <v>452</v>
      </c>
      <c r="C287" s="6" t="s">
        <v>938</v>
      </c>
      <c r="D287" s="6" t="s">
        <v>67</v>
      </c>
      <c r="E287" s="29" t="n">
        <f aca="false">INDEX(Systems!$N$2:$N$179,MATCH($B287,Systems!$B$2:$B$179,0))*INDEX(Systems!$O$2:$O$179,MATCH($B287,Systems!$B$2:$B$179,0))*Assumptions!$C$4*24/52</f>
        <v>521723.076923077</v>
      </c>
      <c r="F287" s="6" t="str">
        <f aca="false">IFERROR(INDEX(Resources!$B$2:$B$64,MATCH($D287,Resources!$A$2:$A$64,0)),"?")</f>
        <v>BTU</v>
      </c>
      <c r="G287" s="6" t="s">
        <v>939</v>
      </c>
      <c r="H287" s="27" t="n">
        <f aca="false">E287*INDEX(Assumptions!$D$17:$D$23,MATCH(G287,Assumptions!$B$17:$B$23,0))</f>
        <v>521723.076923077</v>
      </c>
      <c r="I287" s="6" t="n">
        <f aca="false">IFERROR(INDEX(Systems!$R$2:$R$179,MATCH($B287,Systems!$B$2:$B$179,0)),0)</f>
        <v>0</v>
      </c>
      <c r="J287" s="27" t="n">
        <f aca="false">H287*I287</f>
        <v>0</v>
      </c>
      <c r="K287" s="6" t="str">
        <f aca="false">IFERROR(IF(INDEX(Resources!$D$2:$D$64,MATCH($D287,Resources!$A$2:$A$64,0))="","",INDEX(Resources!$D$2:$D$64,MATCH($D287,Resources!$A$2:$A$64,0))),"")</f>
        <v>Heated shelter</v>
      </c>
      <c r="L287" s="28" t="n">
        <f aca="false">IF(K287="","",J287*INDEX(Resources!$E$2:$E$64,MATCH($D287,Resources!$A$2:$A$64,0)))</f>
        <v>0</v>
      </c>
      <c r="M287" s="6" t="str">
        <f aca="false">B287&amp;"|"&amp;D287&amp;"|"&amp;C287</f>
        <v>Yurt|Heat|Input</v>
      </c>
      <c r="N287" s="6" t="s">
        <v>972</v>
      </c>
    </row>
    <row r="288" customFormat="false" ht="15" hidden="false" customHeight="true" outlineLevel="0" collapsed="false">
      <c r="A288" s="6" t="s">
        <v>1256</v>
      </c>
      <c r="B288" s="6" t="s">
        <v>452</v>
      </c>
      <c r="C288" s="6" t="s">
        <v>938</v>
      </c>
      <c r="D288" s="6" t="s">
        <v>69</v>
      </c>
      <c r="E288" s="29" t="n">
        <f aca="false">INDEX(Systems!$N$2:$N$179,MATCH($B288,Systems!$B$2:$B$179,0))*INDEX(Systems!$O$2:$O$179,MATCH($B288,Systems!$B$2:$B$179,0))*Assumptions!$C$5*24/52</f>
        <v>69563.0769230769</v>
      </c>
      <c r="F288" s="6" t="str">
        <f aca="false">IFERROR(INDEX(Resources!$B$2:$B$64,MATCH($D288,Resources!$A$2:$A$64,0)),"?")</f>
        <v>BTU</v>
      </c>
      <c r="G288" s="6" t="s">
        <v>939</v>
      </c>
      <c r="H288" s="27" t="n">
        <f aca="false">E288*INDEX(Assumptions!$D$17:$D$23,MATCH(G288,Assumptions!$B$17:$B$23,0))</f>
        <v>69563.0769230769</v>
      </c>
      <c r="I288" s="6" t="n">
        <f aca="false">IFERROR(INDEX(Systems!$R$2:$R$179,MATCH($B288,Systems!$B$2:$B$179,0)),0)</f>
        <v>0</v>
      </c>
      <c r="J288" s="27" t="n">
        <f aca="false">H288*I288</f>
        <v>0</v>
      </c>
      <c r="K288" s="6" t="str">
        <f aca="false">IFERROR(IF(INDEX(Resources!$D$2:$D$64,MATCH($D288,Resources!$A$2:$A$64,0))="","",INDEX(Resources!$D$2:$D$64,MATCH($D288,Resources!$A$2:$A$64,0))),"")</f>
        <v>Cooled shelter</v>
      </c>
      <c r="L288" s="28" t="n">
        <f aca="false">IF(K288="","",J288*INDEX(Resources!$E$2:$E$64,MATCH($D288,Resources!$A$2:$A$64,0)))</f>
        <v>0</v>
      </c>
      <c r="M288" s="6" t="str">
        <f aca="false">B288&amp;"|"&amp;D288&amp;"|"&amp;C288</f>
        <v>Yurt|Cooling|Input</v>
      </c>
      <c r="N288" s="6" t="s">
        <v>974</v>
      </c>
    </row>
    <row r="289" customFormat="false" ht="15" hidden="false" customHeight="true" outlineLevel="0" collapsed="false">
      <c r="A289" s="6" t="s">
        <v>1257</v>
      </c>
      <c r="B289" s="6" t="s">
        <v>455</v>
      </c>
      <c r="C289" s="6" t="s">
        <v>938</v>
      </c>
      <c r="D289" s="6" t="s">
        <v>71</v>
      </c>
      <c r="E289" s="26" t="n">
        <v>0.5</v>
      </c>
      <c r="F289" s="6" t="str">
        <f aca="false">IFERROR(INDEX(Resources!$B$2:$B$64,MATCH($D289,Resources!$A$2:$A$64,0)),"?")</f>
        <v>hours</v>
      </c>
      <c r="G289" s="6" t="s">
        <v>939</v>
      </c>
      <c r="H289" s="27" t="n">
        <f aca="false">E289*INDEX(Assumptions!$D$17:$D$23,MATCH(G289,Assumptions!$B$17:$B$23,0))</f>
        <v>0.5</v>
      </c>
      <c r="I289" s="6" t="n">
        <f aca="false">IFERROR(INDEX(Systems!$R$2:$R$179,MATCH($B289,Systems!$B$2:$B$179,0)),0)</f>
        <v>0</v>
      </c>
      <c r="J289" s="27" t="n">
        <f aca="false">H289*I289</f>
        <v>0</v>
      </c>
      <c r="K289" s="6" t="str">
        <f aca="false">IFERROR(IF(INDEX(Resources!$D$2:$D$64,MATCH($D289,Resources!$A$2:$A$64,0))="","",INDEX(Resources!$D$2:$D$64,MATCH($D289,Resources!$A$2:$A$64,0))),"")</f>
        <v>Est. Required Labor</v>
      </c>
      <c r="L289" s="28" t="n">
        <f aca="false">IF(K289="","",J289*INDEX(Resources!$E$2:$E$64,MATCH($D289,Resources!$A$2:$A$64,0)))</f>
        <v>0</v>
      </c>
      <c r="M289" s="6" t="str">
        <f aca="false">B289&amp;"|"&amp;D289&amp;"|"&amp;C289</f>
        <v>Broadfork|Labor|Input</v>
      </c>
      <c r="N289" s="6" t="s">
        <v>940</v>
      </c>
    </row>
    <row r="290" customFormat="false" ht="15" hidden="false" customHeight="true" outlineLevel="0" collapsed="false">
      <c r="A290" s="6" t="s">
        <v>1258</v>
      </c>
      <c r="B290" s="6" t="s">
        <v>455</v>
      </c>
      <c r="C290" s="6" t="s">
        <v>938</v>
      </c>
      <c r="D290" s="6" t="s">
        <v>329</v>
      </c>
      <c r="E290" s="26" t="n">
        <v>2</v>
      </c>
      <c r="F290" s="6" t="str">
        <f aca="false">IFERROR(INDEX(Resources!$B$2:$B$64,MATCH($D290,Resources!$A$2:$A$64,0)),"?")</f>
        <v>cu ft</v>
      </c>
      <c r="G290" s="6" t="s">
        <v>945</v>
      </c>
      <c r="H290" s="27" t="n">
        <f aca="false">E290*INDEX(Assumptions!$D$17:$D$23,MATCH(G290,Assumptions!$B$17:$B$23,0))</f>
        <v>2</v>
      </c>
      <c r="I290" s="6" t="n">
        <f aca="false">IFERROR(INDEX(Systems!$R$2:$R$179,MATCH($B290,Systems!$B$2:$B$179,0)),0)</f>
        <v>0</v>
      </c>
      <c r="J290" s="27" t="n">
        <f aca="false">H290*I290</f>
        <v>0</v>
      </c>
      <c r="K290" s="6" t="str">
        <f aca="false">IFERROR(IF(INDEX(Resources!$D$2:$D$64,MATCH($D290,Resources!$A$2:$A$64,0))="","",INDEX(Resources!$D$2:$D$64,MATCH($D290,Resources!$A$2:$A$64,0))),"")</f>
        <v/>
      </c>
      <c r="L290" s="28" t="str">
        <f aca="false">IF(K290="","",J290*INDEX(Resources!$E$2:$E$64,MATCH($D290,Resources!$A$2:$A$64,0)))</f>
        <v/>
      </c>
      <c r="M290" s="6" t="str">
        <f aca="false">B290&amp;"|"&amp;D290&amp;"|"&amp;C290</f>
        <v>Broadfork|Storage space|Input</v>
      </c>
    </row>
    <row r="291" customFormat="false" ht="15" hidden="false" customHeight="true" outlineLevel="0" collapsed="false">
      <c r="A291" s="6" t="s">
        <v>1259</v>
      </c>
      <c r="B291" s="6" t="s">
        <v>455</v>
      </c>
      <c r="C291" s="6" t="s">
        <v>943</v>
      </c>
      <c r="D291" s="6" t="s">
        <v>900</v>
      </c>
      <c r="E291" s="26" t="n">
        <v>20</v>
      </c>
      <c r="F291" s="6" t="str">
        <f aca="false">IFERROR(INDEX(Resources!$B$2:$B$64,MATCH($D291,Resources!$A$2:$A$64,0)),"?")</f>
        <v>cu ft</v>
      </c>
      <c r="G291" s="6" t="s">
        <v>939</v>
      </c>
      <c r="H291" s="27" t="n">
        <f aca="false">E291*INDEX(Assumptions!$D$17:$D$23,MATCH(G291,Assumptions!$B$17:$B$23,0))</f>
        <v>20</v>
      </c>
      <c r="I291" s="6" t="n">
        <f aca="false">IFERROR(INDEX(Systems!$R$2:$R$179,MATCH($B291,Systems!$B$2:$B$179,0)),0)</f>
        <v>0</v>
      </c>
      <c r="J291" s="27" t="n">
        <f aca="false">H291*I291</f>
        <v>0</v>
      </c>
      <c r="K291" s="6" t="str">
        <f aca="false">IFERROR(IF(INDEX(Resources!$D$2:$D$64,MATCH($D291,Resources!$A$2:$A$64,0))="","",INDEX(Resources!$D$2:$D$64,MATCH($D291,Resources!$A$2:$A$64,0))),"")</f>
        <v/>
      </c>
      <c r="L291" s="28" t="str">
        <f aca="false">IF(K291="","",J291*INDEX(Resources!$E$2:$E$64,MATCH($D291,Resources!$A$2:$A$64,0)))</f>
        <v/>
      </c>
      <c r="M291" s="6" t="str">
        <f aca="false">B291&amp;"|"&amp;D291&amp;"|"&amp;C291</f>
        <v>Broadfork|Soil|Output</v>
      </c>
    </row>
    <row r="292" customFormat="false" ht="15" hidden="false" customHeight="true" outlineLevel="0" collapsed="false">
      <c r="A292" s="6" t="s">
        <v>1260</v>
      </c>
      <c r="B292" s="6" t="s">
        <v>455</v>
      </c>
      <c r="C292" s="6" t="s">
        <v>943</v>
      </c>
      <c r="D292" s="6" t="s">
        <v>462</v>
      </c>
      <c r="E292" s="26" t="n">
        <v>1</v>
      </c>
      <c r="F292" s="6" t="str">
        <f aca="false">IFERROR(INDEX(Resources!$B$2:$B$64,MATCH($D292,Resources!$A$2:$A$64,0)),"?")</f>
        <v>points</v>
      </c>
      <c r="G292" s="6" t="s">
        <v>939</v>
      </c>
      <c r="H292" s="27" t="n">
        <f aca="false">E292*INDEX(Assumptions!$D$17:$D$23,MATCH(G292,Assumptions!$B$17:$B$23,0))</f>
        <v>1</v>
      </c>
      <c r="I292" s="6" t="n">
        <f aca="false">IFERROR(INDEX(Systems!$R$2:$R$179,MATCH($B292,Systems!$B$2:$B$179,0)),0)</f>
        <v>0</v>
      </c>
      <c r="J292" s="27" t="n">
        <f aca="false">H292*I292</f>
        <v>0</v>
      </c>
      <c r="K292" s="6" t="str">
        <f aca="false">IFERROR(IF(INDEX(Resources!$D$2:$D$64,MATCH($D292,Resources!$A$2:$A$64,0))="","",INDEX(Resources!$D$2:$D$64,MATCH($D292,Resources!$A$2:$A$64,0))),"")</f>
        <v/>
      </c>
      <c r="L292" s="28" t="str">
        <f aca="false">IF(K292="","",J292*INDEX(Resources!$E$2:$E$64,MATCH($D292,Resources!$A$2:$A$64,0)))</f>
        <v/>
      </c>
      <c r="M292" s="6" t="str">
        <f aca="false">B292&amp;"|"&amp;D292&amp;"|"&amp;C292</f>
        <v>Broadfork|Wellbeing|Output</v>
      </c>
    </row>
    <row r="293" customFormat="false" ht="15" hidden="false" customHeight="true" outlineLevel="0" collapsed="false">
      <c r="A293" s="6" t="s">
        <v>1261</v>
      </c>
      <c r="B293" s="6" t="s">
        <v>460</v>
      </c>
      <c r="C293" s="6" t="s">
        <v>938</v>
      </c>
      <c r="D293" s="6" t="s">
        <v>71</v>
      </c>
      <c r="E293" s="26" t="n">
        <v>1</v>
      </c>
      <c r="F293" s="6" t="str">
        <f aca="false">IFERROR(INDEX(Resources!$B$2:$B$64,MATCH($D293,Resources!$A$2:$A$64,0)),"?")</f>
        <v>hours</v>
      </c>
      <c r="G293" s="6" t="s">
        <v>939</v>
      </c>
      <c r="H293" s="27" t="n">
        <f aca="false">E293*INDEX(Assumptions!$D$17:$D$23,MATCH(G293,Assumptions!$B$17:$B$23,0))</f>
        <v>1</v>
      </c>
      <c r="I293" s="6" t="n">
        <f aca="false">IFERROR(INDEX(Systems!$R$2:$R$179,MATCH($B293,Systems!$B$2:$B$179,0)),0)</f>
        <v>0</v>
      </c>
      <c r="J293" s="27" t="n">
        <f aca="false">H293*I293</f>
        <v>0</v>
      </c>
      <c r="K293" s="6" t="str">
        <f aca="false">IFERROR(IF(INDEX(Resources!$D$2:$D$64,MATCH($D293,Resources!$A$2:$A$64,0))="","",INDEX(Resources!$D$2:$D$64,MATCH($D293,Resources!$A$2:$A$64,0))),"")</f>
        <v>Est. Required Labor</v>
      </c>
      <c r="L293" s="28" t="n">
        <f aca="false">IF(K293="","",J293*INDEX(Resources!$E$2:$E$64,MATCH($D293,Resources!$A$2:$A$64,0)))</f>
        <v>0</v>
      </c>
      <c r="M293" s="6" t="str">
        <f aca="false">B293&amp;"|"&amp;D293&amp;"|"&amp;C293</f>
        <v>Permaculture Library|Labor|Input</v>
      </c>
      <c r="N293" s="6" t="s">
        <v>940</v>
      </c>
    </row>
    <row r="294" customFormat="false" ht="15" hidden="false" customHeight="true" outlineLevel="0" collapsed="false">
      <c r="A294" s="6" t="s">
        <v>1262</v>
      </c>
      <c r="B294" s="6" t="s">
        <v>460</v>
      </c>
      <c r="C294" s="6" t="s">
        <v>943</v>
      </c>
      <c r="D294" s="6" t="s">
        <v>462</v>
      </c>
      <c r="E294" s="26" t="n">
        <v>10</v>
      </c>
      <c r="F294" s="6" t="str">
        <f aca="false">IFERROR(INDEX(Resources!$B$2:$B$64,MATCH($D294,Resources!$A$2:$A$64,0)),"?")</f>
        <v>points</v>
      </c>
      <c r="G294" s="6" t="s">
        <v>939</v>
      </c>
      <c r="H294" s="27" t="n">
        <f aca="false">E294*INDEX(Assumptions!$D$17:$D$23,MATCH(G294,Assumptions!$B$17:$B$23,0))</f>
        <v>10</v>
      </c>
      <c r="I294" s="6" t="n">
        <f aca="false">IFERROR(INDEX(Systems!$R$2:$R$179,MATCH($B294,Systems!$B$2:$B$179,0)),0)</f>
        <v>0</v>
      </c>
      <c r="J294" s="27" t="n">
        <f aca="false">H294*I294</f>
        <v>0</v>
      </c>
      <c r="K294" s="6" t="str">
        <f aca="false">IFERROR(IF(INDEX(Resources!$D$2:$D$64,MATCH($D294,Resources!$A$2:$A$64,0))="","",INDEX(Resources!$D$2:$D$64,MATCH($D294,Resources!$A$2:$A$64,0))),"")</f>
        <v/>
      </c>
      <c r="L294" s="28" t="str">
        <f aca="false">IF(K294="","",J294*INDEX(Resources!$E$2:$E$64,MATCH($D294,Resources!$A$2:$A$64,0)))</f>
        <v/>
      </c>
      <c r="M294" s="6" t="str">
        <f aca="false">B294&amp;"|"&amp;D294&amp;"|"&amp;C294</f>
        <v>Permaculture Library|Wellbeing|Output</v>
      </c>
    </row>
    <row r="295" customFormat="false" ht="15" hidden="false" customHeight="true" outlineLevel="0" collapsed="false">
      <c r="A295" s="6" t="s">
        <v>1263</v>
      </c>
      <c r="B295" s="6" t="s">
        <v>464</v>
      </c>
      <c r="C295" s="6" t="s">
        <v>938</v>
      </c>
      <c r="D295" s="6" t="s">
        <v>71</v>
      </c>
      <c r="E295" s="26" t="n">
        <v>0.25</v>
      </c>
      <c r="F295" s="6" t="str">
        <f aca="false">IFERROR(INDEX(Resources!$B$2:$B$64,MATCH($D295,Resources!$A$2:$A$64,0)),"?")</f>
        <v>hours</v>
      </c>
      <c r="G295" s="6" t="s">
        <v>939</v>
      </c>
      <c r="H295" s="27" t="n">
        <f aca="false">E295*INDEX(Assumptions!$D$17:$D$23,MATCH(G295,Assumptions!$B$17:$B$23,0))</f>
        <v>0.25</v>
      </c>
      <c r="I295" s="6" t="n">
        <f aca="false">IFERROR(INDEX(Systems!$R$2:$R$179,MATCH($B295,Systems!$B$2:$B$179,0)),0)</f>
        <v>0</v>
      </c>
      <c r="J295" s="27" t="n">
        <f aca="false">H295*I295</f>
        <v>0</v>
      </c>
      <c r="K295" s="6" t="str">
        <f aca="false">IFERROR(IF(INDEX(Resources!$D$2:$D$64,MATCH($D295,Resources!$A$2:$A$64,0))="","",INDEX(Resources!$D$2:$D$64,MATCH($D295,Resources!$A$2:$A$64,0))),"")</f>
        <v>Est. Required Labor</v>
      </c>
      <c r="L295" s="28" t="n">
        <f aca="false">IF(K295="","",J295*INDEX(Resources!$E$2:$E$64,MATCH($D295,Resources!$A$2:$A$64,0)))</f>
        <v>0</v>
      </c>
      <c r="M295" s="6" t="str">
        <f aca="false">B295&amp;"|"&amp;D295&amp;"|"&amp;C295</f>
        <v>Concentrated Sunlight Oven|Labor|Input</v>
      </c>
      <c r="N295" s="6" t="s">
        <v>940</v>
      </c>
    </row>
    <row r="296" customFormat="false" ht="15" hidden="false" customHeight="true" outlineLevel="0" collapsed="false">
      <c r="A296" s="6" t="s">
        <v>1264</v>
      </c>
      <c r="B296" s="6" t="s">
        <v>464</v>
      </c>
      <c r="C296" s="6" t="s">
        <v>938</v>
      </c>
      <c r="D296" s="6" t="s">
        <v>165</v>
      </c>
      <c r="E296" s="29" t="n">
        <f aca="false">Assumptions!$C$6*7</f>
        <v>35</v>
      </c>
      <c r="F296" s="6" t="str">
        <f aca="false">IFERROR(INDEX(Resources!$B$2:$B$64,MATCH($D296,Resources!$A$2:$A$64,0)),"?")</f>
        <v>sun-hours</v>
      </c>
      <c r="G296" s="6" t="s">
        <v>939</v>
      </c>
      <c r="H296" s="27" t="n">
        <f aca="false">E296*INDEX(Assumptions!$D$17:$D$23,MATCH(G296,Assumptions!$B$17:$B$23,0))</f>
        <v>35</v>
      </c>
      <c r="I296" s="6" t="n">
        <f aca="false">IFERROR(INDEX(Systems!$R$2:$R$179,MATCH($B296,Systems!$B$2:$B$179,0)),0)</f>
        <v>0</v>
      </c>
      <c r="J296" s="27" t="n">
        <f aca="false">H296*I296</f>
        <v>0</v>
      </c>
      <c r="K296" s="6" t="str">
        <f aca="false">IFERROR(IF(INDEX(Resources!$D$2:$D$64,MATCH($D296,Resources!$A$2:$A$64,0))="","",INDEX(Resources!$D$2:$D$64,MATCH($D296,Resources!$A$2:$A$64,0))),"")</f>
        <v/>
      </c>
      <c r="L296" s="28" t="str">
        <f aca="false">IF(K296="","",J296*INDEX(Resources!$E$2:$E$64,MATCH($D296,Resources!$A$2:$A$64,0)))</f>
        <v/>
      </c>
      <c r="M296" s="6" t="str">
        <f aca="false">B296&amp;"|"&amp;D296&amp;"|"&amp;C296</f>
        <v>Concentrated Sunlight Oven|Sunlight|Input</v>
      </c>
      <c r="N296" s="6" t="s">
        <v>948</v>
      </c>
    </row>
    <row r="297" customFormat="false" ht="15" hidden="false" customHeight="true" outlineLevel="0" collapsed="false">
      <c r="A297" s="6" t="s">
        <v>1265</v>
      </c>
      <c r="B297" s="6" t="s">
        <v>464</v>
      </c>
      <c r="C297" s="6" t="s">
        <v>943</v>
      </c>
      <c r="D297" s="6" t="s">
        <v>63</v>
      </c>
      <c r="E297" s="26" t="n">
        <v>10</v>
      </c>
      <c r="F297" s="6" t="str">
        <f aca="false">IFERROR(INDEX(Resources!$B$2:$B$64,MATCH($D297,Resources!$A$2:$A$64,0)),"?")</f>
        <v>hours</v>
      </c>
      <c r="G297" s="6" t="s">
        <v>939</v>
      </c>
      <c r="H297" s="27" t="n">
        <f aca="false">E297*INDEX(Assumptions!$D$17:$D$23,MATCH(G297,Assumptions!$B$17:$B$23,0))</f>
        <v>10</v>
      </c>
      <c r="I297" s="6" t="n">
        <f aca="false">IFERROR(INDEX(Systems!$R$2:$R$179,MATCH($B297,Systems!$B$2:$B$179,0)),0)</f>
        <v>0</v>
      </c>
      <c r="J297" s="27" t="n">
        <f aca="false">H297*I297</f>
        <v>0</v>
      </c>
      <c r="K297" s="6" t="str">
        <f aca="false">IFERROR(IF(INDEX(Resources!$D$2:$D$64,MATCH($D297,Resources!$A$2:$A$64,0))="","",INDEX(Resources!$D$2:$D$64,MATCH($D297,Resources!$A$2:$A$64,0))),"")</f>
        <v>Cooking fuel</v>
      </c>
      <c r="L297" s="28" t="n">
        <f aca="false">IF(K297="","",J297*INDEX(Resources!$E$2:$E$64,MATCH($D297,Resources!$A$2:$A$64,0)))</f>
        <v>0</v>
      </c>
      <c r="M297" s="6" t="str">
        <f aca="false">B297&amp;"|"&amp;D297&amp;"|"&amp;C297</f>
        <v>Concentrated Sunlight Oven|Cooking fuel|Output</v>
      </c>
    </row>
    <row r="298" customFormat="false" ht="15" hidden="false" customHeight="true" outlineLevel="0" collapsed="false">
      <c r="A298" s="6" t="s">
        <v>1266</v>
      </c>
      <c r="B298" s="6" t="s">
        <v>468</v>
      </c>
      <c r="C298" s="6" t="s">
        <v>938</v>
      </c>
      <c r="D298" s="6" t="s">
        <v>71</v>
      </c>
      <c r="E298" s="26" t="n">
        <v>1</v>
      </c>
      <c r="F298" s="6" t="str">
        <f aca="false">IFERROR(INDEX(Resources!$B$2:$B$64,MATCH($D298,Resources!$A$2:$A$64,0)),"?")</f>
        <v>hours</v>
      </c>
      <c r="G298" s="6" t="s">
        <v>939</v>
      </c>
      <c r="H298" s="27" t="n">
        <f aca="false">E298*INDEX(Assumptions!$D$17:$D$23,MATCH(G298,Assumptions!$B$17:$B$23,0))</f>
        <v>1</v>
      </c>
      <c r="I298" s="6" t="n">
        <f aca="false">IFERROR(INDEX(Systems!$R$2:$R$179,MATCH($B298,Systems!$B$2:$B$179,0)),0)</f>
        <v>0</v>
      </c>
      <c r="J298" s="27" t="n">
        <f aca="false">H298*I298</f>
        <v>0</v>
      </c>
      <c r="K298" s="6" t="str">
        <f aca="false">IFERROR(IF(INDEX(Resources!$D$2:$D$64,MATCH($D298,Resources!$A$2:$A$64,0))="","",INDEX(Resources!$D$2:$D$64,MATCH($D298,Resources!$A$2:$A$64,0))),"")</f>
        <v>Est. Required Labor</v>
      </c>
      <c r="L298" s="28" t="n">
        <f aca="false">IF(K298="","",J298*INDEX(Resources!$E$2:$E$64,MATCH($D298,Resources!$A$2:$A$64,0)))</f>
        <v>0</v>
      </c>
      <c r="M298" s="6" t="str">
        <f aca="false">B298&amp;"|"&amp;D298&amp;"|"&amp;C298</f>
        <v>Methane BioGas Generator|Labor|Input</v>
      </c>
      <c r="N298" s="6" t="s">
        <v>940</v>
      </c>
    </row>
    <row r="299" customFormat="false" ht="15" hidden="false" customHeight="true" outlineLevel="0" collapsed="false">
      <c r="A299" s="6" t="s">
        <v>1267</v>
      </c>
      <c r="B299" s="6" t="s">
        <v>468</v>
      </c>
      <c r="C299" s="6" t="s">
        <v>938</v>
      </c>
      <c r="D299" s="6" t="s">
        <v>325</v>
      </c>
      <c r="E299" s="26" t="n">
        <v>14</v>
      </c>
      <c r="F299" s="6" t="str">
        <f aca="false">IFERROR(INDEX(Resources!$B$2:$B$64,MATCH($D299,Resources!$A$2:$A$64,0)),"?")</f>
        <v>lbs</v>
      </c>
      <c r="G299" s="6" t="s">
        <v>939</v>
      </c>
      <c r="H299" s="27" t="n">
        <f aca="false">E299*INDEX(Assumptions!$D$17:$D$23,MATCH(G299,Assumptions!$B$17:$B$23,0))</f>
        <v>14</v>
      </c>
      <c r="I299" s="6" t="n">
        <f aca="false">IFERROR(INDEX(Systems!$R$2:$R$179,MATCH($B299,Systems!$B$2:$B$179,0)),0)</f>
        <v>0</v>
      </c>
      <c r="J299" s="27" t="n">
        <f aca="false">H299*I299</f>
        <v>0</v>
      </c>
      <c r="K299" s="6" t="str">
        <f aca="false">IFERROR(IF(INDEX(Resources!$D$2:$D$64,MATCH($D299,Resources!$A$2:$A$64,0))="","",INDEX(Resources!$D$2:$D$64,MATCH($D299,Resources!$A$2:$A$64,0))),"")</f>
        <v/>
      </c>
      <c r="L299" s="28" t="str">
        <f aca="false">IF(K299="","",J299*INDEX(Resources!$E$2:$E$64,MATCH($D299,Resources!$A$2:$A$64,0)))</f>
        <v/>
      </c>
      <c r="M299" s="6" t="str">
        <f aca="false">B299&amp;"|"&amp;D299&amp;"|"&amp;C299</f>
        <v>Methane BioGas Generator|Food waste|Input</v>
      </c>
    </row>
    <row r="300" customFormat="false" ht="15" hidden="false" customHeight="true" outlineLevel="0" collapsed="false">
      <c r="A300" s="6" t="s">
        <v>1268</v>
      </c>
      <c r="B300" s="6" t="s">
        <v>468</v>
      </c>
      <c r="C300" s="6" t="s">
        <v>938</v>
      </c>
      <c r="D300" s="6" t="s">
        <v>240</v>
      </c>
      <c r="E300" s="26" t="n">
        <v>20</v>
      </c>
      <c r="F300" s="6" t="str">
        <f aca="false">IFERROR(INDEX(Resources!$B$2:$B$64,MATCH($D300,Resources!$A$2:$A$64,0)),"?")</f>
        <v>lbs</v>
      </c>
      <c r="G300" s="6" t="s">
        <v>939</v>
      </c>
      <c r="H300" s="27" t="n">
        <f aca="false">E300*INDEX(Assumptions!$D$17:$D$23,MATCH(G300,Assumptions!$B$17:$B$23,0))</f>
        <v>20</v>
      </c>
      <c r="I300" s="6" t="n">
        <f aca="false">IFERROR(INDEX(Systems!$R$2:$R$179,MATCH($B300,Systems!$B$2:$B$179,0)),0)</f>
        <v>0</v>
      </c>
      <c r="J300" s="27" t="n">
        <f aca="false">H300*I300</f>
        <v>0</v>
      </c>
      <c r="K300" s="6" t="str">
        <f aca="false">IFERROR(IF(INDEX(Resources!$D$2:$D$64,MATCH($D300,Resources!$A$2:$A$64,0))="","",INDEX(Resources!$D$2:$D$64,MATCH($D300,Resources!$A$2:$A$64,0))),"")</f>
        <v/>
      </c>
      <c r="L300" s="28" t="str">
        <f aca="false">IF(K300="","",J300*INDEX(Resources!$E$2:$E$64,MATCH($D300,Resources!$A$2:$A$64,0)))</f>
        <v/>
      </c>
      <c r="M300" s="6" t="str">
        <f aca="false">B300&amp;"|"&amp;D300&amp;"|"&amp;C300</f>
        <v>Methane BioGas Generator|Manure|Input</v>
      </c>
    </row>
    <row r="301" customFormat="false" ht="15" hidden="false" customHeight="true" outlineLevel="0" collapsed="false">
      <c r="A301" s="6" t="s">
        <v>1269</v>
      </c>
      <c r="B301" s="6" t="s">
        <v>468</v>
      </c>
      <c r="C301" s="6" t="s">
        <v>938</v>
      </c>
      <c r="D301" s="6" t="s">
        <v>49</v>
      </c>
      <c r="E301" s="26" t="n">
        <v>20</v>
      </c>
      <c r="F301" s="6" t="str">
        <f aca="false">IFERROR(INDEX(Resources!$B$2:$B$64,MATCH($D301,Resources!$A$2:$A$64,0)),"?")</f>
        <v>gal</v>
      </c>
      <c r="G301" s="6" t="s">
        <v>939</v>
      </c>
      <c r="H301" s="27" t="n">
        <f aca="false">E301*INDEX(Assumptions!$D$17:$D$23,MATCH(G301,Assumptions!$B$17:$B$23,0))</f>
        <v>20</v>
      </c>
      <c r="I301" s="6" t="n">
        <f aca="false">IFERROR(INDEX(Systems!$R$2:$R$179,MATCH($B301,Systems!$B$2:$B$179,0)),0)</f>
        <v>0</v>
      </c>
      <c r="J301" s="27" t="n">
        <f aca="false">H301*I301</f>
        <v>0</v>
      </c>
      <c r="K301" s="6" t="str">
        <f aca="false">IFERROR(IF(INDEX(Resources!$D$2:$D$64,MATCH($D301,Resources!$A$2:$A$64,0))="","",INDEX(Resources!$D$2:$D$64,MATCH($D301,Resources!$A$2:$A$64,0))),"")</f>
        <v>Water</v>
      </c>
      <c r="L301" s="28" t="n">
        <f aca="false">IF(K301="","",J301*INDEX(Resources!$E$2:$E$64,MATCH($D301,Resources!$A$2:$A$64,0)))</f>
        <v>0</v>
      </c>
      <c r="M301" s="6" t="str">
        <f aca="false">B301&amp;"|"&amp;D301&amp;"|"&amp;C301</f>
        <v>Methane BioGas Generator|Water|Input</v>
      </c>
    </row>
    <row r="302" customFormat="false" ht="15" hidden="false" customHeight="true" outlineLevel="0" collapsed="false">
      <c r="A302" s="6" t="s">
        <v>1270</v>
      </c>
      <c r="B302" s="6" t="s">
        <v>468</v>
      </c>
      <c r="C302" s="6" t="s">
        <v>938</v>
      </c>
      <c r="D302" s="6" t="s">
        <v>341</v>
      </c>
      <c r="E302" s="26" t="n">
        <v>17.5</v>
      </c>
      <c r="F302" s="6" t="str">
        <f aca="false">IFERROR(INDEX(Resources!$B$2:$B$64,MATCH($D302,Resources!$A$2:$A$64,0)),"?")</f>
        <v>lbs</v>
      </c>
      <c r="G302" s="6" t="s">
        <v>939</v>
      </c>
      <c r="H302" s="27" t="n">
        <f aca="false">E302*INDEX(Assumptions!$D$17:$D$23,MATCH(G302,Assumptions!$B$17:$B$23,0))</f>
        <v>17.5</v>
      </c>
      <c r="I302" s="6" t="n">
        <f aca="false">IFERROR(INDEX(Systems!$R$2:$R$179,MATCH($B302,Systems!$B$2:$B$179,0)),0)</f>
        <v>0</v>
      </c>
      <c r="J302" s="27" t="n">
        <f aca="false">H302*I302</f>
        <v>0</v>
      </c>
      <c r="K302" s="6" t="str">
        <f aca="false">IFERROR(IF(INDEX(Resources!$D$2:$D$64,MATCH($D302,Resources!$A$2:$A$64,0))="","",INDEX(Resources!$D$2:$D$64,MATCH($D302,Resources!$A$2:$A$64,0))),"")</f>
        <v/>
      </c>
      <c r="L302" s="28" t="str">
        <f aca="false">IF(K302="","",J302*INDEX(Resources!$E$2:$E$64,MATCH($D302,Resources!$A$2:$A$64,0)))</f>
        <v/>
      </c>
      <c r="M302" s="6" t="str">
        <f aca="false">B302&amp;"|"&amp;D302&amp;"|"&amp;C302</f>
        <v>Methane BioGas Generator|Organic waste|Input</v>
      </c>
    </row>
    <row r="303" customFormat="false" ht="15" hidden="false" customHeight="true" outlineLevel="0" collapsed="false">
      <c r="A303" s="6" t="s">
        <v>1271</v>
      </c>
      <c r="B303" s="6" t="s">
        <v>468</v>
      </c>
      <c r="C303" s="6" t="s">
        <v>943</v>
      </c>
      <c r="D303" s="6" t="s">
        <v>63</v>
      </c>
      <c r="E303" s="26" t="n">
        <v>14</v>
      </c>
      <c r="F303" s="6" t="str">
        <f aca="false">IFERROR(INDEX(Resources!$B$2:$B$64,MATCH($D303,Resources!$A$2:$A$64,0)),"?")</f>
        <v>hours</v>
      </c>
      <c r="G303" s="6" t="s">
        <v>939</v>
      </c>
      <c r="H303" s="27" t="n">
        <f aca="false">E303*INDEX(Assumptions!$D$17:$D$23,MATCH(G303,Assumptions!$B$17:$B$23,0))</f>
        <v>14</v>
      </c>
      <c r="I303" s="6" t="n">
        <f aca="false">IFERROR(INDEX(Systems!$R$2:$R$179,MATCH($B303,Systems!$B$2:$B$179,0)),0)</f>
        <v>0</v>
      </c>
      <c r="J303" s="27" t="n">
        <f aca="false">H303*I303</f>
        <v>0</v>
      </c>
      <c r="K303" s="6" t="str">
        <f aca="false">IFERROR(IF(INDEX(Resources!$D$2:$D$64,MATCH($D303,Resources!$A$2:$A$64,0))="","",INDEX(Resources!$D$2:$D$64,MATCH($D303,Resources!$A$2:$A$64,0))),"")</f>
        <v>Cooking fuel</v>
      </c>
      <c r="L303" s="28" t="n">
        <f aca="false">IF(K303="","",J303*INDEX(Resources!$E$2:$E$64,MATCH($D303,Resources!$A$2:$A$64,0)))</f>
        <v>0</v>
      </c>
      <c r="M303" s="6" t="str">
        <f aca="false">B303&amp;"|"&amp;D303&amp;"|"&amp;C303</f>
        <v>Methane BioGas Generator|Cooking fuel|Output</v>
      </c>
    </row>
    <row r="304" customFormat="false" ht="15" hidden="false" customHeight="true" outlineLevel="0" collapsed="false">
      <c r="A304" s="6" t="s">
        <v>1272</v>
      </c>
      <c r="B304" s="6" t="s">
        <v>468</v>
      </c>
      <c r="C304" s="6" t="s">
        <v>943</v>
      </c>
      <c r="D304" s="6" t="s">
        <v>410</v>
      </c>
      <c r="E304" s="26" t="n">
        <v>25</v>
      </c>
      <c r="F304" s="6" t="str">
        <f aca="false">IFERROR(INDEX(Resources!$B$2:$B$64,MATCH($D304,Resources!$A$2:$A$64,0)),"?")</f>
        <v>gal</v>
      </c>
      <c r="G304" s="6" t="s">
        <v>939</v>
      </c>
      <c r="H304" s="27" t="n">
        <f aca="false">E304*INDEX(Assumptions!$D$17:$D$23,MATCH(G304,Assumptions!$B$17:$B$23,0))</f>
        <v>25</v>
      </c>
      <c r="I304" s="6" t="n">
        <f aca="false">IFERROR(INDEX(Systems!$R$2:$R$179,MATCH($B304,Systems!$B$2:$B$179,0)),0)</f>
        <v>0</v>
      </c>
      <c r="J304" s="27" t="n">
        <f aca="false">H304*I304</f>
        <v>0</v>
      </c>
      <c r="K304" s="6" t="str">
        <f aca="false">IFERROR(IF(INDEX(Resources!$D$2:$D$64,MATCH($D304,Resources!$A$2:$A$64,0))="","",INDEX(Resources!$D$2:$D$64,MATCH($D304,Resources!$A$2:$A$64,0))),"")</f>
        <v/>
      </c>
      <c r="L304" s="28" t="str">
        <f aca="false">IF(K304="","",J304*INDEX(Resources!$E$2:$E$64,MATCH($D304,Resources!$A$2:$A$64,0)))</f>
        <v/>
      </c>
      <c r="M304" s="6" t="str">
        <f aca="false">B304&amp;"|"&amp;D304&amp;"|"&amp;C304</f>
        <v>Methane BioGas Generator|Liquid fertilizer|Output</v>
      </c>
    </row>
    <row r="305" customFormat="false" ht="15" hidden="false" customHeight="true" outlineLevel="0" collapsed="false">
      <c r="A305" s="6" t="s">
        <v>1273</v>
      </c>
      <c r="B305" s="6" t="s">
        <v>468</v>
      </c>
      <c r="C305" s="6" t="s">
        <v>943</v>
      </c>
      <c r="D305" s="6" t="s">
        <v>57</v>
      </c>
      <c r="E305" s="26" t="n">
        <v>17.5</v>
      </c>
      <c r="F305" s="6" t="str">
        <f aca="false">IFERROR(INDEX(Resources!$B$2:$B$64,MATCH($D305,Resources!$A$2:$A$64,0)),"?")</f>
        <v>lbs</v>
      </c>
      <c r="G305" s="6" t="s">
        <v>939</v>
      </c>
      <c r="H305" s="27" t="n">
        <f aca="false">E305*INDEX(Assumptions!$D$17:$D$23,MATCH(G305,Assumptions!$B$17:$B$23,0))</f>
        <v>17.5</v>
      </c>
      <c r="I305" s="6" t="n">
        <f aca="false">IFERROR(INDEX(Systems!$R$2:$R$179,MATCH($B305,Systems!$B$2:$B$179,0)),0)</f>
        <v>0</v>
      </c>
      <c r="J305" s="27" t="n">
        <f aca="false">H305*I305</f>
        <v>0</v>
      </c>
      <c r="K305" s="6" t="str">
        <f aca="false">IFERROR(IF(INDEX(Resources!$D$2:$D$64,MATCH($D305,Resources!$A$2:$A$64,0))="","",INDEX(Resources!$D$2:$D$64,MATCH($D305,Resources!$A$2:$A$64,0))),"")</f>
        <v>Sanitation</v>
      </c>
      <c r="L305" s="28" t="n">
        <f aca="false">IF(K305="","",J305*INDEX(Resources!$E$2:$E$64,MATCH($D305,Resources!$A$2:$A$64,0)))</f>
        <v>0</v>
      </c>
      <c r="M305" s="6" t="str">
        <f aca="false">B305&amp;"|"&amp;D305&amp;"|"&amp;C305</f>
        <v>Methane BioGas Generator|Sanitation|Output</v>
      </c>
    </row>
    <row r="306" customFormat="false" ht="15" hidden="false" customHeight="true" outlineLevel="0" collapsed="false">
      <c r="A306" s="6" t="s">
        <v>1274</v>
      </c>
      <c r="B306" s="6" t="s">
        <v>476</v>
      </c>
      <c r="C306" s="6" t="s">
        <v>938</v>
      </c>
      <c r="D306" s="6" t="s">
        <v>71</v>
      </c>
      <c r="E306" s="26" t="n">
        <v>0.05</v>
      </c>
      <c r="F306" s="6" t="str">
        <f aca="false">IFERROR(INDEX(Resources!$B$2:$B$64,MATCH($D306,Resources!$A$2:$A$64,0)),"?")</f>
        <v>hours</v>
      </c>
      <c r="G306" s="6" t="s">
        <v>939</v>
      </c>
      <c r="H306" s="27" t="n">
        <f aca="false">E306*INDEX(Assumptions!$D$17:$D$23,MATCH(G306,Assumptions!$B$17:$B$23,0))</f>
        <v>0.05</v>
      </c>
      <c r="I306" s="6" t="n">
        <f aca="false">IFERROR(INDEX(Systems!$R$2:$R$179,MATCH($B306,Systems!$B$2:$B$179,0)),0)</f>
        <v>0</v>
      </c>
      <c r="J306" s="27" t="n">
        <f aca="false">H306*I306</f>
        <v>0</v>
      </c>
      <c r="K306" s="6" t="str">
        <f aca="false">IFERROR(IF(INDEX(Resources!$D$2:$D$64,MATCH($D306,Resources!$A$2:$A$64,0))="","",INDEX(Resources!$D$2:$D$64,MATCH($D306,Resources!$A$2:$A$64,0))),"")</f>
        <v>Est. Required Labor</v>
      </c>
      <c r="L306" s="28" t="n">
        <f aca="false">IF(K306="","",J306*INDEX(Resources!$E$2:$E$64,MATCH($D306,Resources!$A$2:$A$64,0)))</f>
        <v>0</v>
      </c>
      <c r="M306" s="6" t="str">
        <f aca="false">B306&amp;"|"&amp;D306&amp;"|"&amp;C306</f>
        <v>GoSun Cooler|Labor|Input</v>
      </c>
      <c r="N306" s="6" t="s">
        <v>940</v>
      </c>
    </row>
    <row r="307" customFormat="false" ht="15" hidden="false" customHeight="true" outlineLevel="0" collapsed="false">
      <c r="A307" s="6" t="s">
        <v>1275</v>
      </c>
      <c r="B307" s="6" t="s">
        <v>476</v>
      </c>
      <c r="C307" s="6" t="s">
        <v>938</v>
      </c>
      <c r="D307" s="6" t="s">
        <v>59</v>
      </c>
      <c r="E307" s="26" t="n">
        <v>3</v>
      </c>
      <c r="F307" s="6" t="str">
        <f aca="false">IFERROR(INDEX(Resources!$B$2:$B$64,MATCH($D307,Resources!$A$2:$A$64,0)),"?")</f>
        <v>kWh</v>
      </c>
      <c r="G307" s="6" t="s">
        <v>939</v>
      </c>
      <c r="H307" s="27" t="n">
        <f aca="false">E307*INDEX(Assumptions!$D$17:$D$23,MATCH(G307,Assumptions!$B$17:$B$23,0))</f>
        <v>3</v>
      </c>
      <c r="I307" s="6" t="n">
        <f aca="false">IFERROR(INDEX(Systems!$R$2:$R$179,MATCH($B307,Systems!$B$2:$B$179,0)),0)</f>
        <v>0</v>
      </c>
      <c r="J307" s="27" t="n">
        <f aca="false">H307*I307</f>
        <v>0</v>
      </c>
      <c r="K307" s="6" t="str">
        <f aca="false">IFERROR(IF(INDEX(Resources!$D$2:$D$64,MATCH($D307,Resources!$A$2:$A$64,0))="","",INDEX(Resources!$D$2:$D$64,MATCH($D307,Resources!$A$2:$A$64,0))),"")</f>
        <v>Electricity</v>
      </c>
      <c r="L307" s="28" t="n">
        <f aca="false">IF(K307="","",J307*INDEX(Resources!$E$2:$E$64,MATCH($D307,Resources!$A$2:$A$64,0)))</f>
        <v>0</v>
      </c>
      <c r="M307" s="6" t="str">
        <f aca="false">B307&amp;"|"&amp;D307&amp;"|"&amp;C307</f>
        <v>GoSun Cooler|Electricity|Input</v>
      </c>
    </row>
    <row r="308" customFormat="false" ht="15" hidden="false" customHeight="true" outlineLevel="0" collapsed="false">
      <c r="A308" s="6" t="s">
        <v>1276</v>
      </c>
      <c r="B308" s="6" t="s">
        <v>476</v>
      </c>
      <c r="C308" s="6" t="s">
        <v>943</v>
      </c>
      <c r="D308" s="6" t="s">
        <v>113</v>
      </c>
      <c r="E308" s="26" t="n">
        <v>1.4</v>
      </c>
      <c r="F308" s="6" t="str">
        <f aca="false">IFERROR(INDEX(Resources!$B$2:$B$64,MATCH($D308,Resources!$A$2:$A$64,0)),"?")</f>
        <v>cu ft</v>
      </c>
      <c r="G308" s="6" t="s">
        <v>945</v>
      </c>
      <c r="H308" s="27" t="n">
        <f aca="false">E308*INDEX(Assumptions!$D$17:$D$23,MATCH(G308,Assumptions!$B$17:$B$23,0))</f>
        <v>1.4</v>
      </c>
      <c r="I308" s="6" t="n">
        <f aca="false">IFERROR(INDEX(Systems!$R$2:$R$179,MATCH($B308,Systems!$B$2:$B$179,0)),0)</f>
        <v>0</v>
      </c>
      <c r="J308" s="27" t="n">
        <f aca="false">H308*I308</f>
        <v>0</v>
      </c>
      <c r="K308" s="6" t="str">
        <f aca="false">IFERROR(IF(INDEX(Resources!$D$2:$D$64,MATCH($D308,Resources!$A$2:$A$64,0))="","",INDEX(Resources!$D$2:$D$64,MATCH($D308,Resources!$A$2:$A$64,0))),"")</f>
        <v/>
      </c>
      <c r="L308" s="28" t="str">
        <f aca="false">IF(K308="","",J308*INDEX(Resources!$E$2:$E$64,MATCH($D308,Resources!$A$2:$A$64,0)))</f>
        <v/>
      </c>
      <c r="M308" s="6" t="str">
        <f aca="false">B308&amp;"|"&amp;D308&amp;"|"&amp;C308</f>
        <v>GoSun Cooler|Food storage|Output</v>
      </c>
    </row>
    <row r="309" customFormat="false" ht="15" hidden="false" customHeight="true" outlineLevel="0" collapsed="false">
      <c r="A309" s="6" t="s">
        <v>1277</v>
      </c>
      <c r="B309" s="6" t="s">
        <v>482</v>
      </c>
      <c r="C309" s="6" t="s">
        <v>938</v>
      </c>
      <c r="D309" s="6" t="s">
        <v>59</v>
      </c>
      <c r="E309" s="26" t="n">
        <v>0.1</v>
      </c>
      <c r="F309" s="6" t="str">
        <f aca="false">IFERROR(INDEX(Resources!$B$2:$B$64,MATCH($D309,Resources!$A$2:$A$64,0)),"?")</f>
        <v>kWh</v>
      </c>
      <c r="G309" s="6" t="s">
        <v>939</v>
      </c>
      <c r="H309" s="27" t="n">
        <f aca="false">E309*INDEX(Assumptions!$D$17:$D$23,MATCH(G309,Assumptions!$B$17:$B$23,0))</f>
        <v>0.1</v>
      </c>
      <c r="I309" s="6" t="n">
        <f aca="false">IFERROR(INDEX(Systems!$R$2:$R$179,MATCH($B309,Systems!$B$2:$B$179,0)),0)</f>
        <v>0</v>
      </c>
      <c r="J309" s="27" t="n">
        <f aca="false">H309*I309</f>
        <v>0</v>
      </c>
      <c r="K309" s="6" t="str">
        <f aca="false">IFERROR(IF(INDEX(Resources!$D$2:$D$64,MATCH($D309,Resources!$A$2:$A$64,0))="","",INDEX(Resources!$D$2:$D$64,MATCH($D309,Resources!$A$2:$A$64,0))),"")</f>
        <v>Electricity</v>
      </c>
      <c r="L309" s="28" t="n">
        <f aca="false">IF(K309="","",J309*INDEX(Resources!$E$2:$E$64,MATCH($D309,Resources!$A$2:$A$64,0)))</f>
        <v>0</v>
      </c>
      <c r="M309" s="6" t="str">
        <f aca="false">B309&amp;"|"&amp;D309&amp;"|"&amp;C309</f>
        <v>GoSun Fan|Electricity|Input</v>
      </c>
    </row>
    <row r="310" customFormat="false" ht="15" hidden="false" customHeight="true" outlineLevel="0" collapsed="false">
      <c r="A310" s="6" t="s">
        <v>1278</v>
      </c>
      <c r="B310" s="6" t="s">
        <v>482</v>
      </c>
      <c r="C310" s="6" t="s">
        <v>943</v>
      </c>
      <c r="D310" s="6" t="s">
        <v>69</v>
      </c>
      <c r="E310" s="26" t="n">
        <v>15000</v>
      </c>
      <c r="F310" s="6" t="str">
        <f aca="false">IFERROR(INDEX(Resources!$B$2:$B$64,MATCH($D310,Resources!$A$2:$A$64,0)),"?")</f>
        <v>BTU</v>
      </c>
      <c r="G310" s="6" t="s">
        <v>939</v>
      </c>
      <c r="H310" s="27" t="n">
        <f aca="false">E310*INDEX(Assumptions!$D$17:$D$23,MATCH(G310,Assumptions!$B$17:$B$23,0))</f>
        <v>15000</v>
      </c>
      <c r="I310" s="6" t="n">
        <f aca="false">IFERROR(INDEX(Systems!$R$2:$R$179,MATCH($B310,Systems!$B$2:$B$179,0)),0)</f>
        <v>0</v>
      </c>
      <c r="J310" s="27" t="n">
        <f aca="false">H310*I310</f>
        <v>0</v>
      </c>
      <c r="K310" s="6" t="str">
        <f aca="false">IFERROR(IF(INDEX(Resources!$D$2:$D$64,MATCH($D310,Resources!$A$2:$A$64,0))="","",INDEX(Resources!$D$2:$D$64,MATCH($D310,Resources!$A$2:$A$64,0))),"")</f>
        <v>Cooled shelter</v>
      </c>
      <c r="L310" s="28" t="n">
        <f aca="false">IF(K310="","",J310*INDEX(Resources!$E$2:$E$64,MATCH($D310,Resources!$A$2:$A$64,0)))</f>
        <v>0</v>
      </c>
      <c r="M310" s="6" t="str">
        <f aca="false">B310&amp;"|"&amp;D310&amp;"|"&amp;C310</f>
        <v>GoSun Fan|Cooling|Output</v>
      </c>
    </row>
    <row r="311" customFormat="false" ht="15" hidden="false" customHeight="true" outlineLevel="0" collapsed="false">
      <c r="A311" s="6" t="s">
        <v>1279</v>
      </c>
      <c r="B311" s="6" t="s">
        <v>487</v>
      </c>
      <c r="C311" s="6" t="s">
        <v>938</v>
      </c>
      <c r="D311" s="6" t="s">
        <v>71</v>
      </c>
      <c r="E311" s="26" t="n">
        <v>0.05</v>
      </c>
      <c r="F311" s="6" t="str">
        <f aca="false">IFERROR(INDEX(Resources!$B$2:$B$64,MATCH($D311,Resources!$A$2:$A$64,0)),"?")</f>
        <v>hours</v>
      </c>
      <c r="G311" s="6" t="s">
        <v>939</v>
      </c>
      <c r="H311" s="27" t="n">
        <f aca="false">E311*INDEX(Assumptions!$D$17:$D$23,MATCH(G311,Assumptions!$B$17:$B$23,0))</f>
        <v>0.05</v>
      </c>
      <c r="I311" s="6" t="n">
        <f aca="false">IFERROR(INDEX(Systems!$R$2:$R$179,MATCH($B311,Systems!$B$2:$B$179,0)),0)</f>
        <v>0</v>
      </c>
      <c r="J311" s="27" t="n">
        <f aca="false">H311*I311</f>
        <v>0</v>
      </c>
      <c r="K311" s="6" t="str">
        <f aca="false">IFERROR(IF(INDEX(Resources!$D$2:$D$64,MATCH($D311,Resources!$A$2:$A$64,0))="","",INDEX(Resources!$D$2:$D$64,MATCH($D311,Resources!$A$2:$A$64,0))),"")</f>
        <v>Est. Required Labor</v>
      </c>
      <c r="L311" s="28" t="n">
        <f aca="false">IF(K311="","",J311*INDEX(Resources!$E$2:$E$64,MATCH($D311,Resources!$A$2:$A$64,0)))</f>
        <v>0</v>
      </c>
      <c r="M311" s="6" t="str">
        <f aca="false">B311&amp;"|"&amp;D311&amp;"|"&amp;C311</f>
        <v>Small AC Unit (5000 BTU)|Labor|Input</v>
      </c>
      <c r="N311" s="6" t="s">
        <v>940</v>
      </c>
    </row>
    <row r="312" customFormat="false" ht="15" hidden="false" customHeight="true" outlineLevel="0" collapsed="false">
      <c r="A312" s="6" t="s">
        <v>1280</v>
      </c>
      <c r="B312" s="6" t="s">
        <v>487</v>
      </c>
      <c r="C312" s="6" t="s">
        <v>938</v>
      </c>
      <c r="D312" s="6" t="s">
        <v>59</v>
      </c>
      <c r="E312" s="26" t="n">
        <v>12</v>
      </c>
      <c r="F312" s="6" t="str">
        <f aca="false">IFERROR(INDEX(Resources!$B$2:$B$64,MATCH($D312,Resources!$A$2:$A$64,0)),"?")</f>
        <v>kWh</v>
      </c>
      <c r="G312" s="6" t="s">
        <v>939</v>
      </c>
      <c r="H312" s="27" t="n">
        <f aca="false">E312*INDEX(Assumptions!$D$17:$D$23,MATCH(G312,Assumptions!$B$17:$B$23,0))</f>
        <v>12</v>
      </c>
      <c r="I312" s="6" t="n">
        <f aca="false">IFERROR(INDEX(Systems!$R$2:$R$179,MATCH($B312,Systems!$B$2:$B$179,0)),0)</f>
        <v>0</v>
      </c>
      <c r="J312" s="27" t="n">
        <f aca="false">H312*I312</f>
        <v>0</v>
      </c>
      <c r="K312" s="6" t="str">
        <f aca="false">IFERROR(IF(INDEX(Resources!$D$2:$D$64,MATCH($D312,Resources!$A$2:$A$64,0))="","",INDEX(Resources!$D$2:$D$64,MATCH($D312,Resources!$A$2:$A$64,0))),"")</f>
        <v>Electricity</v>
      </c>
      <c r="L312" s="28" t="n">
        <f aca="false">IF(K312="","",J312*INDEX(Resources!$E$2:$E$64,MATCH($D312,Resources!$A$2:$A$64,0)))</f>
        <v>0</v>
      </c>
      <c r="M312" s="6" t="str">
        <f aca="false">B312&amp;"|"&amp;D312&amp;"|"&amp;C312</f>
        <v>Small AC Unit (5000 BTU)|Electricity|Input</v>
      </c>
    </row>
    <row r="313" customFormat="false" ht="15" hidden="false" customHeight="true" outlineLevel="0" collapsed="false">
      <c r="A313" s="6" t="s">
        <v>1281</v>
      </c>
      <c r="B313" s="6" t="s">
        <v>487</v>
      </c>
      <c r="C313" s="6" t="s">
        <v>943</v>
      </c>
      <c r="D313" s="6" t="s">
        <v>69</v>
      </c>
      <c r="E313" s="26" t="n">
        <v>130000</v>
      </c>
      <c r="F313" s="6" t="str">
        <f aca="false">IFERROR(INDEX(Resources!$B$2:$B$64,MATCH($D313,Resources!$A$2:$A$64,0)),"?")</f>
        <v>BTU</v>
      </c>
      <c r="G313" s="6" t="s">
        <v>939</v>
      </c>
      <c r="H313" s="27" t="n">
        <f aca="false">E313*INDEX(Assumptions!$D$17:$D$23,MATCH(G313,Assumptions!$B$17:$B$23,0))</f>
        <v>130000</v>
      </c>
      <c r="I313" s="6" t="n">
        <f aca="false">IFERROR(INDEX(Systems!$R$2:$R$179,MATCH($B313,Systems!$B$2:$B$179,0)),0)</f>
        <v>0</v>
      </c>
      <c r="J313" s="27" t="n">
        <f aca="false">H313*I313</f>
        <v>0</v>
      </c>
      <c r="K313" s="6" t="str">
        <f aca="false">IFERROR(IF(INDEX(Resources!$D$2:$D$64,MATCH($D313,Resources!$A$2:$A$64,0))="","",INDEX(Resources!$D$2:$D$64,MATCH($D313,Resources!$A$2:$A$64,0))),"")</f>
        <v>Cooled shelter</v>
      </c>
      <c r="L313" s="28" t="n">
        <f aca="false">IF(K313="","",J313*INDEX(Resources!$E$2:$E$64,MATCH($D313,Resources!$A$2:$A$64,0)))</f>
        <v>0</v>
      </c>
      <c r="M313" s="6" t="str">
        <f aca="false">B313&amp;"|"&amp;D313&amp;"|"&amp;C313</f>
        <v>Small AC Unit (5000 BTU)|Cooling|Output</v>
      </c>
    </row>
    <row r="314" customFormat="false" ht="15" hidden="false" customHeight="true" outlineLevel="0" collapsed="false">
      <c r="A314" s="6" t="s">
        <v>1282</v>
      </c>
      <c r="B314" s="6" t="s">
        <v>487</v>
      </c>
      <c r="C314" s="6" t="s">
        <v>943</v>
      </c>
      <c r="D314" s="6" t="s">
        <v>462</v>
      </c>
      <c r="E314" s="26" t="n">
        <v>2</v>
      </c>
      <c r="F314" s="6" t="str">
        <f aca="false">IFERROR(INDEX(Resources!$B$2:$B$64,MATCH($D314,Resources!$A$2:$A$64,0)),"?")</f>
        <v>points</v>
      </c>
      <c r="G314" s="6" t="s">
        <v>939</v>
      </c>
      <c r="H314" s="27" t="n">
        <f aca="false">E314*INDEX(Assumptions!$D$17:$D$23,MATCH(G314,Assumptions!$B$17:$B$23,0))</f>
        <v>2</v>
      </c>
      <c r="I314" s="6" t="n">
        <f aca="false">IFERROR(INDEX(Systems!$R$2:$R$179,MATCH($B314,Systems!$B$2:$B$179,0)),0)</f>
        <v>0</v>
      </c>
      <c r="J314" s="27" t="n">
        <f aca="false">H314*I314</f>
        <v>0</v>
      </c>
      <c r="K314" s="6" t="str">
        <f aca="false">IFERROR(IF(INDEX(Resources!$D$2:$D$64,MATCH($D314,Resources!$A$2:$A$64,0))="","",INDEX(Resources!$D$2:$D$64,MATCH($D314,Resources!$A$2:$A$64,0))),"")</f>
        <v/>
      </c>
      <c r="L314" s="28" t="str">
        <f aca="false">IF(K314="","",J314*INDEX(Resources!$E$2:$E$64,MATCH($D314,Resources!$A$2:$A$64,0)))</f>
        <v/>
      </c>
      <c r="M314" s="6" t="str">
        <f aca="false">B314&amp;"|"&amp;D314&amp;"|"&amp;C314</f>
        <v>Small AC Unit (5000 BTU)|Wellbeing|Output</v>
      </c>
    </row>
    <row r="315" customFormat="false" ht="15" hidden="false" customHeight="true" outlineLevel="0" collapsed="false">
      <c r="A315" s="6" t="s">
        <v>1283</v>
      </c>
      <c r="B315" s="6" t="s">
        <v>492</v>
      </c>
      <c r="C315" s="6" t="s">
        <v>938</v>
      </c>
      <c r="D315" s="6" t="s">
        <v>59</v>
      </c>
      <c r="E315" s="26" t="n">
        <v>0.4</v>
      </c>
      <c r="F315" s="6" t="str">
        <f aca="false">IFERROR(INDEX(Resources!$B$2:$B$64,MATCH($D315,Resources!$A$2:$A$64,0)),"?")</f>
        <v>kWh</v>
      </c>
      <c r="G315" s="6" t="s">
        <v>939</v>
      </c>
      <c r="H315" s="27" t="n">
        <f aca="false">E315*INDEX(Assumptions!$D$17:$D$23,MATCH(G315,Assumptions!$B$17:$B$23,0))</f>
        <v>0.4</v>
      </c>
      <c r="I315" s="6" t="n">
        <f aca="false">IFERROR(INDEX(Systems!$R$2:$R$179,MATCH($B315,Systems!$B$2:$B$179,0)),0)</f>
        <v>0</v>
      </c>
      <c r="J315" s="27" t="n">
        <f aca="false">H315*I315</f>
        <v>0</v>
      </c>
      <c r="K315" s="6" t="str">
        <f aca="false">IFERROR(IF(INDEX(Resources!$D$2:$D$64,MATCH($D315,Resources!$A$2:$A$64,0))="","",INDEX(Resources!$D$2:$D$64,MATCH($D315,Resources!$A$2:$A$64,0))),"")</f>
        <v>Electricity</v>
      </c>
      <c r="L315" s="28" t="n">
        <f aca="false">IF(K315="","",J315*INDEX(Resources!$E$2:$E$64,MATCH($D315,Resources!$A$2:$A$64,0)))</f>
        <v>0</v>
      </c>
      <c r="M315" s="6" t="str">
        <f aca="false">B315&amp;"|"&amp;D315&amp;"|"&amp;C315</f>
        <v>LED Light|Electricity|Input</v>
      </c>
    </row>
    <row r="316" customFormat="false" ht="15" hidden="false" customHeight="true" outlineLevel="0" collapsed="false">
      <c r="A316" s="6" t="s">
        <v>1284</v>
      </c>
      <c r="B316" s="6" t="s">
        <v>492</v>
      </c>
      <c r="C316" s="6" t="s">
        <v>943</v>
      </c>
      <c r="D316" s="6" t="s">
        <v>462</v>
      </c>
      <c r="E316" s="26" t="n">
        <v>3</v>
      </c>
      <c r="F316" s="6" t="str">
        <f aca="false">IFERROR(INDEX(Resources!$B$2:$B$64,MATCH($D316,Resources!$A$2:$A$64,0)),"?")</f>
        <v>points</v>
      </c>
      <c r="G316" s="6" t="s">
        <v>939</v>
      </c>
      <c r="H316" s="27" t="n">
        <f aca="false">E316*INDEX(Assumptions!$D$17:$D$23,MATCH(G316,Assumptions!$B$17:$B$23,0))</f>
        <v>3</v>
      </c>
      <c r="I316" s="6" t="n">
        <f aca="false">IFERROR(INDEX(Systems!$R$2:$R$179,MATCH($B316,Systems!$B$2:$B$179,0)),0)</f>
        <v>0</v>
      </c>
      <c r="J316" s="27" t="n">
        <f aca="false">H316*I316</f>
        <v>0</v>
      </c>
      <c r="K316" s="6" t="str">
        <f aca="false">IFERROR(IF(INDEX(Resources!$D$2:$D$64,MATCH($D316,Resources!$A$2:$A$64,0))="","",INDEX(Resources!$D$2:$D$64,MATCH($D316,Resources!$A$2:$A$64,0))),"")</f>
        <v/>
      </c>
      <c r="L316" s="28" t="str">
        <f aca="false">IF(K316="","",J316*INDEX(Resources!$E$2:$E$64,MATCH($D316,Resources!$A$2:$A$64,0)))</f>
        <v/>
      </c>
      <c r="M316" s="6" t="str">
        <f aca="false">B316&amp;"|"&amp;D316&amp;"|"&amp;C316</f>
        <v>LED Light|Wellbeing|Output</v>
      </c>
    </row>
    <row r="317" customFormat="false" ht="15" hidden="false" customHeight="true" outlineLevel="0" collapsed="false">
      <c r="A317" s="6" t="s">
        <v>1285</v>
      </c>
      <c r="B317" s="6" t="s">
        <v>498</v>
      </c>
      <c r="C317" s="6" t="s">
        <v>938</v>
      </c>
      <c r="D317" s="6" t="s">
        <v>71</v>
      </c>
      <c r="E317" s="26" t="n">
        <v>0.05</v>
      </c>
      <c r="F317" s="6" t="str">
        <f aca="false">IFERROR(INDEX(Resources!$B$2:$B$64,MATCH($D317,Resources!$A$2:$A$64,0)),"?")</f>
        <v>hours</v>
      </c>
      <c r="G317" s="6" t="s">
        <v>939</v>
      </c>
      <c r="H317" s="27" t="n">
        <f aca="false">E317*INDEX(Assumptions!$D$17:$D$23,MATCH(G317,Assumptions!$B$17:$B$23,0))</f>
        <v>0.05</v>
      </c>
      <c r="I317" s="6" t="n">
        <f aca="false">IFERROR(INDEX(Systems!$R$2:$R$179,MATCH($B317,Systems!$B$2:$B$179,0)),0)</f>
        <v>1</v>
      </c>
      <c r="J317" s="27" t="n">
        <f aca="false">H317*I317</f>
        <v>0.05</v>
      </c>
      <c r="K317" s="6" t="str">
        <f aca="false">IFERROR(IF(INDEX(Resources!$D$2:$D$64,MATCH($D317,Resources!$A$2:$A$64,0))="","",INDEX(Resources!$D$2:$D$64,MATCH($D317,Resources!$A$2:$A$64,0))),"")</f>
        <v>Est. Required Labor</v>
      </c>
      <c r="L317" s="28" t="n">
        <f aca="false">IF(K317="","",J317*INDEX(Resources!$E$2:$E$64,MATCH($D317,Resources!$A$2:$A$64,0)))</f>
        <v>0.05</v>
      </c>
      <c r="M317" s="6" t="str">
        <f aca="false">B317&amp;"|"&amp;D317&amp;"|"&amp;C317</f>
        <v>Oak Tree|Labor|Input</v>
      </c>
      <c r="N317" s="6" t="s">
        <v>940</v>
      </c>
    </row>
    <row r="318" customFormat="false" ht="15" hidden="false" customHeight="true" outlineLevel="0" collapsed="false">
      <c r="A318" s="6" t="s">
        <v>1286</v>
      </c>
      <c r="B318" s="6" t="s">
        <v>498</v>
      </c>
      <c r="C318" s="6" t="s">
        <v>938</v>
      </c>
      <c r="D318" s="6" t="s">
        <v>1114</v>
      </c>
      <c r="E318" s="26" t="n">
        <v>1</v>
      </c>
      <c r="F318" s="6" t="str">
        <f aca="false">IFERROR(INDEX(Resources!$B$2:$B$64,MATCH($D318,Resources!$A$2:$A$64,0)),"?")</f>
        <v>plants</v>
      </c>
      <c r="G318" s="6" t="s">
        <v>1115</v>
      </c>
      <c r="H318" s="27" t="n">
        <f aca="false">E318*INDEX(Assumptions!$D$17:$D$23,MATCH(G318,Assumptions!$B$17:$B$23,0))</f>
        <v>0</v>
      </c>
      <c r="I318" s="6" t="n">
        <f aca="false">IFERROR(INDEX(Systems!$R$2:$R$179,MATCH($B318,Systems!$B$2:$B$179,0)),0)</f>
        <v>1</v>
      </c>
      <c r="J318" s="27" t="n">
        <f aca="false">H318*I318</f>
        <v>0</v>
      </c>
      <c r="K318" s="6" t="str">
        <f aca="false">IFERROR(IF(INDEX(Resources!$D$2:$D$64,MATCH($D318,Resources!$A$2:$A$64,0))="","",INDEX(Resources!$D$2:$D$64,MATCH($D318,Resources!$A$2:$A$64,0))),"")</f>
        <v/>
      </c>
      <c r="L318" s="28" t="str">
        <f aca="false">IF(K318="","",J318*INDEX(Resources!$E$2:$E$64,MATCH($D318,Resources!$A$2:$A$64,0)))</f>
        <v/>
      </c>
      <c r="M318" s="6" t="str">
        <f aca="false">B318&amp;"|"&amp;D318&amp;"|"&amp;C318</f>
        <v>Oak Tree|Seedlings|Input</v>
      </c>
    </row>
    <row r="319" customFormat="false" ht="15" hidden="false" customHeight="true" outlineLevel="0" collapsed="false">
      <c r="A319" s="6" t="s">
        <v>1287</v>
      </c>
      <c r="B319" s="6" t="s">
        <v>498</v>
      </c>
      <c r="C319" s="6" t="s">
        <v>938</v>
      </c>
      <c r="D319" s="6" t="s">
        <v>49</v>
      </c>
      <c r="E319" s="26" t="n">
        <v>5</v>
      </c>
      <c r="F319" s="6" t="str">
        <f aca="false">IFERROR(INDEX(Resources!$B$2:$B$64,MATCH($D319,Resources!$A$2:$A$64,0)),"?")</f>
        <v>gal</v>
      </c>
      <c r="G319" s="6" t="s">
        <v>939</v>
      </c>
      <c r="H319" s="27" t="n">
        <f aca="false">E319*INDEX(Assumptions!$D$17:$D$23,MATCH(G319,Assumptions!$B$17:$B$23,0))</f>
        <v>5</v>
      </c>
      <c r="I319" s="6" t="n">
        <f aca="false">IFERROR(INDEX(Systems!$R$2:$R$179,MATCH($B319,Systems!$B$2:$B$179,0)),0)</f>
        <v>1</v>
      </c>
      <c r="J319" s="27" t="n">
        <f aca="false">H319*I319</f>
        <v>5</v>
      </c>
      <c r="K319" s="6" t="str">
        <f aca="false">IFERROR(IF(INDEX(Resources!$D$2:$D$64,MATCH($D319,Resources!$A$2:$A$64,0))="","",INDEX(Resources!$D$2:$D$64,MATCH($D319,Resources!$A$2:$A$64,0))),"")</f>
        <v>Water</v>
      </c>
      <c r="L319" s="28" t="n">
        <f aca="false">IF(K319="","",J319*INDEX(Resources!$E$2:$E$64,MATCH($D319,Resources!$A$2:$A$64,0)))</f>
        <v>5</v>
      </c>
      <c r="M319" s="6" t="str">
        <f aca="false">B319&amp;"|"&amp;D319&amp;"|"&amp;C319</f>
        <v>Oak Tree|Water|Input</v>
      </c>
    </row>
    <row r="320" customFormat="false" ht="15" hidden="false" customHeight="true" outlineLevel="0" collapsed="false">
      <c r="A320" s="6" t="s">
        <v>1288</v>
      </c>
      <c r="B320" s="6" t="s">
        <v>498</v>
      </c>
      <c r="C320" s="6" t="s">
        <v>943</v>
      </c>
      <c r="D320" s="6" t="s">
        <v>177</v>
      </c>
      <c r="E320" s="26" t="n">
        <v>250</v>
      </c>
      <c r="F320" s="6" t="str">
        <f aca="false">IFERROR(INDEX(Resources!$B$2:$B$64,MATCH($D320,Resources!$A$2:$A$64,0)),"?")</f>
        <v>lbs</v>
      </c>
      <c r="G320" s="6" t="s">
        <v>1032</v>
      </c>
      <c r="H320" s="27" t="n">
        <f aca="false">E320*INDEX(Assumptions!$D$17:$D$23,MATCH(G320,Assumptions!$B$17:$B$23,0))</f>
        <v>4.80769230769231</v>
      </c>
      <c r="I320" s="6" t="n">
        <f aca="false">IFERROR(INDEX(Systems!$R$2:$R$179,MATCH($B320,Systems!$B$2:$B$179,0)),0)</f>
        <v>1</v>
      </c>
      <c r="J320" s="27" t="n">
        <f aca="false">H320*I320</f>
        <v>4.80769230769231</v>
      </c>
      <c r="K320" s="6" t="str">
        <f aca="false">IFERROR(IF(INDEX(Resources!$D$2:$D$64,MATCH($D320,Resources!$A$2:$A$64,0))="","",INDEX(Resources!$D$2:$D$64,MATCH($D320,Resources!$A$2:$A$64,0))),"")</f>
        <v/>
      </c>
      <c r="L320" s="28" t="str">
        <f aca="false">IF(K320="","",J320*INDEX(Resources!$E$2:$E$64,MATCH($D320,Resources!$A$2:$A$64,0)))</f>
        <v/>
      </c>
      <c r="M320" s="6" t="str">
        <f aca="false">B320&amp;"|"&amp;D320&amp;"|"&amp;C320</f>
        <v>Oak Tree|Woody biomass|Output</v>
      </c>
    </row>
    <row r="321" customFormat="false" ht="15" hidden="false" customHeight="true" outlineLevel="0" collapsed="false">
      <c r="A321" s="6" t="s">
        <v>1289</v>
      </c>
      <c r="B321" s="6" t="s">
        <v>498</v>
      </c>
      <c r="C321" s="6" t="s">
        <v>943</v>
      </c>
      <c r="D321" s="6" t="s">
        <v>1127</v>
      </c>
      <c r="E321" s="26" t="n">
        <v>40</v>
      </c>
      <c r="F321" s="6" t="str">
        <f aca="false">IFERROR(INDEX(Resources!$B$2:$B$64,MATCH($D321,Resources!$A$2:$A$64,0)),"?")</f>
        <v>lbs</v>
      </c>
      <c r="G321" s="6" t="s">
        <v>1032</v>
      </c>
      <c r="H321" s="27" t="n">
        <f aca="false">E321*INDEX(Assumptions!$D$17:$D$23,MATCH(G321,Assumptions!$B$17:$B$23,0))</f>
        <v>0.769230769230769</v>
      </c>
      <c r="I321" s="6" t="n">
        <f aca="false">IFERROR(INDEX(Systems!$R$2:$R$179,MATCH($B321,Systems!$B$2:$B$179,0)),0)</f>
        <v>1</v>
      </c>
      <c r="J321" s="27" t="n">
        <f aca="false">H321*I321</f>
        <v>0.769230769230769</v>
      </c>
      <c r="K321" s="6" t="str">
        <f aca="false">IFERROR(IF(INDEX(Resources!$D$2:$D$64,MATCH($D321,Resources!$A$2:$A$64,0))="","",INDEX(Resources!$D$2:$D$64,MATCH($D321,Resources!$A$2:$A$64,0))),"")</f>
        <v/>
      </c>
      <c r="L321" s="28" t="str">
        <f aca="false">IF(K321="","",J321*INDEX(Resources!$E$2:$E$64,MATCH($D321,Resources!$A$2:$A$64,0)))</f>
        <v/>
      </c>
      <c r="M321" s="6" t="str">
        <f aca="false">B321&amp;"|"&amp;D321&amp;"|"&amp;C321</f>
        <v>Oak Tree|Carbon|Output</v>
      </c>
    </row>
    <row r="322" customFormat="false" ht="15" hidden="false" customHeight="true" outlineLevel="0" collapsed="false">
      <c r="A322" s="6" t="s">
        <v>1290</v>
      </c>
      <c r="B322" s="6" t="s">
        <v>498</v>
      </c>
      <c r="C322" s="6" t="s">
        <v>943</v>
      </c>
      <c r="D322" s="6" t="s">
        <v>1121</v>
      </c>
      <c r="E322" s="26" t="n">
        <v>20</v>
      </c>
      <c r="F322" s="6" t="str">
        <f aca="false">IFERROR(INDEX(Resources!$B$2:$B$64,MATCH($D322,Resources!$A$2:$A$64,0)),"?")</f>
        <v>lbs</v>
      </c>
      <c r="G322" s="6" t="s">
        <v>1032</v>
      </c>
      <c r="H322" s="27" t="n">
        <f aca="false">E322*INDEX(Assumptions!$D$17:$D$23,MATCH(G322,Assumptions!$B$17:$B$23,0))</f>
        <v>0.384615384615385</v>
      </c>
      <c r="I322" s="6" t="n">
        <f aca="false">IFERROR(INDEX(Systems!$R$2:$R$179,MATCH($B322,Systems!$B$2:$B$179,0)),0)</f>
        <v>1</v>
      </c>
      <c r="J322" s="27" t="n">
        <f aca="false">H322*I322</f>
        <v>0.384615384615385</v>
      </c>
      <c r="K322" s="6" t="str">
        <f aca="false">IFERROR(IF(INDEX(Resources!$D$2:$D$64,MATCH($D322,Resources!$A$2:$A$64,0))="","",INDEX(Resources!$D$2:$D$64,MATCH($D322,Resources!$A$2:$A$64,0))),"")</f>
        <v>Food</v>
      </c>
      <c r="L322" s="28" t="n">
        <f aca="false">IF(K322="","",J322*INDEX(Resources!$E$2:$E$64,MATCH($D322,Resources!$A$2:$A$64,0)))</f>
        <v>1076.92307692308</v>
      </c>
      <c r="M322" s="6" t="str">
        <f aca="false">B322&amp;"|"&amp;D322&amp;"|"&amp;C322</f>
        <v>Oak Tree|Nuts|Output</v>
      </c>
    </row>
    <row r="323" customFormat="false" ht="15" hidden="false" customHeight="true" outlineLevel="0" collapsed="false">
      <c r="A323" s="6" t="s">
        <v>1291</v>
      </c>
      <c r="B323" s="6" t="s">
        <v>498</v>
      </c>
      <c r="C323" s="6" t="s">
        <v>943</v>
      </c>
      <c r="D323" s="6" t="s">
        <v>462</v>
      </c>
      <c r="E323" s="26" t="n">
        <v>2</v>
      </c>
      <c r="F323" s="6" t="str">
        <f aca="false">IFERROR(INDEX(Resources!$B$2:$B$64,MATCH($D323,Resources!$A$2:$A$64,0)),"?")</f>
        <v>points</v>
      </c>
      <c r="G323" s="6" t="s">
        <v>939</v>
      </c>
      <c r="H323" s="27" t="n">
        <f aca="false">E323*INDEX(Assumptions!$D$17:$D$23,MATCH(G323,Assumptions!$B$17:$B$23,0))</f>
        <v>2</v>
      </c>
      <c r="I323" s="6" t="n">
        <f aca="false">IFERROR(INDEX(Systems!$R$2:$R$179,MATCH($B323,Systems!$B$2:$B$179,0)),0)</f>
        <v>1</v>
      </c>
      <c r="J323" s="27" t="n">
        <f aca="false">H323*I323</f>
        <v>2</v>
      </c>
      <c r="K323" s="6" t="str">
        <f aca="false">IFERROR(IF(INDEX(Resources!$D$2:$D$64,MATCH($D323,Resources!$A$2:$A$64,0))="","",INDEX(Resources!$D$2:$D$64,MATCH($D323,Resources!$A$2:$A$64,0))),"")</f>
        <v/>
      </c>
      <c r="L323" s="28" t="str">
        <f aca="false">IF(K323="","",J323*INDEX(Resources!$E$2:$E$64,MATCH($D323,Resources!$A$2:$A$64,0)))</f>
        <v/>
      </c>
      <c r="M323" s="6" t="str">
        <f aca="false">B323&amp;"|"&amp;D323&amp;"|"&amp;C323</f>
        <v>Oak Tree|Wellbeing|Output</v>
      </c>
    </row>
    <row r="324" customFormat="false" ht="15" hidden="false" customHeight="true" outlineLevel="0" collapsed="false">
      <c r="A324" s="6" t="s">
        <v>1292</v>
      </c>
      <c r="B324" s="6" t="s">
        <v>503</v>
      </c>
      <c r="C324" s="6" t="s">
        <v>938</v>
      </c>
      <c r="D324" s="6" t="s">
        <v>71</v>
      </c>
      <c r="E324" s="26" t="n">
        <v>0.5</v>
      </c>
      <c r="F324" s="6" t="str">
        <f aca="false">IFERROR(INDEX(Resources!$B$2:$B$64,MATCH($D324,Resources!$A$2:$A$64,0)),"?")</f>
        <v>hours</v>
      </c>
      <c r="G324" s="6" t="s">
        <v>939</v>
      </c>
      <c r="H324" s="27" t="n">
        <f aca="false">E324*INDEX(Assumptions!$D$17:$D$23,MATCH(G324,Assumptions!$B$17:$B$23,0))</f>
        <v>0.5</v>
      </c>
      <c r="I324" s="6" t="n">
        <f aca="false">IFERROR(INDEX(Systems!$R$2:$R$179,MATCH($B324,Systems!$B$2:$B$179,0)),0)</f>
        <v>0</v>
      </c>
      <c r="J324" s="27" t="n">
        <f aca="false">H324*I324</f>
        <v>0</v>
      </c>
      <c r="K324" s="6" t="str">
        <f aca="false">IFERROR(IF(INDEX(Resources!$D$2:$D$64,MATCH($D324,Resources!$A$2:$A$64,0))="","",INDEX(Resources!$D$2:$D$64,MATCH($D324,Resources!$A$2:$A$64,0))),"")</f>
        <v>Est. Required Labor</v>
      </c>
      <c r="L324" s="28" t="n">
        <f aca="false">IF(K324="","",J324*INDEX(Resources!$E$2:$E$64,MATCH($D324,Resources!$A$2:$A$64,0)))</f>
        <v>0</v>
      </c>
      <c r="M324" s="6" t="str">
        <f aca="false">B324&amp;"|"&amp;D324&amp;"|"&amp;C324</f>
        <v>Rocket Mass Heater|Labor|Input</v>
      </c>
      <c r="N324" s="6" t="s">
        <v>940</v>
      </c>
    </row>
    <row r="325" customFormat="false" ht="15" hidden="false" customHeight="true" outlineLevel="0" collapsed="false">
      <c r="A325" s="6" t="s">
        <v>1293</v>
      </c>
      <c r="B325" s="6" t="s">
        <v>503</v>
      </c>
      <c r="C325" s="6" t="s">
        <v>938</v>
      </c>
      <c r="D325" s="6" t="s">
        <v>177</v>
      </c>
      <c r="E325" s="26" t="n">
        <v>60</v>
      </c>
      <c r="F325" s="6" t="str">
        <f aca="false">IFERROR(INDEX(Resources!$B$2:$B$64,MATCH($D325,Resources!$A$2:$A$64,0)),"?")</f>
        <v>lbs</v>
      </c>
      <c r="G325" s="6" t="s">
        <v>939</v>
      </c>
      <c r="H325" s="27" t="n">
        <f aca="false">E325*INDEX(Assumptions!$D$17:$D$23,MATCH(G325,Assumptions!$B$17:$B$23,0))</f>
        <v>60</v>
      </c>
      <c r="I325" s="6" t="n">
        <f aca="false">IFERROR(INDEX(Systems!$R$2:$R$179,MATCH($B325,Systems!$B$2:$B$179,0)),0)</f>
        <v>0</v>
      </c>
      <c r="J325" s="27" t="n">
        <f aca="false">H325*I325</f>
        <v>0</v>
      </c>
      <c r="K325" s="6" t="str">
        <f aca="false">IFERROR(IF(INDEX(Resources!$D$2:$D$64,MATCH($D325,Resources!$A$2:$A$64,0))="","",INDEX(Resources!$D$2:$D$64,MATCH($D325,Resources!$A$2:$A$64,0))),"")</f>
        <v/>
      </c>
      <c r="L325" s="28" t="str">
        <f aca="false">IF(K325="","",J325*INDEX(Resources!$E$2:$E$64,MATCH($D325,Resources!$A$2:$A$64,0)))</f>
        <v/>
      </c>
      <c r="M325" s="6" t="str">
        <f aca="false">B325&amp;"|"&amp;D325&amp;"|"&amp;C325</f>
        <v>Rocket Mass Heater|Woody biomass|Input</v>
      </c>
    </row>
    <row r="326" customFormat="false" ht="15" hidden="false" customHeight="true" outlineLevel="0" collapsed="false">
      <c r="A326" s="6" t="s">
        <v>1294</v>
      </c>
      <c r="B326" s="6" t="s">
        <v>503</v>
      </c>
      <c r="C326" s="6" t="s">
        <v>943</v>
      </c>
      <c r="D326" s="6" t="s">
        <v>67</v>
      </c>
      <c r="E326" s="26" t="n">
        <v>290000</v>
      </c>
      <c r="F326" s="6" t="str">
        <f aca="false">IFERROR(INDEX(Resources!$B$2:$B$64,MATCH($D326,Resources!$A$2:$A$64,0)),"?")</f>
        <v>BTU</v>
      </c>
      <c r="G326" s="6" t="s">
        <v>939</v>
      </c>
      <c r="H326" s="27" t="n">
        <f aca="false">E326*INDEX(Assumptions!$D$17:$D$23,MATCH(G326,Assumptions!$B$17:$B$23,0))</f>
        <v>290000</v>
      </c>
      <c r="I326" s="6" t="n">
        <f aca="false">IFERROR(INDEX(Systems!$R$2:$R$179,MATCH($B326,Systems!$B$2:$B$179,0)),0)</f>
        <v>0</v>
      </c>
      <c r="J326" s="27" t="n">
        <f aca="false">H326*I326</f>
        <v>0</v>
      </c>
      <c r="K326" s="6" t="str">
        <f aca="false">IFERROR(IF(INDEX(Resources!$D$2:$D$64,MATCH($D326,Resources!$A$2:$A$64,0))="","",INDEX(Resources!$D$2:$D$64,MATCH($D326,Resources!$A$2:$A$64,0))),"")</f>
        <v>Heated shelter</v>
      </c>
      <c r="L326" s="28" t="n">
        <f aca="false">IF(K326="","",J326*INDEX(Resources!$E$2:$E$64,MATCH($D326,Resources!$A$2:$A$64,0)))</f>
        <v>0</v>
      </c>
      <c r="M326" s="6" t="str">
        <f aca="false">B326&amp;"|"&amp;D326&amp;"|"&amp;C326</f>
        <v>Rocket Mass Heater|Heat|Output</v>
      </c>
    </row>
    <row r="327" customFormat="false" ht="15" hidden="false" customHeight="true" outlineLevel="0" collapsed="false">
      <c r="A327" s="6" t="s">
        <v>1295</v>
      </c>
      <c r="B327" s="6" t="s">
        <v>508</v>
      </c>
      <c r="C327" s="6" t="s">
        <v>938</v>
      </c>
      <c r="D327" s="6" t="s">
        <v>71</v>
      </c>
      <c r="E327" s="26" t="n">
        <v>0.25</v>
      </c>
      <c r="F327" s="6" t="str">
        <f aca="false">IFERROR(INDEX(Resources!$B$2:$B$64,MATCH($D327,Resources!$A$2:$A$64,0)),"?")</f>
        <v>hours</v>
      </c>
      <c r="G327" s="6" t="s">
        <v>939</v>
      </c>
      <c r="H327" s="27" t="n">
        <f aca="false">E327*INDEX(Assumptions!$D$17:$D$23,MATCH(G327,Assumptions!$B$17:$B$23,0))</f>
        <v>0.25</v>
      </c>
      <c r="I327" s="6" t="n">
        <f aca="false">IFERROR(INDEX(Systems!$R$2:$R$179,MATCH($B327,Systems!$B$2:$B$179,0)),0)</f>
        <v>0</v>
      </c>
      <c r="J327" s="27" t="n">
        <f aca="false">H327*I327</f>
        <v>0</v>
      </c>
      <c r="K327" s="6" t="str">
        <f aca="false">IFERROR(IF(INDEX(Resources!$D$2:$D$64,MATCH($D327,Resources!$A$2:$A$64,0))="","",INDEX(Resources!$D$2:$D$64,MATCH($D327,Resources!$A$2:$A$64,0))),"")</f>
        <v>Est. Required Labor</v>
      </c>
      <c r="L327" s="28" t="n">
        <f aca="false">IF(K327="","",J327*INDEX(Resources!$E$2:$E$64,MATCH($D327,Resources!$A$2:$A$64,0)))</f>
        <v>0</v>
      </c>
      <c r="M327" s="6" t="str">
        <f aca="false">B327&amp;"|"&amp;D327&amp;"|"&amp;C327</f>
        <v>Tiny Wood Stove|Labor|Input</v>
      </c>
      <c r="N327" s="6" t="s">
        <v>940</v>
      </c>
    </row>
    <row r="328" customFormat="false" ht="15" hidden="false" customHeight="true" outlineLevel="0" collapsed="false">
      <c r="A328" s="6" t="s">
        <v>1296</v>
      </c>
      <c r="B328" s="6" t="s">
        <v>508</v>
      </c>
      <c r="C328" s="6" t="s">
        <v>938</v>
      </c>
      <c r="D328" s="6" t="s">
        <v>177</v>
      </c>
      <c r="E328" s="26" t="n">
        <v>50</v>
      </c>
      <c r="F328" s="6" t="str">
        <f aca="false">IFERROR(INDEX(Resources!$B$2:$B$64,MATCH($D328,Resources!$A$2:$A$64,0)),"?")</f>
        <v>lbs</v>
      </c>
      <c r="G328" s="6" t="s">
        <v>939</v>
      </c>
      <c r="H328" s="27" t="n">
        <f aca="false">E328*INDEX(Assumptions!$D$17:$D$23,MATCH(G328,Assumptions!$B$17:$B$23,0))</f>
        <v>50</v>
      </c>
      <c r="I328" s="6" t="n">
        <f aca="false">IFERROR(INDEX(Systems!$R$2:$R$179,MATCH($B328,Systems!$B$2:$B$179,0)),0)</f>
        <v>0</v>
      </c>
      <c r="J328" s="27" t="n">
        <f aca="false">H328*I328</f>
        <v>0</v>
      </c>
      <c r="K328" s="6" t="str">
        <f aca="false">IFERROR(IF(INDEX(Resources!$D$2:$D$64,MATCH($D328,Resources!$A$2:$A$64,0))="","",INDEX(Resources!$D$2:$D$64,MATCH($D328,Resources!$A$2:$A$64,0))),"")</f>
        <v/>
      </c>
      <c r="L328" s="28" t="str">
        <f aca="false">IF(K328="","",J328*INDEX(Resources!$E$2:$E$64,MATCH($D328,Resources!$A$2:$A$64,0)))</f>
        <v/>
      </c>
      <c r="M328" s="6" t="str">
        <f aca="false">B328&amp;"|"&amp;D328&amp;"|"&amp;C328</f>
        <v>Tiny Wood Stove|Woody biomass|Input</v>
      </c>
    </row>
    <row r="329" customFormat="false" ht="15" hidden="false" customHeight="true" outlineLevel="0" collapsed="false">
      <c r="A329" s="6" t="s">
        <v>1297</v>
      </c>
      <c r="B329" s="6" t="s">
        <v>508</v>
      </c>
      <c r="C329" s="6" t="s">
        <v>943</v>
      </c>
      <c r="D329" s="6" t="s">
        <v>67</v>
      </c>
      <c r="E329" s="26" t="n">
        <v>200000</v>
      </c>
      <c r="F329" s="6" t="str">
        <f aca="false">IFERROR(INDEX(Resources!$B$2:$B$64,MATCH($D329,Resources!$A$2:$A$64,0)),"?")</f>
        <v>BTU</v>
      </c>
      <c r="G329" s="6" t="s">
        <v>939</v>
      </c>
      <c r="H329" s="27" t="n">
        <f aca="false">E329*INDEX(Assumptions!$D$17:$D$23,MATCH(G329,Assumptions!$B$17:$B$23,0))</f>
        <v>200000</v>
      </c>
      <c r="I329" s="6" t="n">
        <f aca="false">IFERROR(INDEX(Systems!$R$2:$R$179,MATCH($B329,Systems!$B$2:$B$179,0)),0)</f>
        <v>0</v>
      </c>
      <c r="J329" s="27" t="n">
        <f aca="false">H329*I329</f>
        <v>0</v>
      </c>
      <c r="K329" s="6" t="str">
        <f aca="false">IFERROR(IF(INDEX(Resources!$D$2:$D$64,MATCH($D329,Resources!$A$2:$A$64,0))="","",INDEX(Resources!$D$2:$D$64,MATCH($D329,Resources!$A$2:$A$64,0))),"")</f>
        <v>Heated shelter</v>
      </c>
      <c r="L329" s="28" t="n">
        <f aca="false">IF(K329="","",J329*INDEX(Resources!$E$2:$E$64,MATCH($D329,Resources!$A$2:$A$64,0)))</f>
        <v>0</v>
      </c>
      <c r="M329" s="6" t="str">
        <f aca="false">B329&amp;"|"&amp;D329&amp;"|"&amp;C329</f>
        <v>Tiny Wood Stove|Heat|Output</v>
      </c>
    </row>
    <row r="330" customFormat="false" ht="15" hidden="false" customHeight="true" outlineLevel="0" collapsed="false">
      <c r="A330" s="6" t="s">
        <v>1298</v>
      </c>
      <c r="B330" s="6" t="s">
        <v>508</v>
      </c>
      <c r="C330" s="6" t="s">
        <v>943</v>
      </c>
      <c r="D330" s="6" t="s">
        <v>63</v>
      </c>
      <c r="E330" s="26" t="n">
        <v>7</v>
      </c>
      <c r="F330" s="6" t="str">
        <f aca="false">IFERROR(INDEX(Resources!$B$2:$B$64,MATCH($D330,Resources!$A$2:$A$64,0)),"?")</f>
        <v>hours</v>
      </c>
      <c r="G330" s="6" t="s">
        <v>939</v>
      </c>
      <c r="H330" s="27" t="n">
        <f aca="false">E330*INDEX(Assumptions!$D$17:$D$23,MATCH(G330,Assumptions!$B$17:$B$23,0))</f>
        <v>7</v>
      </c>
      <c r="I330" s="6" t="n">
        <f aca="false">IFERROR(INDEX(Systems!$R$2:$R$179,MATCH($B330,Systems!$B$2:$B$179,0)),0)</f>
        <v>0</v>
      </c>
      <c r="J330" s="27" t="n">
        <f aca="false">H330*I330</f>
        <v>0</v>
      </c>
      <c r="K330" s="6" t="str">
        <f aca="false">IFERROR(IF(INDEX(Resources!$D$2:$D$64,MATCH($D330,Resources!$A$2:$A$64,0))="","",INDEX(Resources!$D$2:$D$64,MATCH($D330,Resources!$A$2:$A$64,0))),"")</f>
        <v>Cooking fuel</v>
      </c>
      <c r="L330" s="28" t="n">
        <f aca="false">IF(K330="","",J330*INDEX(Resources!$E$2:$E$64,MATCH($D330,Resources!$A$2:$A$64,0)))</f>
        <v>0</v>
      </c>
      <c r="M330" s="6" t="str">
        <f aca="false">B330&amp;"|"&amp;D330&amp;"|"&amp;C330</f>
        <v>Tiny Wood Stove|Cooking fuel|Output</v>
      </c>
    </row>
    <row r="331" customFormat="false" ht="15" hidden="false" customHeight="true" outlineLevel="0" collapsed="false">
      <c r="A331" s="6" t="s">
        <v>1299</v>
      </c>
      <c r="B331" s="6" t="s">
        <v>513</v>
      </c>
      <c r="C331" s="6" t="s">
        <v>938</v>
      </c>
      <c r="D331" s="6" t="s">
        <v>71</v>
      </c>
      <c r="E331" s="26" t="n">
        <v>1</v>
      </c>
      <c r="F331" s="6" t="str">
        <f aca="false">IFERROR(INDEX(Resources!$B$2:$B$64,MATCH($D331,Resources!$A$2:$A$64,0)),"?")</f>
        <v>hours</v>
      </c>
      <c r="G331" s="6" t="s">
        <v>939</v>
      </c>
      <c r="H331" s="27" t="n">
        <f aca="false">E331*INDEX(Assumptions!$D$17:$D$23,MATCH(G331,Assumptions!$B$17:$B$23,0))</f>
        <v>1</v>
      </c>
      <c r="I331" s="6" t="n">
        <f aca="false">IFERROR(INDEX(Systems!$R$2:$R$179,MATCH($B331,Systems!$B$2:$B$179,0)),0)</f>
        <v>0</v>
      </c>
      <c r="J331" s="27" t="n">
        <f aca="false">H331*I331</f>
        <v>0</v>
      </c>
      <c r="K331" s="6" t="str">
        <f aca="false">IFERROR(IF(INDEX(Resources!$D$2:$D$64,MATCH($D331,Resources!$A$2:$A$64,0))="","",INDEX(Resources!$D$2:$D$64,MATCH($D331,Resources!$A$2:$A$64,0))),"")</f>
        <v>Est. Required Labor</v>
      </c>
      <c r="L331" s="28" t="n">
        <f aca="false">IF(K331="","",J331*INDEX(Resources!$E$2:$E$64,MATCH($D331,Resources!$A$2:$A$64,0)))</f>
        <v>0</v>
      </c>
      <c r="M331" s="6" t="str">
        <f aca="false">B331&amp;"|"&amp;D331&amp;"|"&amp;C331</f>
        <v>Biochar Kiln Firepit|Labor|Input</v>
      </c>
      <c r="N331" s="6" t="s">
        <v>940</v>
      </c>
    </row>
    <row r="332" customFormat="false" ht="15" hidden="false" customHeight="true" outlineLevel="0" collapsed="false">
      <c r="A332" s="6" t="s">
        <v>1300</v>
      </c>
      <c r="B332" s="6" t="s">
        <v>513</v>
      </c>
      <c r="C332" s="6" t="s">
        <v>938</v>
      </c>
      <c r="D332" s="6" t="s">
        <v>49</v>
      </c>
      <c r="E332" s="26" t="n">
        <v>15</v>
      </c>
      <c r="F332" s="6" t="str">
        <f aca="false">IFERROR(INDEX(Resources!$B$2:$B$64,MATCH($D332,Resources!$A$2:$A$64,0)),"?")</f>
        <v>gal</v>
      </c>
      <c r="G332" s="6" t="s">
        <v>939</v>
      </c>
      <c r="H332" s="27" t="n">
        <f aca="false">E332*INDEX(Assumptions!$D$17:$D$23,MATCH(G332,Assumptions!$B$17:$B$23,0))</f>
        <v>15</v>
      </c>
      <c r="I332" s="6" t="n">
        <f aca="false">IFERROR(INDEX(Systems!$R$2:$R$179,MATCH($B332,Systems!$B$2:$B$179,0)),0)</f>
        <v>0</v>
      </c>
      <c r="J332" s="27" t="n">
        <f aca="false">H332*I332</f>
        <v>0</v>
      </c>
      <c r="K332" s="6" t="str">
        <f aca="false">IFERROR(IF(INDEX(Resources!$D$2:$D$64,MATCH($D332,Resources!$A$2:$A$64,0))="","",INDEX(Resources!$D$2:$D$64,MATCH($D332,Resources!$A$2:$A$64,0))),"")</f>
        <v>Water</v>
      </c>
      <c r="L332" s="28" t="n">
        <f aca="false">IF(K332="","",J332*INDEX(Resources!$E$2:$E$64,MATCH($D332,Resources!$A$2:$A$64,0)))</f>
        <v>0</v>
      </c>
      <c r="M332" s="6" t="str">
        <f aca="false">B332&amp;"|"&amp;D332&amp;"|"&amp;C332</f>
        <v>Biochar Kiln Firepit|Water|Input</v>
      </c>
    </row>
    <row r="333" customFormat="false" ht="15" hidden="false" customHeight="true" outlineLevel="0" collapsed="false">
      <c r="A333" s="6" t="s">
        <v>1301</v>
      </c>
      <c r="B333" s="6" t="s">
        <v>513</v>
      </c>
      <c r="C333" s="6" t="s">
        <v>938</v>
      </c>
      <c r="D333" s="6" t="s">
        <v>177</v>
      </c>
      <c r="E333" s="26" t="n">
        <v>60</v>
      </c>
      <c r="F333" s="6" t="str">
        <f aca="false">IFERROR(INDEX(Resources!$B$2:$B$64,MATCH($D333,Resources!$A$2:$A$64,0)),"?")</f>
        <v>lbs</v>
      </c>
      <c r="G333" s="6" t="s">
        <v>939</v>
      </c>
      <c r="H333" s="27" t="n">
        <f aca="false">E333*INDEX(Assumptions!$D$17:$D$23,MATCH(G333,Assumptions!$B$17:$B$23,0))</f>
        <v>60</v>
      </c>
      <c r="I333" s="6" t="n">
        <f aca="false">IFERROR(INDEX(Systems!$R$2:$R$179,MATCH($B333,Systems!$B$2:$B$179,0)),0)</f>
        <v>0</v>
      </c>
      <c r="J333" s="27" t="n">
        <f aca="false">H333*I333</f>
        <v>0</v>
      </c>
      <c r="K333" s="6" t="str">
        <f aca="false">IFERROR(IF(INDEX(Resources!$D$2:$D$64,MATCH($D333,Resources!$A$2:$A$64,0))="","",INDEX(Resources!$D$2:$D$64,MATCH($D333,Resources!$A$2:$A$64,0))),"")</f>
        <v/>
      </c>
      <c r="L333" s="28" t="str">
        <f aca="false">IF(K333="","",J333*INDEX(Resources!$E$2:$E$64,MATCH($D333,Resources!$A$2:$A$64,0)))</f>
        <v/>
      </c>
      <c r="M333" s="6" t="str">
        <f aca="false">B333&amp;"|"&amp;D333&amp;"|"&amp;C333</f>
        <v>Biochar Kiln Firepit|Woody biomass|Input</v>
      </c>
    </row>
    <row r="334" customFormat="false" ht="15" hidden="false" customHeight="true" outlineLevel="0" collapsed="false">
      <c r="A334" s="6" t="s">
        <v>1302</v>
      </c>
      <c r="B334" s="6" t="s">
        <v>513</v>
      </c>
      <c r="C334" s="6" t="s">
        <v>943</v>
      </c>
      <c r="D334" s="6" t="s">
        <v>67</v>
      </c>
      <c r="E334" s="26" t="n">
        <v>40000</v>
      </c>
      <c r="F334" s="6" t="str">
        <f aca="false">IFERROR(INDEX(Resources!$B$2:$B$64,MATCH($D334,Resources!$A$2:$A$64,0)),"?")</f>
        <v>BTU</v>
      </c>
      <c r="G334" s="6" t="s">
        <v>939</v>
      </c>
      <c r="H334" s="27" t="n">
        <f aca="false">E334*INDEX(Assumptions!$D$17:$D$23,MATCH(G334,Assumptions!$B$17:$B$23,0))</f>
        <v>40000</v>
      </c>
      <c r="I334" s="6" t="n">
        <f aca="false">IFERROR(INDEX(Systems!$R$2:$R$179,MATCH($B334,Systems!$B$2:$B$179,0)),0)</f>
        <v>0</v>
      </c>
      <c r="J334" s="27" t="n">
        <f aca="false">H334*I334</f>
        <v>0</v>
      </c>
      <c r="K334" s="6" t="str">
        <f aca="false">IFERROR(IF(INDEX(Resources!$D$2:$D$64,MATCH($D334,Resources!$A$2:$A$64,0))="","",INDEX(Resources!$D$2:$D$64,MATCH($D334,Resources!$A$2:$A$64,0))),"")</f>
        <v>Heated shelter</v>
      </c>
      <c r="L334" s="28" t="n">
        <f aca="false">IF(K334="","",J334*INDEX(Resources!$E$2:$E$64,MATCH($D334,Resources!$A$2:$A$64,0)))</f>
        <v>0</v>
      </c>
      <c r="M334" s="6" t="str">
        <f aca="false">B334&amp;"|"&amp;D334&amp;"|"&amp;C334</f>
        <v>Biochar Kiln Firepit|Heat|Output</v>
      </c>
    </row>
    <row r="335" customFormat="false" ht="15" hidden="false" customHeight="true" outlineLevel="0" collapsed="false">
      <c r="A335" s="6" t="s">
        <v>1303</v>
      </c>
      <c r="B335" s="6" t="s">
        <v>513</v>
      </c>
      <c r="C335" s="6" t="s">
        <v>943</v>
      </c>
      <c r="D335" s="6" t="s">
        <v>410</v>
      </c>
      <c r="E335" s="26" t="n">
        <v>1</v>
      </c>
      <c r="F335" s="6" t="str">
        <f aca="false">IFERROR(INDEX(Resources!$B$2:$B$64,MATCH($D335,Resources!$A$2:$A$64,0)),"?")</f>
        <v>gal</v>
      </c>
      <c r="G335" s="6" t="s">
        <v>939</v>
      </c>
      <c r="H335" s="27" t="n">
        <f aca="false">E335*INDEX(Assumptions!$D$17:$D$23,MATCH(G335,Assumptions!$B$17:$B$23,0))</f>
        <v>1</v>
      </c>
      <c r="I335" s="6" t="n">
        <f aca="false">IFERROR(INDEX(Systems!$R$2:$R$179,MATCH($B335,Systems!$B$2:$B$179,0)),0)</f>
        <v>0</v>
      </c>
      <c r="J335" s="27" t="n">
        <f aca="false">H335*I335</f>
        <v>0</v>
      </c>
      <c r="K335" s="6" t="str">
        <f aca="false">IFERROR(IF(INDEX(Resources!$D$2:$D$64,MATCH($D335,Resources!$A$2:$A$64,0))="","",INDEX(Resources!$D$2:$D$64,MATCH($D335,Resources!$A$2:$A$64,0))),"")</f>
        <v/>
      </c>
      <c r="L335" s="28" t="str">
        <f aca="false">IF(K335="","",J335*INDEX(Resources!$E$2:$E$64,MATCH($D335,Resources!$A$2:$A$64,0)))</f>
        <v/>
      </c>
      <c r="M335" s="6" t="str">
        <f aca="false">B335&amp;"|"&amp;D335&amp;"|"&amp;C335</f>
        <v>Biochar Kiln Firepit|Liquid fertilizer|Output</v>
      </c>
    </row>
    <row r="336" customFormat="false" ht="15" hidden="false" customHeight="true" outlineLevel="0" collapsed="false">
      <c r="A336" s="6" t="s">
        <v>1304</v>
      </c>
      <c r="B336" s="6" t="s">
        <v>513</v>
      </c>
      <c r="C336" s="6" t="s">
        <v>943</v>
      </c>
      <c r="D336" s="6" t="s">
        <v>174</v>
      </c>
      <c r="E336" s="26" t="n">
        <v>10</v>
      </c>
      <c r="F336" s="6" t="str">
        <f aca="false">IFERROR(INDEX(Resources!$B$2:$B$64,MATCH($D336,Resources!$A$2:$A$64,0)),"?")</f>
        <v>lbs</v>
      </c>
      <c r="G336" s="6" t="s">
        <v>939</v>
      </c>
      <c r="H336" s="27" t="n">
        <f aca="false">E336*INDEX(Assumptions!$D$17:$D$23,MATCH(G336,Assumptions!$B$17:$B$23,0))</f>
        <v>10</v>
      </c>
      <c r="I336" s="6" t="n">
        <f aca="false">IFERROR(INDEX(Systems!$R$2:$R$179,MATCH($B336,Systems!$B$2:$B$179,0)),0)</f>
        <v>0</v>
      </c>
      <c r="J336" s="27" t="n">
        <f aca="false">H336*I336</f>
        <v>0</v>
      </c>
      <c r="K336" s="6" t="str">
        <f aca="false">IFERROR(IF(INDEX(Resources!$D$2:$D$64,MATCH($D336,Resources!$A$2:$A$64,0))="","",INDEX(Resources!$D$2:$D$64,MATCH($D336,Resources!$A$2:$A$64,0))),"")</f>
        <v/>
      </c>
      <c r="L336" s="28" t="str">
        <f aca="false">IF(K336="","",J336*INDEX(Resources!$E$2:$E$64,MATCH($D336,Resources!$A$2:$A$64,0)))</f>
        <v/>
      </c>
      <c r="M336" s="6" t="str">
        <f aca="false">B336&amp;"|"&amp;D336&amp;"|"&amp;C336</f>
        <v>Biochar Kiln Firepit|Biochar|Output</v>
      </c>
    </row>
    <row r="337" customFormat="false" ht="15" hidden="false" customHeight="true" outlineLevel="0" collapsed="false">
      <c r="A337" s="6" t="s">
        <v>1305</v>
      </c>
      <c r="B337" s="6" t="s">
        <v>519</v>
      </c>
      <c r="C337" s="6" t="s">
        <v>943</v>
      </c>
      <c r="D337" s="6" t="s">
        <v>910</v>
      </c>
      <c r="E337" s="26" t="n">
        <v>43560</v>
      </c>
      <c r="F337" s="6" t="str">
        <f aca="false">IFERROR(INDEX(Resources!$B$2:$B$64,MATCH($D337,Resources!$A$2:$A$64,0)),"?")</f>
        <v>sq ft</v>
      </c>
      <c r="G337" s="6" t="s">
        <v>945</v>
      </c>
      <c r="H337" s="27" t="n">
        <f aca="false">E337*INDEX(Assumptions!$D$17:$D$23,MATCH(G337,Assumptions!$B$17:$B$23,0))</f>
        <v>43560</v>
      </c>
      <c r="I337" s="6" t="n">
        <f aca="false">IFERROR(INDEX(Systems!$R$2:$R$179,MATCH($B337,Systems!$B$2:$B$179,0)),0)</f>
        <v>1</v>
      </c>
      <c r="J337" s="27" t="n">
        <f aca="false">H337*I337</f>
        <v>43560</v>
      </c>
      <c r="K337" s="6" t="str">
        <f aca="false">IFERROR(IF(INDEX(Resources!$D$2:$D$64,MATCH($D337,Resources!$A$2:$A$64,0))="","",INDEX(Resources!$D$2:$D$64,MATCH($D337,Resources!$A$2:$A$64,0))),"")</f>
        <v/>
      </c>
      <c r="L337" s="28" t="str">
        <f aca="false">IF(K337="","",J337*INDEX(Resources!$E$2:$E$64,MATCH($D337,Resources!$A$2:$A$64,0)))</f>
        <v/>
      </c>
      <c r="M337" s="6" t="str">
        <f aca="false">B337&amp;"|"&amp;D337&amp;"|"&amp;C337</f>
        <v>Land Title ($50k)|Land area|Output</v>
      </c>
    </row>
    <row r="338" customFormat="false" ht="15" hidden="false" customHeight="true" outlineLevel="0" collapsed="false">
      <c r="A338" s="6" t="s">
        <v>1306</v>
      </c>
      <c r="B338" s="6" t="s">
        <v>525</v>
      </c>
      <c r="C338" s="6" t="s">
        <v>938</v>
      </c>
      <c r="D338" s="6" t="s">
        <v>269</v>
      </c>
      <c r="E338" s="26" t="n">
        <v>62</v>
      </c>
      <c r="F338" s="6" t="str">
        <f aca="false">IFERROR(INDEX(Resources!$B$2:$B$64,MATCH($D338,Resources!$A$2:$A$64,0)),"?")</f>
        <v>$</v>
      </c>
      <c r="G338" s="6" t="s">
        <v>939</v>
      </c>
      <c r="H338" s="27" t="n">
        <f aca="false">E338*INDEX(Assumptions!$D$17:$D$23,MATCH(G338,Assumptions!$B$17:$B$23,0))</f>
        <v>62</v>
      </c>
      <c r="I338" s="6" t="n">
        <f aca="false">IFERROR(INDEX(Systems!$R$2:$R$179,MATCH($B338,Systems!$B$2:$B$179,0)),0)</f>
        <v>0</v>
      </c>
      <c r="J338" s="27" t="n">
        <f aca="false">H338*I338</f>
        <v>0</v>
      </c>
      <c r="K338" s="6" t="str">
        <f aca="false">IFERROR(IF(INDEX(Resources!$D$2:$D$64,MATCH($D338,Resources!$A$2:$A$64,0))="","",INDEX(Resources!$D$2:$D$64,MATCH($D338,Resources!$A$2:$A$64,0))),"")</f>
        <v/>
      </c>
      <c r="L338" s="28" t="str">
        <f aca="false">IF(K338="","",J338*INDEX(Resources!$E$2:$E$64,MATCH($D338,Resources!$A$2:$A$64,0)))</f>
        <v/>
      </c>
      <c r="M338" s="6" t="str">
        <f aca="false">B338&amp;"|"&amp;D338&amp;"|"&amp;C338</f>
        <v>30 Year Mortgage and Interest|Capital|Input</v>
      </c>
    </row>
    <row r="339" customFormat="false" ht="15" hidden="false" customHeight="true" outlineLevel="0" collapsed="false">
      <c r="A339" s="6" t="s">
        <v>1307</v>
      </c>
      <c r="B339" s="6" t="s">
        <v>525</v>
      </c>
      <c r="C339" s="6" t="s">
        <v>943</v>
      </c>
      <c r="D339" s="6" t="s">
        <v>910</v>
      </c>
      <c r="E339" s="26" t="n">
        <v>43560</v>
      </c>
      <c r="F339" s="6" t="str">
        <f aca="false">IFERROR(INDEX(Resources!$B$2:$B$64,MATCH($D339,Resources!$A$2:$A$64,0)),"?")</f>
        <v>sq ft</v>
      </c>
      <c r="G339" s="6" t="s">
        <v>945</v>
      </c>
      <c r="H339" s="27" t="n">
        <f aca="false">E339*INDEX(Assumptions!$D$17:$D$23,MATCH(G339,Assumptions!$B$17:$B$23,0))</f>
        <v>43560</v>
      </c>
      <c r="I339" s="6" t="n">
        <f aca="false">IFERROR(INDEX(Systems!$R$2:$R$179,MATCH($B339,Systems!$B$2:$B$179,0)),0)</f>
        <v>0</v>
      </c>
      <c r="J339" s="27" t="n">
        <f aca="false">H339*I339</f>
        <v>0</v>
      </c>
      <c r="K339" s="6" t="str">
        <f aca="false">IFERROR(IF(INDEX(Resources!$D$2:$D$64,MATCH($D339,Resources!$A$2:$A$64,0))="","",INDEX(Resources!$D$2:$D$64,MATCH($D339,Resources!$A$2:$A$64,0))),"")</f>
        <v/>
      </c>
      <c r="L339" s="28" t="str">
        <f aca="false">IF(K339="","",J339*INDEX(Resources!$E$2:$E$64,MATCH($D339,Resources!$A$2:$A$64,0)))</f>
        <v/>
      </c>
      <c r="M339" s="6" t="str">
        <f aca="false">B339&amp;"|"&amp;D339&amp;"|"&amp;C339</f>
        <v>30 Year Mortgage and Interest|Land area|Output</v>
      </c>
    </row>
    <row r="340" customFormat="false" ht="15" hidden="false" customHeight="true" outlineLevel="0" collapsed="false">
      <c r="A340" s="6" t="s">
        <v>1308</v>
      </c>
      <c r="B340" s="6" t="s">
        <v>165</v>
      </c>
      <c r="C340" s="6" t="s">
        <v>943</v>
      </c>
      <c r="D340" s="6" t="s">
        <v>165</v>
      </c>
      <c r="E340" s="29" t="n">
        <f aca="false">Assumptions!$C$6*7</f>
        <v>35</v>
      </c>
      <c r="F340" s="6" t="str">
        <f aca="false">IFERROR(INDEX(Resources!$B$2:$B$64,MATCH($D340,Resources!$A$2:$A$64,0)),"?")</f>
        <v>sun-hours</v>
      </c>
      <c r="G340" s="6" t="s">
        <v>939</v>
      </c>
      <c r="H340" s="27" t="n">
        <f aca="false">E340*INDEX(Assumptions!$D$17:$D$23,MATCH(G340,Assumptions!$B$17:$B$23,0))</f>
        <v>35</v>
      </c>
      <c r="I340" s="6" t="n">
        <f aca="false">IFERROR(INDEX(Systems!$R$2:$R$179,MATCH($B340,Systems!$B$2:$B$179,0)),0)</f>
        <v>1</v>
      </c>
      <c r="J340" s="27" t="n">
        <f aca="false">H340*I340</f>
        <v>35</v>
      </c>
      <c r="K340" s="6" t="str">
        <f aca="false">IFERROR(IF(INDEX(Resources!$D$2:$D$64,MATCH($D340,Resources!$A$2:$A$64,0))="","",INDEX(Resources!$D$2:$D$64,MATCH($D340,Resources!$A$2:$A$64,0))),"")</f>
        <v/>
      </c>
      <c r="L340" s="28" t="str">
        <f aca="false">IF(K340="","",J340*INDEX(Resources!$E$2:$E$64,MATCH($D340,Resources!$A$2:$A$64,0)))</f>
        <v/>
      </c>
      <c r="M340" s="6" t="str">
        <f aca="false">B340&amp;"|"&amp;D340&amp;"|"&amp;C340</f>
        <v>Sunlight|Sunlight|Output</v>
      </c>
      <c r="N340" s="6" t="s">
        <v>948</v>
      </c>
    </row>
    <row r="341" customFormat="false" ht="15" hidden="false" customHeight="true" outlineLevel="0" collapsed="false">
      <c r="A341" s="6" t="s">
        <v>1309</v>
      </c>
      <c r="B341" s="6" t="s">
        <v>532</v>
      </c>
      <c r="C341" s="6" t="s">
        <v>938</v>
      </c>
      <c r="D341" s="6" t="s">
        <v>71</v>
      </c>
      <c r="E341" s="26" t="n">
        <v>0.05</v>
      </c>
      <c r="F341" s="6" t="str">
        <f aca="false">IFERROR(INDEX(Resources!$B$2:$B$64,MATCH($D341,Resources!$A$2:$A$64,0)),"?")</f>
        <v>hours</v>
      </c>
      <c r="G341" s="6" t="s">
        <v>939</v>
      </c>
      <c r="H341" s="27" t="n">
        <f aca="false">E341*INDEX(Assumptions!$D$17:$D$23,MATCH(G341,Assumptions!$B$17:$B$23,0))</f>
        <v>0.05</v>
      </c>
      <c r="I341" s="6" t="n">
        <f aca="false">IFERROR(INDEX(Systems!$R$2:$R$179,MATCH($B341,Systems!$B$2:$B$179,0)),0)</f>
        <v>0</v>
      </c>
      <c r="J341" s="27" t="n">
        <f aca="false">H341*I341</f>
        <v>0</v>
      </c>
      <c r="K341" s="6" t="str">
        <f aca="false">IFERROR(IF(INDEX(Resources!$D$2:$D$64,MATCH($D341,Resources!$A$2:$A$64,0))="","",INDEX(Resources!$D$2:$D$64,MATCH($D341,Resources!$A$2:$A$64,0))),"")</f>
        <v>Est. Required Labor</v>
      </c>
      <c r="L341" s="28" t="n">
        <f aca="false">IF(K341="","",J341*INDEX(Resources!$E$2:$E$64,MATCH($D341,Resources!$A$2:$A$64,0)))</f>
        <v>0</v>
      </c>
      <c r="M341" s="6" t="str">
        <f aca="false">B341&amp;"|"&amp;D341&amp;"|"&amp;C341</f>
        <v>Bird House|Labor|Input</v>
      </c>
      <c r="N341" s="6" t="s">
        <v>940</v>
      </c>
    </row>
    <row r="342" customFormat="false" ht="15" hidden="false" customHeight="true" outlineLevel="0" collapsed="false">
      <c r="A342" s="6" t="s">
        <v>1310</v>
      </c>
      <c r="B342" s="6" t="s">
        <v>532</v>
      </c>
      <c r="C342" s="6" t="s">
        <v>938</v>
      </c>
      <c r="D342" s="6" t="s">
        <v>415</v>
      </c>
      <c r="E342" s="26" t="n">
        <v>5</v>
      </c>
      <c r="F342" s="6" t="str">
        <f aca="false">IFERROR(INDEX(Resources!$B$2:$B$64,MATCH($D342,Resources!$A$2:$A$64,0)),"?")</f>
        <v>lbs</v>
      </c>
      <c r="G342" s="6" t="s">
        <v>1115</v>
      </c>
      <c r="H342" s="27" t="n">
        <f aca="false">E342*INDEX(Assumptions!$D$17:$D$23,MATCH(G342,Assumptions!$B$17:$B$23,0))</f>
        <v>0</v>
      </c>
      <c r="I342" s="6" t="n">
        <f aca="false">IFERROR(INDEX(Systems!$R$2:$R$179,MATCH($B342,Systems!$B$2:$B$179,0)),0)</f>
        <v>0</v>
      </c>
      <c r="J342" s="27" t="n">
        <f aca="false">H342*I342</f>
        <v>0</v>
      </c>
      <c r="K342" s="6" t="str">
        <f aca="false">IFERROR(IF(INDEX(Resources!$D$2:$D$64,MATCH($D342,Resources!$A$2:$A$64,0))="","",INDEX(Resources!$D$2:$D$64,MATCH($D342,Resources!$A$2:$A$64,0))),"")</f>
        <v/>
      </c>
      <c r="L342" s="28" t="str">
        <f aca="false">IF(K342="","",J342*INDEX(Resources!$E$2:$E$64,MATCH($D342,Resources!$A$2:$A$64,0)))</f>
        <v/>
      </c>
      <c r="M342" s="6" t="str">
        <f aca="false">B342&amp;"|"&amp;D342&amp;"|"&amp;C342</f>
        <v>Bird House|Waste lumber|Input</v>
      </c>
    </row>
    <row r="343" customFormat="false" ht="15" hidden="false" customHeight="true" outlineLevel="0" collapsed="false">
      <c r="A343" s="6" t="s">
        <v>1311</v>
      </c>
      <c r="B343" s="6" t="s">
        <v>532</v>
      </c>
      <c r="C343" s="6" t="s">
        <v>943</v>
      </c>
      <c r="D343" s="6" t="s">
        <v>1312</v>
      </c>
      <c r="E343" s="26" t="n">
        <v>1</v>
      </c>
      <c r="F343" s="6" t="str">
        <f aca="false">IFERROR(INDEX(Resources!$B$2:$B$64,MATCH($D343,Resources!$A$2:$A$64,0)),"?")</f>
        <v>units</v>
      </c>
      <c r="G343" s="6" t="s">
        <v>945</v>
      </c>
      <c r="H343" s="27" t="n">
        <f aca="false">E343*INDEX(Assumptions!$D$17:$D$23,MATCH(G343,Assumptions!$B$17:$B$23,0))</f>
        <v>1</v>
      </c>
      <c r="I343" s="6" t="n">
        <f aca="false">IFERROR(INDEX(Systems!$R$2:$R$179,MATCH($B343,Systems!$B$2:$B$179,0)),0)</f>
        <v>0</v>
      </c>
      <c r="J343" s="27" t="n">
        <f aca="false">H343*I343</f>
        <v>0</v>
      </c>
      <c r="K343" s="6" t="str">
        <f aca="false">IFERROR(IF(INDEX(Resources!$D$2:$D$64,MATCH($D343,Resources!$A$2:$A$64,0))="","",INDEX(Resources!$D$2:$D$64,MATCH($D343,Resources!$A$2:$A$64,0))),"")</f>
        <v/>
      </c>
      <c r="L343" s="28" t="str">
        <f aca="false">IF(K343="","",J343*INDEX(Resources!$E$2:$E$64,MATCH($D343,Resources!$A$2:$A$64,0)))</f>
        <v/>
      </c>
      <c r="M343" s="6" t="str">
        <f aca="false">B343&amp;"|"&amp;D343&amp;"|"&amp;C343</f>
        <v>Bird House|Nesting habitat|Output</v>
      </c>
    </row>
    <row r="344" customFormat="false" ht="15" hidden="false" customHeight="true" outlineLevel="0" collapsed="false">
      <c r="A344" s="6" t="s">
        <v>1313</v>
      </c>
      <c r="B344" s="6" t="s">
        <v>532</v>
      </c>
      <c r="C344" s="6" t="s">
        <v>943</v>
      </c>
      <c r="D344" s="6" t="s">
        <v>462</v>
      </c>
      <c r="E344" s="26" t="n">
        <v>1</v>
      </c>
      <c r="F344" s="6" t="str">
        <f aca="false">IFERROR(INDEX(Resources!$B$2:$B$64,MATCH($D344,Resources!$A$2:$A$64,0)),"?")</f>
        <v>points</v>
      </c>
      <c r="G344" s="6" t="s">
        <v>939</v>
      </c>
      <c r="H344" s="27" t="n">
        <f aca="false">E344*INDEX(Assumptions!$D$17:$D$23,MATCH(G344,Assumptions!$B$17:$B$23,0))</f>
        <v>1</v>
      </c>
      <c r="I344" s="6" t="n">
        <f aca="false">IFERROR(INDEX(Systems!$R$2:$R$179,MATCH($B344,Systems!$B$2:$B$179,0)),0)</f>
        <v>0</v>
      </c>
      <c r="J344" s="27" t="n">
        <f aca="false">H344*I344</f>
        <v>0</v>
      </c>
      <c r="K344" s="6" t="str">
        <f aca="false">IFERROR(IF(INDEX(Resources!$D$2:$D$64,MATCH($D344,Resources!$A$2:$A$64,0))="","",INDEX(Resources!$D$2:$D$64,MATCH($D344,Resources!$A$2:$A$64,0))),"")</f>
        <v/>
      </c>
      <c r="L344" s="28" t="str">
        <f aca="false">IF(K344="","",J344*INDEX(Resources!$E$2:$E$64,MATCH($D344,Resources!$A$2:$A$64,0)))</f>
        <v/>
      </c>
      <c r="M344" s="6" t="str">
        <f aca="false">B344&amp;"|"&amp;D344&amp;"|"&amp;C344</f>
        <v>Bird House|Wellbeing|Output</v>
      </c>
    </row>
    <row r="345" customFormat="false" ht="15" hidden="false" customHeight="true" outlineLevel="0" collapsed="false">
      <c r="A345" s="6" t="s">
        <v>1314</v>
      </c>
      <c r="B345" s="6" t="s">
        <v>536</v>
      </c>
      <c r="C345" s="6" t="s">
        <v>938</v>
      </c>
      <c r="D345" s="6" t="s">
        <v>1040</v>
      </c>
      <c r="E345" s="26" t="n">
        <v>0.1</v>
      </c>
      <c r="F345" s="6" t="str">
        <f aca="false">IFERROR(INDEX(Resources!$B$2:$B$64,MATCH($D345,Resources!$A$2:$A$64,0)),"?")</f>
        <v>lbs</v>
      </c>
      <c r="G345" s="6" t="s">
        <v>939</v>
      </c>
      <c r="H345" s="27" t="n">
        <f aca="false">E345*INDEX(Assumptions!$D$17:$D$23,MATCH(G345,Assumptions!$B$17:$B$23,0))</f>
        <v>0.1</v>
      </c>
      <c r="I345" s="6" t="n">
        <f aca="false">IFERROR(INDEX(Systems!$R$2:$R$179,MATCH($B345,Systems!$B$2:$B$179,0)),0)</f>
        <v>0</v>
      </c>
      <c r="J345" s="27" t="n">
        <f aca="false">H345*I345</f>
        <v>0</v>
      </c>
      <c r="K345" s="6" t="str">
        <f aca="false">IFERROR(IF(INDEX(Resources!$D$2:$D$64,MATCH($D345,Resources!$A$2:$A$64,0))="","",INDEX(Resources!$D$2:$D$64,MATCH($D345,Resources!$A$2:$A$64,0))),"")</f>
        <v/>
      </c>
      <c r="L345" s="28" t="str">
        <f aca="false">IF(K345="","",J345*INDEX(Resources!$E$2:$E$64,MATCH($D345,Resources!$A$2:$A$64,0)))</f>
        <v/>
      </c>
      <c r="M345" s="6" t="str">
        <f aca="false">B345&amp;"|"&amp;D345&amp;"|"&amp;C345</f>
        <v>Blue Birds|Grubs|Input</v>
      </c>
    </row>
    <row r="346" customFormat="false" ht="15" hidden="false" customHeight="true" outlineLevel="0" collapsed="false">
      <c r="A346" s="6" t="s">
        <v>1315</v>
      </c>
      <c r="B346" s="6" t="s">
        <v>536</v>
      </c>
      <c r="C346" s="6" t="s">
        <v>938</v>
      </c>
      <c r="D346" s="6" t="s">
        <v>436</v>
      </c>
      <c r="E346" s="26" t="n">
        <v>50</v>
      </c>
      <c r="F346" s="6" t="str">
        <f aca="false">IFERROR(INDEX(Resources!$B$2:$B$64,MATCH($D346,Resources!$A$2:$A$64,0)),"?")</f>
        <v>sq ft</v>
      </c>
      <c r="G346" s="6" t="s">
        <v>945</v>
      </c>
      <c r="H346" s="27" t="n">
        <f aca="false">E346*INDEX(Assumptions!$D$17:$D$23,MATCH(G346,Assumptions!$B$17:$B$23,0))</f>
        <v>50</v>
      </c>
      <c r="I346" s="6" t="n">
        <f aca="false">IFERROR(INDEX(Systems!$R$2:$R$179,MATCH($B346,Systems!$B$2:$B$179,0)),0)</f>
        <v>0</v>
      </c>
      <c r="J346" s="27" t="n">
        <f aca="false">H346*I346</f>
        <v>0</v>
      </c>
      <c r="K346" s="6" t="str">
        <f aca="false">IFERROR(IF(INDEX(Resources!$D$2:$D$64,MATCH($D346,Resources!$A$2:$A$64,0))="","",INDEX(Resources!$D$2:$D$64,MATCH($D346,Resources!$A$2:$A$64,0))),"")</f>
        <v/>
      </c>
      <c r="L346" s="28" t="str">
        <f aca="false">IF(K346="","",J346*INDEX(Resources!$E$2:$E$64,MATCH($D346,Resources!$A$2:$A$64,0)))</f>
        <v/>
      </c>
      <c r="M346" s="6" t="str">
        <f aca="false">B346&amp;"|"&amp;D346&amp;"|"&amp;C346</f>
        <v>Blue Birds|Pollinator flowers|Input</v>
      </c>
    </row>
    <row r="347" customFormat="false" ht="15" hidden="false" customHeight="true" outlineLevel="0" collapsed="false">
      <c r="A347" s="6" t="s">
        <v>1316</v>
      </c>
      <c r="B347" s="6" t="s">
        <v>536</v>
      </c>
      <c r="C347" s="6" t="s">
        <v>938</v>
      </c>
      <c r="D347" s="6" t="s">
        <v>1312</v>
      </c>
      <c r="E347" s="26" t="n">
        <v>1</v>
      </c>
      <c r="F347" s="6" t="str">
        <f aca="false">IFERROR(INDEX(Resources!$B$2:$B$64,MATCH($D347,Resources!$A$2:$A$64,0)),"?")</f>
        <v>units</v>
      </c>
      <c r="G347" s="6" t="s">
        <v>945</v>
      </c>
      <c r="H347" s="27" t="n">
        <f aca="false">E347*INDEX(Assumptions!$D$17:$D$23,MATCH(G347,Assumptions!$B$17:$B$23,0))</f>
        <v>1</v>
      </c>
      <c r="I347" s="6" t="n">
        <f aca="false">IFERROR(INDEX(Systems!$R$2:$R$179,MATCH($B347,Systems!$B$2:$B$179,0)),0)</f>
        <v>0</v>
      </c>
      <c r="J347" s="27" t="n">
        <f aca="false">H347*I347</f>
        <v>0</v>
      </c>
      <c r="K347" s="6" t="str">
        <f aca="false">IFERROR(IF(INDEX(Resources!$D$2:$D$64,MATCH($D347,Resources!$A$2:$A$64,0))="","",INDEX(Resources!$D$2:$D$64,MATCH($D347,Resources!$A$2:$A$64,0))),"")</f>
        <v/>
      </c>
      <c r="L347" s="28" t="str">
        <f aca="false">IF(K347="","",J347*INDEX(Resources!$E$2:$E$64,MATCH($D347,Resources!$A$2:$A$64,0)))</f>
        <v/>
      </c>
      <c r="M347" s="6" t="str">
        <f aca="false">B347&amp;"|"&amp;D347&amp;"|"&amp;C347</f>
        <v>Blue Birds|Nesting habitat|Input</v>
      </c>
    </row>
    <row r="348" customFormat="false" ht="15" hidden="false" customHeight="true" outlineLevel="0" collapsed="false">
      <c r="A348" s="6" t="s">
        <v>1317</v>
      </c>
      <c r="B348" s="6" t="s">
        <v>536</v>
      </c>
      <c r="C348" s="6" t="s">
        <v>943</v>
      </c>
      <c r="D348" s="6" t="s">
        <v>462</v>
      </c>
      <c r="E348" s="26" t="n">
        <v>3</v>
      </c>
      <c r="F348" s="6" t="str">
        <f aca="false">IFERROR(INDEX(Resources!$B$2:$B$64,MATCH($D348,Resources!$A$2:$A$64,0)),"?")</f>
        <v>points</v>
      </c>
      <c r="G348" s="6" t="s">
        <v>939</v>
      </c>
      <c r="H348" s="27" t="n">
        <f aca="false">E348*INDEX(Assumptions!$D$17:$D$23,MATCH(G348,Assumptions!$B$17:$B$23,0))</f>
        <v>3</v>
      </c>
      <c r="I348" s="6" t="n">
        <f aca="false">IFERROR(INDEX(Systems!$R$2:$R$179,MATCH($B348,Systems!$B$2:$B$179,0)),0)</f>
        <v>0</v>
      </c>
      <c r="J348" s="27" t="n">
        <f aca="false">H348*I348</f>
        <v>0</v>
      </c>
      <c r="K348" s="6" t="str">
        <f aca="false">IFERROR(IF(INDEX(Resources!$D$2:$D$64,MATCH($D348,Resources!$A$2:$A$64,0))="","",INDEX(Resources!$D$2:$D$64,MATCH($D348,Resources!$A$2:$A$64,0))),"")</f>
        <v/>
      </c>
      <c r="L348" s="28" t="str">
        <f aca="false">IF(K348="","",J348*INDEX(Resources!$E$2:$E$64,MATCH($D348,Resources!$A$2:$A$64,0)))</f>
        <v/>
      </c>
      <c r="M348" s="6" t="str">
        <f aca="false">B348&amp;"|"&amp;D348&amp;"|"&amp;C348</f>
        <v>Blue Birds|Wellbeing|Output</v>
      </c>
    </row>
    <row r="349" customFormat="false" ht="15" hidden="false" customHeight="true" outlineLevel="0" collapsed="false">
      <c r="A349" s="6" t="s">
        <v>1318</v>
      </c>
      <c r="B349" s="6" t="s">
        <v>536</v>
      </c>
      <c r="C349" s="6" t="s">
        <v>943</v>
      </c>
      <c r="D349" s="6" t="s">
        <v>1021</v>
      </c>
      <c r="E349" s="26" t="n">
        <v>1</v>
      </c>
      <c r="F349" s="6" t="str">
        <f aca="false">IFERROR(INDEX(Resources!$B$2:$B$64,MATCH($D349,Resources!$A$2:$A$64,0)),"?")</f>
        <v>units</v>
      </c>
      <c r="G349" s="6" t="s">
        <v>945</v>
      </c>
      <c r="H349" s="27" t="n">
        <f aca="false">E349*INDEX(Assumptions!$D$17:$D$23,MATCH(G349,Assumptions!$B$17:$B$23,0))</f>
        <v>1</v>
      </c>
      <c r="I349" s="6" t="n">
        <f aca="false">IFERROR(INDEX(Systems!$R$2:$R$179,MATCH($B349,Systems!$B$2:$B$179,0)),0)</f>
        <v>0</v>
      </c>
      <c r="J349" s="27" t="n">
        <f aca="false">H349*I349</f>
        <v>0</v>
      </c>
      <c r="K349" s="6" t="str">
        <f aca="false">IFERROR(IF(INDEX(Resources!$D$2:$D$64,MATCH($D349,Resources!$A$2:$A$64,0))="","",INDEX(Resources!$D$2:$D$64,MATCH($D349,Resources!$A$2:$A$64,0))),"")</f>
        <v/>
      </c>
      <c r="L349" s="28" t="str">
        <f aca="false">IF(K349="","",J349*INDEX(Resources!$E$2:$E$64,MATCH($D349,Resources!$A$2:$A$64,0)))</f>
        <v/>
      </c>
      <c r="M349" s="6" t="str">
        <f aca="false">B349&amp;"|"&amp;D349&amp;"|"&amp;C349</f>
        <v>Blue Birds|Pest control|Output</v>
      </c>
    </row>
    <row r="350" customFormat="false" ht="15" hidden="false" customHeight="true" outlineLevel="0" collapsed="false">
      <c r="A350" s="6" t="s">
        <v>1319</v>
      </c>
      <c r="B350" s="6" t="s">
        <v>540</v>
      </c>
      <c r="C350" s="6" t="s">
        <v>938</v>
      </c>
      <c r="D350" s="6" t="s">
        <v>52</v>
      </c>
      <c r="E350" s="26" t="n">
        <v>14000</v>
      </c>
      <c r="F350" s="6" t="str">
        <f aca="false">IFERROR(INDEX(Resources!$B$2:$B$64,MATCH($D350,Resources!$A$2:$A$64,0)),"?")</f>
        <v>kcal</v>
      </c>
      <c r="G350" s="6" t="s">
        <v>939</v>
      </c>
      <c r="H350" s="27" t="n">
        <f aca="false">E350*INDEX(Assumptions!$D$17:$D$23,MATCH(G350,Assumptions!$B$17:$B$23,0))</f>
        <v>14000</v>
      </c>
      <c r="I350" s="6" t="n">
        <f aca="false">IFERROR(INDEX(Systems!$R$2:$R$179,MATCH($B350,Systems!$B$2:$B$179,0)),0)</f>
        <v>1</v>
      </c>
      <c r="J350" s="27" t="n">
        <f aca="false">H350*I350</f>
        <v>14000</v>
      </c>
      <c r="K350" s="6" t="str">
        <f aca="false">IFERROR(IF(INDEX(Resources!$D$2:$D$64,MATCH($D350,Resources!$A$2:$A$64,0))="","",INDEX(Resources!$D$2:$D$64,MATCH($D350,Resources!$A$2:$A$64,0))),"")</f>
        <v>Food</v>
      </c>
      <c r="L350" s="28" t="n">
        <f aca="false">IF(K350="","",J350*INDEX(Resources!$E$2:$E$64,MATCH($D350,Resources!$A$2:$A$64,0)))</f>
        <v>14000</v>
      </c>
      <c r="M350" s="6" t="str">
        <f aca="false">B350&amp;"|"&amp;D350&amp;"|"&amp;C350</f>
        <v>Human Being|Food|Input</v>
      </c>
    </row>
    <row r="351" customFormat="false" ht="15" hidden="false" customHeight="true" outlineLevel="0" collapsed="false">
      <c r="A351" s="6" t="s">
        <v>1320</v>
      </c>
      <c r="B351" s="6" t="s">
        <v>540</v>
      </c>
      <c r="C351" s="6" t="s">
        <v>938</v>
      </c>
      <c r="D351" s="6" t="s">
        <v>51</v>
      </c>
      <c r="E351" s="26" t="n">
        <v>5</v>
      </c>
      <c r="F351" s="6" t="str">
        <f aca="false">IFERROR(INDEX(Resources!$B$2:$B$64,MATCH($D351,Resources!$A$2:$A$64,0)),"?")</f>
        <v>gal</v>
      </c>
      <c r="G351" s="6" t="s">
        <v>939</v>
      </c>
      <c r="H351" s="27" t="n">
        <f aca="false">E351*INDEX(Assumptions!$D$17:$D$23,MATCH(G351,Assumptions!$B$17:$B$23,0))</f>
        <v>5</v>
      </c>
      <c r="I351" s="6" t="n">
        <f aca="false">IFERROR(INDEX(Systems!$R$2:$R$179,MATCH($B351,Systems!$B$2:$B$179,0)),0)</f>
        <v>1</v>
      </c>
      <c r="J351" s="27" t="n">
        <f aca="false">H351*I351</f>
        <v>5</v>
      </c>
      <c r="K351" s="6" t="str">
        <f aca="false">IFERROR(IF(INDEX(Resources!$D$2:$D$64,MATCH($D351,Resources!$A$2:$A$64,0))="","",INDEX(Resources!$D$2:$D$64,MATCH($D351,Resources!$A$2:$A$64,0))),"")</f>
        <v>Drinking water</v>
      </c>
      <c r="L351" s="28" t="n">
        <f aca="false">IF(K351="","",J351*INDEX(Resources!$E$2:$E$64,MATCH($D351,Resources!$A$2:$A$64,0)))</f>
        <v>5</v>
      </c>
      <c r="M351" s="6" t="str">
        <f aca="false">B351&amp;"|"&amp;D351&amp;"|"&amp;C351</f>
        <v>Human Being|Drinking water|Input</v>
      </c>
    </row>
    <row r="352" customFormat="false" ht="15" hidden="false" customHeight="true" outlineLevel="0" collapsed="false">
      <c r="A352" s="6" t="s">
        <v>1321</v>
      </c>
      <c r="B352" s="6" t="s">
        <v>540</v>
      </c>
      <c r="C352" s="6" t="s">
        <v>938</v>
      </c>
      <c r="D352" s="6" t="s">
        <v>49</v>
      </c>
      <c r="E352" s="26" t="n">
        <v>100</v>
      </c>
      <c r="F352" s="6" t="str">
        <f aca="false">IFERROR(INDEX(Resources!$B$2:$B$64,MATCH($D352,Resources!$A$2:$A$64,0)),"?")</f>
        <v>gal</v>
      </c>
      <c r="G352" s="6" t="s">
        <v>939</v>
      </c>
      <c r="H352" s="27" t="n">
        <f aca="false">E352*INDEX(Assumptions!$D$17:$D$23,MATCH(G352,Assumptions!$B$17:$B$23,0))</f>
        <v>100</v>
      </c>
      <c r="I352" s="6" t="n">
        <f aca="false">IFERROR(INDEX(Systems!$R$2:$R$179,MATCH($B352,Systems!$B$2:$B$179,0)),0)</f>
        <v>1</v>
      </c>
      <c r="J352" s="27" t="n">
        <f aca="false">H352*I352</f>
        <v>100</v>
      </c>
      <c r="K352" s="6" t="str">
        <f aca="false">IFERROR(IF(INDEX(Resources!$D$2:$D$64,MATCH($D352,Resources!$A$2:$A$64,0))="","",INDEX(Resources!$D$2:$D$64,MATCH($D352,Resources!$A$2:$A$64,0))),"")</f>
        <v>Water</v>
      </c>
      <c r="L352" s="28" t="n">
        <f aca="false">IF(K352="","",J352*INDEX(Resources!$E$2:$E$64,MATCH($D352,Resources!$A$2:$A$64,0)))</f>
        <v>100</v>
      </c>
      <c r="M352" s="6" t="str">
        <f aca="false">B352&amp;"|"&amp;D352&amp;"|"&amp;C352</f>
        <v>Human Being|Water|Input</v>
      </c>
    </row>
    <row r="353" customFormat="false" ht="15" hidden="false" customHeight="true" outlineLevel="0" collapsed="false">
      <c r="A353" s="6" t="s">
        <v>1322</v>
      </c>
      <c r="B353" s="6" t="s">
        <v>540</v>
      </c>
      <c r="C353" s="6" t="s">
        <v>938</v>
      </c>
      <c r="D353" s="6" t="s">
        <v>982</v>
      </c>
      <c r="E353" s="26" t="n">
        <v>40</v>
      </c>
      <c r="F353" s="6" t="str">
        <f aca="false">IFERROR(INDEX(Resources!$B$2:$B$64,MATCH($D353,Resources!$A$2:$A$64,0)),"?")</f>
        <v>gal</v>
      </c>
      <c r="G353" s="6" t="s">
        <v>939</v>
      </c>
      <c r="H353" s="27" t="n">
        <f aca="false">E353*INDEX(Assumptions!$D$17:$D$23,MATCH(G353,Assumptions!$B$17:$B$23,0))</f>
        <v>40</v>
      </c>
      <c r="I353" s="6" t="n">
        <f aca="false">IFERROR(INDEX(Systems!$R$2:$R$179,MATCH($B353,Systems!$B$2:$B$179,0)),0)</f>
        <v>1</v>
      </c>
      <c r="J353" s="27" t="n">
        <f aca="false">H353*I353</f>
        <v>40</v>
      </c>
      <c r="K353" s="6" t="str">
        <f aca="false">IFERROR(IF(INDEX(Resources!$D$2:$D$64,MATCH($D353,Resources!$A$2:$A$64,0))="","",INDEX(Resources!$D$2:$D$64,MATCH($D353,Resources!$A$2:$A$64,0))),"")</f>
        <v/>
      </c>
      <c r="L353" s="28" t="str">
        <f aca="false">IF(K353="","",J353*INDEX(Resources!$E$2:$E$64,MATCH($D353,Resources!$A$2:$A$64,0)))</f>
        <v/>
      </c>
      <c r="M353" s="6" t="str">
        <f aca="false">B353&amp;"|"&amp;D353&amp;"|"&amp;C353</f>
        <v>Human Being|Hot water|Input</v>
      </c>
    </row>
    <row r="354" customFormat="false" ht="15" hidden="false" customHeight="true" outlineLevel="0" collapsed="false">
      <c r="A354" s="6" t="s">
        <v>1323</v>
      </c>
      <c r="B354" s="6" t="s">
        <v>540</v>
      </c>
      <c r="C354" s="6" t="s">
        <v>938</v>
      </c>
      <c r="D354" s="6" t="s">
        <v>55</v>
      </c>
      <c r="E354" s="26" t="n">
        <v>200</v>
      </c>
      <c r="F354" s="6" t="str">
        <f aca="false">IFERROR(INDEX(Resources!$B$2:$B$64,MATCH($D354,Resources!$A$2:$A$64,0)),"?")</f>
        <v>sq ft</v>
      </c>
      <c r="G354" s="6" t="s">
        <v>945</v>
      </c>
      <c r="H354" s="27" t="n">
        <f aca="false">E354*INDEX(Assumptions!$D$17:$D$23,MATCH(G354,Assumptions!$B$17:$B$23,0))</f>
        <v>200</v>
      </c>
      <c r="I354" s="6" t="n">
        <f aca="false">IFERROR(INDEX(Systems!$R$2:$R$179,MATCH($B354,Systems!$B$2:$B$179,0)),0)</f>
        <v>1</v>
      </c>
      <c r="J354" s="27" t="n">
        <f aca="false">H354*I354</f>
        <v>200</v>
      </c>
      <c r="K354" s="6" t="str">
        <f aca="false">IFERROR(IF(INDEX(Resources!$D$2:$D$64,MATCH($D354,Resources!$A$2:$A$64,0))="","",INDEX(Resources!$D$2:$D$64,MATCH($D354,Resources!$A$2:$A$64,0))),"")</f>
        <v>Shelter</v>
      </c>
      <c r="L354" s="28" t="n">
        <f aca="false">IF(K354="","",J354*INDEX(Resources!$E$2:$E$64,MATCH($D354,Resources!$A$2:$A$64,0)))</f>
        <v>200</v>
      </c>
      <c r="M354" s="6" t="str">
        <f aca="false">B354&amp;"|"&amp;D354&amp;"|"&amp;C354</f>
        <v>Human Being|Shelter|Input</v>
      </c>
    </row>
    <row r="355" customFormat="false" ht="15" hidden="false" customHeight="true" outlineLevel="0" collapsed="false">
      <c r="A355" s="6" t="s">
        <v>1324</v>
      </c>
      <c r="B355" s="6" t="s">
        <v>540</v>
      </c>
      <c r="C355" s="6" t="s">
        <v>938</v>
      </c>
      <c r="D355" s="6" t="s">
        <v>57</v>
      </c>
      <c r="E355" s="26" t="n">
        <v>17.5</v>
      </c>
      <c r="F355" s="6" t="str">
        <f aca="false">IFERROR(INDEX(Resources!$B$2:$B$64,MATCH($D355,Resources!$A$2:$A$64,0)),"?")</f>
        <v>lbs</v>
      </c>
      <c r="G355" s="6" t="s">
        <v>939</v>
      </c>
      <c r="H355" s="27" t="n">
        <f aca="false">E355*INDEX(Assumptions!$D$17:$D$23,MATCH(G355,Assumptions!$B$17:$B$23,0))</f>
        <v>17.5</v>
      </c>
      <c r="I355" s="6" t="n">
        <f aca="false">IFERROR(INDEX(Systems!$R$2:$R$179,MATCH($B355,Systems!$B$2:$B$179,0)),0)</f>
        <v>1</v>
      </c>
      <c r="J355" s="27" t="n">
        <f aca="false">H355*I355</f>
        <v>17.5</v>
      </c>
      <c r="K355" s="6" t="str">
        <f aca="false">IFERROR(IF(INDEX(Resources!$D$2:$D$64,MATCH($D355,Resources!$A$2:$A$64,0))="","",INDEX(Resources!$D$2:$D$64,MATCH($D355,Resources!$A$2:$A$64,0))),"")</f>
        <v>Sanitation</v>
      </c>
      <c r="L355" s="28" t="n">
        <f aca="false">IF(K355="","",J355*INDEX(Resources!$E$2:$E$64,MATCH($D355,Resources!$A$2:$A$64,0)))</f>
        <v>17.5</v>
      </c>
      <c r="M355" s="6" t="str">
        <f aca="false">B355&amp;"|"&amp;D355&amp;"|"&amp;C355</f>
        <v>Human Being|Sanitation|Input</v>
      </c>
    </row>
    <row r="356" customFormat="false" ht="15" hidden="false" customHeight="true" outlineLevel="0" collapsed="false">
      <c r="A356" s="6" t="s">
        <v>1325</v>
      </c>
      <c r="B356" s="6" t="s">
        <v>540</v>
      </c>
      <c r="C356" s="6" t="s">
        <v>938</v>
      </c>
      <c r="D356" s="6" t="s">
        <v>59</v>
      </c>
      <c r="E356" s="26" t="n">
        <v>21</v>
      </c>
      <c r="F356" s="6" t="str">
        <f aca="false">IFERROR(INDEX(Resources!$B$2:$B$64,MATCH($D356,Resources!$A$2:$A$64,0)),"?")</f>
        <v>kWh</v>
      </c>
      <c r="G356" s="6" t="s">
        <v>939</v>
      </c>
      <c r="H356" s="27" t="n">
        <f aca="false">E356*INDEX(Assumptions!$D$17:$D$23,MATCH(G356,Assumptions!$B$17:$B$23,0))</f>
        <v>21</v>
      </c>
      <c r="I356" s="6" t="n">
        <f aca="false">IFERROR(INDEX(Systems!$R$2:$R$179,MATCH($B356,Systems!$B$2:$B$179,0)),0)</f>
        <v>1</v>
      </c>
      <c r="J356" s="27" t="n">
        <f aca="false">H356*I356</f>
        <v>21</v>
      </c>
      <c r="K356" s="6" t="str">
        <f aca="false">IFERROR(IF(INDEX(Resources!$D$2:$D$64,MATCH($D356,Resources!$A$2:$A$64,0))="","",INDEX(Resources!$D$2:$D$64,MATCH($D356,Resources!$A$2:$A$64,0))),"")</f>
        <v>Electricity</v>
      </c>
      <c r="L356" s="28" t="n">
        <f aca="false">IF(K356="","",J356*INDEX(Resources!$E$2:$E$64,MATCH($D356,Resources!$A$2:$A$64,0)))</f>
        <v>21</v>
      </c>
      <c r="M356" s="6" t="str">
        <f aca="false">B356&amp;"|"&amp;D356&amp;"|"&amp;C356</f>
        <v>Human Being|Electricity|Input</v>
      </c>
    </row>
    <row r="357" customFormat="false" ht="15" hidden="false" customHeight="true" outlineLevel="0" collapsed="false">
      <c r="A357" s="6" t="s">
        <v>1326</v>
      </c>
      <c r="B357" s="6" t="s">
        <v>540</v>
      </c>
      <c r="C357" s="6" t="s">
        <v>938</v>
      </c>
      <c r="D357" s="6" t="s">
        <v>61</v>
      </c>
      <c r="E357" s="26" t="n">
        <v>150</v>
      </c>
      <c r="F357" s="6" t="str">
        <f aca="false">IFERROR(INDEX(Resources!$B$2:$B$64,MATCH($D357,Resources!$A$2:$A$64,0)),"?")</f>
        <v>miles</v>
      </c>
      <c r="G357" s="6" t="s">
        <v>939</v>
      </c>
      <c r="H357" s="27" t="n">
        <f aca="false">E357*INDEX(Assumptions!$D$17:$D$23,MATCH(G357,Assumptions!$B$17:$B$23,0))</f>
        <v>150</v>
      </c>
      <c r="I357" s="6" t="n">
        <f aca="false">IFERROR(INDEX(Systems!$R$2:$R$179,MATCH($B357,Systems!$B$2:$B$179,0)),0)</f>
        <v>1</v>
      </c>
      <c r="J357" s="27" t="n">
        <f aca="false">H357*I357</f>
        <v>150</v>
      </c>
      <c r="K357" s="6" t="str">
        <f aca="false">IFERROR(IF(INDEX(Resources!$D$2:$D$64,MATCH($D357,Resources!$A$2:$A$64,0))="","",INDEX(Resources!$D$2:$D$64,MATCH($D357,Resources!$A$2:$A$64,0))),"")</f>
        <v>Transportation</v>
      </c>
      <c r="L357" s="28" t="n">
        <f aca="false">IF(K357="","",J357*INDEX(Resources!$E$2:$E$64,MATCH($D357,Resources!$A$2:$A$64,0)))</f>
        <v>150</v>
      </c>
      <c r="M357" s="6" t="str">
        <f aca="false">B357&amp;"|"&amp;D357&amp;"|"&amp;C357</f>
        <v>Human Being|Transportation|Input</v>
      </c>
    </row>
    <row r="358" customFormat="false" ht="15" hidden="false" customHeight="true" outlineLevel="0" collapsed="false">
      <c r="A358" s="6" t="s">
        <v>1327</v>
      </c>
      <c r="B358" s="6" t="s">
        <v>540</v>
      </c>
      <c r="C358" s="6" t="s">
        <v>938</v>
      </c>
      <c r="D358" s="6" t="s">
        <v>63</v>
      </c>
      <c r="E358" s="26" t="n">
        <v>5</v>
      </c>
      <c r="F358" s="6" t="str">
        <f aca="false">IFERROR(INDEX(Resources!$B$2:$B$64,MATCH($D358,Resources!$A$2:$A$64,0)),"?")</f>
        <v>hours</v>
      </c>
      <c r="G358" s="6" t="s">
        <v>939</v>
      </c>
      <c r="H358" s="27" t="n">
        <f aca="false">E358*INDEX(Assumptions!$D$17:$D$23,MATCH(G358,Assumptions!$B$17:$B$23,0))</f>
        <v>5</v>
      </c>
      <c r="I358" s="6" t="n">
        <f aca="false">IFERROR(INDEX(Systems!$R$2:$R$179,MATCH($B358,Systems!$B$2:$B$179,0)),0)</f>
        <v>1</v>
      </c>
      <c r="J358" s="27" t="n">
        <f aca="false">H358*I358</f>
        <v>5</v>
      </c>
      <c r="K358" s="6" t="str">
        <f aca="false">IFERROR(IF(INDEX(Resources!$D$2:$D$64,MATCH($D358,Resources!$A$2:$A$64,0))="","",INDEX(Resources!$D$2:$D$64,MATCH($D358,Resources!$A$2:$A$64,0))),"")</f>
        <v>Cooking fuel</v>
      </c>
      <c r="L358" s="28" t="n">
        <f aca="false">IF(K358="","",J358*INDEX(Resources!$E$2:$E$64,MATCH($D358,Resources!$A$2:$A$64,0)))</f>
        <v>5</v>
      </c>
      <c r="M358" s="6" t="str">
        <f aca="false">B358&amp;"|"&amp;D358&amp;"|"&amp;C358</f>
        <v>Human Being|Cooking fuel|Input</v>
      </c>
    </row>
    <row r="359" customFormat="false" ht="15" hidden="false" customHeight="true" outlineLevel="0" collapsed="false">
      <c r="A359" s="6" t="s">
        <v>1328</v>
      </c>
      <c r="B359" s="6" t="s">
        <v>540</v>
      </c>
      <c r="C359" s="6" t="s">
        <v>943</v>
      </c>
      <c r="D359" s="6" t="s">
        <v>71</v>
      </c>
      <c r="E359" s="26" t="n">
        <v>50</v>
      </c>
      <c r="F359" s="6" t="str">
        <f aca="false">IFERROR(INDEX(Resources!$B$2:$B$64,MATCH($D359,Resources!$A$2:$A$64,0)),"?")</f>
        <v>hours</v>
      </c>
      <c r="G359" s="6" t="s">
        <v>939</v>
      </c>
      <c r="H359" s="27" t="n">
        <f aca="false">E359*INDEX(Assumptions!$D$17:$D$23,MATCH(G359,Assumptions!$B$17:$B$23,0))</f>
        <v>50</v>
      </c>
      <c r="I359" s="6" t="n">
        <f aca="false">IFERROR(INDEX(Systems!$R$2:$R$179,MATCH($B359,Systems!$B$2:$B$179,0)),0)</f>
        <v>1</v>
      </c>
      <c r="J359" s="27" t="n">
        <f aca="false">H359*I359</f>
        <v>50</v>
      </c>
      <c r="K359" s="6" t="str">
        <f aca="false">IFERROR(IF(INDEX(Resources!$D$2:$D$64,MATCH($D359,Resources!$A$2:$A$64,0))="","",INDEX(Resources!$D$2:$D$64,MATCH($D359,Resources!$A$2:$A$64,0))),"")</f>
        <v>Est. Required Labor</v>
      </c>
      <c r="L359" s="28" t="n">
        <f aca="false">IF(K359="","",J359*INDEX(Resources!$E$2:$E$64,MATCH($D359,Resources!$A$2:$A$64,0)))</f>
        <v>50</v>
      </c>
      <c r="M359" s="6" t="str">
        <f aca="false">B359&amp;"|"&amp;D359&amp;"|"&amp;C359</f>
        <v>Human Being|Labor|Output</v>
      </c>
    </row>
    <row r="360" customFormat="false" ht="15" hidden="false" customHeight="true" outlineLevel="0" collapsed="false">
      <c r="A360" s="6" t="s">
        <v>1329</v>
      </c>
      <c r="B360" s="6" t="s">
        <v>540</v>
      </c>
      <c r="C360" s="6" t="s">
        <v>943</v>
      </c>
      <c r="D360" s="6" t="s">
        <v>341</v>
      </c>
      <c r="E360" s="26" t="n">
        <v>17.5</v>
      </c>
      <c r="F360" s="6" t="str">
        <f aca="false">IFERROR(INDEX(Resources!$B$2:$B$64,MATCH($D360,Resources!$A$2:$A$64,0)),"?")</f>
        <v>lbs</v>
      </c>
      <c r="G360" s="6" t="s">
        <v>939</v>
      </c>
      <c r="H360" s="27" t="n">
        <f aca="false">E360*INDEX(Assumptions!$D$17:$D$23,MATCH(G360,Assumptions!$B$17:$B$23,0))</f>
        <v>17.5</v>
      </c>
      <c r="I360" s="6" t="n">
        <f aca="false">IFERROR(INDEX(Systems!$R$2:$R$179,MATCH($B360,Systems!$B$2:$B$179,0)),0)</f>
        <v>1</v>
      </c>
      <c r="J360" s="27" t="n">
        <f aca="false">H360*I360</f>
        <v>17.5</v>
      </c>
      <c r="K360" s="6" t="str">
        <f aca="false">IFERROR(IF(INDEX(Resources!$D$2:$D$64,MATCH($D360,Resources!$A$2:$A$64,0))="","",INDEX(Resources!$D$2:$D$64,MATCH($D360,Resources!$A$2:$A$64,0))),"")</f>
        <v/>
      </c>
      <c r="L360" s="28" t="str">
        <f aca="false">IF(K360="","",J360*INDEX(Resources!$E$2:$E$64,MATCH($D360,Resources!$A$2:$A$64,0)))</f>
        <v/>
      </c>
      <c r="M360" s="6" t="str">
        <f aca="false">B360&amp;"|"&amp;D360&amp;"|"&amp;C360</f>
        <v>Human Being|Organic waste|Output</v>
      </c>
    </row>
    <row r="361" customFormat="false" ht="15" hidden="false" customHeight="true" outlineLevel="0" collapsed="false">
      <c r="A361" s="6" t="s">
        <v>1330</v>
      </c>
      <c r="B361" s="6" t="s">
        <v>540</v>
      </c>
      <c r="C361" s="6" t="s">
        <v>943</v>
      </c>
      <c r="D361" s="6" t="s">
        <v>325</v>
      </c>
      <c r="E361" s="26" t="n">
        <v>3</v>
      </c>
      <c r="F361" s="6" t="str">
        <f aca="false">IFERROR(INDEX(Resources!$B$2:$B$64,MATCH($D361,Resources!$A$2:$A$64,0)),"?")</f>
        <v>lbs</v>
      </c>
      <c r="G361" s="6" t="s">
        <v>939</v>
      </c>
      <c r="H361" s="27" t="n">
        <f aca="false">E361*INDEX(Assumptions!$D$17:$D$23,MATCH(G361,Assumptions!$B$17:$B$23,0))</f>
        <v>3</v>
      </c>
      <c r="I361" s="6" t="n">
        <f aca="false">IFERROR(INDEX(Systems!$R$2:$R$179,MATCH($B361,Systems!$B$2:$B$179,0)),0)</f>
        <v>1</v>
      </c>
      <c r="J361" s="27" t="n">
        <f aca="false">H361*I361</f>
        <v>3</v>
      </c>
      <c r="K361" s="6" t="str">
        <f aca="false">IFERROR(IF(INDEX(Resources!$D$2:$D$64,MATCH($D361,Resources!$A$2:$A$64,0))="","",INDEX(Resources!$D$2:$D$64,MATCH($D361,Resources!$A$2:$A$64,0))),"")</f>
        <v/>
      </c>
      <c r="L361" s="28" t="str">
        <f aca="false">IF(K361="","",J361*INDEX(Resources!$E$2:$E$64,MATCH($D361,Resources!$A$2:$A$64,0)))</f>
        <v/>
      </c>
      <c r="M361" s="6" t="str">
        <f aca="false">B361&amp;"|"&amp;D361&amp;"|"&amp;C361</f>
        <v>Human Being|Food waste|Output</v>
      </c>
    </row>
    <row r="362" customFormat="false" ht="15" hidden="false" customHeight="true" outlineLevel="0" collapsed="false">
      <c r="A362" s="6" t="s">
        <v>1331</v>
      </c>
      <c r="B362" s="6" t="s">
        <v>540</v>
      </c>
      <c r="C362" s="6" t="s">
        <v>943</v>
      </c>
      <c r="D362" s="6" t="s">
        <v>1089</v>
      </c>
      <c r="E362" s="26" t="n">
        <v>100</v>
      </c>
      <c r="F362" s="6" t="str">
        <f aca="false">IFERROR(INDEX(Resources!$B$2:$B$64,MATCH($D362,Resources!$A$2:$A$64,0)),"?")</f>
        <v>gal</v>
      </c>
      <c r="G362" s="6" t="s">
        <v>939</v>
      </c>
      <c r="H362" s="27" t="n">
        <f aca="false">E362*INDEX(Assumptions!$D$17:$D$23,MATCH(G362,Assumptions!$B$17:$B$23,0))</f>
        <v>100</v>
      </c>
      <c r="I362" s="6" t="n">
        <f aca="false">IFERROR(INDEX(Systems!$R$2:$R$179,MATCH($B362,Systems!$B$2:$B$179,0)),0)</f>
        <v>1</v>
      </c>
      <c r="J362" s="27" t="n">
        <f aca="false">H362*I362</f>
        <v>100</v>
      </c>
      <c r="K362" s="6" t="str">
        <f aca="false">IFERROR(IF(INDEX(Resources!$D$2:$D$64,MATCH($D362,Resources!$A$2:$A$64,0))="","",INDEX(Resources!$D$2:$D$64,MATCH($D362,Resources!$A$2:$A$64,0))),"")</f>
        <v/>
      </c>
      <c r="L362" s="28" t="str">
        <f aca="false">IF(K362="","",J362*INDEX(Resources!$E$2:$E$64,MATCH($D362,Resources!$A$2:$A$64,0)))</f>
        <v/>
      </c>
      <c r="M362" s="6" t="str">
        <f aca="false">B362&amp;"|"&amp;D362&amp;"|"&amp;C362</f>
        <v>Human Being|Greywater|Output</v>
      </c>
    </row>
    <row r="363" customFormat="false" ht="15" hidden="false" customHeight="true" outlineLevel="0" collapsed="false">
      <c r="A363" s="6" t="s">
        <v>1332</v>
      </c>
      <c r="B363" s="6" t="s">
        <v>546</v>
      </c>
      <c r="C363" s="6" t="s">
        <v>938</v>
      </c>
      <c r="D363" s="6" t="s">
        <v>71</v>
      </c>
      <c r="E363" s="26" t="n">
        <v>2</v>
      </c>
      <c r="F363" s="6" t="str">
        <f aca="false">IFERROR(INDEX(Resources!$B$2:$B$64,MATCH($D363,Resources!$A$2:$A$64,0)),"?")</f>
        <v>hours</v>
      </c>
      <c r="G363" s="6" t="s">
        <v>939</v>
      </c>
      <c r="H363" s="27" t="n">
        <f aca="false">E363*INDEX(Assumptions!$D$17:$D$23,MATCH(G363,Assumptions!$B$17:$B$23,0))</f>
        <v>2</v>
      </c>
      <c r="I363" s="6" t="n">
        <f aca="false">IFERROR(INDEX(Systems!$R$2:$R$179,MATCH($B363,Systems!$B$2:$B$179,0)),0)</f>
        <v>1</v>
      </c>
      <c r="J363" s="27" t="n">
        <f aca="false">H363*I363</f>
        <v>2</v>
      </c>
      <c r="K363" s="6" t="str">
        <f aca="false">IFERROR(IF(INDEX(Resources!$D$2:$D$64,MATCH($D363,Resources!$A$2:$A$64,0))="","",INDEX(Resources!$D$2:$D$64,MATCH($D363,Resources!$A$2:$A$64,0))),"")</f>
        <v>Est. Required Labor</v>
      </c>
      <c r="L363" s="28" t="n">
        <f aca="false">IF(K363="","",J363*INDEX(Resources!$E$2:$E$64,MATCH($D363,Resources!$A$2:$A$64,0)))</f>
        <v>2</v>
      </c>
      <c r="M363" s="6" t="str">
        <f aca="false">B363&amp;"|"&amp;D363&amp;"|"&amp;C363</f>
        <v>Chicken Coop (12 hens)|Labor|Input</v>
      </c>
      <c r="N363" s="6" t="s">
        <v>940</v>
      </c>
    </row>
    <row r="364" customFormat="false" ht="15" hidden="false" customHeight="true" outlineLevel="0" collapsed="false">
      <c r="A364" s="6" t="s">
        <v>1333</v>
      </c>
      <c r="B364" s="6" t="s">
        <v>546</v>
      </c>
      <c r="C364" s="6" t="s">
        <v>938</v>
      </c>
      <c r="D364" s="6" t="s">
        <v>1025</v>
      </c>
      <c r="E364" s="26" t="n">
        <v>18</v>
      </c>
      <c r="F364" s="6" t="str">
        <f aca="false">IFERROR(INDEX(Resources!$B$2:$B$64,MATCH($D364,Resources!$A$2:$A$64,0)),"?")</f>
        <v>lbs</v>
      </c>
      <c r="G364" s="6" t="s">
        <v>939</v>
      </c>
      <c r="H364" s="27" t="n">
        <f aca="false">E364*INDEX(Assumptions!$D$17:$D$23,MATCH(G364,Assumptions!$B$17:$B$23,0))</f>
        <v>18</v>
      </c>
      <c r="I364" s="6" t="n">
        <f aca="false">IFERROR(INDEX(Systems!$R$2:$R$179,MATCH($B364,Systems!$B$2:$B$179,0)),0)</f>
        <v>1</v>
      </c>
      <c r="J364" s="27" t="n">
        <f aca="false">H364*I364</f>
        <v>18</v>
      </c>
      <c r="K364" s="6" t="str">
        <f aca="false">IFERROR(IF(INDEX(Resources!$D$2:$D$64,MATCH($D364,Resources!$A$2:$A$64,0))="","",INDEX(Resources!$D$2:$D$64,MATCH($D364,Resources!$A$2:$A$64,0))),"")</f>
        <v/>
      </c>
      <c r="L364" s="28" t="str">
        <f aca="false">IF(K364="","",J364*INDEX(Resources!$E$2:$E$64,MATCH($D364,Resources!$A$2:$A$64,0)))</f>
        <v/>
      </c>
      <c r="M364" s="6" t="str">
        <f aca="false">B364&amp;"|"&amp;D364&amp;"|"&amp;C364</f>
        <v>Chicken Coop (12 hens)|Chicken feed|Input</v>
      </c>
    </row>
    <row r="365" customFormat="false" ht="15" hidden="false" customHeight="true" outlineLevel="0" collapsed="false">
      <c r="A365" s="6" t="s">
        <v>1334</v>
      </c>
      <c r="B365" s="6" t="s">
        <v>546</v>
      </c>
      <c r="C365" s="6" t="s">
        <v>938</v>
      </c>
      <c r="D365" s="6" t="s">
        <v>49</v>
      </c>
      <c r="E365" s="26" t="n">
        <v>8</v>
      </c>
      <c r="F365" s="6" t="str">
        <f aca="false">IFERROR(INDEX(Resources!$B$2:$B$64,MATCH($D365,Resources!$A$2:$A$64,0)),"?")</f>
        <v>gal</v>
      </c>
      <c r="G365" s="6" t="s">
        <v>939</v>
      </c>
      <c r="H365" s="27" t="n">
        <f aca="false">E365*INDEX(Assumptions!$D$17:$D$23,MATCH(G365,Assumptions!$B$17:$B$23,0))</f>
        <v>8</v>
      </c>
      <c r="I365" s="6" t="n">
        <f aca="false">IFERROR(INDEX(Systems!$R$2:$R$179,MATCH($B365,Systems!$B$2:$B$179,0)),0)</f>
        <v>1</v>
      </c>
      <c r="J365" s="27" t="n">
        <f aca="false">H365*I365</f>
        <v>8</v>
      </c>
      <c r="K365" s="6" t="str">
        <f aca="false">IFERROR(IF(INDEX(Resources!$D$2:$D$64,MATCH($D365,Resources!$A$2:$A$64,0))="","",INDEX(Resources!$D$2:$D$64,MATCH($D365,Resources!$A$2:$A$64,0))),"")</f>
        <v>Water</v>
      </c>
      <c r="L365" s="28" t="n">
        <f aca="false">IF(K365="","",J365*INDEX(Resources!$E$2:$E$64,MATCH($D365,Resources!$A$2:$A$64,0)))</f>
        <v>8</v>
      </c>
      <c r="M365" s="6" t="str">
        <f aca="false">B365&amp;"|"&amp;D365&amp;"|"&amp;C365</f>
        <v>Chicken Coop (12 hens)|Water|Input</v>
      </c>
    </row>
    <row r="366" customFormat="false" ht="15" hidden="false" customHeight="true" outlineLevel="0" collapsed="false">
      <c r="A366" s="6" t="s">
        <v>1335</v>
      </c>
      <c r="B366" s="6" t="s">
        <v>546</v>
      </c>
      <c r="C366" s="6" t="s">
        <v>938</v>
      </c>
      <c r="D366" s="6" t="s">
        <v>216</v>
      </c>
      <c r="E366" s="26" t="n">
        <v>5</v>
      </c>
      <c r="F366" s="6" t="str">
        <f aca="false">IFERROR(INDEX(Resources!$B$2:$B$64,MATCH($D366,Resources!$A$2:$A$64,0)),"?")</f>
        <v>lbs</v>
      </c>
      <c r="G366" s="6" t="s">
        <v>939</v>
      </c>
      <c r="H366" s="27" t="n">
        <f aca="false">E366*INDEX(Assumptions!$D$17:$D$23,MATCH(G366,Assumptions!$B$17:$B$23,0))</f>
        <v>5</v>
      </c>
      <c r="I366" s="6" t="n">
        <f aca="false">IFERROR(INDEX(Systems!$R$2:$R$179,MATCH($B366,Systems!$B$2:$B$179,0)),0)</f>
        <v>1</v>
      </c>
      <c r="J366" s="27" t="n">
        <f aca="false">H366*I366</f>
        <v>5</v>
      </c>
      <c r="K366" s="6" t="str">
        <f aca="false">IFERROR(IF(INDEX(Resources!$D$2:$D$64,MATCH($D366,Resources!$A$2:$A$64,0))="","",INDEX(Resources!$D$2:$D$64,MATCH($D366,Resources!$A$2:$A$64,0))),"")</f>
        <v/>
      </c>
      <c r="L366" s="28" t="str">
        <f aca="false">IF(K366="","",J366*INDEX(Resources!$E$2:$E$64,MATCH($D366,Resources!$A$2:$A$64,0)))</f>
        <v/>
      </c>
      <c r="M366" s="6" t="str">
        <f aca="false">B366&amp;"|"&amp;D366&amp;"|"&amp;C366</f>
        <v>Chicken Coop (12 hens)|Green biomass|Input</v>
      </c>
    </row>
    <row r="367" customFormat="false" ht="15" hidden="false" customHeight="true" outlineLevel="0" collapsed="false">
      <c r="A367" s="6" t="s">
        <v>1336</v>
      </c>
      <c r="B367" s="6" t="s">
        <v>546</v>
      </c>
      <c r="C367" s="6" t="s">
        <v>938</v>
      </c>
      <c r="D367" s="6" t="s">
        <v>1040</v>
      </c>
      <c r="E367" s="26" t="n">
        <v>2</v>
      </c>
      <c r="F367" s="6" t="str">
        <f aca="false">IFERROR(INDEX(Resources!$B$2:$B$64,MATCH($D367,Resources!$A$2:$A$64,0)),"?")</f>
        <v>lbs</v>
      </c>
      <c r="G367" s="6" t="s">
        <v>939</v>
      </c>
      <c r="H367" s="27" t="n">
        <f aca="false">E367*INDEX(Assumptions!$D$17:$D$23,MATCH(G367,Assumptions!$B$17:$B$23,0))</f>
        <v>2</v>
      </c>
      <c r="I367" s="6" t="n">
        <f aca="false">IFERROR(INDEX(Systems!$R$2:$R$179,MATCH($B367,Systems!$B$2:$B$179,0)),0)</f>
        <v>1</v>
      </c>
      <c r="J367" s="27" t="n">
        <f aca="false">H367*I367</f>
        <v>2</v>
      </c>
      <c r="K367" s="6" t="str">
        <f aca="false">IFERROR(IF(INDEX(Resources!$D$2:$D$64,MATCH($D367,Resources!$A$2:$A$64,0))="","",INDEX(Resources!$D$2:$D$64,MATCH($D367,Resources!$A$2:$A$64,0))),"")</f>
        <v/>
      </c>
      <c r="L367" s="28" t="str">
        <f aca="false">IF(K367="","",J367*INDEX(Resources!$E$2:$E$64,MATCH($D367,Resources!$A$2:$A$64,0)))</f>
        <v/>
      </c>
      <c r="M367" s="6" t="str">
        <f aca="false">B367&amp;"|"&amp;D367&amp;"|"&amp;C367</f>
        <v>Chicken Coop (12 hens)|Grubs|Input</v>
      </c>
    </row>
    <row r="368" customFormat="false" ht="15" hidden="false" customHeight="true" outlineLevel="0" collapsed="false">
      <c r="A368" s="6" t="s">
        <v>1337</v>
      </c>
      <c r="B368" s="6" t="s">
        <v>546</v>
      </c>
      <c r="C368" s="6" t="s">
        <v>938</v>
      </c>
      <c r="D368" s="6" t="s">
        <v>325</v>
      </c>
      <c r="E368" s="26" t="n">
        <v>3</v>
      </c>
      <c r="F368" s="6" t="str">
        <f aca="false">IFERROR(INDEX(Resources!$B$2:$B$64,MATCH($D368,Resources!$A$2:$A$64,0)),"?")</f>
        <v>lbs</v>
      </c>
      <c r="G368" s="6" t="s">
        <v>939</v>
      </c>
      <c r="H368" s="27" t="n">
        <f aca="false">E368*INDEX(Assumptions!$D$17:$D$23,MATCH(G368,Assumptions!$B$17:$B$23,0))</f>
        <v>3</v>
      </c>
      <c r="I368" s="6" t="n">
        <f aca="false">IFERROR(INDEX(Systems!$R$2:$R$179,MATCH($B368,Systems!$B$2:$B$179,0)),0)</f>
        <v>1</v>
      </c>
      <c r="J368" s="27" t="n">
        <f aca="false">H368*I368</f>
        <v>3</v>
      </c>
      <c r="K368" s="6" t="str">
        <f aca="false">IFERROR(IF(INDEX(Resources!$D$2:$D$64,MATCH($D368,Resources!$A$2:$A$64,0))="","",INDEX(Resources!$D$2:$D$64,MATCH($D368,Resources!$A$2:$A$64,0))),"")</f>
        <v/>
      </c>
      <c r="L368" s="28" t="str">
        <f aca="false">IF(K368="","",J368*INDEX(Resources!$E$2:$E$64,MATCH($D368,Resources!$A$2:$A$64,0)))</f>
        <v/>
      </c>
      <c r="M368" s="6" t="str">
        <f aca="false">B368&amp;"|"&amp;D368&amp;"|"&amp;C368</f>
        <v>Chicken Coop (12 hens)|Food waste|Input</v>
      </c>
    </row>
    <row r="369" customFormat="false" ht="15" hidden="false" customHeight="true" outlineLevel="0" collapsed="false">
      <c r="A369" s="6" t="s">
        <v>1338</v>
      </c>
      <c r="B369" s="6" t="s">
        <v>546</v>
      </c>
      <c r="C369" s="6" t="s">
        <v>938</v>
      </c>
      <c r="D369" s="6" t="s">
        <v>1127</v>
      </c>
      <c r="E369" s="26" t="n">
        <v>5</v>
      </c>
      <c r="F369" s="6" t="str">
        <f aca="false">IFERROR(INDEX(Resources!$B$2:$B$64,MATCH($D369,Resources!$A$2:$A$64,0)),"?")</f>
        <v>lbs</v>
      </c>
      <c r="G369" s="6" t="s">
        <v>939</v>
      </c>
      <c r="H369" s="27" t="n">
        <f aca="false">E369*INDEX(Assumptions!$D$17:$D$23,MATCH(G369,Assumptions!$B$17:$B$23,0))</f>
        <v>5</v>
      </c>
      <c r="I369" s="6" t="n">
        <f aca="false">IFERROR(INDEX(Systems!$R$2:$R$179,MATCH($B369,Systems!$B$2:$B$179,0)),0)</f>
        <v>1</v>
      </c>
      <c r="J369" s="27" t="n">
        <f aca="false">H369*I369</f>
        <v>5</v>
      </c>
      <c r="K369" s="6" t="str">
        <f aca="false">IFERROR(IF(INDEX(Resources!$D$2:$D$64,MATCH($D369,Resources!$A$2:$A$64,0))="","",INDEX(Resources!$D$2:$D$64,MATCH($D369,Resources!$A$2:$A$64,0))),"")</f>
        <v/>
      </c>
      <c r="L369" s="28" t="str">
        <f aca="false">IF(K369="","",J369*INDEX(Resources!$E$2:$E$64,MATCH($D369,Resources!$A$2:$A$64,0)))</f>
        <v/>
      </c>
      <c r="M369" s="6" t="str">
        <f aca="false">B369&amp;"|"&amp;D369&amp;"|"&amp;C369</f>
        <v>Chicken Coop (12 hens)|Carbon|Input</v>
      </c>
    </row>
    <row r="370" customFormat="false" ht="15" hidden="false" customHeight="true" outlineLevel="0" collapsed="false">
      <c r="A370" s="6" t="s">
        <v>1339</v>
      </c>
      <c r="B370" s="6" t="s">
        <v>546</v>
      </c>
      <c r="C370" s="6" t="s">
        <v>943</v>
      </c>
      <c r="D370" s="6" t="s">
        <v>1049</v>
      </c>
      <c r="E370" s="26" t="n">
        <v>55</v>
      </c>
      <c r="F370" s="6" t="str">
        <f aca="false">IFERROR(INDEX(Resources!$B$2:$B$64,MATCH($D370,Resources!$A$2:$A$64,0)),"?")</f>
        <v>eggs</v>
      </c>
      <c r="G370" s="6" t="s">
        <v>939</v>
      </c>
      <c r="H370" s="27" t="n">
        <f aca="false">E370*INDEX(Assumptions!$D$17:$D$23,MATCH(G370,Assumptions!$B$17:$B$23,0))</f>
        <v>55</v>
      </c>
      <c r="I370" s="6" t="n">
        <f aca="false">IFERROR(INDEX(Systems!$R$2:$R$179,MATCH($B370,Systems!$B$2:$B$179,0)),0)</f>
        <v>1</v>
      </c>
      <c r="J370" s="27" t="n">
        <f aca="false">H370*I370</f>
        <v>55</v>
      </c>
      <c r="K370" s="6" t="str">
        <f aca="false">IFERROR(IF(INDEX(Resources!$D$2:$D$64,MATCH($D370,Resources!$A$2:$A$64,0))="","",INDEX(Resources!$D$2:$D$64,MATCH($D370,Resources!$A$2:$A$64,0))),"")</f>
        <v>Food</v>
      </c>
      <c r="L370" s="28" t="n">
        <f aca="false">IF(K370="","",J370*INDEX(Resources!$E$2:$E$64,MATCH($D370,Resources!$A$2:$A$64,0)))</f>
        <v>3850</v>
      </c>
      <c r="M370" s="6" t="str">
        <f aca="false">B370&amp;"|"&amp;D370&amp;"|"&amp;C370</f>
        <v>Chicken Coop (12 hens)|Eggs|Output</v>
      </c>
    </row>
    <row r="371" customFormat="false" ht="15" hidden="false" customHeight="true" outlineLevel="0" collapsed="false">
      <c r="A371" s="6" t="s">
        <v>1340</v>
      </c>
      <c r="B371" s="6" t="s">
        <v>546</v>
      </c>
      <c r="C371" s="6" t="s">
        <v>943</v>
      </c>
      <c r="D371" s="6" t="s">
        <v>240</v>
      </c>
      <c r="E371" s="26" t="n">
        <v>18</v>
      </c>
      <c r="F371" s="6" t="str">
        <f aca="false">IFERROR(INDEX(Resources!$B$2:$B$64,MATCH($D371,Resources!$A$2:$A$64,0)),"?")</f>
        <v>lbs</v>
      </c>
      <c r="G371" s="6" t="s">
        <v>939</v>
      </c>
      <c r="H371" s="27" t="n">
        <f aca="false">E371*INDEX(Assumptions!$D$17:$D$23,MATCH(G371,Assumptions!$B$17:$B$23,0))</f>
        <v>18</v>
      </c>
      <c r="I371" s="6" t="n">
        <f aca="false">IFERROR(INDEX(Systems!$R$2:$R$179,MATCH($B371,Systems!$B$2:$B$179,0)),0)</f>
        <v>1</v>
      </c>
      <c r="J371" s="27" t="n">
        <f aca="false">H371*I371</f>
        <v>18</v>
      </c>
      <c r="K371" s="6" t="str">
        <f aca="false">IFERROR(IF(INDEX(Resources!$D$2:$D$64,MATCH($D371,Resources!$A$2:$A$64,0))="","",INDEX(Resources!$D$2:$D$64,MATCH($D371,Resources!$A$2:$A$64,0))),"")</f>
        <v/>
      </c>
      <c r="L371" s="28" t="str">
        <f aca="false">IF(K371="","",J371*INDEX(Resources!$E$2:$E$64,MATCH($D371,Resources!$A$2:$A$64,0)))</f>
        <v/>
      </c>
      <c r="M371" s="6" t="str">
        <f aca="false">B371&amp;"|"&amp;D371&amp;"|"&amp;C371</f>
        <v>Chicken Coop (12 hens)|Manure|Output</v>
      </c>
    </row>
    <row r="372" customFormat="false" ht="15" hidden="false" customHeight="true" outlineLevel="0" collapsed="false">
      <c r="A372" s="6" t="s">
        <v>1341</v>
      </c>
      <c r="B372" s="6" t="s">
        <v>546</v>
      </c>
      <c r="C372" s="6" t="s">
        <v>943</v>
      </c>
      <c r="D372" s="6" t="s">
        <v>1021</v>
      </c>
      <c r="E372" s="26" t="n">
        <v>0.5</v>
      </c>
      <c r="F372" s="6" t="str">
        <f aca="false">IFERROR(INDEX(Resources!$B$2:$B$64,MATCH($D372,Resources!$A$2:$A$64,0)),"?")</f>
        <v>units</v>
      </c>
      <c r="G372" s="6" t="s">
        <v>945</v>
      </c>
      <c r="H372" s="27" t="n">
        <f aca="false">E372*INDEX(Assumptions!$D$17:$D$23,MATCH(G372,Assumptions!$B$17:$B$23,0))</f>
        <v>0.5</v>
      </c>
      <c r="I372" s="6" t="n">
        <f aca="false">IFERROR(INDEX(Systems!$R$2:$R$179,MATCH($B372,Systems!$B$2:$B$179,0)),0)</f>
        <v>1</v>
      </c>
      <c r="J372" s="27" t="n">
        <f aca="false">H372*I372</f>
        <v>0.5</v>
      </c>
      <c r="K372" s="6" t="str">
        <f aca="false">IFERROR(IF(INDEX(Resources!$D$2:$D$64,MATCH($D372,Resources!$A$2:$A$64,0))="","",INDEX(Resources!$D$2:$D$64,MATCH($D372,Resources!$A$2:$A$64,0))),"")</f>
        <v/>
      </c>
      <c r="L372" s="28" t="str">
        <f aca="false">IF(K372="","",J372*INDEX(Resources!$E$2:$E$64,MATCH($D372,Resources!$A$2:$A$64,0)))</f>
        <v/>
      </c>
      <c r="M372" s="6" t="str">
        <f aca="false">B372&amp;"|"&amp;D372&amp;"|"&amp;C372</f>
        <v>Chicken Coop (12 hens)|Pest control|Output</v>
      </c>
    </row>
    <row r="373" customFormat="false" ht="15" hidden="false" customHeight="true" outlineLevel="0" collapsed="false">
      <c r="A373" s="6" t="s">
        <v>1342</v>
      </c>
      <c r="B373" s="6" t="s">
        <v>549</v>
      </c>
      <c r="C373" s="6" t="s">
        <v>938</v>
      </c>
      <c r="D373" s="6" t="s">
        <v>71</v>
      </c>
      <c r="E373" s="26" t="n">
        <v>5.2</v>
      </c>
      <c r="F373" s="6" t="str">
        <f aca="false">IFERROR(INDEX(Resources!$B$2:$B$64,MATCH($D373,Resources!$A$2:$A$64,0)),"?")</f>
        <v>hours</v>
      </c>
      <c r="G373" s="6" t="s">
        <v>939</v>
      </c>
      <c r="H373" s="27" t="n">
        <f aca="false">E373*INDEX(Assumptions!$D$17:$D$23,MATCH(G373,Assumptions!$B$17:$B$23,0))</f>
        <v>5.2</v>
      </c>
      <c r="I373" s="6" t="n">
        <f aca="false">IFERROR(INDEX(Systems!$R$2:$R$179,MATCH($B373,Systems!$B$2:$B$179,0)),0)</f>
        <v>1</v>
      </c>
      <c r="J373" s="27" t="n">
        <f aca="false">H373*I373</f>
        <v>5.2</v>
      </c>
      <c r="K373" s="6" t="str">
        <f aca="false">IFERROR(IF(INDEX(Resources!$D$2:$D$64,MATCH($D373,Resources!$A$2:$A$64,0))="","",INDEX(Resources!$D$2:$D$64,MATCH($D373,Resources!$A$2:$A$64,0))),"")</f>
        <v>Est. Required Labor</v>
      </c>
      <c r="L373" s="28" t="n">
        <f aca="false">IF(K373="","",J373*INDEX(Resources!$E$2:$E$64,MATCH($D373,Resources!$A$2:$A$64,0)))</f>
        <v>5.2</v>
      </c>
      <c r="M373" s="6" t="str">
        <f aca="false">B373&amp;"|"&amp;D373&amp;"|"&amp;C373</f>
        <v>Cargo Bike|Labor|Input</v>
      </c>
      <c r="N373" s="6" t="s">
        <v>1060</v>
      </c>
    </row>
    <row r="374" customFormat="false" ht="15" hidden="false" customHeight="true" outlineLevel="0" collapsed="false">
      <c r="A374" s="6" t="s">
        <v>1343</v>
      </c>
      <c r="B374" s="6" t="s">
        <v>549</v>
      </c>
      <c r="C374" s="6" t="s">
        <v>938</v>
      </c>
      <c r="D374" s="6" t="s">
        <v>52</v>
      </c>
      <c r="E374" s="26" t="n">
        <v>2000</v>
      </c>
      <c r="F374" s="6" t="str">
        <f aca="false">IFERROR(INDEX(Resources!$B$2:$B$64,MATCH($D374,Resources!$A$2:$A$64,0)),"?")</f>
        <v>kcal</v>
      </c>
      <c r="G374" s="6" t="s">
        <v>939</v>
      </c>
      <c r="H374" s="27" t="n">
        <f aca="false">E374*INDEX(Assumptions!$D$17:$D$23,MATCH(G374,Assumptions!$B$17:$B$23,0))</f>
        <v>2000</v>
      </c>
      <c r="I374" s="6" t="n">
        <f aca="false">IFERROR(INDEX(Systems!$R$2:$R$179,MATCH($B374,Systems!$B$2:$B$179,0)),0)</f>
        <v>1</v>
      </c>
      <c r="J374" s="27" t="n">
        <f aca="false">H374*I374</f>
        <v>2000</v>
      </c>
      <c r="K374" s="6" t="str">
        <f aca="false">IFERROR(IF(INDEX(Resources!$D$2:$D$64,MATCH($D374,Resources!$A$2:$A$64,0))="","",INDEX(Resources!$D$2:$D$64,MATCH($D374,Resources!$A$2:$A$64,0))),"")</f>
        <v>Food</v>
      </c>
      <c r="L374" s="28" t="n">
        <f aca="false">IF(K374="","",J374*INDEX(Resources!$E$2:$E$64,MATCH($D374,Resources!$A$2:$A$64,0)))</f>
        <v>2000</v>
      </c>
      <c r="M374" s="6" t="str">
        <f aca="false">B374&amp;"|"&amp;D374&amp;"|"&amp;C374</f>
        <v>Cargo Bike|Food|Input</v>
      </c>
    </row>
    <row r="375" customFormat="false" ht="15" hidden="false" customHeight="true" outlineLevel="0" collapsed="false">
      <c r="A375" s="6" t="s">
        <v>1344</v>
      </c>
      <c r="B375" s="6" t="s">
        <v>549</v>
      </c>
      <c r="C375" s="6" t="s">
        <v>938</v>
      </c>
      <c r="D375" s="6" t="s">
        <v>329</v>
      </c>
      <c r="E375" s="26" t="n">
        <v>15</v>
      </c>
      <c r="F375" s="6" t="str">
        <f aca="false">IFERROR(INDEX(Resources!$B$2:$B$64,MATCH($D375,Resources!$A$2:$A$64,0)),"?")</f>
        <v>cu ft</v>
      </c>
      <c r="G375" s="6" t="s">
        <v>945</v>
      </c>
      <c r="H375" s="27" t="n">
        <f aca="false">E375*INDEX(Assumptions!$D$17:$D$23,MATCH(G375,Assumptions!$B$17:$B$23,0))</f>
        <v>15</v>
      </c>
      <c r="I375" s="6" t="n">
        <f aca="false">IFERROR(INDEX(Systems!$R$2:$R$179,MATCH($B375,Systems!$B$2:$B$179,0)),0)</f>
        <v>1</v>
      </c>
      <c r="J375" s="27" t="n">
        <f aca="false">H375*I375</f>
        <v>15</v>
      </c>
      <c r="K375" s="6" t="str">
        <f aca="false">IFERROR(IF(INDEX(Resources!$D$2:$D$64,MATCH($D375,Resources!$A$2:$A$64,0))="","",INDEX(Resources!$D$2:$D$64,MATCH($D375,Resources!$A$2:$A$64,0))),"")</f>
        <v/>
      </c>
      <c r="L375" s="28" t="str">
        <f aca="false">IF(K375="","",J375*INDEX(Resources!$E$2:$E$64,MATCH($D375,Resources!$A$2:$A$64,0)))</f>
        <v/>
      </c>
      <c r="M375" s="6" t="str">
        <f aca="false">B375&amp;"|"&amp;D375&amp;"|"&amp;C375</f>
        <v>Cargo Bike|Storage space|Input</v>
      </c>
    </row>
    <row r="376" customFormat="false" ht="15" hidden="false" customHeight="true" outlineLevel="0" collapsed="false">
      <c r="A376" s="6" t="s">
        <v>1345</v>
      </c>
      <c r="B376" s="6" t="s">
        <v>549</v>
      </c>
      <c r="C376" s="6" t="s">
        <v>943</v>
      </c>
      <c r="D376" s="6" t="s">
        <v>61</v>
      </c>
      <c r="E376" s="26" t="n">
        <v>50</v>
      </c>
      <c r="F376" s="6" t="str">
        <f aca="false">IFERROR(INDEX(Resources!$B$2:$B$64,MATCH($D376,Resources!$A$2:$A$64,0)),"?")</f>
        <v>miles</v>
      </c>
      <c r="G376" s="6" t="s">
        <v>939</v>
      </c>
      <c r="H376" s="27" t="n">
        <f aca="false">E376*INDEX(Assumptions!$D$17:$D$23,MATCH(G376,Assumptions!$B$17:$B$23,0))</f>
        <v>50</v>
      </c>
      <c r="I376" s="6" t="n">
        <f aca="false">IFERROR(INDEX(Systems!$R$2:$R$179,MATCH($B376,Systems!$B$2:$B$179,0)),0)</f>
        <v>1</v>
      </c>
      <c r="J376" s="27" t="n">
        <f aca="false">H376*I376</f>
        <v>50</v>
      </c>
      <c r="K376" s="6" t="str">
        <f aca="false">IFERROR(IF(INDEX(Resources!$D$2:$D$64,MATCH($D376,Resources!$A$2:$A$64,0))="","",INDEX(Resources!$D$2:$D$64,MATCH($D376,Resources!$A$2:$A$64,0))),"")</f>
        <v>Transportation</v>
      </c>
      <c r="L376" s="28" t="n">
        <f aca="false">IF(K376="","",J376*INDEX(Resources!$E$2:$E$64,MATCH($D376,Resources!$A$2:$A$64,0)))</f>
        <v>50</v>
      </c>
      <c r="M376" s="6" t="str">
        <f aca="false">B376&amp;"|"&amp;D376&amp;"|"&amp;C376</f>
        <v>Cargo Bike|Transportation|Output</v>
      </c>
    </row>
    <row r="377" customFormat="false" ht="15" hidden="false" customHeight="true" outlineLevel="0" collapsed="false">
      <c r="A377" s="6" t="s">
        <v>1346</v>
      </c>
      <c r="B377" s="6" t="s">
        <v>549</v>
      </c>
      <c r="C377" s="6" t="s">
        <v>943</v>
      </c>
      <c r="D377" s="6" t="s">
        <v>462</v>
      </c>
      <c r="E377" s="26" t="n">
        <v>8</v>
      </c>
      <c r="F377" s="6" t="str">
        <f aca="false">IFERROR(INDEX(Resources!$B$2:$B$64,MATCH($D377,Resources!$A$2:$A$64,0)),"?")</f>
        <v>points</v>
      </c>
      <c r="G377" s="6" t="s">
        <v>939</v>
      </c>
      <c r="H377" s="27" t="n">
        <f aca="false">E377*INDEX(Assumptions!$D$17:$D$23,MATCH(G377,Assumptions!$B$17:$B$23,0))</f>
        <v>8</v>
      </c>
      <c r="I377" s="6" t="n">
        <f aca="false">IFERROR(INDEX(Systems!$R$2:$R$179,MATCH($B377,Systems!$B$2:$B$179,0)),0)</f>
        <v>1</v>
      </c>
      <c r="J377" s="27" t="n">
        <f aca="false">H377*I377</f>
        <v>8</v>
      </c>
      <c r="K377" s="6" t="str">
        <f aca="false">IFERROR(IF(INDEX(Resources!$D$2:$D$64,MATCH($D377,Resources!$A$2:$A$64,0))="","",INDEX(Resources!$D$2:$D$64,MATCH($D377,Resources!$A$2:$A$64,0))),"")</f>
        <v/>
      </c>
      <c r="L377" s="28" t="str">
        <f aca="false">IF(K377="","",J377*INDEX(Resources!$E$2:$E$64,MATCH($D377,Resources!$A$2:$A$64,0)))</f>
        <v/>
      </c>
      <c r="M377" s="6" t="str">
        <f aca="false">B377&amp;"|"&amp;D377&amp;"|"&amp;C377</f>
        <v>Cargo Bike|Wellbeing|Output</v>
      </c>
    </row>
    <row r="378" customFormat="false" ht="15" hidden="false" customHeight="true" outlineLevel="0" collapsed="false">
      <c r="A378" s="6" t="s">
        <v>1347</v>
      </c>
      <c r="B378" s="6" t="s">
        <v>552</v>
      </c>
      <c r="C378" s="6" t="s">
        <v>938</v>
      </c>
      <c r="D378" s="6" t="s">
        <v>71</v>
      </c>
      <c r="E378" s="26" t="n">
        <v>0.02</v>
      </c>
      <c r="F378" s="6" t="str">
        <f aca="false">IFERROR(INDEX(Resources!$B$2:$B$64,MATCH($D378,Resources!$A$2:$A$64,0)),"?")</f>
        <v>hours</v>
      </c>
      <c r="G378" s="6" t="s">
        <v>939</v>
      </c>
      <c r="H378" s="27" t="n">
        <f aca="false">E378*INDEX(Assumptions!$D$17:$D$23,MATCH(G378,Assumptions!$B$17:$B$23,0))</f>
        <v>0.02</v>
      </c>
      <c r="I378" s="6" t="n">
        <f aca="false">IFERROR(INDEX(Systems!$R$2:$R$179,MATCH($B378,Systems!$B$2:$B$179,0)),0)</f>
        <v>1</v>
      </c>
      <c r="J378" s="27" t="n">
        <f aca="false">H378*I378</f>
        <v>0.02</v>
      </c>
      <c r="K378" s="6" t="str">
        <f aca="false">IFERROR(IF(INDEX(Resources!$D$2:$D$64,MATCH($D378,Resources!$A$2:$A$64,0))="","",INDEX(Resources!$D$2:$D$64,MATCH($D378,Resources!$A$2:$A$64,0))),"")</f>
        <v>Est. Required Labor</v>
      </c>
      <c r="L378" s="28" t="n">
        <f aca="false">IF(K378="","",J378*INDEX(Resources!$E$2:$E$64,MATCH($D378,Resources!$A$2:$A$64,0)))</f>
        <v>0.02</v>
      </c>
      <c r="M378" s="6" t="str">
        <f aca="false">B378&amp;"|"&amp;D378&amp;"|"&amp;C378</f>
        <v>Poplar Tree|Labor|Input</v>
      </c>
      <c r="N378" s="6" t="s">
        <v>940</v>
      </c>
    </row>
    <row r="379" customFormat="false" ht="15" hidden="false" customHeight="true" outlineLevel="0" collapsed="false">
      <c r="A379" s="6" t="s">
        <v>1348</v>
      </c>
      <c r="B379" s="6" t="s">
        <v>552</v>
      </c>
      <c r="C379" s="6" t="s">
        <v>938</v>
      </c>
      <c r="D379" s="6" t="s">
        <v>1114</v>
      </c>
      <c r="E379" s="26" t="n">
        <v>1</v>
      </c>
      <c r="F379" s="6" t="str">
        <f aca="false">IFERROR(INDEX(Resources!$B$2:$B$64,MATCH($D379,Resources!$A$2:$A$64,0)),"?")</f>
        <v>plants</v>
      </c>
      <c r="G379" s="6" t="s">
        <v>1115</v>
      </c>
      <c r="H379" s="27" t="n">
        <f aca="false">E379*INDEX(Assumptions!$D$17:$D$23,MATCH(G379,Assumptions!$B$17:$B$23,0))</f>
        <v>0</v>
      </c>
      <c r="I379" s="6" t="n">
        <f aca="false">IFERROR(INDEX(Systems!$R$2:$R$179,MATCH($B379,Systems!$B$2:$B$179,0)),0)</f>
        <v>1</v>
      </c>
      <c r="J379" s="27" t="n">
        <f aca="false">H379*I379</f>
        <v>0</v>
      </c>
      <c r="K379" s="6" t="str">
        <f aca="false">IFERROR(IF(INDEX(Resources!$D$2:$D$64,MATCH($D379,Resources!$A$2:$A$64,0))="","",INDEX(Resources!$D$2:$D$64,MATCH($D379,Resources!$A$2:$A$64,0))),"")</f>
        <v/>
      </c>
      <c r="L379" s="28" t="str">
        <f aca="false">IF(K379="","",J379*INDEX(Resources!$E$2:$E$64,MATCH($D379,Resources!$A$2:$A$64,0)))</f>
        <v/>
      </c>
      <c r="M379" s="6" t="str">
        <f aca="false">B379&amp;"|"&amp;D379&amp;"|"&amp;C379</f>
        <v>Poplar Tree|Seedlings|Input</v>
      </c>
    </row>
    <row r="380" customFormat="false" ht="15" hidden="false" customHeight="true" outlineLevel="0" collapsed="false">
      <c r="A380" s="6" t="s">
        <v>1349</v>
      </c>
      <c r="B380" s="6" t="s">
        <v>552</v>
      </c>
      <c r="C380" s="6" t="s">
        <v>938</v>
      </c>
      <c r="D380" s="6" t="s">
        <v>49</v>
      </c>
      <c r="E380" s="26" t="n">
        <v>8</v>
      </c>
      <c r="F380" s="6" t="str">
        <f aca="false">IFERROR(INDEX(Resources!$B$2:$B$64,MATCH($D380,Resources!$A$2:$A$64,0)),"?")</f>
        <v>gal</v>
      </c>
      <c r="G380" s="6" t="s">
        <v>939</v>
      </c>
      <c r="H380" s="27" t="n">
        <f aca="false">E380*INDEX(Assumptions!$D$17:$D$23,MATCH(G380,Assumptions!$B$17:$B$23,0))</f>
        <v>8</v>
      </c>
      <c r="I380" s="6" t="n">
        <f aca="false">IFERROR(INDEX(Systems!$R$2:$R$179,MATCH($B380,Systems!$B$2:$B$179,0)),0)</f>
        <v>1</v>
      </c>
      <c r="J380" s="27" t="n">
        <f aca="false">H380*I380</f>
        <v>8</v>
      </c>
      <c r="K380" s="6" t="str">
        <f aca="false">IFERROR(IF(INDEX(Resources!$D$2:$D$64,MATCH($D380,Resources!$A$2:$A$64,0))="","",INDEX(Resources!$D$2:$D$64,MATCH($D380,Resources!$A$2:$A$64,0))),"")</f>
        <v>Water</v>
      </c>
      <c r="L380" s="28" t="n">
        <f aca="false">IF(K380="","",J380*INDEX(Resources!$E$2:$E$64,MATCH($D380,Resources!$A$2:$A$64,0)))</f>
        <v>8</v>
      </c>
      <c r="M380" s="6" t="str">
        <f aca="false">B380&amp;"|"&amp;D380&amp;"|"&amp;C380</f>
        <v>Poplar Tree|Water|Input</v>
      </c>
    </row>
    <row r="381" customFormat="false" ht="15" hidden="false" customHeight="true" outlineLevel="0" collapsed="false">
      <c r="A381" s="6" t="s">
        <v>1350</v>
      </c>
      <c r="B381" s="6" t="s">
        <v>552</v>
      </c>
      <c r="C381" s="6" t="s">
        <v>943</v>
      </c>
      <c r="D381" s="6" t="s">
        <v>177</v>
      </c>
      <c r="E381" s="26" t="n">
        <v>400</v>
      </c>
      <c r="F381" s="6" t="str">
        <f aca="false">IFERROR(INDEX(Resources!$B$2:$B$64,MATCH($D381,Resources!$A$2:$A$64,0)),"?")</f>
        <v>lbs</v>
      </c>
      <c r="G381" s="6" t="s">
        <v>1032</v>
      </c>
      <c r="H381" s="27" t="n">
        <f aca="false">E381*INDEX(Assumptions!$D$17:$D$23,MATCH(G381,Assumptions!$B$17:$B$23,0))</f>
        <v>7.69230769230769</v>
      </c>
      <c r="I381" s="6" t="n">
        <f aca="false">IFERROR(INDEX(Systems!$R$2:$R$179,MATCH($B381,Systems!$B$2:$B$179,0)),0)</f>
        <v>1</v>
      </c>
      <c r="J381" s="27" t="n">
        <f aca="false">H381*I381</f>
        <v>7.69230769230769</v>
      </c>
      <c r="K381" s="6" t="str">
        <f aca="false">IFERROR(IF(INDEX(Resources!$D$2:$D$64,MATCH($D381,Resources!$A$2:$A$64,0))="","",INDEX(Resources!$D$2:$D$64,MATCH($D381,Resources!$A$2:$A$64,0))),"")</f>
        <v/>
      </c>
      <c r="L381" s="28" t="str">
        <f aca="false">IF(K381="","",J381*INDEX(Resources!$E$2:$E$64,MATCH($D381,Resources!$A$2:$A$64,0)))</f>
        <v/>
      </c>
      <c r="M381" s="6" t="str">
        <f aca="false">B381&amp;"|"&amp;D381&amp;"|"&amp;C381</f>
        <v>Poplar Tree|Woody biomass|Output</v>
      </c>
    </row>
    <row r="382" customFormat="false" ht="15" hidden="false" customHeight="true" outlineLevel="0" collapsed="false">
      <c r="A382" s="6" t="s">
        <v>1351</v>
      </c>
      <c r="B382" s="6" t="s">
        <v>552</v>
      </c>
      <c r="C382" s="6" t="s">
        <v>943</v>
      </c>
      <c r="D382" s="6" t="s">
        <v>1127</v>
      </c>
      <c r="E382" s="26" t="n">
        <v>30</v>
      </c>
      <c r="F382" s="6" t="str">
        <f aca="false">IFERROR(INDEX(Resources!$B$2:$B$64,MATCH($D382,Resources!$A$2:$A$64,0)),"?")</f>
        <v>lbs</v>
      </c>
      <c r="G382" s="6" t="s">
        <v>1032</v>
      </c>
      <c r="H382" s="27" t="n">
        <f aca="false">E382*INDEX(Assumptions!$D$17:$D$23,MATCH(G382,Assumptions!$B$17:$B$23,0))</f>
        <v>0.576923076923077</v>
      </c>
      <c r="I382" s="6" t="n">
        <f aca="false">IFERROR(INDEX(Systems!$R$2:$R$179,MATCH($B382,Systems!$B$2:$B$179,0)),0)</f>
        <v>1</v>
      </c>
      <c r="J382" s="27" t="n">
        <f aca="false">H382*I382</f>
        <v>0.576923076923077</v>
      </c>
      <c r="K382" s="6" t="str">
        <f aca="false">IFERROR(IF(INDEX(Resources!$D$2:$D$64,MATCH($D382,Resources!$A$2:$A$64,0))="","",INDEX(Resources!$D$2:$D$64,MATCH($D382,Resources!$A$2:$A$64,0))),"")</f>
        <v/>
      </c>
      <c r="L382" s="28" t="str">
        <f aca="false">IF(K382="","",J382*INDEX(Resources!$E$2:$E$64,MATCH($D382,Resources!$A$2:$A$64,0)))</f>
        <v/>
      </c>
      <c r="M382" s="6" t="str">
        <f aca="false">B382&amp;"|"&amp;D382&amp;"|"&amp;C382</f>
        <v>Poplar Tree|Carbon|Output</v>
      </c>
    </row>
    <row r="383" customFormat="false" ht="15" hidden="false" customHeight="true" outlineLevel="0" collapsed="false">
      <c r="A383" s="6" t="s">
        <v>1352</v>
      </c>
      <c r="B383" s="6" t="s">
        <v>552</v>
      </c>
      <c r="C383" s="6" t="s">
        <v>943</v>
      </c>
      <c r="D383" s="6" t="s">
        <v>69</v>
      </c>
      <c r="E383" s="26" t="n">
        <v>10000</v>
      </c>
      <c r="F383" s="6" t="str">
        <f aca="false">IFERROR(INDEX(Resources!$B$2:$B$64,MATCH($D383,Resources!$A$2:$A$64,0)),"?")</f>
        <v>BTU</v>
      </c>
      <c r="G383" s="6" t="s">
        <v>939</v>
      </c>
      <c r="H383" s="27" t="n">
        <f aca="false">E383*INDEX(Assumptions!$D$17:$D$23,MATCH(G383,Assumptions!$B$17:$B$23,0))</f>
        <v>10000</v>
      </c>
      <c r="I383" s="6" t="n">
        <f aca="false">IFERROR(INDEX(Systems!$R$2:$R$179,MATCH($B383,Systems!$B$2:$B$179,0)),0)</f>
        <v>1</v>
      </c>
      <c r="J383" s="27" t="n">
        <f aca="false">H383*I383</f>
        <v>10000</v>
      </c>
      <c r="K383" s="6" t="str">
        <f aca="false">IFERROR(IF(INDEX(Resources!$D$2:$D$64,MATCH($D383,Resources!$A$2:$A$64,0))="","",INDEX(Resources!$D$2:$D$64,MATCH($D383,Resources!$A$2:$A$64,0))),"")</f>
        <v>Cooled shelter</v>
      </c>
      <c r="L383" s="28" t="n">
        <f aca="false">IF(K383="","",J383*INDEX(Resources!$E$2:$E$64,MATCH($D383,Resources!$A$2:$A$64,0)))</f>
        <v>10000</v>
      </c>
      <c r="M383" s="6" t="str">
        <f aca="false">B383&amp;"|"&amp;D383&amp;"|"&amp;C383</f>
        <v>Poplar Tree|Cooling|Output</v>
      </c>
    </row>
    <row r="384" customFormat="false" ht="15" hidden="false" customHeight="true" outlineLevel="0" collapsed="false">
      <c r="A384" s="6" t="s">
        <v>1353</v>
      </c>
      <c r="B384" s="6" t="s">
        <v>556</v>
      </c>
      <c r="C384" s="6" t="s">
        <v>938</v>
      </c>
      <c r="D384" s="6" t="s">
        <v>71</v>
      </c>
      <c r="E384" s="26" t="n">
        <v>0.5</v>
      </c>
      <c r="F384" s="6" t="str">
        <f aca="false">IFERROR(INDEX(Resources!$B$2:$B$64,MATCH($D384,Resources!$A$2:$A$64,0)),"?")</f>
        <v>hours</v>
      </c>
      <c r="G384" s="6" t="s">
        <v>939</v>
      </c>
      <c r="H384" s="27" t="n">
        <f aca="false">E384*INDEX(Assumptions!$D$17:$D$23,MATCH(G384,Assumptions!$B$17:$B$23,0))</f>
        <v>0.5</v>
      </c>
      <c r="I384" s="6" t="n">
        <f aca="false">IFERROR(INDEX(Systems!$R$2:$R$179,MATCH($B384,Systems!$B$2:$B$179,0)),0)</f>
        <v>1</v>
      </c>
      <c r="J384" s="27" t="n">
        <f aca="false">H384*I384</f>
        <v>0.5</v>
      </c>
      <c r="K384" s="6" t="str">
        <f aca="false">IFERROR(IF(INDEX(Resources!$D$2:$D$64,MATCH($D384,Resources!$A$2:$A$64,0))="","",INDEX(Resources!$D$2:$D$64,MATCH($D384,Resources!$A$2:$A$64,0))),"")</f>
        <v>Est. Required Labor</v>
      </c>
      <c r="L384" s="28" t="n">
        <f aca="false">IF(K384="","",J384*INDEX(Resources!$E$2:$E$64,MATCH($D384,Resources!$A$2:$A$64,0)))</f>
        <v>0.5</v>
      </c>
      <c r="M384" s="6" t="str">
        <f aca="false">B384&amp;"|"&amp;D384&amp;"|"&amp;C384</f>
        <v>Raised Beds (24 sq ft)|Labor|Input</v>
      </c>
      <c r="N384" s="6" t="s">
        <v>940</v>
      </c>
    </row>
    <row r="385" customFormat="false" ht="15" hidden="false" customHeight="true" outlineLevel="0" collapsed="false">
      <c r="A385" s="6" t="s">
        <v>1354</v>
      </c>
      <c r="B385" s="6" t="s">
        <v>556</v>
      </c>
      <c r="C385" s="6" t="s">
        <v>938</v>
      </c>
      <c r="D385" s="6" t="s">
        <v>49</v>
      </c>
      <c r="E385" s="26" t="n">
        <v>15</v>
      </c>
      <c r="F385" s="6" t="str">
        <f aca="false">IFERROR(INDEX(Resources!$B$2:$B$64,MATCH($D385,Resources!$A$2:$A$64,0)),"?")</f>
        <v>gal</v>
      </c>
      <c r="G385" s="6" t="s">
        <v>939</v>
      </c>
      <c r="H385" s="27" t="n">
        <f aca="false">E385*INDEX(Assumptions!$D$17:$D$23,MATCH(G385,Assumptions!$B$17:$B$23,0))</f>
        <v>15</v>
      </c>
      <c r="I385" s="6" t="n">
        <f aca="false">IFERROR(INDEX(Systems!$R$2:$R$179,MATCH($B385,Systems!$B$2:$B$179,0)),0)</f>
        <v>1</v>
      </c>
      <c r="J385" s="27" t="n">
        <f aca="false">H385*I385</f>
        <v>15</v>
      </c>
      <c r="K385" s="6" t="str">
        <f aca="false">IFERROR(IF(INDEX(Resources!$D$2:$D$64,MATCH($D385,Resources!$A$2:$A$64,0))="","",INDEX(Resources!$D$2:$D$64,MATCH($D385,Resources!$A$2:$A$64,0))),"")</f>
        <v>Water</v>
      </c>
      <c r="L385" s="28" t="n">
        <f aca="false">IF(K385="","",J385*INDEX(Resources!$E$2:$E$64,MATCH($D385,Resources!$A$2:$A$64,0)))</f>
        <v>15</v>
      </c>
      <c r="M385" s="6" t="str">
        <f aca="false">B385&amp;"|"&amp;D385&amp;"|"&amp;C385</f>
        <v>Raised Beds (24 sq ft)|Water|Input</v>
      </c>
    </row>
    <row r="386" customFormat="false" ht="15" hidden="false" customHeight="true" outlineLevel="0" collapsed="false">
      <c r="A386" s="6" t="s">
        <v>1355</v>
      </c>
      <c r="B386" s="6" t="s">
        <v>556</v>
      </c>
      <c r="C386" s="6" t="s">
        <v>938</v>
      </c>
      <c r="D386" s="6" t="s">
        <v>410</v>
      </c>
      <c r="E386" s="26" t="n">
        <v>0.25</v>
      </c>
      <c r="F386" s="6" t="str">
        <f aca="false">IFERROR(INDEX(Resources!$B$2:$B$64,MATCH($D386,Resources!$A$2:$A$64,0)),"?")</f>
        <v>gal</v>
      </c>
      <c r="G386" s="6" t="s">
        <v>939</v>
      </c>
      <c r="H386" s="27" t="n">
        <f aca="false">E386*INDEX(Assumptions!$D$17:$D$23,MATCH(G386,Assumptions!$B$17:$B$23,0))</f>
        <v>0.25</v>
      </c>
      <c r="I386" s="6" t="n">
        <f aca="false">IFERROR(INDEX(Systems!$R$2:$R$179,MATCH($B386,Systems!$B$2:$B$179,0)),0)</f>
        <v>1</v>
      </c>
      <c r="J386" s="27" t="n">
        <f aca="false">H386*I386</f>
        <v>0.25</v>
      </c>
      <c r="K386" s="6" t="str">
        <f aca="false">IFERROR(IF(INDEX(Resources!$D$2:$D$64,MATCH($D386,Resources!$A$2:$A$64,0))="","",INDEX(Resources!$D$2:$D$64,MATCH($D386,Resources!$A$2:$A$64,0))),"")</f>
        <v/>
      </c>
      <c r="L386" s="28" t="str">
        <f aca="false">IF(K386="","",J386*INDEX(Resources!$E$2:$E$64,MATCH($D386,Resources!$A$2:$A$64,0)))</f>
        <v/>
      </c>
      <c r="M386" s="6" t="str">
        <f aca="false">B386&amp;"|"&amp;D386&amp;"|"&amp;C386</f>
        <v>Raised Beds (24 sq ft)|Liquid fertilizer|Input</v>
      </c>
    </row>
    <row r="387" customFormat="false" ht="15" hidden="false" customHeight="true" outlineLevel="0" collapsed="false">
      <c r="A387" s="6" t="s">
        <v>1356</v>
      </c>
      <c r="B387" s="6" t="s">
        <v>556</v>
      </c>
      <c r="C387" s="6" t="s">
        <v>938</v>
      </c>
      <c r="D387" s="6" t="s">
        <v>1183</v>
      </c>
      <c r="E387" s="26" t="n">
        <v>0.1</v>
      </c>
      <c r="F387" s="6" t="str">
        <f aca="false">IFERROR(INDEX(Resources!$B$2:$B$64,MATCH($D387,Resources!$A$2:$A$64,0)),"?")</f>
        <v>oz</v>
      </c>
      <c r="G387" s="6" t="s">
        <v>1184</v>
      </c>
      <c r="H387" s="27" t="n">
        <f aca="false">E387*INDEX(Assumptions!$D$17:$D$23,MATCH(G387,Assumptions!$B$17:$B$23,0))</f>
        <v>0.00192307692307692</v>
      </c>
      <c r="I387" s="6" t="n">
        <f aca="false">IFERROR(INDEX(Systems!$R$2:$R$179,MATCH($B387,Systems!$B$2:$B$179,0)),0)</f>
        <v>1</v>
      </c>
      <c r="J387" s="27" t="n">
        <f aca="false">H387*I387</f>
        <v>0.00192307692307692</v>
      </c>
      <c r="K387" s="6" t="str">
        <f aca="false">IFERROR(IF(INDEX(Resources!$D$2:$D$64,MATCH($D387,Resources!$A$2:$A$64,0))="","",INDEX(Resources!$D$2:$D$64,MATCH($D387,Resources!$A$2:$A$64,0))),"")</f>
        <v/>
      </c>
      <c r="L387" s="28" t="str">
        <f aca="false">IF(K387="","",J387*INDEX(Resources!$E$2:$E$64,MATCH($D387,Resources!$A$2:$A$64,0)))</f>
        <v/>
      </c>
      <c r="M387" s="6" t="str">
        <f aca="false">B387&amp;"|"&amp;D387&amp;"|"&amp;C387</f>
        <v>Raised Beds (24 sq ft)|Seeds|Input</v>
      </c>
    </row>
    <row r="388" customFormat="false" ht="15" hidden="false" customHeight="true" outlineLevel="0" collapsed="false">
      <c r="A388" s="6" t="s">
        <v>1357</v>
      </c>
      <c r="B388" s="6" t="s">
        <v>556</v>
      </c>
      <c r="C388" s="6" t="s">
        <v>938</v>
      </c>
      <c r="D388" s="6" t="s">
        <v>322</v>
      </c>
      <c r="E388" s="26" t="n">
        <v>25</v>
      </c>
      <c r="F388" s="6" t="str">
        <f aca="false">IFERROR(INDEX(Resources!$B$2:$B$64,MATCH($D388,Resources!$A$2:$A$64,0)),"?")</f>
        <v>lbs</v>
      </c>
      <c r="G388" s="6" t="s">
        <v>1184</v>
      </c>
      <c r="H388" s="27" t="n">
        <f aca="false">E388*INDEX(Assumptions!$D$17:$D$23,MATCH(G388,Assumptions!$B$17:$B$23,0))</f>
        <v>0.480769230769231</v>
      </c>
      <c r="I388" s="6" t="n">
        <f aca="false">IFERROR(INDEX(Systems!$R$2:$R$179,MATCH($B388,Systems!$B$2:$B$179,0)),0)</f>
        <v>1</v>
      </c>
      <c r="J388" s="27" t="n">
        <f aca="false">H388*I388</f>
        <v>0.480769230769231</v>
      </c>
      <c r="K388" s="6" t="str">
        <f aca="false">IFERROR(IF(INDEX(Resources!$D$2:$D$64,MATCH($D388,Resources!$A$2:$A$64,0))="","",INDEX(Resources!$D$2:$D$64,MATCH($D388,Resources!$A$2:$A$64,0))),"")</f>
        <v/>
      </c>
      <c r="L388" s="28" t="str">
        <f aca="false">IF(K388="","",J388*INDEX(Resources!$E$2:$E$64,MATCH($D388,Resources!$A$2:$A$64,0)))</f>
        <v/>
      </c>
      <c r="M388" s="6" t="str">
        <f aca="false">B388&amp;"|"&amp;D388&amp;"|"&amp;C388</f>
        <v>Raised Beds (24 sq ft)|Compost|Input</v>
      </c>
    </row>
    <row r="389" customFormat="false" ht="15" hidden="false" customHeight="true" outlineLevel="0" collapsed="false">
      <c r="A389" s="6" t="s">
        <v>1358</v>
      </c>
      <c r="B389" s="6" t="s">
        <v>556</v>
      </c>
      <c r="C389" s="6" t="s">
        <v>938</v>
      </c>
      <c r="D389" s="6" t="s">
        <v>900</v>
      </c>
      <c r="E389" s="26" t="n">
        <v>24</v>
      </c>
      <c r="F389" s="6" t="str">
        <f aca="false">IFERROR(INDEX(Resources!$B$2:$B$64,MATCH($D389,Resources!$A$2:$A$64,0)),"?")</f>
        <v>cu ft</v>
      </c>
      <c r="G389" s="6" t="s">
        <v>1115</v>
      </c>
      <c r="H389" s="27" t="n">
        <f aca="false">E389*INDEX(Assumptions!$D$17:$D$23,MATCH(G389,Assumptions!$B$17:$B$23,0))</f>
        <v>0</v>
      </c>
      <c r="I389" s="6" t="n">
        <f aca="false">IFERROR(INDEX(Systems!$R$2:$R$179,MATCH($B389,Systems!$B$2:$B$179,0)),0)</f>
        <v>1</v>
      </c>
      <c r="J389" s="27" t="n">
        <f aca="false">H389*I389</f>
        <v>0</v>
      </c>
      <c r="K389" s="6" t="str">
        <f aca="false">IFERROR(IF(INDEX(Resources!$D$2:$D$64,MATCH($D389,Resources!$A$2:$A$64,0))="","",INDEX(Resources!$D$2:$D$64,MATCH($D389,Resources!$A$2:$A$64,0))),"")</f>
        <v/>
      </c>
      <c r="L389" s="28" t="str">
        <f aca="false">IF(K389="","",J389*INDEX(Resources!$E$2:$E$64,MATCH($D389,Resources!$A$2:$A$64,0)))</f>
        <v/>
      </c>
      <c r="M389" s="6" t="str">
        <f aca="false">B389&amp;"|"&amp;D389&amp;"|"&amp;C389</f>
        <v>Raised Beds (24 sq ft)|Soil|Input</v>
      </c>
    </row>
    <row r="390" customFormat="false" ht="15" hidden="false" customHeight="true" outlineLevel="0" collapsed="false">
      <c r="A390" s="6" t="s">
        <v>1359</v>
      </c>
      <c r="B390" s="6" t="s">
        <v>556</v>
      </c>
      <c r="C390" s="6" t="s">
        <v>938</v>
      </c>
      <c r="D390" s="6" t="s">
        <v>1021</v>
      </c>
      <c r="E390" s="26" t="n">
        <v>0.1</v>
      </c>
      <c r="F390" s="6" t="str">
        <f aca="false">IFERROR(INDEX(Resources!$B$2:$B$64,MATCH($D390,Resources!$A$2:$A$64,0)),"?")</f>
        <v>units</v>
      </c>
      <c r="G390" s="6" t="s">
        <v>945</v>
      </c>
      <c r="H390" s="27" t="n">
        <f aca="false">E390*INDEX(Assumptions!$D$17:$D$23,MATCH(G390,Assumptions!$B$17:$B$23,0))</f>
        <v>0.1</v>
      </c>
      <c r="I390" s="6" t="n">
        <f aca="false">IFERROR(INDEX(Systems!$R$2:$R$179,MATCH($B390,Systems!$B$2:$B$179,0)),0)</f>
        <v>1</v>
      </c>
      <c r="J390" s="27" t="n">
        <f aca="false">H390*I390</f>
        <v>0.1</v>
      </c>
      <c r="K390" s="6" t="str">
        <f aca="false">IFERROR(IF(INDEX(Resources!$D$2:$D$64,MATCH($D390,Resources!$A$2:$A$64,0))="","",INDEX(Resources!$D$2:$D$64,MATCH($D390,Resources!$A$2:$A$64,0))),"")</f>
        <v/>
      </c>
      <c r="L390" s="28" t="str">
        <f aca="false">IF(K390="","",J390*INDEX(Resources!$E$2:$E$64,MATCH($D390,Resources!$A$2:$A$64,0)))</f>
        <v/>
      </c>
      <c r="M390" s="6" t="str">
        <f aca="false">B390&amp;"|"&amp;D390&amp;"|"&amp;C390</f>
        <v>Raised Beds (24 sq ft)|Pest control|Input</v>
      </c>
    </row>
    <row r="391" customFormat="false" ht="15" hidden="false" customHeight="true" outlineLevel="0" collapsed="false">
      <c r="A391" s="6" t="s">
        <v>1360</v>
      </c>
      <c r="B391" s="6" t="s">
        <v>556</v>
      </c>
      <c r="C391" s="6" t="s">
        <v>938</v>
      </c>
      <c r="D391" s="6" t="s">
        <v>437</v>
      </c>
      <c r="E391" s="26" t="n">
        <v>0.1</v>
      </c>
      <c r="F391" s="6" t="str">
        <f aca="false">IFERROR(INDEX(Resources!$B$2:$B$64,MATCH($D391,Resources!$A$2:$A$64,0)),"?")</f>
        <v>units</v>
      </c>
      <c r="G391" s="6" t="s">
        <v>945</v>
      </c>
      <c r="H391" s="27" t="n">
        <f aca="false">E391*INDEX(Assumptions!$D$17:$D$23,MATCH(G391,Assumptions!$B$17:$B$23,0))</f>
        <v>0.1</v>
      </c>
      <c r="I391" s="6" t="n">
        <f aca="false">IFERROR(INDEX(Systems!$R$2:$R$179,MATCH($B391,Systems!$B$2:$B$179,0)),0)</f>
        <v>1</v>
      </c>
      <c r="J391" s="27" t="n">
        <f aca="false">H391*I391</f>
        <v>0.1</v>
      </c>
      <c r="K391" s="6" t="str">
        <f aca="false">IFERROR(IF(INDEX(Resources!$D$2:$D$64,MATCH($D391,Resources!$A$2:$A$64,0))="","",INDEX(Resources!$D$2:$D$64,MATCH($D391,Resources!$A$2:$A$64,0))),"")</f>
        <v/>
      </c>
      <c r="L391" s="28" t="str">
        <f aca="false">IF(K391="","",J391*INDEX(Resources!$E$2:$E$64,MATCH($D391,Resources!$A$2:$A$64,0)))</f>
        <v/>
      </c>
      <c r="M391" s="6" t="str">
        <f aca="false">B391&amp;"|"&amp;D391&amp;"|"&amp;C391</f>
        <v>Raised Beds (24 sq ft)|Pollination|Input</v>
      </c>
    </row>
    <row r="392" customFormat="false" ht="15" hidden="false" customHeight="true" outlineLevel="0" collapsed="false">
      <c r="A392" s="6" t="s">
        <v>1361</v>
      </c>
      <c r="B392" s="6" t="s">
        <v>556</v>
      </c>
      <c r="C392" s="6" t="s">
        <v>943</v>
      </c>
      <c r="D392" s="6" t="s">
        <v>561</v>
      </c>
      <c r="E392" s="26" t="n">
        <v>18</v>
      </c>
      <c r="F392" s="6" t="str">
        <f aca="false">IFERROR(INDEX(Resources!$B$2:$B$64,MATCH($D392,Resources!$A$2:$A$64,0)),"?")</f>
        <v>lbs</v>
      </c>
      <c r="G392" s="6" t="s">
        <v>1184</v>
      </c>
      <c r="H392" s="27" t="n">
        <f aca="false">E392*INDEX(Assumptions!$D$17:$D$23,MATCH(G392,Assumptions!$B$17:$B$23,0))</f>
        <v>0.346153846153846</v>
      </c>
      <c r="I392" s="6" t="n">
        <f aca="false">IFERROR(INDEX(Systems!$R$2:$R$179,MATCH($B392,Systems!$B$2:$B$179,0)),0)</f>
        <v>1</v>
      </c>
      <c r="J392" s="27" t="n">
        <f aca="false">H392*I392</f>
        <v>0.346153846153846</v>
      </c>
      <c r="K392" s="6" t="str">
        <f aca="false">IFERROR(IF(INDEX(Resources!$D$2:$D$64,MATCH($D392,Resources!$A$2:$A$64,0))="","",INDEX(Resources!$D$2:$D$64,MATCH($D392,Resources!$A$2:$A$64,0))),"")</f>
        <v>Food</v>
      </c>
      <c r="L392" s="28" t="n">
        <f aca="false">IF(K392="","",J392*INDEX(Resources!$E$2:$E$64,MATCH($D392,Resources!$A$2:$A$64,0)))</f>
        <v>51.9230769230769</v>
      </c>
      <c r="M392" s="6" t="str">
        <f aca="false">B392&amp;"|"&amp;D392&amp;"|"&amp;C392</f>
        <v>Raised Beds (24 sq ft)|Vegetables fruit fiber herbs|Output</v>
      </c>
    </row>
    <row r="393" customFormat="false" ht="15" hidden="false" customHeight="true" outlineLevel="0" collapsed="false">
      <c r="A393" s="6" t="s">
        <v>1362</v>
      </c>
      <c r="B393" s="6" t="s">
        <v>564</v>
      </c>
      <c r="C393" s="6" t="s">
        <v>938</v>
      </c>
      <c r="D393" s="6" t="s">
        <v>71</v>
      </c>
      <c r="E393" s="26" t="n">
        <v>0.1</v>
      </c>
      <c r="F393" s="6" t="str">
        <f aca="false">IFERROR(INDEX(Resources!$B$2:$B$64,MATCH($D393,Resources!$A$2:$A$64,0)),"?")</f>
        <v>hours</v>
      </c>
      <c r="G393" s="6" t="s">
        <v>939</v>
      </c>
      <c r="H393" s="27" t="n">
        <f aca="false">E393*INDEX(Assumptions!$D$17:$D$23,MATCH(G393,Assumptions!$B$17:$B$23,0))</f>
        <v>0.1</v>
      </c>
      <c r="I393" s="6" t="n">
        <f aca="false">IFERROR(INDEX(Systems!$R$2:$R$179,MATCH($B393,Systems!$B$2:$B$179,0)),0)</f>
        <v>1</v>
      </c>
      <c r="J393" s="27" t="n">
        <f aca="false">H393*I393</f>
        <v>0.1</v>
      </c>
      <c r="K393" s="6" t="str">
        <f aca="false">IFERROR(IF(INDEX(Resources!$D$2:$D$64,MATCH($D393,Resources!$A$2:$A$64,0))="","",INDEX(Resources!$D$2:$D$64,MATCH($D393,Resources!$A$2:$A$64,0))),"")</f>
        <v>Est. Required Labor</v>
      </c>
      <c r="L393" s="28" t="n">
        <f aca="false">IF(K393="","",J393*INDEX(Resources!$E$2:$E$64,MATCH($D393,Resources!$A$2:$A$64,0)))</f>
        <v>0.1</v>
      </c>
      <c r="M393" s="6" t="str">
        <f aca="false">B393&amp;"|"&amp;D393&amp;"|"&amp;C393</f>
        <v>Well|Labor|Input</v>
      </c>
      <c r="N393" s="6" t="s">
        <v>940</v>
      </c>
    </row>
    <row r="394" customFormat="false" ht="15" hidden="false" customHeight="true" outlineLevel="0" collapsed="false">
      <c r="A394" s="6" t="s">
        <v>1363</v>
      </c>
      <c r="B394" s="6" t="s">
        <v>564</v>
      </c>
      <c r="C394" s="6" t="s">
        <v>938</v>
      </c>
      <c r="D394" s="6" t="s">
        <v>59</v>
      </c>
      <c r="E394" s="26" t="n">
        <v>3</v>
      </c>
      <c r="F394" s="6" t="str">
        <f aca="false">IFERROR(INDEX(Resources!$B$2:$B$64,MATCH($D394,Resources!$A$2:$A$64,0)),"?")</f>
        <v>kWh</v>
      </c>
      <c r="G394" s="6" t="s">
        <v>939</v>
      </c>
      <c r="H394" s="27" t="n">
        <f aca="false">E394*INDEX(Assumptions!$D$17:$D$23,MATCH(G394,Assumptions!$B$17:$B$23,0))</f>
        <v>3</v>
      </c>
      <c r="I394" s="6" t="n">
        <f aca="false">IFERROR(INDEX(Systems!$R$2:$R$179,MATCH($B394,Systems!$B$2:$B$179,0)),0)</f>
        <v>1</v>
      </c>
      <c r="J394" s="27" t="n">
        <f aca="false">H394*I394</f>
        <v>3</v>
      </c>
      <c r="K394" s="6" t="str">
        <f aca="false">IFERROR(IF(INDEX(Resources!$D$2:$D$64,MATCH($D394,Resources!$A$2:$A$64,0))="","",INDEX(Resources!$D$2:$D$64,MATCH($D394,Resources!$A$2:$A$64,0))),"")</f>
        <v>Electricity</v>
      </c>
      <c r="L394" s="28" t="n">
        <f aca="false">IF(K394="","",J394*INDEX(Resources!$E$2:$E$64,MATCH($D394,Resources!$A$2:$A$64,0)))</f>
        <v>3</v>
      </c>
      <c r="M394" s="6" t="str">
        <f aca="false">B394&amp;"|"&amp;D394&amp;"|"&amp;C394</f>
        <v>Well|Electricity|Input</v>
      </c>
    </row>
    <row r="395" customFormat="false" ht="15" hidden="false" customHeight="true" outlineLevel="0" collapsed="false">
      <c r="A395" s="6" t="s">
        <v>1364</v>
      </c>
      <c r="B395" s="6" t="s">
        <v>564</v>
      </c>
      <c r="C395" s="6" t="s">
        <v>943</v>
      </c>
      <c r="D395" s="6" t="s">
        <v>49</v>
      </c>
      <c r="E395" s="26" t="n">
        <v>1000</v>
      </c>
      <c r="F395" s="6" t="str">
        <f aca="false">IFERROR(INDEX(Resources!$B$2:$B$64,MATCH($D395,Resources!$A$2:$A$64,0)),"?")</f>
        <v>gal</v>
      </c>
      <c r="G395" s="6" t="s">
        <v>939</v>
      </c>
      <c r="H395" s="27" t="n">
        <f aca="false">E395*INDEX(Assumptions!$D$17:$D$23,MATCH(G395,Assumptions!$B$17:$B$23,0))</f>
        <v>1000</v>
      </c>
      <c r="I395" s="6" t="n">
        <f aca="false">IFERROR(INDEX(Systems!$R$2:$R$179,MATCH($B395,Systems!$B$2:$B$179,0)),0)</f>
        <v>1</v>
      </c>
      <c r="J395" s="27" t="n">
        <f aca="false">H395*I395</f>
        <v>1000</v>
      </c>
      <c r="K395" s="6" t="str">
        <f aca="false">IFERROR(IF(INDEX(Resources!$D$2:$D$64,MATCH($D395,Resources!$A$2:$A$64,0))="","",INDEX(Resources!$D$2:$D$64,MATCH($D395,Resources!$A$2:$A$64,0))),"")</f>
        <v>Water</v>
      </c>
      <c r="L395" s="28" t="n">
        <f aca="false">IF(K395="","",J395*INDEX(Resources!$E$2:$E$64,MATCH($D395,Resources!$A$2:$A$64,0)))</f>
        <v>1000</v>
      </c>
      <c r="M395" s="6" t="str">
        <f aca="false">B395&amp;"|"&amp;D395&amp;"|"&amp;C395</f>
        <v>Well|Water|Output</v>
      </c>
    </row>
    <row r="396" customFormat="false" ht="15" hidden="false" customHeight="true" outlineLevel="0" collapsed="false">
      <c r="A396" s="6" t="s">
        <v>1365</v>
      </c>
      <c r="B396" s="6" t="s">
        <v>569</v>
      </c>
      <c r="C396" s="6" t="s">
        <v>938</v>
      </c>
      <c r="D396" s="6" t="s">
        <v>71</v>
      </c>
      <c r="E396" s="26" t="n">
        <v>0.5</v>
      </c>
      <c r="F396" s="6" t="str">
        <f aca="false">IFERROR(INDEX(Resources!$B$2:$B$64,MATCH($D396,Resources!$A$2:$A$64,0)),"?")</f>
        <v>hours</v>
      </c>
      <c r="G396" s="6" t="s">
        <v>939</v>
      </c>
      <c r="H396" s="27" t="n">
        <f aca="false">E396*INDEX(Assumptions!$D$17:$D$23,MATCH(G396,Assumptions!$B$17:$B$23,0))</f>
        <v>0.5</v>
      </c>
      <c r="I396" s="6" t="n">
        <f aca="false">IFERROR(INDEX(Systems!$R$2:$R$179,MATCH($B396,Systems!$B$2:$B$179,0)),0)</f>
        <v>0</v>
      </c>
      <c r="J396" s="27" t="n">
        <f aca="false">H396*I396</f>
        <v>0</v>
      </c>
      <c r="K396" s="6" t="str">
        <f aca="false">IFERROR(IF(INDEX(Resources!$D$2:$D$64,MATCH($D396,Resources!$A$2:$A$64,0))="","",INDEX(Resources!$D$2:$D$64,MATCH($D396,Resources!$A$2:$A$64,0))),"")</f>
        <v>Est. Required Labor</v>
      </c>
      <c r="L396" s="28" t="n">
        <f aca="false">IF(K396="","",J396*INDEX(Resources!$E$2:$E$64,MATCH($D396,Resources!$A$2:$A$64,0)))</f>
        <v>0</v>
      </c>
      <c r="M396" s="6" t="str">
        <f aca="false">B396&amp;"|"&amp;D396&amp;"|"&amp;C396</f>
        <v>Tiny House on Wheels|Labor|Input</v>
      </c>
      <c r="N396" s="6" t="s">
        <v>940</v>
      </c>
    </row>
    <row r="397" customFormat="false" ht="15" hidden="false" customHeight="true" outlineLevel="0" collapsed="false">
      <c r="A397" s="6" t="s">
        <v>1366</v>
      </c>
      <c r="B397" s="6" t="s">
        <v>569</v>
      </c>
      <c r="C397" s="6" t="s">
        <v>938</v>
      </c>
      <c r="D397" s="6" t="s">
        <v>269</v>
      </c>
      <c r="E397" s="26" t="n">
        <v>20</v>
      </c>
      <c r="F397" s="6" t="str">
        <f aca="false">IFERROR(INDEX(Resources!$B$2:$B$64,MATCH($D397,Resources!$A$2:$A$64,0)),"?")</f>
        <v>$</v>
      </c>
      <c r="G397" s="6" t="s">
        <v>939</v>
      </c>
      <c r="H397" s="27" t="n">
        <f aca="false">E397*INDEX(Assumptions!$D$17:$D$23,MATCH(G397,Assumptions!$B$17:$B$23,0))</f>
        <v>20</v>
      </c>
      <c r="I397" s="6" t="n">
        <f aca="false">IFERROR(INDEX(Systems!$R$2:$R$179,MATCH($B397,Systems!$B$2:$B$179,0)),0)</f>
        <v>0</v>
      </c>
      <c r="J397" s="27" t="n">
        <f aca="false">H397*I397</f>
        <v>0</v>
      </c>
      <c r="K397" s="6" t="str">
        <f aca="false">IFERROR(IF(INDEX(Resources!$D$2:$D$64,MATCH($D397,Resources!$A$2:$A$64,0))="","",INDEX(Resources!$D$2:$D$64,MATCH($D397,Resources!$A$2:$A$64,0))),"")</f>
        <v/>
      </c>
      <c r="L397" s="28" t="str">
        <f aca="false">IF(K397="","",J397*INDEX(Resources!$E$2:$E$64,MATCH($D397,Resources!$A$2:$A$64,0)))</f>
        <v/>
      </c>
      <c r="M397" s="6" t="str">
        <f aca="false">B397&amp;"|"&amp;D397&amp;"|"&amp;C397</f>
        <v>Tiny House on Wheels|Capital|Input</v>
      </c>
    </row>
    <row r="398" customFormat="false" ht="15" hidden="false" customHeight="true" outlineLevel="0" collapsed="false">
      <c r="A398" s="6" t="s">
        <v>1367</v>
      </c>
      <c r="B398" s="6" t="s">
        <v>569</v>
      </c>
      <c r="C398" s="6" t="s">
        <v>943</v>
      </c>
      <c r="D398" s="6" t="s">
        <v>55</v>
      </c>
      <c r="E398" s="26" t="n">
        <v>250</v>
      </c>
      <c r="F398" s="6" t="str">
        <f aca="false">IFERROR(INDEX(Resources!$B$2:$B$64,MATCH($D398,Resources!$A$2:$A$64,0)),"?")</f>
        <v>sq ft</v>
      </c>
      <c r="G398" s="6" t="s">
        <v>945</v>
      </c>
      <c r="H398" s="27" t="n">
        <f aca="false">E398*INDEX(Assumptions!$D$17:$D$23,MATCH(G398,Assumptions!$B$17:$B$23,0))</f>
        <v>250</v>
      </c>
      <c r="I398" s="6" t="n">
        <f aca="false">IFERROR(INDEX(Systems!$R$2:$R$179,MATCH($B398,Systems!$B$2:$B$179,0)),0)</f>
        <v>0</v>
      </c>
      <c r="J398" s="27" t="n">
        <f aca="false">H398*I398</f>
        <v>0</v>
      </c>
      <c r="K398" s="6" t="str">
        <f aca="false">IFERROR(IF(INDEX(Resources!$D$2:$D$64,MATCH($D398,Resources!$A$2:$A$64,0))="","",INDEX(Resources!$D$2:$D$64,MATCH($D398,Resources!$A$2:$A$64,0))),"")</f>
        <v>Shelter</v>
      </c>
      <c r="L398" s="28" t="n">
        <f aca="false">IF(K398="","",J398*INDEX(Resources!$E$2:$E$64,MATCH($D398,Resources!$A$2:$A$64,0)))</f>
        <v>0</v>
      </c>
      <c r="M398" s="6" t="str">
        <f aca="false">B398&amp;"|"&amp;D398&amp;"|"&amp;C398</f>
        <v>Tiny House on Wheels|Shelter|Output</v>
      </c>
    </row>
    <row r="399" customFormat="false" ht="15" hidden="false" customHeight="true" outlineLevel="0" collapsed="false">
      <c r="A399" s="6" t="s">
        <v>1368</v>
      </c>
      <c r="B399" s="6" t="s">
        <v>569</v>
      </c>
      <c r="C399" s="6" t="s">
        <v>943</v>
      </c>
      <c r="D399" s="6" t="s">
        <v>288</v>
      </c>
      <c r="E399" s="26" t="n">
        <v>280</v>
      </c>
      <c r="F399" s="6" t="str">
        <f aca="false">IFERROR(INDEX(Resources!$B$2:$B$64,MATCH($D399,Resources!$A$2:$A$64,0)),"?")</f>
        <v>sq ft</v>
      </c>
      <c r="G399" s="6" t="s">
        <v>945</v>
      </c>
      <c r="H399" s="27" t="n">
        <f aca="false">E399*INDEX(Assumptions!$D$17:$D$23,MATCH(G399,Assumptions!$B$17:$B$23,0))</f>
        <v>280</v>
      </c>
      <c r="I399" s="6" t="n">
        <f aca="false">IFERROR(INDEX(Systems!$R$2:$R$179,MATCH($B399,Systems!$B$2:$B$179,0)),0)</f>
        <v>0</v>
      </c>
      <c r="J399" s="27" t="n">
        <f aca="false">H399*I399</f>
        <v>0</v>
      </c>
      <c r="K399" s="6" t="str">
        <f aca="false">IFERROR(IF(INDEX(Resources!$D$2:$D$64,MATCH($D399,Resources!$A$2:$A$64,0))="","",INDEX(Resources!$D$2:$D$64,MATCH($D399,Resources!$A$2:$A$64,0))),"")</f>
        <v/>
      </c>
      <c r="L399" s="28" t="str">
        <f aca="false">IF(K399="","",J399*INDEX(Resources!$E$2:$E$64,MATCH($D399,Resources!$A$2:$A$64,0)))</f>
        <v/>
      </c>
      <c r="M399" s="6" t="str">
        <f aca="false">B399&amp;"|"&amp;D399&amp;"|"&amp;C399</f>
        <v>Tiny House on Wheels|Roofing area|Output</v>
      </c>
    </row>
    <row r="400" customFormat="false" ht="15" hidden="false" customHeight="true" outlineLevel="0" collapsed="false">
      <c r="A400" s="6" t="s">
        <v>1369</v>
      </c>
      <c r="B400" s="6" t="s">
        <v>569</v>
      </c>
      <c r="C400" s="6" t="s">
        <v>938</v>
      </c>
      <c r="D400" s="6" t="s">
        <v>67</v>
      </c>
      <c r="E400" s="29" t="n">
        <f aca="false">INDEX(Systems!$N$2:$N$179,MATCH($B400,Systems!$B$2:$B$179,0))*INDEX(Systems!$O$2:$O$179,MATCH($B400,Systems!$B$2:$B$179,0))*Assumptions!$C$4*24/52</f>
        <v>173076.923076923</v>
      </c>
      <c r="F400" s="6" t="str">
        <f aca="false">IFERROR(INDEX(Resources!$B$2:$B$64,MATCH($D400,Resources!$A$2:$A$64,0)),"?")</f>
        <v>BTU</v>
      </c>
      <c r="G400" s="6" t="s">
        <v>939</v>
      </c>
      <c r="H400" s="27" t="n">
        <f aca="false">E400*INDEX(Assumptions!$D$17:$D$23,MATCH(G400,Assumptions!$B$17:$B$23,0))</f>
        <v>173076.923076923</v>
      </c>
      <c r="I400" s="6" t="n">
        <f aca="false">IFERROR(INDEX(Systems!$R$2:$R$179,MATCH($B400,Systems!$B$2:$B$179,0)),0)</f>
        <v>0</v>
      </c>
      <c r="J400" s="27" t="n">
        <f aca="false">H400*I400</f>
        <v>0</v>
      </c>
      <c r="K400" s="6" t="str">
        <f aca="false">IFERROR(IF(INDEX(Resources!$D$2:$D$64,MATCH($D400,Resources!$A$2:$A$64,0))="","",INDEX(Resources!$D$2:$D$64,MATCH($D400,Resources!$A$2:$A$64,0))),"")</f>
        <v>Heated shelter</v>
      </c>
      <c r="L400" s="28" t="n">
        <f aca="false">IF(K400="","",J400*INDEX(Resources!$E$2:$E$64,MATCH($D400,Resources!$A$2:$A$64,0)))</f>
        <v>0</v>
      </c>
      <c r="M400" s="6" t="str">
        <f aca="false">B400&amp;"|"&amp;D400&amp;"|"&amp;C400</f>
        <v>Tiny House on Wheels|Heat|Input</v>
      </c>
      <c r="N400" s="6" t="s">
        <v>972</v>
      </c>
    </row>
    <row r="401" customFormat="false" ht="15" hidden="false" customHeight="true" outlineLevel="0" collapsed="false">
      <c r="A401" s="6" t="s">
        <v>1370</v>
      </c>
      <c r="B401" s="6" t="s">
        <v>569</v>
      </c>
      <c r="C401" s="6" t="s">
        <v>938</v>
      </c>
      <c r="D401" s="6" t="s">
        <v>69</v>
      </c>
      <c r="E401" s="29" t="n">
        <f aca="false">INDEX(Systems!$N$2:$N$179,MATCH($B401,Systems!$B$2:$B$179,0))*INDEX(Systems!$O$2:$O$179,MATCH($B401,Systems!$B$2:$B$179,0))*Assumptions!$C$5*24/52</f>
        <v>23076.9230769231</v>
      </c>
      <c r="F401" s="6" t="str">
        <f aca="false">IFERROR(INDEX(Resources!$B$2:$B$64,MATCH($D401,Resources!$A$2:$A$64,0)),"?")</f>
        <v>BTU</v>
      </c>
      <c r="G401" s="6" t="s">
        <v>939</v>
      </c>
      <c r="H401" s="27" t="n">
        <f aca="false">E401*INDEX(Assumptions!$D$17:$D$23,MATCH(G401,Assumptions!$B$17:$B$23,0))</f>
        <v>23076.9230769231</v>
      </c>
      <c r="I401" s="6" t="n">
        <f aca="false">IFERROR(INDEX(Systems!$R$2:$R$179,MATCH($B401,Systems!$B$2:$B$179,0)),0)</f>
        <v>0</v>
      </c>
      <c r="J401" s="27" t="n">
        <f aca="false">H401*I401</f>
        <v>0</v>
      </c>
      <c r="K401" s="6" t="str">
        <f aca="false">IFERROR(IF(INDEX(Resources!$D$2:$D$64,MATCH($D401,Resources!$A$2:$A$64,0))="","",INDEX(Resources!$D$2:$D$64,MATCH($D401,Resources!$A$2:$A$64,0))),"")</f>
        <v>Cooled shelter</v>
      </c>
      <c r="L401" s="28" t="n">
        <f aca="false">IF(K401="","",J401*INDEX(Resources!$E$2:$E$64,MATCH($D401,Resources!$A$2:$A$64,0)))</f>
        <v>0</v>
      </c>
      <c r="M401" s="6" t="str">
        <f aca="false">B401&amp;"|"&amp;D401&amp;"|"&amp;C401</f>
        <v>Tiny House on Wheels|Cooling|Input</v>
      </c>
      <c r="N401" s="6" t="s">
        <v>974</v>
      </c>
    </row>
    <row r="402" customFormat="false" ht="15" hidden="false" customHeight="true" outlineLevel="0" collapsed="false">
      <c r="A402" s="6" t="s">
        <v>1371</v>
      </c>
      <c r="B402" s="6" t="s">
        <v>573</v>
      </c>
      <c r="C402" s="6" t="s">
        <v>938</v>
      </c>
      <c r="D402" s="6" t="s">
        <v>71</v>
      </c>
      <c r="E402" s="26" t="n">
        <v>1.5</v>
      </c>
      <c r="F402" s="6" t="str">
        <f aca="false">IFERROR(INDEX(Resources!$B$2:$B$64,MATCH($D402,Resources!$A$2:$A$64,0)),"?")</f>
        <v>hours</v>
      </c>
      <c r="G402" s="6" t="s">
        <v>939</v>
      </c>
      <c r="H402" s="27" t="n">
        <f aca="false">E402*INDEX(Assumptions!$D$17:$D$23,MATCH(G402,Assumptions!$B$17:$B$23,0))</f>
        <v>1.5</v>
      </c>
      <c r="I402" s="6" t="n">
        <f aca="false">IFERROR(INDEX(Systems!$R$2:$R$179,MATCH($B402,Systems!$B$2:$B$179,0)),0)</f>
        <v>0</v>
      </c>
      <c r="J402" s="27" t="n">
        <f aca="false">H402*I402</f>
        <v>0</v>
      </c>
      <c r="K402" s="6" t="str">
        <f aca="false">IFERROR(IF(INDEX(Resources!$D$2:$D$64,MATCH($D402,Resources!$A$2:$A$64,0))="","",INDEX(Resources!$D$2:$D$64,MATCH($D402,Resources!$A$2:$A$64,0))),"")</f>
        <v>Est. Required Labor</v>
      </c>
      <c r="L402" s="28" t="n">
        <f aca="false">IF(K402="","",J402*INDEX(Resources!$E$2:$E$64,MATCH($D402,Resources!$A$2:$A$64,0)))</f>
        <v>0</v>
      </c>
      <c r="M402" s="6" t="str">
        <f aca="false">B402&amp;"|"&amp;D402&amp;"|"&amp;C402</f>
        <v>Earthship|Labor|Input</v>
      </c>
      <c r="N402" s="6" t="s">
        <v>940</v>
      </c>
    </row>
    <row r="403" customFormat="false" ht="15" hidden="false" customHeight="true" outlineLevel="0" collapsed="false">
      <c r="A403" s="6" t="s">
        <v>1372</v>
      </c>
      <c r="B403" s="6" t="s">
        <v>573</v>
      </c>
      <c r="C403" s="6" t="s">
        <v>938</v>
      </c>
      <c r="D403" s="6" t="s">
        <v>165</v>
      </c>
      <c r="E403" s="29" t="n">
        <f aca="false">Assumptions!$C$6*7</f>
        <v>35</v>
      </c>
      <c r="F403" s="6" t="str">
        <f aca="false">IFERROR(INDEX(Resources!$B$2:$B$64,MATCH($D403,Resources!$A$2:$A$64,0)),"?")</f>
        <v>sun-hours</v>
      </c>
      <c r="G403" s="6" t="s">
        <v>939</v>
      </c>
      <c r="H403" s="27" t="n">
        <f aca="false">E403*INDEX(Assumptions!$D$17:$D$23,MATCH(G403,Assumptions!$B$17:$B$23,0))</f>
        <v>35</v>
      </c>
      <c r="I403" s="6" t="n">
        <f aca="false">IFERROR(INDEX(Systems!$R$2:$R$179,MATCH($B403,Systems!$B$2:$B$179,0)),0)</f>
        <v>0</v>
      </c>
      <c r="J403" s="27" t="n">
        <f aca="false">H403*I403</f>
        <v>0</v>
      </c>
      <c r="K403" s="6" t="str">
        <f aca="false">IFERROR(IF(INDEX(Resources!$D$2:$D$64,MATCH($D403,Resources!$A$2:$A$64,0))="","",INDEX(Resources!$D$2:$D$64,MATCH($D403,Resources!$A$2:$A$64,0))),"")</f>
        <v/>
      </c>
      <c r="L403" s="28" t="str">
        <f aca="false">IF(K403="","",J403*INDEX(Resources!$E$2:$E$64,MATCH($D403,Resources!$A$2:$A$64,0)))</f>
        <v/>
      </c>
      <c r="M403" s="6" t="str">
        <f aca="false">B403&amp;"|"&amp;D403&amp;"|"&amp;C403</f>
        <v>Earthship|Sunlight|Input</v>
      </c>
      <c r="N403" s="6" t="s">
        <v>948</v>
      </c>
    </row>
    <row r="404" customFormat="false" ht="15" hidden="false" customHeight="true" outlineLevel="0" collapsed="false">
      <c r="A404" s="6" t="s">
        <v>1373</v>
      </c>
      <c r="B404" s="6" t="s">
        <v>573</v>
      </c>
      <c r="C404" s="6" t="s">
        <v>938</v>
      </c>
      <c r="D404" s="6" t="s">
        <v>269</v>
      </c>
      <c r="E404" s="26" t="n">
        <v>40</v>
      </c>
      <c r="F404" s="6" t="str">
        <f aca="false">IFERROR(INDEX(Resources!$B$2:$B$64,MATCH($D404,Resources!$A$2:$A$64,0)),"?")</f>
        <v>$</v>
      </c>
      <c r="G404" s="6" t="s">
        <v>939</v>
      </c>
      <c r="H404" s="27" t="n">
        <f aca="false">E404*INDEX(Assumptions!$D$17:$D$23,MATCH(G404,Assumptions!$B$17:$B$23,0))</f>
        <v>40</v>
      </c>
      <c r="I404" s="6" t="n">
        <f aca="false">IFERROR(INDEX(Systems!$R$2:$R$179,MATCH($B404,Systems!$B$2:$B$179,0)),0)</f>
        <v>0</v>
      </c>
      <c r="J404" s="27" t="n">
        <f aca="false">H404*I404</f>
        <v>0</v>
      </c>
      <c r="K404" s="6" t="str">
        <f aca="false">IFERROR(IF(INDEX(Resources!$D$2:$D$64,MATCH($D404,Resources!$A$2:$A$64,0))="","",INDEX(Resources!$D$2:$D$64,MATCH($D404,Resources!$A$2:$A$64,0))),"")</f>
        <v/>
      </c>
      <c r="L404" s="28" t="str">
        <f aca="false">IF(K404="","",J404*INDEX(Resources!$E$2:$E$64,MATCH($D404,Resources!$A$2:$A$64,0)))</f>
        <v/>
      </c>
      <c r="M404" s="6" t="str">
        <f aca="false">B404&amp;"|"&amp;D404&amp;"|"&amp;C404</f>
        <v>Earthship|Capital|Input</v>
      </c>
    </row>
    <row r="405" customFormat="false" ht="15" hidden="false" customHeight="true" outlineLevel="0" collapsed="false">
      <c r="A405" s="6" t="s">
        <v>1374</v>
      </c>
      <c r="B405" s="6" t="s">
        <v>573</v>
      </c>
      <c r="C405" s="6" t="s">
        <v>943</v>
      </c>
      <c r="D405" s="6" t="s">
        <v>55</v>
      </c>
      <c r="E405" s="26" t="n">
        <v>1200</v>
      </c>
      <c r="F405" s="6" t="str">
        <f aca="false">IFERROR(INDEX(Resources!$B$2:$B$64,MATCH($D405,Resources!$A$2:$A$64,0)),"?")</f>
        <v>sq ft</v>
      </c>
      <c r="G405" s="6" t="s">
        <v>945</v>
      </c>
      <c r="H405" s="27" t="n">
        <f aca="false">E405*INDEX(Assumptions!$D$17:$D$23,MATCH(G405,Assumptions!$B$17:$B$23,0))</f>
        <v>1200</v>
      </c>
      <c r="I405" s="6" t="n">
        <f aca="false">IFERROR(INDEX(Systems!$R$2:$R$179,MATCH($B405,Systems!$B$2:$B$179,0)),0)</f>
        <v>0</v>
      </c>
      <c r="J405" s="27" t="n">
        <f aca="false">H405*I405</f>
        <v>0</v>
      </c>
      <c r="K405" s="6" t="str">
        <f aca="false">IFERROR(IF(INDEX(Resources!$D$2:$D$64,MATCH($D405,Resources!$A$2:$A$64,0))="","",INDEX(Resources!$D$2:$D$64,MATCH($D405,Resources!$A$2:$A$64,0))),"")</f>
        <v>Shelter</v>
      </c>
      <c r="L405" s="28" t="n">
        <f aca="false">IF(K405="","",J405*INDEX(Resources!$E$2:$E$64,MATCH($D405,Resources!$A$2:$A$64,0)))</f>
        <v>0</v>
      </c>
      <c r="M405" s="6" t="str">
        <f aca="false">B405&amp;"|"&amp;D405&amp;"|"&amp;C405</f>
        <v>Earthship|Shelter|Output</v>
      </c>
    </row>
    <row r="406" customFormat="false" ht="15" hidden="false" customHeight="true" outlineLevel="0" collapsed="false">
      <c r="A406" s="6" t="s">
        <v>1375</v>
      </c>
      <c r="B406" s="6" t="s">
        <v>573</v>
      </c>
      <c r="C406" s="6" t="s">
        <v>943</v>
      </c>
      <c r="D406" s="6" t="s">
        <v>288</v>
      </c>
      <c r="E406" s="26" t="n">
        <v>1300</v>
      </c>
      <c r="F406" s="6" t="str">
        <f aca="false">IFERROR(INDEX(Resources!$B$2:$B$64,MATCH($D406,Resources!$A$2:$A$64,0)),"?")</f>
        <v>sq ft</v>
      </c>
      <c r="G406" s="6" t="s">
        <v>945</v>
      </c>
      <c r="H406" s="27" t="n">
        <f aca="false">E406*INDEX(Assumptions!$D$17:$D$23,MATCH(G406,Assumptions!$B$17:$B$23,0))</f>
        <v>1300</v>
      </c>
      <c r="I406" s="6" t="n">
        <f aca="false">IFERROR(INDEX(Systems!$R$2:$R$179,MATCH($B406,Systems!$B$2:$B$179,0)),0)</f>
        <v>0</v>
      </c>
      <c r="J406" s="27" t="n">
        <f aca="false">H406*I406</f>
        <v>0</v>
      </c>
      <c r="K406" s="6" t="str">
        <f aca="false">IFERROR(IF(INDEX(Resources!$D$2:$D$64,MATCH($D406,Resources!$A$2:$A$64,0))="","",INDEX(Resources!$D$2:$D$64,MATCH($D406,Resources!$A$2:$A$64,0))),"")</f>
        <v/>
      </c>
      <c r="L406" s="28" t="str">
        <f aca="false">IF(K406="","",J406*INDEX(Resources!$E$2:$E$64,MATCH($D406,Resources!$A$2:$A$64,0)))</f>
        <v/>
      </c>
      <c r="M406" s="6" t="str">
        <f aca="false">B406&amp;"|"&amp;D406&amp;"|"&amp;C406</f>
        <v>Earthship|Roofing area|Output</v>
      </c>
    </row>
    <row r="407" customFormat="false" ht="15" hidden="false" customHeight="true" outlineLevel="0" collapsed="false">
      <c r="A407" s="6" t="s">
        <v>1376</v>
      </c>
      <c r="B407" s="6" t="s">
        <v>573</v>
      </c>
      <c r="C407" s="6" t="s">
        <v>943</v>
      </c>
      <c r="D407" s="6" t="s">
        <v>67</v>
      </c>
      <c r="E407" s="26" t="n">
        <v>250000</v>
      </c>
      <c r="F407" s="6" t="str">
        <f aca="false">IFERROR(INDEX(Resources!$B$2:$B$64,MATCH($D407,Resources!$A$2:$A$64,0)),"?")</f>
        <v>BTU</v>
      </c>
      <c r="G407" s="6" t="s">
        <v>939</v>
      </c>
      <c r="H407" s="27" t="n">
        <f aca="false">E407*INDEX(Assumptions!$D$17:$D$23,MATCH(G407,Assumptions!$B$17:$B$23,0))</f>
        <v>250000</v>
      </c>
      <c r="I407" s="6" t="n">
        <f aca="false">IFERROR(INDEX(Systems!$R$2:$R$179,MATCH($B407,Systems!$B$2:$B$179,0)),0)</f>
        <v>0</v>
      </c>
      <c r="J407" s="27" t="n">
        <f aca="false">H407*I407</f>
        <v>0</v>
      </c>
      <c r="K407" s="6" t="str">
        <f aca="false">IFERROR(IF(INDEX(Resources!$D$2:$D$64,MATCH($D407,Resources!$A$2:$A$64,0))="","",INDEX(Resources!$D$2:$D$64,MATCH($D407,Resources!$A$2:$A$64,0))),"")</f>
        <v>Heated shelter</v>
      </c>
      <c r="L407" s="28" t="n">
        <f aca="false">IF(K407="","",J407*INDEX(Resources!$E$2:$E$64,MATCH($D407,Resources!$A$2:$A$64,0)))</f>
        <v>0</v>
      </c>
      <c r="M407" s="6" t="str">
        <f aca="false">B407&amp;"|"&amp;D407&amp;"|"&amp;C407</f>
        <v>Earthship|Heat|Output</v>
      </c>
    </row>
    <row r="408" customFormat="false" ht="15" hidden="false" customHeight="true" outlineLevel="0" collapsed="false">
      <c r="A408" s="6" t="s">
        <v>1377</v>
      </c>
      <c r="B408" s="6" t="s">
        <v>573</v>
      </c>
      <c r="C408" s="6" t="s">
        <v>943</v>
      </c>
      <c r="D408" s="6" t="s">
        <v>69</v>
      </c>
      <c r="E408" s="26" t="n">
        <v>40000</v>
      </c>
      <c r="F408" s="6" t="str">
        <f aca="false">IFERROR(INDEX(Resources!$B$2:$B$64,MATCH($D408,Resources!$A$2:$A$64,0)),"?")</f>
        <v>BTU</v>
      </c>
      <c r="G408" s="6" t="s">
        <v>939</v>
      </c>
      <c r="H408" s="27" t="n">
        <f aca="false">E408*INDEX(Assumptions!$D$17:$D$23,MATCH(G408,Assumptions!$B$17:$B$23,0))</f>
        <v>40000</v>
      </c>
      <c r="I408" s="6" t="n">
        <f aca="false">IFERROR(INDEX(Systems!$R$2:$R$179,MATCH($B408,Systems!$B$2:$B$179,0)),0)</f>
        <v>0</v>
      </c>
      <c r="J408" s="27" t="n">
        <f aca="false">H408*I408</f>
        <v>0</v>
      </c>
      <c r="K408" s="6" t="str">
        <f aca="false">IFERROR(IF(INDEX(Resources!$D$2:$D$64,MATCH($D408,Resources!$A$2:$A$64,0))="","",INDEX(Resources!$D$2:$D$64,MATCH($D408,Resources!$A$2:$A$64,0))),"")</f>
        <v>Cooled shelter</v>
      </c>
      <c r="L408" s="28" t="n">
        <f aca="false">IF(K408="","",J408*INDEX(Resources!$E$2:$E$64,MATCH($D408,Resources!$A$2:$A$64,0)))</f>
        <v>0</v>
      </c>
      <c r="M408" s="6" t="str">
        <f aca="false">B408&amp;"|"&amp;D408&amp;"|"&amp;C408</f>
        <v>Earthship|Cooling|Output</v>
      </c>
    </row>
    <row r="409" customFormat="false" ht="15" hidden="false" customHeight="true" outlineLevel="0" collapsed="false">
      <c r="A409" s="6" t="s">
        <v>1378</v>
      </c>
      <c r="B409" s="6" t="s">
        <v>573</v>
      </c>
      <c r="C409" s="6" t="s">
        <v>943</v>
      </c>
      <c r="D409" s="6" t="s">
        <v>104</v>
      </c>
      <c r="E409" s="26" t="n">
        <v>3000</v>
      </c>
      <c r="F409" s="6" t="str">
        <f aca="false">IFERROR(INDEX(Resources!$B$2:$B$64,MATCH($D409,Resources!$A$2:$A$64,0)),"?")</f>
        <v>gal</v>
      </c>
      <c r="G409" s="6" t="s">
        <v>945</v>
      </c>
      <c r="H409" s="27" t="n">
        <f aca="false">E409*INDEX(Assumptions!$D$17:$D$23,MATCH(G409,Assumptions!$B$17:$B$23,0))</f>
        <v>3000</v>
      </c>
      <c r="I409" s="6" t="n">
        <f aca="false">IFERROR(INDEX(Systems!$R$2:$R$179,MATCH($B409,Systems!$B$2:$B$179,0)),0)</f>
        <v>0</v>
      </c>
      <c r="J409" s="27" t="n">
        <f aca="false">H409*I409</f>
        <v>0</v>
      </c>
      <c r="K409" s="6" t="str">
        <f aca="false">IFERROR(IF(INDEX(Resources!$D$2:$D$64,MATCH($D409,Resources!$A$2:$A$64,0))="","",INDEX(Resources!$D$2:$D$64,MATCH($D409,Resources!$A$2:$A$64,0))),"")</f>
        <v/>
      </c>
      <c r="L409" s="28" t="str">
        <f aca="false">IF(K409="","",J409*INDEX(Resources!$E$2:$E$64,MATCH($D409,Resources!$A$2:$A$64,0)))</f>
        <v/>
      </c>
      <c r="M409" s="6" t="str">
        <f aca="false">B409&amp;"|"&amp;D409&amp;"|"&amp;C409</f>
        <v>Earthship|Water storage|Output</v>
      </c>
    </row>
    <row r="410" customFormat="false" ht="15" hidden="false" customHeight="true" outlineLevel="0" collapsed="false">
      <c r="A410" s="6" t="s">
        <v>1379</v>
      </c>
      <c r="B410" s="6" t="s">
        <v>573</v>
      </c>
      <c r="C410" s="6" t="s">
        <v>938</v>
      </c>
      <c r="D410" s="6" t="s">
        <v>67</v>
      </c>
      <c r="E410" s="29" t="n">
        <f aca="false">INDEX(Systems!$N$2:$N$179,MATCH($B410,Systems!$B$2:$B$179,0))*INDEX(Systems!$O$2:$O$179,MATCH($B410,Systems!$B$2:$B$179,0))*Assumptions!$C$4*24/52</f>
        <v>265846.153846154</v>
      </c>
      <c r="F410" s="6" t="str">
        <f aca="false">IFERROR(INDEX(Resources!$B$2:$B$64,MATCH($D410,Resources!$A$2:$A$64,0)),"?")</f>
        <v>BTU</v>
      </c>
      <c r="G410" s="6" t="s">
        <v>939</v>
      </c>
      <c r="H410" s="27" t="n">
        <f aca="false">E410*INDEX(Assumptions!$D$17:$D$23,MATCH(G410,Assumptions!$B$17:$B$23,0))</f>
        <v>265846.153846154</v>
      </c>
      <c r="I410" s="6" t="n">
        <f aca="false">IFERROR(INDEX(Systems!$R$2:$R$179,MATCH($B410,Systems!$B$2:$B$179,0)),0)</f>
        <v>0</v>
      </c>
      <c r="J410" s="27" t="n">
        <f aca="false">H410*I410</f>
        <v>0</v>
      </c>
      <c r="K410" s="6" t="str">
        <f aca="false">IFERROR(IF(INDEX(Resources!$D$2:$D$64,MATCH($D410,Resources!$A$2:$A$64,0))="","",INDEX(Resources!$D$2:$D$64,MATCH($D410,Resources!$A$2:$A$64,0))),"")</f>
        <v>Heated shelter</v>
      </c>
      <c r="L410" s="28" t="n">
        <f aca="false">IF(K410="","",J410*INDEX(Resources!$E$2:$E$64,MATCH($D410,Resources!$A$2:$A$64,0)))</f>
        <v>0</v>
      </c>
      <c r="M410" s="6" t="str">
        <f aca="false">B410&amp;"|"&amp;D410&amp;"|"&amp;C410</f>
        <v>Earthship|Heat|Input</v>
      </c>
      <c r="N410" s="6" t="s">
        <v>972</v>
      </c>
    </row>
    <row r="411" customFormat="false" ht="15" hidden="false" customHeight="true" outlineLevel="0" collapsed="false">
      <c r="A411" s="6" t="s">
        <v>1380</v>
      </c>
      <c r="B411" s="6" t="s">
        <v>573</v>
      </c>
      <c r="C411" s="6" t="s">
        <v>938</v>
      </c>
      <c r="D411" s="6" t="s">
        <v>69</v>
      </c>
      <c r="E411" s="29" t="n">
        <f aca="false">INDEX(Systems!$N$2:$N$179,MATCH($B411,Systems!$B$2:$B$179,0))*INDEX(Systems!$O$2:$O$179,MATCH($B411,Systems!$B$2:$B$179,0))*Assumptions!$C$5*24/52</f>
        <v>35446.1538461538</v>
      </c>
      <c r="F411" s="6" t="str">
        <f aca="false">IFERROR(INDEX(Resources!$B$2:$B$64,MATCH($D411,Resources!$A$2:$A$64,0)),"?")</f>
        <v>BTU</v>
      </c>
      <c r="G411" s="6" t="s">
        <v>939</v>
      </c>
      <c r="H411" s="27" t="n">
        <f aca="false">E411*INDEX(Assumptions!$D$17:$D$23,MATCH(G411,Assumptions!$B$17:$B$23,0))</f>
        <v>35446.1538461538</v>
      </c>
      <c r="I411" s="6" t="n">
        <f aca="false">IFERROR(INDEX(Systems!$R$2:$R$179,MATCH($B411,Systems!$B$2:$B$179,0)),0)</f>
        <v>0</v>
      </c>
      <c r="J411" s="27" t="n">
        <f aca="false">H411*I411</f>
        <v>0</v>
      </c>
      <c r="K411" s="6" t="str">
        <f aca="false">IFERROR(IF(INDEX(Resources!$D$2:$D$64,MATCH($D411,Resources!$A$2:$A$64,0))="","",INDEX(Resources!$D$2:$D$64,MATCH($D411,Resources!$A$2:$A$64,0))),"")</f>
        <v>Cooled shelter</v>
      </c>
      <c r="L411" s="28" t="n">
        <f aca="false">IF(K411="","",J411*INDEX(Resources!$E$2:$E$64,MATCH($D411,Resources!$A$2:$A$64,0)))</f>
        <v>0</v>
      </c>
      <c r="M411" s="6" t="str">
        <f aca="false">B411&amp;"|"&amp;D411&amp;"|"&amp;C411</f>
        <v>Earthship|Cooling|Input</v>
      </c>
      <c r="N411" s="6" t="s">
        <v>974</v>
      </c>
    </row>
    <row r="412" customFormat="false" ht="15" hidden="false" customHeight="true" outlineLevel="0" collapsed="false">
      <c r="A412" s="6" t="s">
        <v>1381</v>
      </c>
      <c r="B412" s="6" t="s">
        <v>576</v>
      </c>
      <c r="C412" s="6" t="s">
        <v>938</v>
      </c>
      <c r="D412" s="6" t="s">
        <v>71</v>
      </c>
      <c r="E412" s="26" t="n">
        <v>0.5</v>
      </c>
      <c r="F412" s="6" t="str">
        <f aca="false">IFERROR(INDEX(Resources!$B$2:$B$64,MATCH($D412,Resources!$A$2:$A$64,0)),"?")</f>
        <v>hours</v>
      </c>
      <c r="G412" s="6" t="s">
        <v>939</v>
      </c>
      <c r="H412" s="27" t="n">
        <f aca="false">E412*INDEX(Assumptions!$D$17:$D$23,MATCH(G412,Assumptions!$B$17:$B$23,0))</f>
        <v>0.5</v>
      </c>
      <c r="I412" s="6" t="n">
        <f aca="false">IFERROR(INDEX(Systems!$R$2:$R$179,MATCH($B412,Systems!$B$2:$B$179,0)),0)</f>
        <v>0</v>
      </c>
      <c r="J412" s="27" t="n">
        <f aca="false">H412*I412</f>
        <v>0</v>
      </c>
      <c r="K412" s="6" t="str">
        <f aca="false">IFERROR(IF(INDEX(Resources!$D$2:$D$64,MATCH($D412,Resources!$A$2:$A$64,0))="","",INDEX(Resources!$D$2:$D$64,MATCH($D412,Resources!$A$2:$A$64,0))),"")</f>
        <v>Est. Required Labor</v>
      </c>
      <c r="L412" s="28" t="n">
        <f aca="false">IF(K412="","",J412*INDEX(Resources!$E$2:$E$64,MATCH($D412,Resources!$A$2:$A$64,0)))</f>
        <v>0</v>
      </c>
      <c r="M412" s="6" t="str">
        <f aca="false">B412&amp;"|"&amp;D412&amp;"|"&amp;C412</f>
        <v>Cob House|Labor|Input</v>
      </c>
      <c r="N412" s="6" t="s">
        <v>940</v>
      </c>
    </row>
    <row r="413" customFormat="false" ht="15" hidden="false" customHeight="true" outlineLevel="0" collapsed="false">
      <c r="A413" s="6" t="s">
        <v>1382</v>
      </c>
      <c r="B413" s="6" t="s">
        <v>576</v>
      </c>
      <c r="C413" s="6" t="s">
        <v>938</v>
      </c>
      <c r="D413" s="6" t="s">
        <v>900</v>
      </c>
      <c r="E413" s="26" t="n">
        <v>1500</v>
      </c>
      <c r="F413" s="6" t="str">
        <f aca="false">IFERROR(INDEX(Resources!$B$2:$B$64,MATCH($D413,Resources!$A$2:$A$64,0)),"?")</f>
        <v>cu ft</v>
      </c>
      <c r="G413" s="6" t="s">
        <v>1115</v>
      </c>
      <c r="H413" s="27" t="n">
        <f aca="false">E413*INDEX(Assumptions!$D$17:$D$23,MATCH(G413,Assumptions!$B$17:$B$23,0))</f>
        <v>0</v>
      </c>
      <c r="I413" s="6" t="n">
        <f aca="false">IFERROR(INDEX(Systems!$R$2:$R$179,MATCH($B413,Systems!$B$2:$B$179,0)),0)</f>
        <v>0</v>
      </c>
      <c r="J413" s="27" t="n">
        <f aca="false">H413*I413</f>
        <v>0</v>
      </c>
      <c r="K413" s="6" t="str">
        <f aca="false">IFERROR(IF(INDEX(Resources!$D$2:$D$64,MATCH($D413,Resources!$A$2:$A$64,0))="","",INDEX(Resources!$D$2:$D$64,MATCH($D413,Resources!$A$2:$A$64,0))),"")</f>
        <v/>
      </c>
      <c r="L413" s="28" t="str">
        <f aca="false">IF(K413="","",J413*INDEX(Resources!$E$2:$E$64,MATCH($D413,Resources!$A$2:$A$64,0)))</f>
        <v/>
      </c>
      <c r="M413" s="6" t="str">
        <f aca="false">B413&amp;"|"&amp;D413&amp;"|"&amp;C413</f>
        <v>Cob House|Soil|Input</v>
      </c>
    </row>
    <row r="414" customFormat="false" ht="15" hidden="false" customHeight="true" outlineLevel="0" collapsed="false">
      <c r="A414" s="6" t="s">
        <v>1383</v>
      </c>
      <c r="B414" s="6" t="s">
        <v>576</v>
      </c>
      <c r="C414" s="6" t="s">
        <v>943</v>
      </c>
      <c r="D414" s="6" t="s">
        <v>55</v>
      </c>
      <c r="E414" s="26" t="n">
        <v>600</v>
      </c>
      <c r="F414" s="6" t="str">
        <f aca="false">IFERROR(INDEX(Resources!$B$2:$B$64,MATCH($D414,Resources!$A$2:$A$64,0)),"?")</f>
        <v>sq ft</v>
      </c>
      <c r="G414" s="6" t="s">
        <v>945</v>
      </c>
      <c r="H414" s="27" t="n">
        <f aca="false">E414*INDEX(Assumptions!$D$17:$D$23,MATCH(G414,Assumptions!$B$17:$B$23,0))</f>
        <v>600</v>
      </c>
      <c r="I414" s="6" t="n">
        <f aca="false">IFERROR(INDEX(Systems!$R$2:$R$179,MATCH($B414,Systems!$B$2:$B$179,0)),0)</f>
        <v>0</v>
      </c>
      <c r="J414" s="27" t="n">
        <f aca="false">H414*I414</f>
        <v>0</v>
      </c>
      <c r="K414" s="6" t="str">
        <f aca="false">IFERROR(IF(INDEX(Resources!$D$2:$D$64,MATCH($D414,Resources!$A$2:$A$64,0))="","",INDEX(Resources!$D$2:$D$64,MATCH($D414,Resources!$A$2:$A$64,0))),"")</f>
        <v>Shelter</v>
      </c>
      <c r="L414" s="28" t="n">
        <f aca="false">IF(K414="","",J414*INDEX(Resources!$E$2:$E$64,MATCH($D414,Resources!$A$2:$A$64,0)))</f>
        <v>0</v>
      </c>
      <c r="M414" s="6" t="str">
        <f aca="false">B414&amp;"|"&amp;D414&amp;"|"&amp;C414</f>
        <v>Cob House|Shelter|Output</v>
      </c>
    </row>
    <row r="415" customFormat="false" ht="15" hidden="false" customHeight="true" outlineLevel="0" collapsed="false">
      <c r="A415" s="6" t="s">
        <v>1384</v>
      </c>
      <c r="B415" s="6" t="s">
        <v>576</v>
      </c>
      <c r="C415" s="6" t="s">
        <v>943</v>
      </c>
      <c r="D415" s="6" t="s">
        <v>288</v>
      </c>
      <c r="E415" s="26" t="n">
        <v>700</v>
      </c>
      <c r="F415" s="6" t="str">
        <f aca="false">IFERROR(INDEX(Resources!$B$2:$B$64,MATCH($D415,Resources!$A$2:$A$64,0)),"?")</f>
        <v>sq ft</v>
      </c>
      <c r="G415" s="6" t="s">
        <v>945</v>
      </c>
      <c r="H415" s="27" t="n">
        <f aca="false">E415*INDEX(Assumptions!$D$17:$D$23,MATCH(G415,Assumptions!$B$17:$B$23,0))</f>
        <v>700</v>
      </c>
      <c r="I415" s="6" t="n">
        <f aca="false">IFERROR(INDEX(Systems!$R$2:$R$179,MATCH($B415,Systems!$B$2:$B$179,0)),0)</f>
        <v>0</v>
      </c>
      <c r="J415" s="27" t="n">
        <f aca="false">H415*I415</f>
        <v>0</v>
      </c>
      <c r="K415" s="6" t="str">
        <f aca="false">IFERROR(IF(INDEX(Resources!$D$2:$D$64,MATCH($D415,Resources!$A$2:$A$64,0))="","",INDEX(Resources!$D$2:$D$64,MATCH($D415,Resources!$A$2:$A$64,0))),"")</f>
        <v/>
      </c>
      <c r="L415" s="28" t="str">
        <f aca="false">IF(K415="","",J415*INDEX(Resources!$E$2:$E$64,MATCH($D415,Resources!$A$2:$A$64,0)))</f>
        <v/>
      </c>
      <c r="M415" s="6" t="str">
        <f aca="false">B415&amp;"|"&amp;D415&amp;"|"&amp;C415</f>
        <v>Cob House|Roofing area|Output</v>
      </c>
    </row>
    <row r="416" customFormat="false" ht="15" hidden="false" customHeight="true" outlineLevel="0" collapsed="false">
      <c r="A416" s="6" t="s">
        <v>1385</v>
      </c>
      <c r="B416" s="6" t="s">
        <v>576</v>
      </c>
      <c r="C416" s="6" t="s">
        <v>938</v>
      </c>
      <c r="D416" s="6" t="s">
        <v>67</v>
      </c>
      <c r="E416" s="29" t="n">
        <f aca="false">INDEX(Systems!$N$2:$N$179,MATCH($B416,Systems!$B$2:$B$179,0))*INDEX(Systems!$O$2:$O$179,MATCH($B416,Systems!$B$2:$B$179,0))*Assumptions!$C$4*24/52</f>
        <v>365538.461538462</v>
      </c>
      <c r="F416" s="6" t="str">
        <f aca="false">IFERROR(INDEX(Resources!$B$2:$B$64,MATCH($D416,Resources!$A$2:$A$64,0)),"?")</f>
        <v>BTU</v>
      </c>
      <c r="G416" s="6" t="s">
        <v>939</v>
      </c>
      <c r="H416" s="27" t="n">
        <f aca="false">E416*INDEX(Assumptions!$D$17:$D$23,MATCH(G416,Assumptions!$B$17:$B$23,0))</f>
        <v>365538.461538462</v>
      </c>
      <c r="I416" s="6" t="n">
        <f aca="false">IFERROR(INDEX(Systems!$R$2:$R$179,MATCH($B416,Systems!$B$2:$B$179,0)),0)</f>
        <v>0</v>
      </c>
      <c r="J416" s="27" t="n">
        <f aca="false">H416*I416</f>
        <v>0</v>
      </c>
      <c r="K416" s="6" t="str">
        <f aca="false">IFERROR(IF(INDEX(Resources!$D$2:$D$64,MATCH($D416,Resources!$A$2:$A$64,0))="","",INDEX(Resources!$D$2:$D$64,MATCH($D416,Resources!$A$2:$A$64,0))),"")</f>
        <v>Heated shelter</v>
      </c>
      <c r="L416" s="28" t="n">
        <f aca="false">IF(K416="","",J416*INDEX(Resources!$E$2:$E$64,MATCH($D416,Resources!$A$2:$A$64,0)))</f>
        <v>0</v>
      </c>
      <c r="M416" s="6" t="str">
        <f aca="false">B416&amp;"|"&amp;D416&amp;"|"&amp;C416</f>
        <v>Cob House|Heat|Input</v>
      </c>
      <c r="N416" s="6" t="s">
        <v>972</v>
      </c>
    </row>
    <row r="417" customFormat="false" ht="15" hidden="false" customHeight="true" outlineLevel="0" collapsed="false">
      <c r="A417" s="6" t="s">
        <v>1386</v>
      </c>
      <c r="B417" s="6" t="s">
        <v>576</v>
      </c>
      <c r="C417" s="6" t="s">
        <v>938</v>
      </c>
      <c r="D417" s="6" t="s">
        <v>69</v>
      </c>
      <c r="E417" s="29" t="n">
        <f aca="false">INDEX(Systems!$N$2:$N$179,MATCH($B417,Systems!$B$2:$B$179,0))*INDEX(Systems!$O$2:$O$179,MATCH($B417,Systems!$B$2:$B$179,0))*Assumptions!$C$5*24/52</f>
        <v>48738.4615384615</v>
      </c>
      <c r="F417" s="6" t="str">
        <f aca="false">IFERROR(INDEX(Resources!$B$2:$B$64,MATCH($D417,Resources!$A$2:$A$64,0)),"?")</f>
        <v>BTU</v>
      </c>
      <c r="G417" s="6" t="s">
        <v>939</v>
      </c>
      <c r="H417" s="27" t="n">
        <f aca="false">E417*INDEX(Assumptions!$D$17:$D$23,MATCH(G417,Assumptions!$B$17:$B$23,0))</f>
        <v>48738.4615384615</v>
      </c>
      <c r="I417" s="6" t="n">
        <f aca="false">IFERROR(INDEX(Systems!$R$2:$R$179,MATCH($B417,Systems!$B$2:$B$179,0)),0)</f>
        <v>0</v>
      </c>
      <c r="J417" s="27" t="n">
        <f aca="false">H417*I417</f>
        <v>0</v>
      </c>
      <c r="K417" s="6" t="str">
        <f aca="false">IFERROR(IF(INDEX(Resources!$D$2:$D$64,MATCH($D417,Resources!$A$2:$A$64,0))="","",INDEX(Resources!$D$2:$D$64,MATCH($D417,Resources!$A$2:$A$64,0))),"")</f>
        <v>Cooled shelter</v>
      </c>
      <c r="L417" s="28" t="n">
        <f aca="false">IF(K417="","",J417*INDEX(Resources!$E$2:$E$64,MATCH($D417,Resources!$A$2:$A$64,0)))</f>
        <v>0</v>
      </c>
      <c r="M417" s="6" t="str">
        <f aca="false">B417&amp;"|"&amp;D417&amp;"|"&amp;C417</f>
        <v>Cob House|Cooling|Input</v>
      </c>
      <c r="N417" s="6" t="s">
        <v>974</v>
      </c>
    </row>
    <row r="418" customFormat="false" ht="15" hidden="false" customHeight="true" outlineLevel="0" collapsed="false">
      <c r="A418" s="6" t="s">
        <v>1387</v>
      </c>
      <c r="B418" s="6" t="s">
        <v>579</v>
      </c>
      <c r="C418" s="6" t="s">
        <v>938</v>
      </c>
      <c r="D418" s="6" t="s">
        <v>71</v>
      </c>
      <c r="E418" s="26" t="n">
        <v>1</v>
      </c>
      <c r="F418" s="6" t="str">
        <f aca="false">IFERROR(INDEX(Resources!$B$2:$B$64,MATCH($D418,Resources!$A$2:$A$64,0)),"?")</f>
        <v>hours</v>
      </c>
      <c r="G418" s="6" t="s">
        <v>939</v>
      </c>
      <c r="H418" s="27" t="n">
        <f aca="false">E418*INDEX(Assumptions!$D$17:$D$23,MATCH(G418,Assumptions!$B$17:$B$23,0))</f>
        <v>1</v>
      </c>
      <c r="I418" s="6" t="n">
        <f aca="false">IFERROR(INDEX(Systems!$R$2:$R$179,MATCH($B418,Systems!$B$2:$B$179,0)),0)</f>
        <v>0</v>
      </c>
      <c r="J418" s="27" t="n">
        <f aca="false">H418*I418</f>
        <v>0</v>
      </c>
      <c r="K418" s="6" t="str">
        <f aca="false">IFERROR(IF(INDEX(Resources!$D$2:$D$64,MATCH($D418,Resources!$A$2:$A$64,0))="","",INDEX(Resources!$D$2:$D$64,MATCH($D418,Resources!$A$2:$A$64,0))),"")</f>
        <v>Est. Required Labor</v>
      </c>
      <c r="L418" s="28" t="n">
        <f aca="false">IF(K418="","",J418*INDEX(Resources!$E$2:$E$64,MATCH($D418,Resources!$A$2:$A$64,0)))</f>
        <v>0</v>
      </c>
      <c r="M418" s="6" t="str">
        <f aca="false">B418&amp;"|"&amp;D418&amp;"|"&amp;C418</f>
        <v>Straw Bale House|Labor|Input</v>
      </c>
      <c r="N418" s="6" t="s">
        <v>940</v>
      </c>
    </row>
    <row r="419" customFormat="false" ht="15" hidden="false" customHeight="true" outlineLevel="0" collapsed="false">
      <c r="A419" s="6" t="s">
        <v>1388</v>
      </c>
      <c r="B419" s="6" t="s">
        <v>579</v>
      </c>
      <c r="C419" s="6" t="s">
        <v>938</v>
      </c>
      <c r="D419" s="6" t="s">
        <v>1127</v>
      </c>
      <c r="E419" s="26" t="n">
        <v>15000</v>
      </c>
      <c r="F419" s="6" t="str">
        <f aca="false">IFERROR(INDEX(Resources!$B$2:$B$64,MATCH($D419,Resources!$A$2:$A$64,0)),"?")</f>
        <v>lbs</v>
      </c>
      <c r="G419" s="6" t="s">
        <v>1115</v>
      </c>
      <c r="H419" s="27" t="n">
        <f aca="false">E419*INDEX(Assumptions!$D$17:$D$23,MATCH(G419,Assumptions!$B$17:$B$23,0))</f>
        <v>0</v>
      </c>
      <c r="I419" s="6" t="n">
        <f aca="false">IFERROR(INDEX(Systems!$R$2:$R$179,MATCH($B419,Systems!$B$2:$B$179,0)),0)</f>
        <v>0</v>
      </c>
      <c r="J419" s="27" t="n">
        <f aca="false">H419*I419</f>
        <v>0</v>
      </c>
      <c r="K419" s="6" t="str">
        <f aca="false">IFERROR(IF(INDEX(Resources!$D$2:$D$64,MATCH($D419,Resources!$A$2:$A$64,0))="","",INDEX(Resources!$D$2:$D$64,MATCH($D419,Resources!$A$2:$A$64,0))),"")</f>
        <v/>
      </c>
      <c r="L419" s="28" t="str">
        <f aca="false">IF(K419="","",J419*INDEX(Resources!$E$2:$E$64,MATCH($D419,Resources!$A$2:$A$64,0)))</f>
        <v/>
      </c>
      <c r="M419" s="6" t="str">
        <f aca="false">B419&amp;"|"&amp;D419&amp;"|"&amp;C419</f>
        <v>Straw Bale House|Carbon|Input</v>
      </c>
    </row>
    <row r="420" customFormat="false" ht="15" hidden="false" customHeight="true" outlineLevel="0" collapsed="false">
      <c r="A420" s="6" t="s">
        <v>1389</v>
      </c>
      <c r="B420" s="6" t="s">
        <v>579</v>
      </c>
      <c r="C420" s="6" t="s">
        <v>943</v>
      </c>
      <c r="D420" s="6" t="s">
        <v>55</v>
      </c>
      <c r="E420" s="26" t="n">
        <v>1000</v>
      </c>
      <c r="F420" s="6" t="str">
        <f aca="false">IFERROR(INDEX(Resources!$B$2:$B$64,MATCH($D420,Resources!$A$2:$A$64,0)),"?")</f>
        <v>sq ft</v>
      </c>
      <c r="G420" s="6" t="s">
        <v>945</v>
      </c>
      <c r="H420" s="27" t="n">
        <f aca="false">E420*INDEX(Assumptions!$D$17:$D$23,MATCH(G420,Assumptions!$B$17:$B$23,0))</f>
        <v>1000</v>
      </c>
      <c r="I420" s="6" t="n">
        <f aca="false">IFERROR(INDEX(Systems!$R$2:$R$179,MATCH($B420,Systems!$B$2:$B$179,0)),0)</f>
        <v>0</v>
      </c>
      <c r="J420" s="27" t="n">
        <f aca="false">H420*I420</f>
        <v>0</v>
      </c>
      <c r="K420" s="6" t="str">
        <f aca="false">IFERROR(IF(INDEX(Resources!$D$2:$D$64,MATCH($D420,Resources!$A$2:$A$64,0))="","",INDEX(Resources!$D$2:$D$64,MATCH($D420,Resources!$A$2:$A$64,0))),"")</f>
        <v>Shelter</v>
      </c>
      <c r="L420" s="28" t="n">
        <f aca="false">IF(K420="","",J420*INDEX(Resources!$E$2:$E$64,MATCH($D420,Resources!$A$2:$A$64,0)))</f>
        <v>0</v>
      </c>
      <c r="M420" s="6" t="str">
        <f aca="false">B420&amp;"|"&amp;D420&amp;"|"&amp;C420</f>
        <v>Straw Bale House|Shelter|Output</v>
      </c>
    </row>
    <row r="421" customFormat="false" ht="15" hidden="false" customHeight="true" outlineLevel="0" collapsed="false">
      <c r="A421" s="6" t="s">
        <v>1390</v>
      </c>
      <c r="B421" s="6" t="s">
        <v>579</v>
      </c>
      <c r="C421" s="6" t="s">
        <v>943</v>
      </c>
      <c r="D421" s="6" t="s">
        <v>288</v>
      </c>
      <c r="E421" s="26" t="n">
        <v>1200</v>
      </c>
      <c r="F421" s="6" t="str">
        <f aca="false">IFERROR(INDEX(Resources!$B$2:$B$64,MATCH($D421,Resources!$A$2:$A$64,0)),"?")</f>
        <v>sq ft</v>
      </c>
      <c r="G421" s="6" t="s">
        <v>945</v>
      </c>
      <c r="H421" s="27" t="n">
        <f aca="false">E421*INDEX(Assumptions!$D$17:$D$23,MATCH(G421,Assumptions!$B$17:$B$23,0))</f>
        <v>1200</v>
      </c>
      <c r="I421" s="6" t="n">
        <f aca="false">IFERROR(INDEX(Systems!$R$2:$R$179,MATCH($B421,Systems!$B$2:$B$179,0)),0)</f>
        <v>0</v>
      </c>
      <c r="J421" s="27" t="n">
        <f aca="false">H421*I421</f>
        <v>0</v>
      </c>
      <c r="K421" s="6" t="str">
        <f aca="false">IFERROR(IF(INDEX(Resources!$D$2:$D$64,MATCH($D421,Resources!$A$2:$A$64,0))="","",INDEX(Resources!$D$2:$D$64,MATCH($D421,Resources!$A$2:$A$64,0))),"")</f>
        <v/>
      </c>
      <c r="L421" s="28" t="str">
        <f aca="false">IF(K421="","",J421*INDEX(Resources!$E$2:$E$64,MATCH($D421,Resources!$A$2:$A$64,0)))</f>
        <v/>
      </c>
      <c r="M421" s="6" t="str">
        <f aca="false">B421&amp;"|"&amp;D421&amp;"|"&amp;C421</f>
        <v>Straw Bale House|Roofing area|Output</v>
      </c>
    </row>
    <row r="422" customFormat="false" ht="15" hidden="false" customHeight="true" outlineLevel="0" collapsed="false">
      <c r="A422" s="6" t="s">
        <v>1391</v>
      </c>
      <c r="B422" s="6" t="s">
        <v>579</v>
      </c>
      <c r="C422" s="6" t="s">
        <v>938</v>
      </c>
      <c r="D422" s="6" t="s">
        <v>67</v>
      </c>
      <c r="E422" s="29" t="n">
        <f aca="false">INDEX(Systems!$N$2:$N$179,MATCH($B422,Systems!$B$2:$B$179,0))*INDEX(Systems!$O$2:$O$179,MATCH($B422,Systems!$B$2:$B$179,0))*Assumptions!$C$4*24/52</f>
        <v>332307.692307692</v>
      </c>
      <c r="F422" s="6" t="str">
        <f aca="false">IFERROR(INDEX(Resources!$B$2:$B$64,MATCH($D422,Resources!$A$2:$A$64,0)),"?")</f>
        <v>BTU</v>
      </c>
      <c r="G422" s="6" t="s">
        <v>939</v>
      </c>
      <c r="H422" s="27" t="n">
        <f aca="false">E422*INDEX(Assumptions!$D$17:$D$23,MATCH(G422,Assumptions!$B$17:$B$23,0))</f>
        <v>332307.692307692</v>
      </c>
      <c r="I422" s="6" t="n">
        <f aca="false">IFERROR(INDEX(Systems!$R$2:$R$179,MATCH($B422,Systems!$B$2:$B$179,0)),0)</f>
        <v>0</v>
      </c>
      <c r="J422" s="27" t="n">
        <f aca="false">H422*I422</f>
        <v>0</v>
      </c>
      <c r="K422" s="6" t="str">
        <f aca="false">IFERROR(IF(INDEX(Resources!$D$2:$D$64,MATCH($D422,Resources!$A$2:$A$64,0))="","",INDEX(Resources!$D$2:$D$64,MATCH($D422,Resources!$A$2:$A$64,0))),"")</f>
        <v>Heated shelter</v>
      </c>
      <c r="L422" s="28" t="n">
        <f aca="false">IF(K422="","",J422*INDEX(Resources!$E$2:$E$64,MATCH($D422,Resources!$A$2:$A$64,0)))</f>
        <v>0</v>
      </c>
      <c r="M422" s="6" t="str">
        <f aca="false">B422&amp;"|"&amp;D422&amp;"|"&amp;C422</f>
        <v>Straw Bale House|Heat|Input</v>
      </c>
      <c r="N422" s="6" t="s">
        <v>972</v>
      </c>
    </row>
    <row r="423" customFormat="false" ht="15" hidden="false" customHeight="true" outlineLevel="0" collapsed="false">
      <c r="A423" s="6" t="s">
        <v>1392</v>
      </c>
      <c r="B423" s="6" t="s">
        <v>579</v>
      </c>
      <c r="C423" s="6" t="s">
        <v>938</v>
      </c>
      <c r="D423" s="6" t="s">
        <v>69</v>
      </c>
      <c r="E423" s="29" t="n">
        <f aca="false">INDEX(Systems!$N$2:$N$179,MATCH($B423,Systems!$B$2:$B$179,0))*INDEX(Systems!$O$2:$O$179,MATCH($B423,Systems!$B$2:$B$179,0))*Assumptions!$C$5*24/52</f>
        <v>44307.6923076923</v>
      </c>
      <c r="F423" s="6" t="str">
        <f aca="false">IFERROR(INDEX(Resources!$B$2:$B$64,MATCH($D423,Resources!$A$2:$A$64,0)),"?")</f>
        <v>BTU</v>
      </c>
      <c r="G423" s="6" t="s">
        <v>939</v>
      </c>
      <c r="H423" s="27" t="n">
        <f aca="false">E423*INDEX(Assumptions!$D$17:$D$23,MATCH(G423,Assumptions!$B$17:$B$23,0))</f>
        <v>44307.6923076923</v>
      </c>
      <c r="I423" s="6" t="n">
        <f aca="false">IFERROR(INDEX(Systems!$R$2:$R$179,MATCH($B423,Systems!$B$2:$B$179,0)),0)</f>
        <v>0</v>
      </c>
      <c r="J423" s="27" t="n">
        <f aca="false">H423*I423</f>
        <v>0</v>
      </c>
      <c r="K423" s="6" t="str">
        <f aca="false">IFERROR(IF(INDEX(Resources!$D$2:$D$64,MATCH($D423,Resources!$A$2:$A$64,0))="","",INDEX(Resources!$D$2:$D$64,MATCH($D423,Resources!$A$2:$A$64,0))),"")</f>
        <v>Cooled shelter</v>
      </c>
      <c r="L423" s="28" t="n">
        <f aca="false">IF(K423="","",J423*INDEX(Resources!$E$2:$E$64,MATCH($D423,Resources!$A$2:$A$64,0)))</f>
        <v>0</v>
      </c>
      <c r="M423" s="6" t="str">
        <f aca="false">B423&amp;"|"&amp;D423&amp;"|"&amp;C423</f>
        <v>Straw Bale House|Cooling|Input</v>
      </c>
      <c r="N423" s="6" t="s">
        <v>974</v>
      </c>
    </row>
    <row r="424" customFormat="false" ht="15" hidden="false" customHeight="true" outlineLevel="0" collapsed="false">
      <c r="A424" s="6" t="s">
        <v>1393</v>
      </c>
      <c r="B424" s="6" t="s">
        <v>583</v>
      </c>
      <c r="C424" s="6" t="s">
        <v>938</v>
      </c>
      <c r="D424" s="6" t="s">
        <v>71</v>
      </c>
      <c r="E424" s="26" t="n">
        <v>1</v>
      </c>
      <c r="F424" s="6" t="str">
        <f aca="false">IFERROR(INDEX(Resources!$B$2:$B$64,MATCH($D424,Resources!$A$2:$A$64,0)),"?")</f>
        <v>hours</v>
      </c>
      <c r="G424" s="6" t="s">
        <v>939</v>
      </c>
      <c r="H424" s="27" t="n">
        <f aca="false">E424*INDEX(Assumptions!$D$17:$D$23,MATCH(G424,Assumptions!$B$17:$B$23,0))</f>
        <v>1</v>
      </c>
      <c r="I424" s="6" t="n">
        <f aca="false">IFERROR(INDEX(Systems!$R$2:$R$179,MATCH($B424,Systems!$B$2:$B$179,0)),0)</f>
        <v>0</v>
      </c>
      <c r="J424" s="27" t="n">
        <f aca="false">H424*I424</f>
        <v>0</v>
      </c>
      <c r="K424" s="6" t="str">
        <f aca="false">IFERROR(IF(INDEX(Resources!$D$2:$D$64,MATCH($D424,Resources!$A$2:$A$64,0))="","",INDEX(Resources!$D$2:$D$64,MATCH($D424,Resources!$A$2:$A$64,0))),"")</f>
        <v>Est. Required Labor</v>
      </c>
      <c r="L424" s="28" t="n">
        <f aca="false">IF(K424="","",J424*INDEX(Resources!$E$2:$E$64,MATCH($D424,Resources!$A$2:$A$64,0)))</f>
        <v>0</v>
      </c>
      <c r="M424" s="6" t="str">
        <f aca="false">B424&amp;"|"&amp;D424&amp;"|"&amp;C424</f>
        <v>Log Cabin Kit|Labor|Input</v>
      </c>
      <c r="N424" s="6" t="s">
        <v>940</v>
      </c>
    </row>
    <row r="425" customFormat="false" ht="15" hidden="false" customHeight="true" outlineLevel="0" collapsed="false">
      <c r="A425" s="6" t="s">
        <v>1394</v>
      </c>
      <c r="B425" s="6" t="s">
        <v>583</v>
      </c>
      <c r="C425" s="6" t="s">
        <v>943</v>
      </c>
      <c r="D425" s="6" t="s">
        <v>55</v>
      </c>
      <c r="E425" s="26" t="n">
        <v>700</v>
      </c>
      <c r="F425" s="6" t="str">
        <f aca="false">IFERROR(INDEX(Resources!$B$2:$B$64,MATCH($D425,Resources!$A$2:$A$64,0)),"?")</f>
        <v>sq ft</v>
      </c>
      <c r="G425" s="6" t="s">
        <v>945</v>
      </c>
      <c r="H425" s="27" t="n">
        <f aca="false">E425*INDEX(Assumptions!$D$17:$D$23,MATCH(G425,Assumptions!$B$17:$B$23,0))</f>
        <v>700</v>
      </c>
      <c r="I425" s="6" t="n">
        <f aca="false">IFERROR(INDEX(Systems!$R$2:$R$179,MATCH($B425,Systems!$B$2:$B$179,0)),0)</f>
        <v>0</v>
      </c>
      <c r="J425" s="27" t="n">
        <f aca="false">H425*I425</f>
        <v>0</v>
      </c>
      <c r="K425" s="6" t="str">
        <f aca="false">IFERROR(IF(INDEX(Resources!$D$2:$D$64,MATCH($D425,Resources!$A$2:$A$64,0))="","",INDEX(Resources!$D$2:$D$64,MATCH($D425,Resources!$A$2:$A$64,0))),"")</f>
        <v>Shelter</v>
      </c>
      <c r="L425" s="28" t="n">
        <f aca="false">IF(K425="","",J425*INDEX(Resources!$E$2:$E$64,MATCH($D425,Resources!$A$2:$A$64,0)))</f>
        <v>0</v>
      </c>
      <c r="M425" s="6" t="str">
        <f aca="false">B425&amp;"|"&amp;D425&amp;"|"&amp;C425</f>
        <v>Log Cabin Kit|Shelter|Output</v>
      </c>
    </row>
    <row r="426" customFormat="false" ht="15" hidden="false" customHeight="true" outlineLevel="0" collapsed="false">
      <c r="A426" s="6" t="s">
        <v>1395</v>
      </c>
      <c r="B426" s="6" t="s">
        <v>583</v>
      </c>
      <c r="C426" s="6" t="s">
        <v>943</v>
      </c>
      <c r="D426" s="6" t="s">
        <v>288</v>
      </c>
      <c r="E426" s="26" t="n">
        <v>900</v>
      </c>
      <c r="F426" s="6" t="str">
        <f aca="false">IFERROR(INDEX(Resources!$B$2:$B$64,MATCH($D426,Resources!$A$2:$A$64,0)),"?")</f>
        <v>sq ft</v>
      </c>
      <c r="G426" s="6" t="s">
        <v>945</v>
      </c>
      <c r="H426" s="27" t="n">
        <f aca="false">E426*INDEX(Assumptions!$D$17:$D$23,MATCH(G426,Assumptions!$B$17:$B$23,0))</f>
        <v>900</v>
      </c>
      <c r="I426" s="6" t="n">
        <f aca="false">IFERROR(INDEX(Systems!$R$2:$R$179,MATCH($B426,Systems!$B$2:$B$179,0)),0)</f>
        <v>0</v>
      </c>
      <c r="J426" s="27" t="n">
        <f aca="false">H426*I426</f>
        <v>0</v>
      </c>
      <c r="K426" s="6" t="str">
        <f aca="false">IFERROR(IF(INDEX(Resources!$D$2:$D$64,MATCH($D426,Resources!$A$2:$A$64,0))="","",INDEX(Resources!$D$2:$D$64,MATCH($D426,Resources!$A$2:$A$64,0))),"")</f>
        <v/>
      </c>
      <c r="L426" s="28" t="str">
        <f aca="false">IF(K426="","",J426*INDEX(Resources!$E$2:$E$64,MATCH($D426,Resources!$A$2:$A$64,0)))</f>
        <v/>
      </c>
      <c r="M426" s="6" t="str">
        <f aca="false">B426&amp;"|"&amp;D426&amp;"|"&amp;C426</f>
        <v>Log Cabin Kit|Roofing area|Output</v>
      </c>
    </row>
    <row r="427" customFormat="false" ht="15" hidden="false" customHeight="true" outlineLevel="0" collapsed="false">
      <c r="A427" s="6" t="s">
        <v>1396</v>
      </c>
      <c r="B427" s="6" t="s">
        <v>583</v>
      </c>
      <c r="C427" s="6" t="s">
        <v>938</v>
      </c>
      <c r="D427" s="6" t="s">
        <v>67</v>
      </c>
      <c r="E427" s="29" t="n">
        <f aca="false">INDEX(Systems!$N$2:$N$179,MATCH($B427,Systems!$B$2:$B$179,0))*INDEX(Systems!$O$2:$O$179,MATCH($B427,Systems!$B$2:$B$179,0))*Assumptions!$C$4*24/52</f>
        <v>542769.230769231</v>
      </c>
      <c r="F427" s="6" t="str">
        <f aca="false">IFERROR(INDEX(Resources!$B$2:$B$64,MATCH($D427,Resources!$A$2:$A$64,0)),"?")</f>
        <v>BTU</v>
      </c>
      <c r="G427" s="6" t="s">
        <v>939</v>
      </c>
      <c r="H427" s="27" t="n">
        <f aca="false">E427*INDEX(Assumptions!$D$17:$D$23,MATCH(G427,Assumptions!$B$17:$B$23,0))</f>
        <v>542769.230769231</v>
      </c>
      <c r="I427" s="6" t="n">
        <f aca="false">IFERROR(INDEX(Systems!$R$2:$R$179,MATCH($B427,Systems!$B$2:$B$179,0)),0)</f>
        <v>0</v>
      </c>
      <c r="J427" s="27" t="n">
        <f aca="false">H427*I427</f>
        <v>0</v>
      </c>
      <c r="K427" s="6" t="str">
        <f aca="false">IFERROR(IF(INDEX(Resources!$D$2:$D$64,MATCH($D427,Resources!$A$2:$A$64,0))="","",INDEX(Resources!$D$2:$D$64,MATCH($D427,Resources!$A$2:$A$64,0))),"")</f>
        <v>Heated shelter</v>
      </c>
      <c r="L427" s="28" t="n">
        <f aca="false">IF(K427="","",J427*INDEX(Resources!$E$2:$E$64,MATCH($D427,Resources!$A$2:$A$64,0)))</f>
        <v>0</v>
      </c>
      <c r="M427" s="6" t="str">
        <f aca="false">B427&amp;"|"&amp;D427&amp;"|"&amp;C427</f>
        <v>Log Cabin Kit|Heat|Input</v>
      </c>
      <c r="N427" s="6" t="s">
        <v>972</v>
      </c>
    </row>
    <row r="428" customFormat="false" ht="15" hidden="false" customHeight="true" outlineLevel="0" collapsed="false">
      <c r="A428" s="6" t="s">
        <v>1397</v>
      </c>
      <c r="B428" s="6" t="s">
        <v>583</v>
      </c>
      <c r="C428" s="6" t="s">
        <v>938</v>
      </c>
      <c r="D428" s="6" t="s">
        <v>69</v>
      </c>
      <c r="E428" s="29" t="n">
        <f aca="false">INDEX(Systems!$N$2:$N$179,MATCH($B428,Systems!$B$2:$B$179,0))*INDEX(Systems!$O$2:$O$179,MATCH($B428,Systems!$B$2:$B$179,0))*Assumptions!$C$5*24/52</f>
        <v>72369.2307692308</v>
      </c>
      <c r="F428" s="6" t="str">
        <f aca="false">IFERROR(INDEX(Resources!$B$2:$B$64,MATCH($D428,Resources!$A$2:$A$64,0)),"?")</f>
        <v>BTU</v>
      </c>
      <c r="G428" s="6" t="s">
        <v>939</v>
      </c>
      <c r="H428" s="27" t="n">
        <f aca="false">E428*INDEX(Assumptions!$D$17:$D$23,MATCH(G428,Assumptions!$B$17:$B$23,0))</f>
        <v>72369.2307692308</v>
      </c>
      <c r="I428" s="6" t="n">
        <f aca="false">IFERROR(INDEX(Systems!$R$2:$R$179,MATCH($B428,Systems!$B$2:$B$179,0)),0)</f>
        <v>0</v>
      </c>
      <c r="J428" s="27" t="n">
        <f aca="false">H428*I428</f>
        <v>0</v>
      </c>
      <c r="K428" s="6" t="str">
        <f aca="false">IFERROR(IF(INDEX(Resources!$D$2:$D$64,MATCH($D428,Resources!$A$2:$A$64,0))="","",INDEX(Resources!$D$2:$D$64,MATCH($D428,Resources!$A$2:$A$64,0))),"")</f>
        <v>Cooled shelter</v>
      </c>
      <c r="L428" s="28" t="n">
        <f aca="false">IF(K428="","",J428*INDEX(Resources!$E$2:$E$64,MATCH($D428,Resources!$A$2:$A$64,0)))</f>
        <v>0</v>
      </c>
      <c r="M428" s="6" t="str">
        <f aca="false">B428&amp;"|"&amp;D428&amp;"|"&amp;C428</f>
        <v>Log Cabin Kit|Cooling|Input</v>
      </c>
      <c r="N428" s="6" t="s">
        <v>974</v>
      </c>
    </row>
    <row r="429" customFormat="false" ht="15" hidden="false" customHeight="true" outlineLevel="0" collapsed="false">
      <c r="A429" s="6" t="s">
        <v>1398</v>
      </c>
      <c r="B429" s="6" t="s">
        <v>586</v>
      </c>
      <c r="C429" s="6" t="s">
        <v>938</v>
      </c>
      <c r="D429" s="6" t="s">
        <v>71</v>
      </c>
      <c r="E429" s="26" t="n">
        <v>0.5</v>
      </c>
      <c r="F429" s="6" t="str">
        <f aca="false">IFERROR(INDEX(Resources!$B$2:$B$64,MATCH($D429,Resources!$A$2:$A$64,0)),"?")</f>
        <v>hours</v>
      </c>
      <c r="G429" s="6" t="s">
        <v>939</v>
      </c>
      <c r="H429" s="27" t="n">
        <f aca="false">E429*INDEX(Assumptions!$D$17:$D$23,MATCH(G429,Assumptions!$B$17:$B$23,0))</f>
        <v>0.5</v>
      </c>
      <c r="I429" s="6" t="n">
        <f aca="false">IFERROR(INDEX(Systems!$R$2:$R$179,MATCH($B429,Systems!$B$2:$B$179,0)),0)</f>
        <v>0</v>
      </c>
      <c r="J429" s="27" t="n">
        <f aca="false">H429*I429</f>
        <v>0</v>
      </c>
      <c r="K429" s="6" t="str">
        <f aca="false">IFERROR(IF(INDEX(Resources!$D$2:$D$64,MATCH($D429,Resources!$A$2:$A$64,0))="","",INDEX(Resources!$D$2:$D$64,MATCH($D429,Resources!$A$2:$A$64,0))),"")</f>
        <v>Est. Required Labor</v>
      </c>
      <c r="L429" s="28" t="n">
        <f aca="false">IF(K429="","",J429*INDEX(Resources!$E$2:$E$64,MATCH($D429,Resources!$A$2:$A$64,0)))</f>
        <v>0</v>
      </c>
      <c r="M429" s="6" t="str">
        <f aca="false">B429&amp;"|"&amp;D429&amp;"|"&amp;C429</f>
        <v>Shipping Container Home|Labor|Input</v>
      </c>
      <c r="N429" s="6" t="s">
        <v>940</v>
      </c>
    </row>
    <row r="430" customFormat="false" ht="15" hidden="false" customHeight="true" outlineLevel="0" collapsed="false">
      <c r="A430" s="6" t="s">
        <v>1399</v>
      </c>
      <c r="B430" s="6" t="s">
        <v>586</v>
      </c>
      <c r="C430" s="6" t="s">
        <v>943</v>
      </c>
      <c r="D430" s="6" t="s">
        <v>55</v>
      </c>
      <c r="E430" s="26" t="n">
        <v>320</v>
      </c>
      <c r="F430" s="6" t="str">
        <f aca="false">IFERROR(INDEX(Resources!$B$2:$B$64,MATCH($D430,Resources!$A$2:$A$64,0)),"?")</f>
        <v>sq ft</v>
      </c>
      <c r="G430" s="6" t="s">
        <v>945</v>
      </c>
      <c r="H430" s="27" t="n">
        <f aca="false">E430*INDEX(Assumptions!$D$17:$D$23,MATCH(G430,Assumptions!$B$17:$B$23,0))</f>
        <v>320</v>
      </c>
      <c r="I430" s="6" t="n">
        <f aca="false">IFERROR(INDEX(Systems!$R$2:$R$179,MATCH($B430,Systems!$B$2:$B$179,0)),0)</f>
        <v>0</v>
      </c>
      <c r="J430" s="27" t="n">
        <f aca="false">H430*I430</f>
        <v>0</v>
      </c>
      <c r="K430" s="6" t="str">
        <f aca="false">IFERROR(IF(INDEX(Resources!$D$2:$D$64,MATCH($D430,Resources!$A$2:$A$64,0))="","",INDEX(Resources!$D$2:$D$64,MATCH($D430,Resources!$A$2:$A$64,0))),"")</f>
        <v>Shelter</v>
      </c>
      <c r="L430" s="28" t="n">
        <f aca="false">IF(K430="","",J430*INDEX(Resources!$E$2:$E$64,MATCH($D430,Resources!$A$2:$A$64,0)))</f>
        <v>0</v>
      </c>
      <c r="M430" s="6" t="str">
        <f aca="false">B430&amp;"|"&amp;D430&amp;"|"&amp;C430</f>
        <v>Shipping Container Home|Shelter|Output</v>
      </c>
    </row>
    <row r="431" customFormat="false" ht="15" hidden="false" customHeight="true" outlineLevel="0" collapsed="false">
      <c r="A431" s="6" t="s">
        <v>1400</v>
      </c>
      <c r="B431" s="6" t="s">
        <v>586</v>
      </c>
      <c r="C431" s="6" t="s">
        <v>943</v>
      </c>
      <c r="D431" s="6" t="s">
        <v>288</v>
      </c>
      <c r="E431" s="26" t="n">
        <v>320</v>
      </c>
      <c r="F431" s="6" t="str">
        <f aca="false">IFERROR(INDEX(Resources!$B$2:$B$64,MATCH($D431,Resources!$A$2:$A$64,0)),"?")</f>
        <v>sq ft</v>
      </c>
      <c r="G431" s="6" t="s">
        <v>945</v>
      </c>
      <c r="H431" s="27" t="n">
        <f aca="false">E431*INDEX(Assumptions!$D$17:$D$23,MATCH(G431,Assumptions!$B$17:$B$23,0))</f>
        <v>320</v>
      </c>
      <c r="I431" s="6" t="n">
        <f aca="false">IFERROR(INDEX(Systems!$R$2:$R$179,MATCH($B431,Systems!$B$2:$B$179,0)),0)</f>
        <v>0</v>
      </c>
      <c r="J431" s="27" t="n">
        <f aca="false">H431*I431</f>
        <v>0</v>
      </c>
      <c r="K431" s="6" t="str">
        <f aca="false">IFERROR(IF(INDEX(Resources!$D$2:$D$64,MATCH($D431,Resources!$A$2:$A$64,0))="","",INDEX(Resources!$D$2:$D$64,MATCH($D431,Resources!$A$2:$A$64,0))),"")</f>
        <v/>
      </c>
      <c r="L431" s="28" t="str">
        <f aca="false">IF(K431="","",J431*INDEX(Resources!$E$2:$E$64,MATCH($D431,Resources!$A$2:$A$64,0)))</f>
        <v/>
      </c>
      <c r="M431" s="6" t="str">
        <f aca="false">B431&amp;"|"&amp;D431&amp;"|"&amp;C431</f>
        <v>Shipping Container Home|Roofing area|Output</v>
      </c>
    </row>
    <row r="432" customFormat="false" ht="15" hidden="false" customHeight="true" outlineLevel="0" collapsed="false">
      <c r="A432" s="6" t="s">
        <v>1401</v>
      </c>
      <c r="B432" s="6" t="s">
        <v>586</v>
      </c>
      <c r="C432" s="6" t="s">
        <v>938</v>
      </c>
      <c r="D432" s="6" t="s">
        <v>67</v>
      </c>
      <c r="E432" s="29" t="n">
        <f aca="false">INDEX(Systems!$N$2:$N$179,MATCH($B432,Systems!$B$2:$B$179,0))*INDEX(Systems!$O$2:$O$179,MATCH($B432,Systems!$B$2:$B$179,0))*Assumptions!$C$4*24/52</f>
        <v>265846.153846154</v>
      </c>
      <c r="F432" s="6" t="str">
        <f aca="false">IFERROR(INDEX(Resources!$B$2:$B$64,MATCH($D432,Resources!$A$2:$A$64,0)),"?")</f>
        <v>BTU</v>
      </c>
      <c r="G432" s="6" t="s">
        <v>939</v>
      </c>
      <c r="H432" s="27" t="n">
        <f aca="false">E432*INDEX(Assumptions!$D$17:$D$23,MATCH(G432,Assumptions!$B$17:$B$23,0))</f>
        <v>265846.153846154</v>
      </c>
      <c r="I432" s="6" t="n">
        <f aca="false">IFERROR(INDEX(Systems!$R$2:$R$179,MATCH($B432,Systems!$B$2:$B$179,0)),0)</f>
        <v>0</v>
      </c>
      <c r="J432" s="27" t="n">
        <f aca="false">H432*I432</f>
        <v>0</v>
      </c>
      <c r="K432" s="6" t="str">
        <f aca="false">IFERROR(IF(INDEX(Resources!$D$2:$D$64,MATCH($D432,Resources!$A$2:$A$64,0))="","",INDEX(Resources!$D$2:$D$64,MATCH($D432,Resources!$A$2:$A$64,0))),"")</f>
        <v>Heated shelter</v>
      </c>
      <c r="L432" s="28" t="n">
        <f aca="false">IF(K432="","",J432*INDEX(Resources!$E$2:$E$64,MATCH($D432,Resources!$A$2:$A$64,0)))</f>
        <v>0</v>
      </c>
      <c r="M432" s="6" t="str">
        <f aca="false">B432&amp;"|"&amp;D432&amp;"|"&amp;C432</f>
        <v>Shipping Container Home|Heat|Input</v>
      </c>
      <c r="N432" s="6" t="s">
        <v>972</v>
      </c>
    </row>
    <row r="433" customFormat="false" ht="15" hidden="false" customHeight="true" outlineLevel="0" collapsed="false">
      <c r="A433" s="6" t="s">
        <v>1402</v>
      </c>
      <c r="B433" s="6" t="s">
        <v>586</v>
      </c>
      <c r="C433" s="6" t="s">
        <v>938</v>
      </c>
      <c r="D433" s="6" t="s">
        <v>69</v>
      </c>
      <c r="E433" s="29" t="n">
        <f aca="false">INDEX(Systems!$N$2:$N$179,MATCH($B433,Systems!$B$2:$B$179,0))*INDEX(Systems!$O$2:$O$179,MATCH($B433,Systems!$B$2:$B$179,0))*Assumptions!$C$5*24/52</f>
        <v>35446.1538461538</v>
      </c>
      <c r="F433" s="6" t="str">
        <f aca="false">IFERROR(INDEX(Resources!$B$2:$B$64,MATCH($D433,Resources!$A$2:$A$64,0)),"?")</f>
        <v>BTU</v>
      </c>
      <c r="G433" s="6" t="s">
        <v>939</v>
      </c>
      <c r="H433" s="27" t="n">
        <f aca="false">E433*INDEX(Assumptions!$D$17:$D$23,MATCH(G433,Assumptions!$B$17:$B$23,0))</f>
        <v>35446.1538461538</v>
      </c>
      <c r="I433" s="6" t="n">
        <f aca="false">IFERROR(INDEX(Systems!$R$2:$R$179,MATCH($B433,Systems!$B$2:$B$179,0)),0)</f>
        <v>0</v>
      </c>
      <c r="J433" s="27" t="n">
        <f aca="false">H433*I433</f>
        <v>0</v>
      </c>
      <c r="K433" s="6" t="str">
        <f aca="false">IFERROR(IF(INDEX(Resources!$D$2:$D$64,MATCH($D433,Resources!$A$2:$A$64,0))="","",INDEX(Resources!$D$2:$D$64,MATCH($D433,Resources!$A$2:$A$64,0))),"")</f>
        <v>Cooled shelter</v>
      </c>
      <c r="L433" s="28" t="n">
        <f aca="false">IF(K433="","",J433*INDEX(Resources!$E$2:$E$64,MATCH($D433,Resources!$A$2:$A$64,0)))</f>
        <v>0</v>
      </c>
      <c r="M433" s="6" t="str">
        <f aca="false">B433&amp;"|"&amp;D433&amp;"|"&amp;C433</f>
        <v>Shipping Container Home|Cooling|Input</v>
      </c>
      <c r="N433" s="6" t="s">
        <v>974</v>
      </c>
    </row>
    <row r="434" customFormat="false" ht="15" hidden="false" customHeight="true" outlineLevel="0" collapsed="false">
      <c r="A434" s="6" t="s">
        <v>1403</v>
      </c>
      <c r="B434" s="6" t="s">
        <v>589</v>
      </c>
      <c r="C434" s="6" t="s">
        <v>938</v>
      </c>
      <c r="D434" s="6" t="s">
        <v>71</v>
      </c>
      <c r="E434" s="26" t="n">
        <v>1</v>
      </c>
      <c r="F434" s="6" t="str">
        <f aca="false">IFERROR(INDEX(Resources!$B$2:$B$64,MATCH($D434,Resources!$A$2:$A$64,0)),"?")</f>
        <v>hours</v>
      </c>
      <c r="G434" s="6" t="s">
        <v>939</v>
      </c>
      <c r="H434" s="27" t="n">
        <f aca="false">E434*INDEX(Assumptions!$D$17:$D$23,MATCH(G434,Assumptions!$B$17:$B$23,0))</f>
        <v>1</v>
      </c>
      <c r="I434" s="6" t="n">
        <f aca="false">IFERROR(INDEX(Systems!$R$2:$R$179,MATCH($B434,Systems!$B$2:$B$179,0)),0)</f>
        <v>0</v>
      </c>
      <c r="J434" s="27" t="n">
        <f aca="false">H434*I434</f>
        <v>0</v>
      </c>
      <c r="K434" s="6" t="str">
        <f aca="false">IFERROR(IF(INDEX(Resources!$D$2:$D$64,MATCH($D434,Resources!$A$2:$A$64,0))="","",INDEX(Resources!$D$2:$D$64,MATCH($D434,Resources!$A$2:$A$64,0))),"")</f>
        <v>Est. Required Labor</v>
      </c>
      <c r="L434" s="28" t="n">
        <f aca="false">IF(K434="","",J434*INDEX(Resources!$E$2:$E$64,MATCH($D434,Resources!$A$2:$A$64,0)))</f>
        <v>0</v>
      </c>
      <c r="M434" s="6" t="str">
        <f aca="false">B434&amp;"|"&amp;D434&amp;"|"&amp;C434</f>
        <v>Geodesic Dome|Labor|Input</v>
      </c>
      <c r="N434" s="6" t="s">
        <v>940</v>
      </c>
    </row>
    <row r="435" customFormat="false" ht="15" hidden="false" customHeight="true" outlineLevel="0" collapsed="false">
      <c r="A435" s="6" t="s">
        <v>1404</v>
      </c>
      <c r="B435" s="6" t="s">
        <v>589</v>
      </c>
      <c r="C435" s="6" t="s">
        <v>943</v>
      </c>
      <c r="D435" s="6" t="s">
        <v>55</v>
      </c>
      <c r="E435" s="26" t="n">
        <v>700</v>
      </c>
      <c r="F435" s="6" t="str">
        <f aca="false">IFERROR(INDEX(Resources!$B$2:$B$64,MATCH($D435,Resources!$A$2:$A$64,0)),"?")</f>
        <v>sq ft</v>
      </c>
      <c r="G435" s="6" t="s">
        <v>945</v>
      </c>
      <c r="H435" s="27" t="n">
        <f aca="false">E435*INDEX(Assumptions!$D$17:$D$23,MATCH(G435,Assumptions!$B$17:$B$23,0))</f>
        <v>700</v>
      </c>
      <c r="I435" s="6" t="n">
        <f aca="false">IFERROR(INDEX(Systems!$R$2:$R$179,MATCH($B435,Systems!$B$2:$B$179,0)),0)</f>
        <v>0</v>
      </c>
      <c r="J435" s="27" t="n">
        <f aca="false">H435*I435</f>
        <v>0</v>
      </c>
      <c r="K435" s="6" t="str">
        <f aca="false">IFERROR(IF(INDEX(Resources!$D$2:$D$64,MATCH($D435,Resources!$A$2:$A$64,0))="","",INDEX(Resources!$D$2:$D$64,MATCH($D435,Resources!$A$2:$A$64,0))),"")</f>
        <v>Shelter</v>
      </c>
      <c r="L435" s="28" t="n">
        <f aca="false">IF(K435="","",J435*INDEX(Resources!$E$2:$E$64,MATCH($D435,Resources!$A$2:$A$64,0)))</f>
        <v>0</v>
      </c>
      <c r="M435" s="6" t="str">
        <f aca="false">B435&amp;"|"&amp;D435&amp;"|"&amp;C435</f>
        <v>Geodesic Dome|Shelter|Output</v>
      </c>
    </row>
    <row r="436" customFormat="false" ht="15" hidden="false" customHeight="true" outlineLevel="0" collapsed="false">
      <c r="A436" s="6" t="s">
        <v>1405</v>
      </c>
      <c r="B436" s="6" t="s">
        <v>589</v>
      </c>
      <c r="C436" s="6" t="s">
        <v>943</v>
      </c>
      <c r="D436" s="6" t="s">
        <v>288</v>
      </c>
      <c r="E436" s="26" t="n">
        <v>400</v>
      </c>
      <c r="F436" s="6" t="str">
        <f aca="false">IFERROR(INDEX(Resources!$B$2:$B$64,MATCH($D436,Resources!$A$2:$A$64,0)),"?")</f>
        <v>sq ft</v>
      </c>
      <c r="G436" s="6" t="s">
        <v>945</v>
      </c>
      <c r="H436" s="27" t="n">
        <f aca="false">E436*INDEX(Assumptions!$D$17:$D$23,MATCH(G436,Assumptions!$B$17:$B$23,0))</f>
        <v>400</v>
      </c>
      <c r="I436" s="6" t="n">
        <f aca="false">IFERROR(INDEX(Systems!$R$2:$R$179,MATCH($B436,Systems!$B$2:$B$179,0)),0)</f>
        <v>0</v>
      </c>
      <c r="J436" s="27" t="n">
        <f aca="false">H436*I436</f>
        <v>0</v>
      </c>
      <c r="K436" s="6" t="str">
        <f aca="false">IFERROR(IF(INDEX(Resources!$D$2:$D$64,MATCH($D436,Resources!$A$2:$A$64,0))="","",INDEX(Resources!$D$2:$D$64,MATCH($D436,Resources!$A$2:$A$64,0))),"")</f>
        <v/>
      </c>
      <c r="L436" s="28" t="str">
        <f aca="false">IF(K436="","",J436*INDEX(Resources!$E$2:$E$64,MATCH($D436,Resources!$A$2:$A$64,0)))</f>
        <v/>
      </c>
      <c r="M436" s="6" t="str">
        <f aca="false">B436&amp;"|"&amp;D436&amp;"|"&amp;C436</f>
        <v>Geodesic Dome|Roofing area|Output</v>
      </c>
    </row>
    <row r="437" customFormat="false" ht="15" hidden="false" customHeight="true" outlineLevel="0" collapsed="false">
      <c r="A437" s="6" t="s">
        <v>1406</v>
      </c>
      <c r="B437" s="6" t="s">
        <v>589</v>
      </c>
      <c r="C437" s="6" t="s">
        <v>938</v>
      </c>
      <c r="D437" s="6" t="s">
        <v>67</v>
      </c>
      <c r="E437" s="29" t="n">
        <f aca="false">INDEX(Systems!$N$2:$N$179,MATCH($B437,Systems!$B$2:$B$179,0))*INDEX(Systems!$O$2:$O$179,MATCH($B437,Systems!$B$2:$B$179,0))*Assumptions!$C$4*24/52</f>
        <v>387692.307692308</v>
      </c>
      <c r="F437" s="6" t="str">
        <f aca="false">IFERROR(INDEX(Resources!$B$2:$B$64,MATCH($D437,Resources!$A$2:$A$64,0)),"?")</f>
        <v>BTU</v>
      </c>
      <c r="G437" s="6" t="s">
        <v>939</v>
      </c>
      <c r="H437" s="27" t="n">
        <f aca="false">E437*INDEX(Assumptions!$D$17:$D$23,MATCH(G437,Assumptions!$B$17:$B$23,0))</f>
        <v>387692.307692308</v>
      </c>
      <c r="I437" s="6" t="n">
        <f aca="false">IFERROR(INDEX(Systems!$R$2:$R$179,MATCH($B437,Systems!$B$2:$B$179,0)),0)</f>
        <v>0</v>
      </c>
      <c r="J437" s="27" t="n">
        <f aca="false">H437*I437</f>
        <v>0</v>
      </c>
      <c r="K437" s="6" t="str">
        <f aca="false">IFERROR(IF(INDEX(Resources!$D$2:$D$64,MATCH($D437,Resources!$A$2:$A$64,0))="","",INDEX(Resources!$D$2:$D$64,MATCH($D437,Resources!$A$2:$A$64,0))),"")</f>
        <v>Heated shelter</v>
      </c>
      <c r="L437" s="28" t="n">
        <f aca="false">IF(K437="","",J437*INDEX(Resources!$E$2:$E$64,MATCH($D437,Resources!$A$2:$A$64,0)))</f>
        <v>0</v>
      </c>
      <c r="M437" s="6" t="str">
        <f aca="false">B437&amp;"|"&amp;D437&amp;"|"&amp;C437</f>
        <v>Geodesic Dome|Heat|Input</v>
      </c>
      <c r="N437" s="6" t="s">
        <v>972</v>
      </c>
    </row>
    <row r="438" customFormat="false" ht="15" hidden="false" customHeight="true" outlineLevel="0" collapsed="false">
      <c r="A438" s="6" t="s">
        <v>1407</v>
      </c>
      <c r="B438" s="6" t="s">
        <v>589</v>
      </c>
      <c r="C438" s="6" t="s">
        <v>938</v>
      </c>
      <c r="D438" s="6" t="s">
        <v>69</v>
      </c>
      <c r="E438" s="29" t="n">
        <f aca="false">INDEX(Systems!$N$2:$N$179,MATCH($B438,Systems!$B$2:$B$179,0))*INDEX(Systems!$O$2:$O$179,MATCH($B438,Systems!$B$2:$B$179,0))*Assumptions!$C$5*24/52</f>
        <v>51692.3076923077</v>
      </c>
      <c r="F438" s="6" t="str">
        <f aca="false">IFERROR(INDEX(Resources!$B$2:$B$64,MATCH($D438,Resources!$A$2:$A$64,0)),"?")</f>
        <v>BTU</v>
      </c>
      <c r="G438" s="6" t="s">
        <v>939</v>
      </c>
      <c r="H438" s="27" t="n">
        <f aca="false">E438*INDEX(Assumptions!$D$17:$D$23,MATCH(G438,Assumptions!$B$17:$B$23,0))</f>
        <v>51692.3076923077</v>
      </c>
      <c r="I438" s="6" t="n">
        <f aca="false">IFERROR(INDEX(Systems!$R$2:$R$179,MATCH($B438,Systems!$B$2:$B$179,0)),0)</f>
        <v>0</v>
      </c>
      <c r="J438" s="27" t="n">
        <f aca="false">H438*I438</f>
        <v>0</v>
      </c>
      <c r="K438" s="6" t="str">
        <f aca="false">IFERROR(IF(INDEX(Resources!$D$2:$D$64,MATCH($D438,Resources!$A$2:$A$64,0))="","",INDEX(Resources!$D$2:$D$64,MATCH($D438,Resources!$A$2:$A$64,0))),"")</f>
        <v>Cooled shelter</v>
      </c>
      <c r="L438" s="28" t="n">
        <f aca="false">IF(K438="","",J438*INDEX(Resources!$E$2:$E$64,MATCH($D438,Resources!$A$2:$A$64,0)))</f>
        <v>0</v>
      </c>
      <c r="M438" s="6" t="str">
        <f aca="false">B438&amp;"|"&amp;D438&amp;"|"&amp;C438</f>
        <v>Geodesic Dome|Cooling|Input</v>
      </c>
      <c r="N438" s="6" t="s">
        <v>974</v>
      </c>
    </row>
    <row r="439" customFormat="false" ht="15" hidden="false" customHeight="true" outlineLevel="0" collapsed="false">
      <c r="A439" s="6" t="s">
        <v>1408</v>
      </c>
      <c r="B439" s="6" t="s">
        <v>592</v>
      </c>
      <c r="C439" s="6" t="s">
        <v>938</v>
      </c>
      <c r="D439" s="6" t="s">
        <v>71</v>
      </c>
      <c r="E439" s="26" t="n">
        <v>0.25</v>
      </c>
      <c r="F439" s="6" t="str">
        <f aca="false">IFERROR(INDEX(Resources!$B$2:$B$64,MATCH($D439,Resources!$A$2:$A$64,0)),"?")</f>
        <v>hours</v>
      </c>
      <c r="G439" s="6" t="s">
        <v>939</v>
      </c>
      <c r="H439" s="27" t="n">
        <f aca="false">E439*INDEX(Assumptions!$D$17:$D$23,MATCH(G439,Assumptions!$B$17:$B$23,0))</f>
        <v>0.25</v>
      </c>
      <c r="I439" s="6" t="n">
        <f aca="false">IFERROR(INDEX(Systems!$R$2:$R$179,MATCH($B439,Systems!$B$2:$B$179,0)),0)</f>
        <v>0</v>
      </c>
      <c r="J439" s="27" t="n">
        <f aca="false">H439*I439</f>
        <v>0</v>
      </c>
      <c r="K439" s="6" t="str">
        <f aca="false">IFERROR(IF(INDEX(Resources!$D$2:$D$64,MATCH($D439,Resources!$A$2:$A$64,0))="","",INDEX(Resources!$D$2:$D$64,MATCH($D439,Resources!$A$2:$A$64,0))),"")</f>
        <v>Est. Required Labor</v>
      </c>
      <c r="L439" s="28" t="n">
        <f aca="false">IF(K439="","",J439*INDEX(Resources!$E$2:$E$64,MATCH($D439,Resources!$A$2:$A$64,0)))</f>
        <v>0</v>
      </c>
      <c r="M439" s="6" t="str">
        <f aca="false">B439&amp;"|"&amp;D439&amp;"|"&amp;C439</f>
        <v>Canvas Wall Tent + Stove Jack|Labor|Input</v>
      </c>
      <c r="N439" s="6" t="s">
        <v>940</v>
      </c>
    </row>
    <row r="440" customFormat="false" ht="15" hidden="false" customHeight="true" outlineLevel="0" collapsed="false">
      <c r="A440" s="6" t="s">
        <v>1409</v>
      </c>
      <c r="B440" s="6" t="s">
        <v>592</v>
      </c>
      <c r="C440" s="6" t="s">
        <v>943</v>
      </c>
      <c r="D440" s="6" t="s">
        <v>55</v>
      </c>
      <c r="E440" s="26" t="n">
        <v>224</v>
      </c>
      <c r="F440" s="6" t="str">
        <f aca="false">IFERROR(INDEX(Resources!$B$2:$B$64,MATCH($D440,Resources!$A$2:$A$64,0)),"?")</f>
        <v>sq ft</v>
      </c>
      <c r="G440" s="6" t="s">
        <v>945</v>
      </c>
      <c r="H440" s="27" t="n">
        <f aca="false">E440*INDEX(Assumptions!$D$17:$D$23,MATCH(G440,Assumptions!$B$17:$B$23,0))</f>
        <v>224</v>
      </c>
      <c r="I440" s="6" t="n">
        <f aca="false">IFERROR(INDEX(Systems!$R$2:$R$179,MATCH($B440,Systems!$B$2:$B$179,0)),0)</f>
        <v>0</v>
      </c>
      <c r="J440" s="27" t="n">
        <f aca="false">H440*I440</f>
        <v>0</v>
      </c>
      <c r="K440" s="6" t="str">
        <f aca="false">IFERROR(IF(INDEX(Resources!$D$2:$D$64,MATCH($D440,Resources!$A$2:$A$64,0))="","",INDEX(Resources!$D$2:$D$64,MATCH($D440,Resources!$A$2:$A$64,0))),"")</f>
        <v>Shelter</v>
      </c>
      <c r="L440" s="28" t="n">
        <f aca="false">IF(K440="","",J440*INDEX(Resources!$E$2:$E$64,MATCH($D440,Resources!$A$2:$A$64,0)))</f>
        <v>0</v>
      </c>
      <c r="M440" s="6" t="str">
        <f aca="false">B440&amp;"|"&amp;D440&amp;"|"&amp;C440</f>
        <v>Canvas Wall Tent + Stove Jack|Shelter|Output</v>
      </c>
    </row>
    <row r="441" customFormat="false" ht="15" hidden="false" customHeight="true" outlineLevel="0" collapsed="false">
      <c r="A441" s="6" t="s">
        <v>1410</v>
      </c>
      <c r="B441" s="6" t="s">
        <v>592</v>
      </c>
      <c r="C441" s="6" t="s">
        <v>938</v>
      </c>
      <c r="D441" s="6" t="s">
        <v>67</v>
      </c>
      <c r="E441" s="29" t="n">
        <f aca="false">INDEX(Systems!$N$2:$N$179,MATCH($B441,Systems!$B$2:$B$179,0))*INDEX(Systems!$O$2:$O$179,MATCH($B441,Systems!$B$2:$B$179,0))*Assumptions!$C$4*24/52</f>
        <v>806400</v>
      </c>
      <c r="F441" s="6" t="str">
        <f aca="false">IFERROR(INDEX(Resources!$B$2:$B$64,MATCH($D441,Resources!$A$2:$A$64,0)),"?")</f>
        <v>BTU</v>
      </c>
      <c r="G441" s="6" t="s">
        <v>939</v>
      </c>
      <c r="H441" s="27" t="n">
        <f aca="false">E441*INDEX(Assumptions!$D$17:$D$23,MATCH(G441,Assumptions!$B$17:$B$23,0))</f>
        <v>806400</v>
      </c>
      <c r="I441" s="6" t="n">
        <f aca="false">IFERROR(INDEX(Systems!$R$2:$R$179,MATCH($B441,Systems!$B$2:$B$179,0)),0)</f>
        <v>0</v>
      </c>
      <c r="J441" s="27" t="n">
        <f aca="false">H441*I441</f>
        <v>0</v>
      </c>
      <c r="K441" s="6" t="str">
        <f aca="false">IFERROR(IF(INDEX(Resources!$D$2:$D$64,MATCH($D441,Resources!$A$2:$A$64,0))="","",INDEX(Resources!$D$2:$D$64,MATCH($D441,Resources!$A$2:$A$64,0))),"")</f>
        <v>Heated shelter</v>
      </c>
      <c r="L441" s="28" t="n">
        <f aca="false">IF(K441="","",J441*INDEX(Resources!$E$2:$E$64,MATCH($D441,Resources!$A$2:$A$64,0)))</f>
        <v>0</v>
      </c>
      <c r="M441" s="6" t="str">
        <f aca="false">B441&amp;"|"&amp;D441&amp;"|"&amp;C441</f>
        <v>Canvas Wall Tent + Stove Jack|Heat|Input</v>
      </c>
      <c r="N441" s="6" t="s">
        <v>972</v>
      </c>
    </row>
    <row r="442" customFormat="false" ht="15" hidden="false" customHeight="true" outlineLevel="0" collapsed="false">
      <c r="A442" s="6" t="s">
        <v>1411</v>
      </c>
      <c r="B442" s="6" t="s">
        <v>592</v>
      </c>
      <c r="C442" s="6" t="s">
        <v>938</v>
      </c>
      <c r="D442" s="6" t="s">
        <v>69</v>
      </c>
      <c r="E442" s="29" t="n">
        <f aca="false">INDEX(Systems!$N$2:$N$179,MATCH($B442,Systems!$B$2:$B$179,0))*INDEX(Systems!$O$2:$O$179,MATCH($B442,Systems!$B$2:$B$179,0))*Assumptions!$C$5*24/52</f>
        <v>107520</v>
      </c>
      <c r="F442" s="6" t="str">
        <f aca="false">IFERROR(INDEX(Resources!$B$2:$B$64,MATCH($D442,Resources!$A$2:$A$64,0)),"?")</f>
        <v>BTU</v>
      </c>
      <c r="G442" s="6" t="s">
        <v>939</v>
      </c>
      <c r="H442" s="27" t="n">
        <f aca="false">E442*INDEX(Assumptions!$D$17:$D$23,MATCH(G442,Assumptions!$B$17:$B$23,0))</f>
        <v>107520</v>
      </c>
      <c r="I442" s="6" t="n">
        <f aca="false">IFERROR(INDEX(Systems!$R$2:$R$179,MATCH($B442,Systems!$B$2:$B$179,0)),0)</f>
        <v>0</v>
      </c>
      <c r="J442" s="27" t="n">
        <f aca="false">H442*I442</f>
        <v>0</v>
      </c>
      <c r="K442" s="6" t="str">
        <f aca="false">IFERROR(IF(INDEX(Resources!$D$2:$D$64,MATCH($D442,Resources!$A$2:$A$64,0))="","",INDEX(Resources!$D$2:$D$64,MATCH($D442,Resources!$A$2:$A$64,0))),"")</f>
        <v>Cooled shelter</v>
      </c>
      <c r="L442" s="28" t="n">
        <f aca="false">IF(K442="","",J442*INDEX(Resources!$E$2:$E$64,MATCH($D442,Resources!$A$2:$A$64,0)))</f>
        <v>0</v>
      </c>
      <c r="M442" s="6" t="str">
        <f aca="false">B442&amp;"|"&amp;D442&amp;"|"&amp;C442</f>
        <v>Canvas Wall Tent + Stove Jack|Cooling|Input</v>
      </c>
      <c r="N442" s="6" t="s">
        <v>974</v>
      </c>
    </row>
    <row r="443" customFormat="false" ht="15" hidden="false" customHeight="true" outlineLevel="0" collapsed="false">
      <c r="A443" s="6" t="s">
        <v>1412</v>
      </c>
      <c r="B443" s="6" t="s">
        <v>595</v>
      </c>
      <c r="C443" s="6" t="s">
        <v>938</v>
      </c>
      <c r="D443" s="6" t="s">
        <v>71</v>
      </c>
      <c r="E443" s="26" t="n">
        <v>0.25</v>
      </c>
      <c r="F443" s="6" t="str">
        <f aca="false">IFERROR(INDEX(Resources!$B$2:$B$64,MATCH($D443,Resources!$A$2:$A$64,0)),"?")</f>
        <v>hours</v>
      </c>
      <c r="G443" s="6" t="s">
        <v>939</v>
      </c>
      <c r="H443" s="27" t="n">
        <f aca="false">E443*INDEX(Assumptions!$D$17:$D$23,MATCH(G443,Assumptions!$B$17:$B$23,0))</f>
        <v>0.25</v>
      </c>
      <c r="I443" s="6" t="n">
        <f aca="false">IFERROR(INDEX(Systems!$R$2:$R$179,MATCH($B443,Systems!$B$2:$B$179,0)),0)</f>
        <v>0</v>
      </c>
      <c r="J443" s="27" t="n">
        <f aca="false">H443*I443</f>
        <v>0</v>
      </c>
      <c r="K443" s="6" t="str">
        <f aca="false">IFERROR(IF(INDEX(Resources!$D$2:$D$64,MATCH($D443,Resources!$A$2:$A$64,0))="","",INDEX(Resources!$D$2:$D$64,MATCH($D443,Resources!$A$2:$A$64,0))),"")</f>
        <v>Est. Required Labor</v>
      </c>
      <c r="L443" s="28" t="n">
        <f aca="false">IF(K443="","",J443*INDEX(Resources!$E$2:$E$64,MATCH($D443,Resources!$A$2:$A$64,0)))</f>
        <v>0</v>
      </c>
      <c r="M443" s="6" t="str">
        <f aca="false">B443&amp;"|"&amp;D443&amp;"|"&amp;C443</f>
        <v>Earthbag Dome|Labor|Input</v>
      </c>
      <c r="N443" s="6" t="s">
        <v>940</v>
      </c>
    </row>
    <row r="444" customFormat="false" ht="15" hidden="false" customHeight="true" outlineLevel="0" collapsed="false">
      <c r="A444" s="6" t="s">
        <v>1413</v>
      </c>
      <c r="B444" s="6" t="s">
        <v>595</v>
      </c>
      <c r="C444" s="6" t="s">
        <v>938</v>
      </c>
      <c r="D444" s="6" t="s">
        <v>900</v>
      </c>
      <c r="E444" s="26" t="n">
        <v>400</v>
      </c>
      <c r="F444" s="6" t="str">
        <f aca="false">IFERROR(INDEX(Resources!$B$2:$B$64,MATCH($D444,Resources!$A$2:$A$64,0)),"?")</f>
        <v>cu ft</v>
      </c>
      <c r="G444" s="6" t="s">
        <v>1115</v>
      </c>
      <c r="H444" s="27" t="n">
        <f aca="false">E444*INDEX(Assumptions!$D$17:$D$23,MATCH(G444,Assumptions!$B$17:$B$23,0))</f>
        <v>0</v>
      </c>
      <c r="I444" s="6" t="n">
        <f aca="false">IFERROR(INDEX(Systems!$R$2:$R$179,MATCH($B444,Systems!$B$2:$B$179,0)),0)</f>
        <v>0</v>
      </c>
      <c r="J444" s="27" t="n">
        <f aca="false">H444*I444</f>
        <v>0</v>
      </c>
      <c r="K444" s="6" t="str">
        <f aca="false">IFERROR(IF(INDEX(Resources!$D$2:$D$64,MATCH($D444,Resources!$A$2:$A$64,0))="","",INDEX(Resources!$D$2:$D$64,MATCH($D444,Resources!$A$2:$A$64,0))),"")</f>
        <v/>
      </c>
      <c r="L444" s="28" t="str">
        <f aca="false">IF(K444="","",J444*INDEX(Resources!$E$2:$E$64,MATCH($D444,Resources!$A$2:$A$64,0)))</f>
        <v/>
      </c>
      <c r="M444" s="6" t="str">
        <f aca="false">B444&amp;"|"&amp;D444&amp;"|"&amp;C444</f>
        <v>Earthbag Dome|Soil|Input</v>
      </c>
    </row>
    <row r="445" customFormat="false" ht="15" hidden="false" customHeight="true" outlineLevel="0" collapsed="false">
      <c r="A445" s="6" t="s">
        <v>1414</v>
      </c>
      <c r="B445" s="6" t="s">
        <v>595</v>
      </c>
      <c r="C445" s="6" t="s">
        <v>943</v>
      </c>
      <c r="D445" s="6" t="s">
        <v>55</v>
      </c>
      <c r="E445" s="26" t="n">
        <v>200</v>
      </c>
      <c r="F445" s="6" t="str">
        <f aca="false">IFERROR(INDEX(Resources!$B$2:$B$64,MATCH($D445,Resources!$A$2:$A$64,0)),"?")</f>
        <v>sq ft</v>
      </c>
      <c r="G445" s="6" t="s">
        <v>945</v>
      </c>
      <c r="H445" s="27" t="n">
        <f aca="false">E445*INDEX(Assumptions!$D$17:$D$23,MATCH(G445,Assumptions!$B$17:$B$23,0))</f>
        <v>200</v>
      </c>
      <c r="I445" s="6" t="n">
        <f aca="false">IFERROR(INDEX(Systems!$R$2:$R$179,MATCH($B445,Systems!$B$2:$B$179,0)),0)</f>
        <v>0</v>
      </c>
      <c r="J445" s="27" t="n">
        <f aca="false">H445*I445</f>
        <v>0</v>
      </c>
      <c r="K445" s="6" t="str">
        <f aca="false">IFERROR(IF(INDEX(Resources!$D$2:$D$64,MATCH($D445,Resources!$A$2:$A$64,0))="","",INDEX(Resources!$D$2:$D$64,MATCH($D445,Resources!$A$2:$A$64,0))),"")</f>
        <v>Shelter</v>
      </c>
      <c r="L445" s="28" t="n">
        <f aca="false">IF(K445="","",J445*INDEX(Resources!$E$2:$E$64,MATCH($D445,Resources!$A$2:$A$64,0)))</f>
        <v>0</v>
      </c>
      <c r="M445" s="6" t="str">
        <f aca="false">B445&amp;"|"&amp;D445&amp;"|"&amp;C445</f>
        <v>Earthbag Dome|Shelter|Output</v>
      </c>
    </row>
    <row r="446" customFormat="false" ht="15" hidden="false" customHeight="true" outlineLevel="0" collapsed="false">
      <c r="A446" s="6" t="s">
        <v>1415</v>
      </c>
      <c r="B446" s="6" t="s">
        <v>595</v>
      </c>
      <c r="C446" s="6" t="s">
        <v>943</v>
      </c>
      <c r="D446" s="6" t="s">
        <v>288</v>
      </c>
      <c r="E446" s="26" t="n">
        <v>150</v>
      </c>
      <c r="F446" s="6" t="str">
        <f aca="false">IFERROR(INDEX(Resources!$B$2:$B$64,MATCH($D446,Resources!$A$2:$A$64,0)),"?")</f>
        <v>sq ft</v>
      </c>
      <c r="G446" s="6" t="s">
        <v>945</v>
      </c>
      <c r="H446" s="27" t="n">
        <f aca="false">E446*INDEX(Assumptions!$D$17:$D$23,MATCH(G446,Assumptions!$B$17:$B$23,0))</f>
        <v>150</v>
      </c>
      <c r="I446" s="6" t="n">
        <f aca="false">IFERROR(INDEX(Systems!$R$2:$R$179,MATCH($B446,Systems!$B$2:$B$179,0)),0)</f>
        <v>0</v>
      </c>
      <c r="J446" s="27" t="n">
        <f aca="false">H446*I446</f>
        <v>0</v>
      </c>
      <c r="K446" s="6" t="str">
        <f aca="false">IFERROR(IF(INDEX(Resources!$D$2:$D$64,MATCH($D446,Resources!$A$2:$A$64,0))="","",INDEX(Resources!$D$2:$D$64,MATCH($D446,Resources!$A$2:$A$64,0))),"")</f>
        <v/>
      </c>
      <c r="L446" s="28" t="str">
        <f aca="false">IF(K446="","",J446*INDEX(Resources!$E$2:$E$64,MATCH($D446,Resources!$A$2:$A$64,0)))</f>
        <v/>
      </c>
      <c r="M446" s="6" t="str">
        <f aca="false">B446&amp;"|"&amp;D446&amp;"|"&amp;C446</f>
        <v>Earthbag Dome|Roofing area|Output</v>
      </c>
    </row>
    <row r="447" customFormat="false" ht="15" hidden="false" customHeight="true" outlineLevel="0" collapsed="false">
      <c r="A447" s="6" t="s">
        <v>1416</v>
      </c>
      <c r="B447" s="6" t="s">
        <v>595</v>
      </c>
      <c r="C447" s="6" t="s">
        <v>938</v>
      </c>
      <c r="D447" s="6" t="s">
        <v>67</v>
      </c>
      <c r="E447" s="29" t="n">
        <f aca="false">INDEX(Systems!$N$2:$N$179,MATCH($B447,Systems!$B$2:$B$179,0))*INDEX(Systems!$O$2:$O$179,MATCH($B447,Systems!$B$2:$B$179,0))*Assumptions!$C$4*24/52</f>
        <v>138461.538461538</v>
      </c>
      <c r="F447" s="6" t="str">
        <f aca="false">IFERROR(INDEX(Resources!$B$2:$B$64,MATCH($D447,Resources!$A$2:$A$64,0)),"?")</f>
        <v>BTU</v>
      </c>
      <c r="G447" s="6" t="s">
        <v>939</v>
      </c>
      <c r="H447" s="27" t="n">
        <f aca="false">E447*INDEX(Assumptions!$D$17:$D$23,MATCH(G447,Assumptions!$B$17:$B$23,0))</f>
        <v>138461.538461538</v>
      </c>
      <c r="I447" s="6" t="n">
        <f aca="false">IFERROR(INDEX(Systems!$R$2:$R$179,MATCH($B447,Systems!$B$2:$B$179,0)),0)</f>
        <v>0</v>
      </c>
      <c r="J447" s="27" t="n">
        <f aca="false">H447*I447</f>
        <v>0</v>
      </c>
      <c r="K447" s="6" t="str">
        <f aca="false">IFERROR(IF(INDEX(Resources!$D$2:$D$64,MATCH($D447,Resources!$A$2:$A$64,0))="","",INDEX(Resources!$D$2:$D$64,MATCH($D447,Resources!$A$2:$A$64,0))),"")</f>
        <v>Heated shelter</v>
      </c>
      <c r="L447" s="28" t="n">
        <f aca="false">IF(K447="","",J447*INDEX(Resources!$E$2:$E$64,MATCH($D447,Resources!$A$2:$A$64,0)))</f>
        <v>0</v>
      </c>
      <c r="M447" s="6" t="str">
        <f aca="false">B447&amp;"|"&amp;D447&amp;"|"&amp;C447</f>
        <v>Earthbag Dome|Heat|Input</v>
      </c>
      <c r="N447" s="6" t="s">
        <v>972</v>
      </c>
    </row>
    <row r="448" customFormat="false" ht="15" hidden="false" customHeight="true" outlineLevel="0" collapsed="false">
      <c r="A448" s="6" t="s">
        <v>1417</v>
      </c>
      <c r="B448" s="6" t="s">
        <v>595</v>
      </c>
      <c r="C448" s="6" t="s">
        <v>938</v>
      </c>
      <c r="D448" s="6" t="s">
        <v>69</v>
      </c>
      <c r="E448" s="29" t="n">
        <f aca="false">INDEX(Systems!$N$2:$N$179,MATCH($B448,Systems!$B$2:$B$179,0))*INDEX(Systems!$O$2:$O$179,MATCH($B448,Systems!$B$2:$B$179,0))*Assumptions!$C$5*24/52</f>
        <v>18461.5384615385</v>
      </c>
      <c r="F448" s="6" t="str">
        <f aca="false">IFERROR(INDEX(Resources!$B$2:$B$64,MATCH($D448,Resources!$A$2:$A$64,0)),"?")</f>
        <v>BTU</v>
      </c>
      <c r="G448" s="6" t="s">
        <v>939</v>
      </c>
      <c r="H448" s="27" t="n">
        <f aca="false">E448*INDEX(Assumptions!$D$17:$D$23,MATCH(G448,Assumptions!$B$17:$B$23,0))</f>
        <v>18461.5384615385</v>
      </c>
      <c r="I448" s="6" t="n">
        <f aca="false">IFERROR(INDEX(Systems!$R$2:$R$179,MATCH($B448,Systems!$B$2:$B$179,0)),0)</f>
        <v>0</v>
      </c>
      <c r="J448" s="27" t="n">
        <f aca="false">H448*I448</f>
        <v>0</v>
      </c>
      <c r="K448" s="6" t="str">
        <f aca="false">IFERROR(IF(INDEX(Resources!$D$2:$D$64,MATCH($D448,Resources!$A$2:$A$64,0))="","",INDEX(Resources!$D$2:$D$64,MATCH($D448,Resources!$A$2:$A$64,0))),"")</f>
        <v>Cooled shelter</v>
      </c>
      <c r="L448" s="28" t="n">
        <f aca="false">IF(K448="","",J448*INDEX(Resources!$E$2:$E$64,MATCH($D448,Resources!$A$2:$A$64,0)))</f>
        <v>0</v>
      </c>
      <c r="M448" s="6" t="str">
        <f aca="false">B448&amp;"|"&amp;D448&amp;"|"&amp;C448</f>
        <v>Earthbag Dome|Cooling|Input</v>
      </c>
      <c r="N448" s="6" t="s">
        <v>974</v>
      </c>
    </row>
    <row r="449" customFormat="false" ht="15" hidden="false" customHeight="true" outlineLevel="0" collapsed="false">
      <c r="A449" s="6" t="s">
        <v>1418</v>
      </c>
      <c r="B449" s="6" t="s">
        <v>598</v>
      </c>
      <c r="C449" s="6" t="s">
        <v>938</v>
      </c>
      <c r="D449" s="6" t="s">
        <v>71</v>
      </c>
      <c r="E449" s="26" t="n">
        <v>0.1</v>
      </c>
      <c r="F449" s="6" t="str">
        <f aca="false">IFERROR(INDEX(Resources!$B$2:$B$64,MATCH($D449,Resources!$A$2:$A$64,0)),"?")</f>
        <v>hours</v>
      </c>
      <c r="G449" s="6" t="s">
        <v>939</v>
      </c>
      <c r="H449" s="27" t="n">
        <f aca="false">E449*INDEX(Assumptions!$D$17:$D$23,MATCH(G449,Assumptions!$B$17:$B$23,0))</f>
        <v>0.1</v>
      </c>
      <c r="I449" s="6" t="n">
        <f aca="false">IFERROR(INDEX(Systems!$R$2:$R$179,MATCH($B449,Systems!$B$2:$B$179,0)),0)</f>
        <v>0</v>
      </c>
      <c r="J449" s="27" t="n">
        <f aca="false">H449*I449</f>
        <v>0</v>
      </c>
      <c r="K449" s="6" t="str">
        <f aca="false">IFERROR(IF(INDEX(Resources!$D$2:$D$64,MATCH($D449,Resources!$A$2:$A$64,0))="","",INDEX(Resources!$D$2:$D$64,MATCH($D449,Resources!$A$2:$A$64,0))),"")</f>
        <v>Est. Required Labor</v>
      </c>
      <c r="L449" s="28" t="n">
        <f aca="false">IF(K449="","",J449*INDEX(Resources!$E$2:$E$64,MATCH($D449,Resources!$A$2:$A$64,0)))</f>
        <v>0</v>
      </c>
      <c r="M449" s="6" t="str">
        <f aca="false">B449&amp;"|"&amp;D449&amp;"|"&amp;C449</f>
        <v>Hammock + Tarp Camp|Labor|Input</v>
      </c>
      <c r="N449" s="6" t="s">
        <v>940</v>
      </c>
    </row>
    <row r="450" customFormat="false" ht="15" hidden="false" customHeight="true" outlineLevel="0" collapsed="false">
      <c r="A450" s="6" t="s">
        <v>1419</v>
      </c>
      <c r="B450" s="6" t="s">
        <v>598</v>
      </c>
      <c r="C450" s="6" t="s">
        <v>943</v>
      </c>
      <c r="D450" s="6" t="s">
        <v>55</v>
      </c>
      <c r="E450" s="26" t="n">
        <v>40</v>
      </c>
      <c r="F450" s="6" t="str">
        <f aca="false">IFERROR(INDEX(Resources!$B$2:$B$64,MATCH($D450,Resources!$A$2:$A$64,0)),"?")</f>
        <v>sq ft</v>
      </c>
      <c r="G450" s="6" t="s">
        <v>945</v>
      </c>
      <c r="H450" s="27" t="n">
        <f aca="false">E450*INDEX(Assumptions!$D$17:$D$23,MATCH(G450,Assumptions!$B$17:$B$23,0))</f>
        <v>40</v>
      </c>
      <c r="I450" s="6" t="n">
        <f aca="false">IFERROR(INDEX(Systems!$R$2:$R$179,MATCH($B450,Systems!$B$2:$B$179,0)),0)</f>
        <v>0</v>
      </c>
      <c r="J450" s="27" t="n">
        <f aca="false">H450*I450</f>
        <v>0</v>
      </c>
      <c r="K450" s="6" t="str">
        <f aca="false">IFERROR(IF(INDEX(Resources!$D$2:$D$64,MATCH($D450,Resources!$A$2:$A$64,0))="","",INDEX(Resources!$D$2:$D$64,MATCH($D450,Resources!$A$2:$A$64,0))),"")</f>
        <v>Shelter</v>
      </c>
      <c r="L450" s="28" t="n">
        <f aca="false">IF(K450="","",J450*INDEX(Resources!$E$2:$E$64,MATCH($D450,Resources!$A$2:$A$64,0)))</f>
        <v>0</v>
      </c>
      <c r="M450" s="6" t="str">
        <f aca="false">B450&amp;"|"&amp;D450&amp;"|"&amp;C450</f>
        <v>Hammock + Tarp Camp|Shelter|Output</v>
      </c>
    </row>
    <row r="451" customFormat="false" ht="15" hidden="false" customHeight="true" outlineLevel="0" collapsed="false">
      <c r="A451" s="6" t="s">
        <v>1420</v>
      </c>
      <c r="B451" s="6" t="s">
        <v>598</v>
      </c>
      <c r="C451" s="6" t="s">
        <v>938</v>
      </c>
      <c r="D451" s="6" t="s">
        <v>67</v>
      </c>
      <c r="E451" s="29" t="n">
        <f aca="false">INDEX(Systems!$N$2:$N$179,MATCH($B451,Systems!$B$2:$B$179,0))*INDEX(Systems!$O$2:$O$179,MATCH($B451,Systems!$B$2:$B$179,0))*Assumptions!$C$4*24/52</f>
        <v>332307.692307692</v>
      </c>
      <c r="F451" s="6" t="str">
        <f aca="false">IFERROR(INDEX(Resources!$B$2:$B$64,MATCH($D451,Resources!$A$2:$A$64,0)),"?")</f>
        <v>BTU</v>
      </c>
      <c r="G451" s="6" t="s">
        <v>939</v>
      </c>
      <c r="H451" s="27" t="n">
        <f aca="false">E451*INDEX(Assumptions!$D$17:$D$23,MATCH(G451,Assumptions!$B$17:$B$23,0))</f>
        <v>332307.692307692</v>
      </c>
      <c r="I451" s="6" t="n">
        <f aca="false">IFERROR(INDEX(Systems!$R$2:$R$179,MATCH($B451,Systems!$B$2:$B$179,0)),0)</f>
        <v>0</v>
      </c>
      <c r="J451" s="27" t="n">
        <f aca="false">H451*I451</f>
        <v>0</v>
      </c>
      <c r="K451" s="6" t="str">
        <f aca="false">IFERROR(IF(INDEX(Resources!$D$2:$D$64,MATCH($D451,Resources!$A$2:$A$64,0))="","",INDEX(Resources!$D$2:$D$64,MATCH($D451,Resources!$A$2:$A$64,0))),"")</f>
        <v>Heated shelter</v>
      </c>
      <c r="L451" s="28" t="n">
        <f aca="false">IF(K451="","",J451*INDEX(Resources!$E$2:$E$64,MATCH($D451,Resources!$A$2:$A$64,0)))</f>
        <v>0</v>
      </c>
      <c r="M451" s="6" t="str">
        <f aca="false">B451&amp;"|"&amp;D451&amp;"|"&amp;C451</f>
        <v>Hammock + Tarp Camp|Heat|Input</v>
      </c>
      <c r="N451" s="6" t="s">
        <v>972</v>
      </c>
    </row>
    <row r="452" customFormat="false" ht="15" hidden="false" customHeight="true" outlineLevel="0" collapsed="false">
      <c r="A452" s="6" t="s">
        <v>1421</v>
      </c>
      <c r="B452" s="6" t="s">
        <v>598</v>
      </c>
      <c r="C452" s="6" t="s">
        <v>938</v>
      </c>
      <c r="D452" s="6" t="s">
        <v>69</v>
      </c>
      <c r="E452" s="29" t="n">
        <f aca="false">INDEX(Systems!$N$2:$N$179,MATCH($B452,Systems!$B$2:$B$179,0))*INDEX(Systems!$O$2:$O$179,MATCH($B452,Systems!$B$2:$B$179,0))*Assumptions!$C$5*24/52</f>
        <v>44307.6923076923</v>
      </c>
      <c r="F452" s="6" t="str">
        <f aca="false">IFERROR(INDEX(Resources!$B$2:$B$64,MATCH($D452,Resources!$A$2:$A$64,0)),"?")</f>
        <v>BTU</v>
      </c>
      <c r="G452" s="6" t="s">
        <v>939</v>
      </c>
      <c r="H452" s="27" t="n">
        <f aca="false">E452*INDEX(Assumptions!$D$17:$D$23,MATCH(G452,Assumptions!$B$17:$B$23,0))</f>
        <v>44307.6923076923</v>
      </c>
      <c r="I452" s="6" t="n">
        <f aca="false">IFERROR(INDEX(Systems!$R$2:$R$179,MATCH($B452,Systems!$B$2:$B$179,0)),0)</f>
        <v>0</v>
      </c>
      <c r="J452" s="27" t="n">
        <f aca="false">H452*I452</f>
        <v>0</v>
      </c>
      <c r="K452" s="6" t="str">
        <f aca="false">IFERROR(IF(INDEX(Resources!$D$2:$D$64,MATCH($D452,Resources!$A$2:$A$64,0))="","",INDEX(Resources!$D$2:$D$64,MATCH($D452,Resources!$A$2:$A$64,0))),"")</f>
        <v>Cooled shelter</v>
      </c>
      <c r="L452" s="28" t="n">
        <f aca="false">IF(K452="","",J452*INDEX(Resources!$E$2:$E$64,MATCH($D452,Resources!$A$2:$A$64,0)))</f>
        <v>0</v>
      </c>
      <c r="M452" s="6" t="str">
        <f aca="false">B452&amp;"|"&amp;D452&amp;"|"&amp;C452</f>
        <v>Hammock + Tarp Camp|Cooling|Input</v>
      </c>
      <c r="N452" s="6" t="s">
        <v>974</v>
      </c>
    </row>
    <row r="453" customFormat="false" ht="15" hidden="false" customHeight="true" outlineLevel="0" collapsed="false">
      <c r="A453" s="6" t="s">
        <v>1422</v>
      </c>
      <c r="B453" s="6" t="s">
        <v>602</v>
      </c>
      <c r="C453" s="6" t="s">
        <v>938</v>
      </c>
      <c r="D453" s="6" t="s">
        <v>71</v>
      </c>
      <c r="E453" s="26" t="n">
        <v>1</v>
      </c>
      <c r="F453" s="6" t="str">
        <f aca="false">IFERROR(INDEX(Resources!$B$2:$B$64,MATCH($D453,Resources!$A$2:$A$64,0)),"?")</f>
        <v>hours</v>
      </c>
      <c r="G453" s="6" t="s">
        <v>939</v>
      </c>
      <c r="H453" s="27" t="n">
        <f aca="false">E453*INDEX(Assumptions!$D$17:$D$23,MATCH(G453,Assumptions!$B$17:$B$23,0))</f>
        <v>1</v>
      </c>
      <c r="I453" s="6" t="n">
        <f aca="false">IFERROR(INDEX(Systems!$R$2:$R$179,MATCH($B453,Systems!$B$2:$B$179,0)),0)</f>
        <v>0</v>
      </c>
      <c r="J453" s="27" t="n">
        <f aca="false">H453*I453</f>
        <v>0</v>
      </c>
      <c r="K453" s="6" t="str">
        <f aca="false">IFERROR(IF(INDEX(Resources!$D$2:$D$64,MATCH($D453,Resources!$A$2:$A$64,0))="","",INDEX(Resources!$D$2:$D$64,MATCH($D453,Resources!$A$2:$A$64,0))),"")</f>
        <v>Est. Required Labor</v>
      </c>
      <c r="L453" s="28" t="n">
        <f aca="false">IF(K453="","",J453*INDEX(Resources!$E$2:$E$64,MATCH($D453,Resources!$A$2:$A$64,0)))</f>
        <v>0</v>
      </c>
      <c r="M453" s="6" t="str">
        <f aca="false">B453&amp;"|"&amp;D453&amp;"|"&amp;C453</f>
        <v>Passive House (Certified)|Labor|Input</v>
      </c>
      <c r="N453" s="6" t="s">
        <v>940</v>
      </c>
    </row>
    <row r="454" customFormat="false" ht="15" hidden="false" customHeight="true" outlineLevel="0" collapsed="false">
      <c r="A454" s="6" t="s">
        <v>1423</v>
      </c>
      <c r="B454" s="6" t="s">
        <v>602</v>
      </c>
      <c r="C454" s="6" t="s">
        <v>938</v>
      </c>
      <c r="D454" s="6" t="s">
        <v>269</v>
      </c>
      <c r="E454" s="26" t="n">
        <v>150</v>
      </c>
      <c r="F454" s="6" t="str">
        <f aca="false">IFERROR(INDEX(Resources!$B$2:$B$64,MATCH($D454,Resources!$A$2:$A$64,0)),"?")</f>
        <v>$</v>
      </c>
      <c r="G454" s="6" t="s">
        <v>939</v>
      </c>
      <c r="H454" s="27" t="n">
        <f aca="false">E454*INDEX(Assumptions!$D$17:$D$23,MATCH(G454,Assumptions!$B$17:$B$23,0))</f>
        <v>150</v>
      </c>
      <c r="I454" s="6" t="n">
        <f aca="false">IFERROR(INDEX(Systems!$R$2:$R$179,MATCH($B454,Systems!$B$2:$B$179,0)),0)</f>
        <v>0</v>
      </c>
      <c r="J454" s="27" t="n">
        <f aca="false">H454*I454</f>
        <v>0</v>
      </c>
      <c r="K454" s="6" t="str">
        <f aca="false">IFERROR(IF(INDEX(Resources!$D$2:$D$64,MATCH($D454,Resources!$A$2:$A$64,0))="","",INDEX(Resources!$D$2:$D$64,MATCH($D454,Resources!$A$2:$A$64,0))),"")</f>
        <v/>
      </c>
      <c r="L454" s="28" t="str">
        <f aca="false">IF(K454="","",J454*INDEX(Resources!$E$2:$E$64,MATCH($D454,Resources!$A$2:$A$64,0)))</f>
        <v/>
      </c>
      <c r="M454" s="6" t="str">
        <f aca="false">B454&amp;"|"&amp;D454&amp;"|"&amp;C454</f>
        <v>Passive House (Certified)|Capital|Input</v>
      </c>
    </row>
    <row r="455" customFormat="false" ht="15" hidden="false" customHeight="true" outlineLevel="0" collapsed="false">
      <c r="A455" s="6" t="s">
        <v>1424</v>
      </c>
      <c r="B455" s="6" t="s">
        <v>602</v>
      </c>
      <c r="C455" s="6" t="s">
        <v>943</v>
      </c>
      <c r="D455" s="6" t="s">
        <v>55</v>
      </c>
      <c r="E455" s="26" t="n">
        <v>1500</v>
      </c>
      <c r="F455" s="6" t="str">
        <f aca="false">IFERROR(INDEX(Resources!$B$2:$B$64,MATCH($D455,Resources!$A$2:$A$64,0)),"?")</f>
        <v>sq ft</v>
      </c>
      <c r="G455" s="6" t="s">
        <v>945</v>
      </c>
      <c r="H455" s="27" t="n">
        <f aca="false">E455*INDEX(Assumptions!$D$17:$D$23,MATCH(G455,Assumptions!$B$17:$B$23,0))</f>
        <v>1500</v>
      </c>
      <c r="I455" s="6" t="n">
        <f aca="false">IFERROR(INDEX(Systems!$R$2:$R$179,MATCH($B455,Systems!$B$2:$B$179,0)),0)</f>
        <v>0</v>
      </c>
      <c r="J455" s="27" t="n">
        <f aca="false">H455*I455</f>
        <v>0</v>
      </c>
      <c r="K455" s="6" t="str">
        <f aca="false">IFERROR(IF(INDEX(Resources!$D$2:$D$64,MATCH($D455,Resources!$A$2:$A$64,0))="","",INDEX(Resources!$D$2:$D$64,MATCH($D455,Resources!$A$2:$A$64,0))),"")</f>
        <v>Shelter</v>
      </c>
      <c r="L455" s="28" t="n">
        <f aca="false">IF(K455="","",J455*INDEX(Resources!$E$2:$E$64,MATCH($D455,Resources!$A$2:$A$64,0)))</f>
        <v>0</v>
      </c>
      <c r="M455" s="6" t="str">
        <f aca="false">B455&amp;"|"&amp;D455&amp;"|"&amp;C455</f>
        <v>Passive House (Certified)|Shelter|Output</v>
      </c>
    </row>
    <row r="456" customFormat="false" ht="15" hidden="false" customHeight="true" outlineLevel="0" collapsed="false">
      <c r="A456" s="6" t="s">
        <v>1425</v>
      </c>
      <c r="B456" s="6" t="s">
        <v>602</v>
      </c>
      <c r="C456" s="6" t="s">
        <v>943</v>
      </c>
      <c r="D456" s="6" t="s">
        <v>288</v>
      </c>
      <c r="E456" s="26" t="n">
        <v>1600</v>
      </c>
      <c r="F456" s="6" t="str">
        <f aca="false">IFERROR(INDEX(Resources!$B$2:$B$64,MATCH($D456,Resources!$A$2:$A$64,0)),"?")</f>
        <v>sq ft</v>
      </c>
      <c r="G456" s="6" t="s">
        <v>945</v>
      </c>
      <c r="H456" s="27" t="n">
        <f aca="false">E456*INDEX(Assumptions!$D$17:$D$23,MATCH(G456,Assumptions!$B$17:$B$23,0))</f>
        <v>1600</v>
      </c>
      <c r="I456" s="6" t="n">
        <f aca="false">IFERROR(INDEX(Systems!$R$2:$R$179,MATCH($B456,Systems!$B$2:$B$179,0)),0)</f>
        <v>0</v>
      </c>
      <c r="J456" s="27" t="n">
        <f aca="false">H456*I456</f>
        <v>0</v>
      </c>
      <c r="K456" s="6" t="str">
        <f aca="false">IFERROR(IF(INDEX(Resources!$D$2:$D$64,MATCH($D456,Resources!$A$2:$A$64,0))="","",INDEX(Resources!$D$2:$D$64,MATCH($D456,Resources!$A$2:$A$64,0))),"")</f>
        <v/>
      </c>
      <c r="L456" s="28" t="str">
        <f aca="false">IF(K456="","",J456*INDEX(Resources!$E$2:$E$64,MATCH($D456,Resources!$A$2:$A$64,0)))</f>
        <v/>
      </c>
      <c r="M456" s="6" t="str">
        <f aca="false">B456&amp;"|"&amp;D456&amp;"|"&amp;C456</f>
        <v>Passive House (Certified)|Roofing area|Output</v>
      </c>
    </row>
    <row r="457" customFormat="false" ht="15" hidden="false" customHeight="true" outlineLevel="0" collapsed="false">
      <c r="A457" s="6" t="s">
        <v>1426</v>
      </c>
      <c r="B457" s="6" t="s">
        <v>602</v>
      </c>
      <c r="C457" s="6" t="s">
        <v>938</v>
      </c>
      <c r="D457" s="6" t="s">
        <v>67</v>
      </c>
      <c r="E457" s="29" t="n">
        <f aca="false">INDEX(Systems!$N$2:$N$179,MATCH($B457,Systems!$B$2:$B$179,0))*INDEX(Systems!$O$2:$O$179,MATCH($B457,Systems!$B$2:$B$179,0))*Assumptions!$C$4*24/52</f>
        <v>207692.307692308</v>
      </c>
      <c r="F457" s="6" t="str">
        <f aca="false">IFERROR(INDEX(Resources!$B$2:$B$64,MATCH($D457,Resources!$A$2:$A$64,0)),"?")</f>
        <v>BTU</v>
      </c>
      <c r="G457" s="6" t="s">
        <v>939</v>
      </c>
      <c r="H457" s="27" t="n">
        <f aca="false">E457*INDEX(Assumptions!$D$17:$D$23,MATCH(G457,Assumptions!$B$17:$B$23,0))</f>
        <v>207692.307692308</v>
      </c>
      <c r="I457" s="6" t="n">
        <f aca="false">IFERROR(INDEX(Systems!$R$2:$R$179,MATCH($B457,Systems!$B$2:$B$179,0)),0)</f>
        <v>0</v>
      </c>
      <c r="J457" s="27" t="n">
        <f aca="false">H457*I457</f>
        <v>0</v>
      </c>
      <c r="K457" s="6" t="str">
        <f aca="false">IFERROR(IF(INDEX(Resources!$D$2:$D$64,MATCH($D457,Resources!$A$2:$A$64,0))="","",INDEX(Resources!$D$2:$D$64,MATCH($D457,Resources!$A$2:$A$64,0))),"")</f>
        <v>Heated shelter</v>
      </c>
      <c r="L457" s="28" t="n">
        <f aca="false">IF(K457="","",J457*INDEX(Resources!$E$2:$E$64,MATCH($D457,Resources!$A$2:$A$64,0)))</f>
        <v>0</v>
      </c>
      <c r="M457" s="6" t="str">
        <f aca="false">B457&amp;"|"&amp;D457&amp;"|"&amp;C457</f>
        <v>Passive House (Certified)|Heat|Input</v>
      </c>
      <c r="N457" s="6" t="s">
        <v>972</v>
      </c>
    </row>
    <row r="458" customFormat="false" ht="15" hidden="false" customHeight="true" outlineLevel="0" collapsed="false">
      <c r="A458" s="6" t="s">
        <v>1427</v>
      </c>
      <c r="B458" s="6" t="s">
        <v>602</v>
      </c>
      <c r="C458" s="6" t="s">
        <v>938</v>
      </c>
      <c r="D458" s="6" t="s">
        <v>69</v>
      </c>
      <c r="E458" s="29" t="n">
        <f aca="false">INDEX(Systems!$N$2:$N$179,MATCH($B458,Systems!$B$2:$B$179,0))*INDEX(Systems!$O$2:$O$179,MATCH($B458,Systems!$B$2:$B$179,0))*Assumptions!$C$5*24/52</f>
        <v>27692.3076923077</v>
      </c>
      <c r="F458" s="6" t="str">
        <f aca="false">IFERROR(INDEX(Resources!$B$2:$B$64,MATCH($D458,Resources!$A$2:$A$64,0)),"?")</f>
        <v>BTU</v>
      </c>
      <c r="G458" s="6" t="s">
        <v>939</v>
      </c>
      <c r="H458" s="27" t="n">
        <f aca="false">E458*INDEX(Assumptions!$D$17:$D$23,MATCH(G458,Assumptions!$B$17:$B$23,0))</f>
        <v>27692.3076923077</v>
      </c>
      <c r="I458" s="6" t="n">
        <f aca="false">IFERROR(INDEX(Systems!$R$2:$R$179,MATCH($B458,Systems!$B$2:$B$179,0)),0)</f>
        <v>0</v>
      </c>
      <c r="J458" s="27" t="n">
        <f aca="false">H458*I458</f>
        <v>0</v>
      </c>
      <c r="K458" s="6" t="str">
        <f aca="false">IFERROR(IF(INDEX(Resources!$D$2:$D$64,MATCH($D458,Resources!$A$2:$A$64,0))="","",INDEX(Resources!$D$2:$D$64,MATCH($D458,Resources!$A$2:$A$64,0))),"")</f>
        <v>Cooled shelter</v>
      </c>
      <c r="L458" s="28" t="n">
        <f aca="false">IF(K458="","",J458*INDEX(Resources!$E$2:$E$64,MATCH($D458,Resources!$A$2:$A$64,0)))</f>
        <v>0</v>
      </c>
      <c r="M458" s="6" t="str">
        <f aca="false">B458&amp;"|"&amp;D458&amp;"|"&amp;C458</f>
        <v>Passive House (Certified)|Cooling|Input</v>
      </c>
      <c r="N458" s="6" t="s">
        <v>974</v>
      </c>
    </row>
    <row r="459" customFormat="false" ht="15" hidden="false" customHeight="true" outlineLevel="0" collapsed="false">
      <c r="A459" s="6" t="s">
        <v>1428</v>
      </c>
      <c r="B459" s="6" t="s">
        <v>605</v>
      </c>
      <c r="C459" s="6" t="s">
        <v>938</v>
      </c>
      <c r="D459" s="6" t="s">
        <v>71</v>
      </c>
      <c r="E459" s="26" t="n">
        <v>0.5</v>
      </c>
      <c r="F459" s="6" t="str">
        <f aca="false">IFERROR(INDEX(Resources!$B$2:$B$64,MATCH($D459,Resources!$A$2:$A$64,0)),"?")</f>
        <v>hours</v>
      </c>
      <c r="G459" s="6" t="s">
        <v>939</v>
      </c>
      <c r="H459" s="27" t="n">
        <f aca="false">E459*INDEX(Assumptions!$D$17:$D$23,MATCH(G459,Assumptions!$B$17:$B$23,0))</f>
        <v>0.5</v>
      </c>
      <c r="I459" s="6" t="n">
        <f aca="false">IFERROR(INDEX(Systems!$R$2:$R$179,MATCH($B459,Systems!$B$2:$B$179,0)),0)</f>
        <v>0</v>
      </c>
      <c r="J459" s="27" t="n">
        <f aca="false">H459*I459</f>
        <v>0</v>
      </c>
      <c r="K459" s="6" t="str">
        <f aca="false">IFERROR(IF(INDEX(Resources!$D$2:$D$64,MATCH($D459,Resources!$A$2:$A$64,0))="","",INDEX(Resources!$D$2:$D$64,MATCH($D459,Resources!$A$2:$A$64,0))),"")</f>
        <v>Est. Required Labor</v>
      </c>
      <c r="L459" s="28" t="n">
        <f aca="false">IF(K459="","",J459*INDEX(Resources!$E$2:$E$64,MATCH($D459,Resources!$A$2:$A$64,0)))</f>
        <v>0</v>
      </c>
      <c r="M459" s="6" t="str">
        <f aca="false">B459&amp;"|"&amp;D459&amp;"|"&amp;C459</f>
        <v>Treehouse|Labor|Input</v>
      </c>
      <c r="N459" s="6" t="s">
        <v>940</v>
      </c>
    </row>
    <row r="460" customFormat="false" ht="15" hidden="false" customHeight="true" outlineLevel="0" collapsed="false">
      <c r="A460" s="6" t="s">
        <v>1429</v>
      </c>
      <c r="B460" s="6" t="s">
        <v>605</v>
      </c>
      <c r="C460" s="6" t="s">
        <v>943</v>
      </c>
      <c r="D460" s="6" t="s">
        <v>55</v>
      </c>
      <c r="E460" s="26" t="n">
        <v>250</v>
      </c>
      <c r="F460" s="6" t="str">
        <f aca="false">IFERROR(INDEX(Resources!$B$2:$B$64,MATCH($D460,Resources!$A$2:$A$64,0)),"?")</f>
        <v>sq ft</v>
      </c>
      <c r="G460" s="6" t="s">
        <v>945</v>
      </c>
      <c r="H460" s="27" t="n">
        <f aca="false">E460*INDEX(Assumptions!$D$17:$D$23,MATCH(G460,Assumptions!$B$17:$B$23,0))</f>
        <v>250</v>
      </c>
      <c r="I460" s="6" t="n">
        <f aca="false">IFERROR(INDEX(Systems!$R$2:$R$179,MATCH($B460,Systems!$B$2:$B$179,0)),0)</f>
        <v>0</v>
      </c>
      <c r="J460" s="27" t="n">
        <f aca="false">H460*I460</f>
        <v>0</v>
      </c>
      <c r="K460" s="6" t="str">
        <f aca="false">IFERROR(IF(INDEX(Resources!$D$2:$D$64,MATCH($D460,Resources!$A$2:$A$64,0))="","",INDEX(Resources!$D$2:$D$64,MATCH($D460,Resources!$A$2:$A$64,0))),"")</f>
        <v>Shelter</v>
      </c>
      <c r="L460" s="28" t="n">
        <f aca="false">IF(K460="","",J460*INDEX(Resources!$E$2:$E$64,MATCH($D460,Resources!$A$2:$A$64,0)))</f>
        <v>0</v>
      </c>
      <c r="M460" s="6" t="str">
        <f aca="false">B460&amp;"|"&amp;D460&amp;"|"&amp;C460</f>
        <v>Treehouse|Shelter|Output</v>
      </c>
    </row>
    <row r="461" customFormat="false" ht="15" hidden="false" customHeight="true" outlineLevel="0" collapsed="false">
      <c r="A461" s="6" t="s">
        <v>1430</v>
      </c>
      <c r="B461" s="6" t="s">
        <v>605</v>
      </c>
      <c r="C461" s="6" t="s">
        <v>943</v>
      </c>
      <c r="D461" s="6" t="s">
        <v>288</v>
      </c>
      <c r="E461" s="26" t="n">
        <v>250</v>
      </c>
      <c r="F461" s="6" t="str">
        <f aca="false">IFERROR(INDEX(Resources!$B$2:$B$64,MATCH($D461,Resources!$A$2:$A$64,0)),"?")</f>
        <v>sq ft</v>
      </c>
      <c r="G461" s="6" t="s">
        <v>945</v>
      </c>
      <c r="H461" s="27" t="n">
        <f aca="false">E461*INDEX(Assumptions!$D$17:$D$23,MATCH(G461,Assumptions!$B$17:$B$23,0))</f>
        <v>250</v>
      </c>
      <c r="I461" s="6" t="n">
        <f aca="false">IFERROR(INDEX(Systems!$R$2:$R$179,MATCH($B461,Systems!$B$2:$B$179,0)),0)</f>
        <v>0</v>
      </c>
      <c r="J461" s="27" t="n">
        <f aca="false">H461*I461</f>
        <v>0</v>
      </c>
      <c r="K461" s="6" t="str">
        <f aca="false">IFERROR(IF(INDEX(Resources!$D$2:$D$64,MATCH($D461,Resources!$A$2:$A$64,0))="","",INDEX(Resources!$D$2:$D$64,MATCH($D461,Resources!$A$2:$A$64,0))),"")</f>
        <v/>
      </c>
      <c r="L461" s="28" t="str">
        <f aca="false">IF(K461="","",J461*INDEX(Resources!$E$2:$E$64,MATCH($D461,Resources!$A$2:$A$64,0)))</f>
        <v/>
      </c>
      <c r="M461" s="6" t="str">
        <f aca="false">B461&amp;"|"&amp;D461&amp;"|"&amp;C461</f>
        <v>Treehouse|Roofing area|Output</v>
      </c>
    </row>
    <row r="462" customFormat="false" ht="15" hidden="false" customHeight="true" outlineLevel="0" collapsed="false">
      <c r="A462" s="6" t="s">
        <v>1431</v>
      </c>
      <c r="B462" s="6" t="s">
        <v>605</v>
      </c>
      <c r="C462" s="6" t="s">
        <v>943</v>
      </c>
      <c r="D462" s="6" t="s">
        <v>462</v>
      </c>
      <c r="E462" s="26" t="n">
        <v>5</v>
      </c>
      <c r="F462" s="6" t="str">
        <f aca="false">IFERROR(INDEX(Resources!$B$2:$B$64,MATCH($D462,Resources!$A$2:$A$64,0)),"?")</f>
        <v>points</v>
      </c>
      <c r="G462" s="6" t="s">
        <v>939</v>
      </c>
      <c r="H462" s="27" t="n">
        <f aca="false">E462*INDEX(Assumptions!$D$17:$D$23,MATCH(G462,Assumptions!$B$17:$B$23,0))</f>
        <v>5</v>
      </c>
      <c r="I462" s="6" t="n">
        <f aca="false">IFERROR(INDEX(Systems!$R$2:$R$179,MATCH($B462,Systems!$B$2:$B$179,0)),0)</f>
        <v>0</v>
      </c>
      <c r="J462" s="27" t="n">
        <f aca="false">H462*I462</f>
        <v>0</v>
      </c>
      <c r="K462" s="6" t="str">
        <f aca="false">IFERROR(IF(INDEX(Resources!$D$2:$D$64,MATCH($D462,Resources!$A$2:$A$64,0))="","",INDEX(Resources!$D$2:$D$64,MATCH($D462,Resources!$A$2:$A$64,0))),"")</f>
        <v/>
      </c>
      <c r="L462" s="28" t="str">
        <f aca="false">IF(K462="","",J462*INDEX(Resources!$E$2:$E$64,MATCH($D462,Resources!$A$2:$A$64,0)))</f>
        <v/>
      </c>
      <c r="M462" s="6" t="str">
        <f aca="false">B462&amp;"|"&amp;D462&amp;"|"&amp;C462</f>
        <v>Treehouse|Wellbeing|Output</v>
      </c>
    </row>
    <row r="463" customFormat="false" ht="15" hidden="false" customHeight="true" outlineLevel="0" collapsed="false">
      <c r="A463" s="6" t="s">
        <v>1432</v>
      </c>
      <c r="B463" s="6" t="s">
        <v>605</v>
      </c>
      <c r="C463" s="6" t="s">
        <v>938</v>
      </c>
      <c r="D463" s="6" t="s">
        <v>67</v>
      </c>
      <c r="E463" s="29" t="n">
        <f aca="false">INDEX(Systems!$N$2:$N$179,MATCH($B463,Systems!$B$2:$B$179,0))*INDEX(Systems!$O$2:$O$179,MATCH($B463,Systems!$B$2:$B$179,0))*Assumptions!$C$4*24/52</f>
        <v>311538.461538462</v>
      </c>
      <c r="F463" s="6" t="str">
        <f aca="false">IFERROR(INDEX(Resources!$B$2:$B$64,MATCH($D463,Resources!$A$2:$A$64,0)),"?")</f>
        <v>BTU</v>
      </c>
      <c r="G463" s="6" t="s">
        <v>939</v>
      </c>
      <c r="H463" s="27" t="n">
        <f aca="false">E463*INDEX(Assumptions!$D$17:$D$23,MATCH(G463,Assumptions!$B$17:$B$23,0))</f>
        <v>311538.461538462</v>
      </c>
      <c r="I463" s="6" t="n">
        <f aca="false">IFERROR(INDEX(Systems!$R$2:$R$179,MATCH($B463,Systems!$B$2:$B$179,0)),0)</f>
        <v>0</v>
      </c>
      <c r="J463" s="27" t="n">
        <f aca="false">H463*I463</f>
        <v>0</v>
      </c>
      <c r="K463" s="6" t="str">
        <f aca="false">IFERROR(IF(INDEX(Resources!$D$2:$D$64,MATCH($D463,Resources!$A$2:$A$64,0))="","",INDEX(Resources!$D$2:$D$64,MATCH($D463,Resources!$A$2:$A$64,0))),"")</f>
        <v>Heated shelter</v>
      </c>
      <c r="L463" s="28" t="n">
        <f aca="false">IF(K463="","",J463*INDEX(Resources!$E$2:$E$64,MATCH($D463,Resources!$A$2:$A$64,0)))</f>
        <v>0</v>
      </c>
      <c r="M463" s="6" t="str">
        <f aca="false">B463&amp;"|"&amp;D463&amp;"|"&amp;C463</f>
        <v>Treehouse|Heat|Input</v>
      </c>
      <c r="N463" s="6" t="s">
        <v>972</v>
      </c>
    </row>
    <row r="464" customFormat="false" ht="15" hidden="false" customHeight="true" outlineLevel="0" collapsed="false">
      <c r="A464" s="6" t="s">
        <v>1433</v>
      </c>
      <c r="B464" s="6" t="s">
        <v>605</v>
      </c>
      <c r="C464" s="6" t="s">
        <v>938</v>
      </c>
      <c r="D464" s="6" t="s">
        <v>69</v>
      </c>
      <c r="E464" s="29" t="n">
        <f aca="false">INDEX(Systems!$N$2:$N$179,MATCH($B464,Systems!$B$2:$B$179,0))*INDEX(Systems!$O$2:$O$179,MATCH($B464,Systems!$B$2:$B$179,0))*Assumptions!$C$5*24/52</f>
        <v>41538.4615384615</v>
      </c>
      <c r="F464" s="6" t="str">
        <f aca="false">IFERROR(INDEX(Resources!$B$2:$B$64,MATCH($D464,Resources!$A$2:$A$64,0)),"?")</f>
        <v>BTU</v>
      </c>
      <c r="G464" s="6" t="s">
        <v>939</v>
      </c>
      <c r="H464" s="27" t="n">
        <f aca="false">E464*INDEX(Assumptions!$D$17:$D$23,MATCH(G464,Assumptions!$B$17:$B$23,0))</f>
        <v>41538.4615384615</v>
      </c>
      <c r="I464" s="6" t="n">
        <f aca="false">IFERROR(INDEX(Systems!$R$2:$R$179,MATCH($B464,Systems!$B$2:$B$179,0)),0)</f>
        <v>0</v>
      </c>
      <c r="J464" s="27" t="n">
        <f aca="false">H464*I464</f>
        <v>0</v>
      </c>
      <c r="K464" s="6" t="str">
        <f aca="false">IFERROR(IF(INDEX(Resources!$D$2:$D$64,MATCH($D464,Resources!$A$2:$A$64,0))="","",INDEX(Resources!$D$2:$D$64,MATCH($D464,Resources!$A$2:$A$64,0))),"")</f>
        <v>Cooled shelter</v>
      </c>
      <c r="L464" s="28" t="n">
        <f aca="false">IF(K464="","",J464*INDEX(Resources!$E$2:$E$64,MATCH($D464,Resources!$A$2:$A$64,0)))</f>
        <v>0</v>
      </c>
      <c r="M464" s="6" t="str">
        <f aca="false">B464&amp;"|"&amp;D464&amp;"|"&amp;C464</f>
        <v>Treehouse|Cooling|Input</v>
      </c>
      <c r="N464" s="6" t="s">
        <v>974</v>
      </c>
    </row>
    <row r="465" customFormat="false" ht="15" hidden="false" customHeight="true" outlineLevel="0" collapsed="false">
      <c r="A465" s="6" t="s">
        <v>1434</v>
      </c>
      <c r="B465" s="6" t="s">
        <v>609</v>
      </c>
      <c r="C465" s="6" t="s">
        <v>938</v>
      </c>
      <c r="D465" s="6" t="s">
        <v>71</v>
      </c>
      <c r="E465" s="26" t="n">
        <v>0.05</v>
      </c>
      <c r="F465" s="6" t="str">
        <f aca="false">IFERROR(INDEX(Resources!$B$2:$B$64,MATCH($D465,Resources!$A$2:$A$64,0)),"?")</f>
        <v>hours</v>
      </c>
      <c r="G465" s="6" t="s">
        <v>939</v>
      </c>
      <c r="H465" s="27" t="n">
        <f aca="false">E465*INDEX(Assumptions!$D$17:$D$23,MATCH(G465,Assumptions!$B$17:$B$23,0))</f>
        <v>0.05</v>
      </c>
      <c r="I465" s="6" t="n">
        <f aca="false">IFERROR(INDEX(Systems!$R$2:$R$179,MATCH($B465,Systems!$B$2:$B$179,0)),0)</f>
        <v>0</v>
      </c>
      <c r="J465" s="27" t="n">
        <f aca="false">H465*I465</f>
        <v>0</v>
      </c>
      <c r="K465" s="6" t="str">
        <f aca="false">IFERROR(IF(INDEX(Resources!$D$2:$D$64,MATCH($D465,Resources!$A$2:$A$64,0))="","",INDEX(Resources!$D$2:$D$64,MATCH($D465,Resources!$A$2:$A$64,0))),"")</f>
        <v>Est. Required Labor</v>
      </c>
      <c r="L465" s="28" t="n">
        <f aca="false">IF(K465="","",J465*INDEX(Resources!$E$2:$E$64,MATCH($D465,Resources!$A$2:$A$64,0)))</f>
        <v>0</v>
      </c>
      <c r="M465" s="6" t="str">
        <f aca="false">B465&amp;"|"&amp;D465&amp;"|"&amp;C465</f>
        <v>LiFePO4 Battery Bank (10 kWh)|Labor|Input</v>
      </c>
      <c r="N465" s="6" t="s">
        <v>940</v>
      </c>
    </row>
    <row r="466" customFormat="false" ht="15" hidden="false" customHeight="true" outlineLevel="0" collapsed="false">
      <c r="A466" s="6" t="s">
        <v>1435</v>
      </c>
      <c r="B466" s="6" t="s">
        <v>609</v>
      </c>
      <c r="C466" s="6" t="s">
        <v>938</v>
      </c>
      <c r="D466" s="6" t="s">
        <v>59</v>
      </c>
      <c r="E466" s="26" t="n">
        <v>70</v>
      </c>
      <c r="F466" s="6" t="str">
        <f aca="false">IFERROR(INDEX(Resources!$B$2:$B$64,MATCH($D466,Resources!$A$2:$A$64,0)),"?")</f>
        <v>kWh</v>
      </c>
      <c r="G466" s="6" t="s">
        <v>939</v>
      </c>
      <c r="H466" s="27" t="n">
        <f aca="false">E466*INDEX(Assumptions!$D$17:$D$23,MATCH(G466,Assumptions!$B$17:$B$23,0))</f>
        <v>70</v>
      </c>
      <c r="I466" s="6" t="n">
        <f aca="false">IFERROR(INDEX(Systems!$R$2:$R$179,MATCH($B466,Systems!$B$2:$B$179,0)),0)</f>
        <v>0</v>
      </c>
      <c r="J466" s="27" t="n">
        <f aca="false">H466*I466</f>
        <v>0</v>
      </c>
      <c r="K466" s="6" t="str">
        <f aca="false">IFERROR(IF(INDEX(Resources!$D$2:$D$64,MATCH($D466,Resources!$A$2:$A$64,0))="","",INDEX(Resources!$D$2:$D$64,MATCH($D466,Resources!$A$2:$A$64,0))),"")</f>
        <v>Electricity</v>
      </c>
      <c r="L466" s="28" t="n">
        <f aca="false">IF(K466="","",J466*INDEX(Resources!$E$2:$E$64,MATCH($D466,Resources!$A$2:$A$64,0)))</f>
        <v>0</v>
      </c>
      <c r="M466" s="6" t="str">
        <f aca="false">B466&amp;"|"&amp;D466&amp;"|"&amp;C466</f>
        <v>LiFePO4 Battery Bank (10 kWh)|Electricity|Input</v>
      </c>
    </row>
    <row r="467" customFormat="false" ht="15" hidden="false" customHeight="true" outlineLevel="0" collapsed="false">
      <c r="A467" s="6" t="s">
        <v>1436</v>
      </c>
      <c r="B467" s="6" t="s">
        <v>609</v>
      </c>
      <c r="C467" s="6" t="s">
        <v>943</v>
      </c>
      <c r="D467" s="6" t="s">
        <v>59</v>
      </c>
      <c r="E467" s="26" t="n">
        <v>66</v>
      </c>
      <c r="F467" s="6" t="str">
        <f aca="false">IFERROR(INDEX(Resources!$B$2:$B$64,MATCH($D467,Resources!$A$2:$A$64,0)),"?")</f>
        <v>kWh</v>
      </c>
      <c r="G467" s="6" t="s">
        <v>939</v>
      </c>
      <c r="H467" s="27" t="n">
        <f aca="false">E467*INDEX(Assumptions!$D$17:$D$23,MATCH(G467,Assumptions!$B$17:$B$23,0))</f>
        <v>66</v>
      </c>
      <c r="I467" s="6" t="n">
        <f aca="false">IFERROR(INDEX(Systems!$R$2:$R$179,MATCH($B467,Systems!$B$2:$B$179,0)),0)</f>
        <v>0</v>
      </c>
      <c r="J467" s="27" t="n">
        <f aca="false">H467*I467</f>
        <v>0</v>
      </c>
      <c r="K467" s="6" t="str">
        <f aca="false">IFERROR(IF(INDEX(Resources!$D$2:$D$64,MATCH($D467,Resources!$A$2:$A$64,0))="","",INDEX(Resources!$D$2:$D$64,MATCH($D467,Resources!$A$2:$A$64,0))),"")</f>
        <v>Electricity</v>
      </c>
      <c r="L467" s="28" t="n">
        <f aca="false">IF(K467="","",J467*INDEX(Resources!$E$2:$E$64,MATCH($D467,Resources!$A$2:$A$64,0)))</f>
        <v>0</v>
      </c>
      <c r="M467" s="6" t="str">
        <f aca="false">B467&amp;"|"&amp;D467&amp;"|"&amp;C467</f>
        <v>LiFePO4 Battery Bank (10 kWh)|Electricity|Output</v>
      </c>
    </row>
    <row r="468" customFormat="false" ht="15" hidden="false" customHeight="true" outlineLevel="0" collapsed="false">
      <c r="A468" s="6" t="s">
        <v>1437</v>
      </c>
      <c r="B468" s="6" t="s">
        <v>609</v>
      </c>
      <c r="C468" s="6" t="s">
        <v>943</v>
      </c>
      <c r="D468" s="6" t="s">
        <v>109</v>
      </c>
      <c r="E468" s="26" t="n">
        <v>9</v>
      </c>
      <c r="F468" s="6" t="str">
        <f aca="false">IFERROR(INDEX(Resources!$B$2:$B$64,MATCH($D468,Resources!$A$2:$A$64,0)),"?")</f>
        <v>kWh</v>
      </c>
      <c r="G468" s="6" t="s">
        <v>945</v>
      </c>
      <c r="H468" s="27" t="n">
        <f aca="false">E468*INDEX(Assumptions!$D$17:$D$23,MATCH(G468,Assumptions!$B$17:$B$23,0))</f>
        <v>9</v>
      </c>
      <c r="I468" s="6" t="n">
        <f aca="false">IFERROR(INDEX(Systems!$R$2:$R$179,MATCH($B468,Systems!$B$2:$B$179,0)),0)</f>
        <v>0</v>
      </c>
      <c r="J468" s="27" t="n">
        <f aca="false">H468*I468</f>
        <v>0</v>
      </c>
      <c r="K468" s="6" t="str">
        <f aca="false">IFERROR(IF(INDEX(Resources!$D$2:$D$64,MATCH($D468,Resources!$A$2:$A$64,0))="","",INDEX(Resources!$D$2:$D$64,MATCH($D468,Resources!$A$2:$A$64,0))),"")</f>
        <v/>
      </c>
      <c r="L468" s="28" t="str">
        <f aca="false">IF(K468="","",J468*INDEX(Resources!$E$2:$E$64,MATCH($D468,Resources!$A$2:$A$64,0)))</f>
        <v/>
      </c>
      <c r="M468" s="6" t="str">
        <f aca="false">B468&amp;"|"&amp;D468&amp;"|"&amp;C468</f>
        <v>LiFePO4 Battery Bank (10 kWh)|Battery storage|Output</v>
      </c>
    </row>
    <row r="469" customFormat="false" ht="15" hidden="false" customHeight="true" outlineLevel="0" collapsed="false">
      <c r="A469" s="6" t="s">
        <v>1438</v>
      </c>
      <c r="B469" s="6" t="s">
        <v>612</v>
      </c>
      <c r="C469" s="6" t="s">
        <v>938</v>
      </c>
      <c r="D469" s="6" t="s">
        <v>71</v>
      </c>
      <c r="E469" s="26" t="n">
        <v>0.25</v>
      </c>
      <c r="F469" s="6" t="str">
        <f aca="false">IFERROR(INDEX(Resources!$B$2:$B$64,MATCH($D469,Resources!$A$2:$A$64,0)),"?")</f>
        <v>hours</v>
      </c>
      <c r="G469" s="6" t="s">
        <v>939</v>
      </c>
      <c r="H469" s="27" t="n">
        <f aca="false">E469*INDEX(Assumptions!$D$17:$D$23,MATCH(G469,Assumptions!$B$17:$B$23,0))</f>
        <v>0.25</v>
      </c>
      <c r="I469" s="6" t="n">
        <f aca="false">IFERROR(INDEX(Systems!$R$2:$R$179,MATCH($B469,Systems!$B$2:$B$179,0)),0)</f>
        <v>0</v>
      </c>
      <c r="J469" s="27" t="n">
        <f aca="false">H469*I469</f>
        <v>0</v>
      </c>
      <c r="K469" s="6" t="str">
        <f aca="false">IFERROR(IF(INDEX(Resources!$D$2:$D$64,MATCH($D469,Resources!$A$2:$A$64,0))="","",INDEX(Resources!$D$2:$D$64,MATCH($D469,Resources!$A$2:$A$64,0))),"")</f>
        <v>Est. Required Labor</v>
      </c>
      <c r="L469" s="28" t="n">
        <f aca="false">IF(K469="","",J469*INDEX(Resources!$E$2:$E$64,MATCH($D469,Resources!$A$2:$A$64,0)))</f>
        <v>0</v>
      </c>
      <c r="M469" s="6" t="str">
        <f aca="false">B469&amp;"|"&amp;D469&amp;"|"&amp;C469</f>
        <v>Small Wind Turbine (1.5 kW)|Labor|Input</v>
      </c>
      <c r="N469" s="6" t="s">
        <v>940</v>
      </c>
    </row>
    <row r="470" customFormat="false" ht="15" hidden="false" customHeight="true" outlineLevel="0" collapsed="false">
      <c r="A470" s="6" t="s">
        <v>1439</v>
      </c>
      <c r="B470" s="6" t="s">
        <v>612</v>
      </c>
      <c r="C470" s="6" t="s">
        <v>938</v>
      </c>
      <c r="D470" s="6" t="s">
        <v>1440</v>
      </c>
      <c r="E470" s="26" t="n">
        <v>168</v>
      </c>
      <c r="F470" s="6" t="str">
        <f aca="false">IFERROR(INDEX(Resources!$B$2:$B$64,MATCH($D470,Resources!$A$2:$A$64,0)),"?")</f>
        <v>hours</v>
      </c>
      <c r="G470" s="6" t="s">
        <v>939</v>
      </c>
      <c r="H470" s="27" t="n">
        <f aca="false">E470*INDEX(Assumptions!$D$17:$D$23,MATCH(G470,Assumptions!$B$17:$B$23,0))</f>
        <v>168</v>
      </c>
      <c r="I470" s="6" t="n">
        <f aca="false">IFERROR(INDEX(Systems!$R$2:$R$179,MATCH($B470,Systems!$B$2:$B$179,0)),0)</f>
        <v>0</v>
      </c>
      <c r="J470" s="27" t="n">
        <f aca="false">H470*I470</f>
        <v>0</v>
      </c>
      <c r="K470" s="6" t="str">
        <f aca="false">IFERROR(IF(INDEX(Resources!$D$2:$D$64,MATCH($D470,Resources!$A$2:$A$64,0))="","",INDEX(Resources!$D$2:$D$64,MATCH($D470,Resources!$A$2:$A$64,0))),"")</f>
        <v/>
      </c>
      <c r="L470" s="28" t="str">
        <f aca="false">IF(K470="","",J470*INDEX(Resources!$E$2:$E$64,MATCH($D470,Resources!$A$2:$A$64,0)))</f>
        <v/>
      </c>
      <c r="M470" s="6" t="str">
        <f aca="false">B470&amp;"|"&amp;D470&amp;"|"&amp;C470</f>
        <v>Small Wind Turbine (1.5 kW)|Wind|Input</v>
      </c>
    </row>
    <row r="471" customFormat="false" ht="15" hidden="false" customHeight="true" outlineLevel="0" collapsed="false">
      <c r="A471" s="6" t="s">
        <v>1441</v>
      </c>
      <c r="B471" s="6" t="s">
        <v>612</v>
      </c>
      <c r="C471" s="6" t="s">
        <v>943</v>
      </c>
      <c r="D471" s="6" t="s">
        <v>59</v>
      </c>
      <c r="E471" s="29" t="n">
        <f aca="false">1.5*168*Assumptions!$C$10</f>
        <v>37.8</v>
      </c>
      <c r="F471" s="6" t="str">
        <f aca="false">IFERROR(INDEX(Resources!$B$2:$B$64,MATCH($D471,Resources!$A$2:$A$64,0)),"?")</f>
        <v>kWh</v>
      </c>
      <c r="G471" s="6" t="s">
        <v>939</v>
      </c>
      <c r="H471" s="27" t="n">
        <f aca="false">E471*INDEX(Assumptions!$D$17:$D$23,MATCH(G471,Assumptions!$B$17:$B$23,0))</f>
        <v>37.8</v>
      </c>
      <c r="I471" s="6" t="n">
        <f aca="false">IFERROR(INDEX(Systems!$R$2:$R$179,MATCH($B471,Systems!$B$2:$B$179,0)),0)</f>
        <v>0</v>
      </c>
      <c r="J471" s="27" t="n">
        <f aca="false">H471*I471</f>
        <v>0</v>
      </c>
      <c r="K471" s="6" t="str">
        <f aca="false">IFERROR(IF(INDEX(Resources!$D$2:$D$64,MATCH($D471,Resources!$A$2:$A$64,0))="","",INDEX(Resources!$D$2:$D$64,MATCH($D471,Resources!$A$2:$A$64,0))),"")</f>
        <v>Electricity</v>
      </c>
      <c r="L471" s="28" t="n">
        <f aca="false">IF(K471="","",J471*INDEX(Resources!$E$2:$E$64,MATCH($D471,Resources!$A$2:$A$64,0)))</f>
        <v>0</v>
      </c>
      <c r="M471" s="6" t="str">
        <f aca="false">B471&amp;"|"&amp;D471&amp;"|"&amp;C471</f>
        <v>Small Wind Turbine (1.5 kW)|Electricity|Output</v>
      </c>
      <c r="N471" s="6" t="s">
        <v>1442</v>
      </c>
    </row>
    <row r="472" customFormat="false" ht="15" hidden="false" customHeight="true" outlineLevel="0" collapsed="false">
      <c r="A472" s="6" t="s">
        <v>1443</v>
      </c>
      <c r="B472" s="6" t="s">
        <v>616</v>
      </c>
      <c r="C472" s="6" t="s">
        <v>938</v>
      </c>
      <c r="D472" s="6" t="s">
        <v>71</v>
      </c>
      <c r="E472" s="26" t="n">
        <v>0.5</v>
      </c>
      <c r="F472" s="6" t="str">
        <f aca="false">IFERROR(INDEX(Resources!$B$2:$B$64,MATCH($D472,Resources!$A$2:$A$64,0)),"?")</f>
        <v>hours</v>
      </c>
      <c r="G472" s="6" t="s">
        <v>939</v>
      </c>
      <c r="H472" s="27" t="n">
        <f aca="false">E472*INDEX(Assumptions!$D$17:$D$23,MATCH(G472,Assumptions!$B$17:$B$23,0))</f>
        <v>0.5</v>
      </c>
      <c r="I472" s="6" t="n">
        <f aca="false">IFERROR(INDEX(Systems!$R$2:$R$179,MATCH($B472,Systems!$B$2:$B$179,0)),0)</f>
        <v>0</v>
      </c>
      <c r="J472" s="27" t="n">
        <f aca="false">H472*I472</f>
        <v>0</v>
      </c>
      <c r="K472" s="6" t="str">
        <f aca="false">IFERROR(IF(INDEX(Resources!$D$2:$D$64,MATCH($D472,Resources!$A$2:$A$64,0))="","",INDEX(Resources!$D$2:$D$64,MATCH($D472,Resources!$A$2:$A$64,0))),"")</f>
        <v>Est. Required Labor</v>
      </c>
      <c r="L472" s="28" t="n">
        <f aca="false">IF(K472="","",J472*INDEX(Resources!$E$2:$E$64,MATCH($D472,Resources!$A$2:$A$64,0)))</f>
        <v>0</v>
      </c>
      <c r="M472" s="6" t="str">
        <f aca="false">B472&amp;"|"&amp;D472&amp;"|"&amp;C472</f>
        <v>Micro-Hydro Turbine (500 W)|Labor|Input</v>
      </c>
      <c r="N472" s="6" t="s">
        <v>940</v>
      </c>
    </row>
    <row r="473" customFormat="false" ht="15" hidden="false" customHeight="true" outlineLevel="0" collapsed="false">
      <c r="A473" s="6" t="s">
        <v>1444</v>
      </c>
      <c r="B473" s="6" t="s">
        <v>616</v>
      </c>
      <c r="C473" s="6" t="s">
        <v>938</v>
      </c>
      <c r="D473" s="6" t="s">
        <v>1445</v>
      </c>
      <c r="E473" s="26" t="n">
        <v>168</v>
      </c>
      <c r="F473" s="6" t="str">
        <f aca="false">IFERROR(INDEX(Resources!$B$2:$B$64,MATCH($D473,Resources!$A$2:$A$64,0)),"?")</f>
        <v>hours</v>
      </c>
      <c r="G473" s="6" t="s">
        <v>939</v>
      </c>
      <c r="H473" s="27" t="n">
        <f aca="false">E473*INDEX(Assumptions!$D$17:$D$23,MATCH(G473,Assumptions!$B$17:$B$23,0))</f>
        <v>168</v>
      </c>
      <c r="I473" s="6" t="n">
        <f aca="false">IFERROR(INDEX(Systems!$R$2:$R$179,MATCH($B473,Systems!$B$2:$B$179,0)),0)</f>
        <v>0</v>
      </c>
      <c r="J473" s="27" t="n">
        <f aca="false">H473*I473</f>
        <v>0</v>
      </c>
      <c r="K473" s="6" t="str">
        <f aca="false">IFERROR(IF(INDEX(Resources!$D$2:$D$64,MATCH($D473,Resources!$A$2:$A$64,0))="","",INDEX(Resources!$D$2:$D$64,MATCH($D473,Resources!$A$2:$A$64,0))),"")</f>
        <v/>
      </c>
      <c r="L473" s="28" t="str">
        <f aca="false">IF(K473="","",J473*INDEX(Resources!$E$2:$E$64,MATCH($D473,Resources!$A$2:$A$64,0)))</f>
        <v/>
      </c>
      <c r="M473" s="6" t="str">
        <f aca="false">B473&amp;"|"&amp;D473&amp;"|"&amp;C473</f>
        <v>Micro-Hydro Turbine (500 W)|Stream flow|Input</v>
      </c>
    </row>
    <row r="474" customFormat="false" ht="15" hidden="false" customHeight="true" outlineLevel="0" collapsed="false">
      <c r="A474" s="6" t="s">
        <v>1446</v>
      </c>
      <c r="B474" s="6" t="s">
        <v>616</v>
      </c>
      <c r="C474" s="6" t="s">
        <v>943</v>
      </c>
      <c r="D474" s="6" t="s">
        <v>59</v>
      </c>
      <c r="E474" s="29" t="n">
        <f aca="false">0.5*168*Assumptions!$C$11</f>
        <v>71.4</v>
      </c>
      <c r="F474" s="6" t="str">
        <f aca="false">IFERROR(INDEX(Resources!$B$2:$B$64,MATCH($D474,Resources!$A$2:$A$64,0)),"?")</f>
        <v>kWh</v>
      </c>
      <c r="G474" s="6" t="s">
        <v>939</v>
      </c>
      <c r="H474" s="27" t="n">
        <f aca="false">E474*INDEX(Assumptions!$D$17:$D$23,MATCH(G474,Assumptions!$B$17:$B$23,0))</f>
        <v>71.4</v>
      </c>
      <c r="I474" s="6" t="n">
        <f aca="false">IFERROR(INDEX(Systems!$R$2:$R$179,MATCH($B474,Systems!$B$2:$B$179,0)),0)</f>
        <v>0</v>
      </c>
      <c r="J474" s="27" t="n">
        <f aca="false">H474*I474</f>
        <v>0</v>
      </c>
      <c r="K474" s="6" t="str">
        <f aca="false">IFERROR(IF(INDEX(Resources!$D$2:$D$64,MATCH($D474,Resources!$A$2:$A$64,0))="","",INDEX(Resources!$D$2:$D$64,MATCH($D474,Resources!$A$2:$A$64,0))),"")</f>
        <v>Electricity</v>
      </c>
      <c r="L474" s="28" t="n">
        <f aca="false">IF(K474="","",J474*INDEX(Resources!$E$2:$E$64,MATCH($D474,Resources!$A$2:$A$64,0)))</f>
        <v>0</v>
      </c>
      <c r="M474" s="6" t="str">
        <f aca="false">B474&amp;"|"&amp;D474&amp;"|"&amp;C474</f>
        <v>Micro-Hydro Turbine (500 W)|Electricity|Output</v>
      </c>
      <c r="N474" s="6" t="s">
        <v>1447</v>
      </c>
    </row>
    <row r="475" customFormat="false" ht="15" hidden="false" customHeight="true" outlineLevel="0" collapsed="false">
      <c r="A475" s="6" t="s">
        <v>1448</v>
      </c>
      <c r="B475" s="6" t="s">
        <v>620</v>
      </c>
      <c r="C475" s="6" t="s">
        <v>938</v>
      </c>
      <c r="D475" s="6" t="s">
        <v>71</v>
      </c>
      <c r="E475" s="26" t="n">
        <v>0.25</v>
      </c>
      <c r="F475" s="6" t="str">
        <f aca="false">IFERROR(INDEX(Resources!$B$2:$B$64,MATCH($D475,Resources!$A$2:$A$64,0)),"?")</f>
        <v>hours</v>
      </c>
      <c r="G475" s="6" t="s">
        <v>939</v>
      </c>
      <c r="H475" s="27" t="n">
        <f aca="false">E475*INDEX(Assumptions!$D$17:$D$23,MATCH(G475,Assumptions!$B$17:$B$23,0))</f>
        <v>0.25</v>
      </c>
      <c r="I475" s="6" t="n">
        <f aca="false">IFERROR(INDEX(Systems!$R$2:$R$179,MATCH($B475,Systems!$B$2:$B$179,0)),0)</f>
        <v>0</v>
      </c>
      <c r="J475" s="27" t="n">
        <f aca="false">H475*I475</f>
        <v>0</v>
      </c>
      <c r="K475" s="6" t="str">
        <f aca="false">IFERROR(IF(INDEX(Resources!$D$2:$D$64,MATCH($D475,Resources!$A$2:$A$64,0))="","",INDEX(Resources!$D$2:$D$64,MATCH($D475,Resources!$A$2:$A$64,0))),"")</f>
        <v>Est. Required Labor</v>
      </c>
      <c r="L475" s="28" t="n">
        <f aca="false">IF(K475="","",J475*INDEX(Resources!$E$2:$E$64,MATCH($D475,Resources!$A$2:$A$64,0)))</f>
        <v>0</v>
      </c>
      <c r="M475" s="6" t="str">
        <f aca="false">B475&amp;"|"&amp;D475&amp;"|"&amp;C475</f>
        <v>Portable Gas Generator (3.5 kW)|Labor|Input</v>
      </c>
      <c r="N475" s="6" t="s">
        <v>940</v>
      </c>
    </row>
    <row r="476" customFormat="false" ht="15" hidden="false" customHeight="true" outlineLevel="0" collapsed="false">
      <c r="A476" s="6" t="s">
        <v>1449</v>
      </c>
      <c r="B476" s="6" t="s">
        <v>620</v>
      </c>
      <c r="C476" s="6" t="s">
        <v>938</v>
      </c>
      <c r="D476" s="6" t="s">
        <v>999</v>
      </c>
      <c r="E476" s="26" t="n">
        <v>3</v>
      </c>
      <c r="F476" s="6" t="str">
        <f aca="false">IFERROR(INDEX(Resources!$B$2:$B$64,MATCH($D476,Resources!$A$2:$A$64,0)),"?")</f>
        <v>gal</v>
      </c>
      <c r="G476" s="6" t="s">
        <v>939</v>
      </c>
      <c r="H476" s="27" t="n">
        <f aca="false">E476*INDEX(Assumptions!$D$17:$D$23,MATCH(G476,Assumptions!$B$17:$B$23,0))</f>
        <v>3</v>
      </c>
      <c r="I476" s="6" t="n">
        <f aca="false">IFERROR(INDEX(Systems!$R$2:$R$179,MATCH($B476,Systems!$B$2:$B$179,0)),0)</f>
        <v>0</v>
      </c>
      <c r="J476" s="27" t="n">
        <f aca="false">H476*I476</f>
        <v>0</v>
      </c>
      <c r="K476" s="6" t="str">
        <f aca="false">IFERROR(IF(INDEX(Resources!$D$2:$D$64,MATCH($D476,Resources!$A$2:$A$64,0))="","",INDEX(Resources!$D$2:$D$64,MATCH($D476,Resources!$A$2:$A$64,0))),"")</f>
        <v/>
      </c>
      <c r="L476" s="28" t="str">
        <f aca="false">IF(K476="","",J476*INDEX(Resources!$E$2:$E$64,MATCH($D476,Resources!$A$2:$A$64,0)))</f>
        <v/>
      </c>
      <c r="M476" s="6" t="str">
        <f aca="false">B476&amp;"|"&amp;D476&amp;"|"&amp;C476</f>
        <v>Portable Gas Generator (3.5 kW)|Gasoline|Input</v>
      </c>
    </row>
    <row r="477" customFormat="false" ht="15" hidden="false" customHeight="true" outlineLevel="0" collapsed="false">
      <c r="A477" s="6" t="s">
        <v>1450</v>
      </c>
      <c r="B477" s="6" t="s">
        <v>620</v>
      </c>
      <c r="C477" s="6" t="s">
        <v>943</v>
      </c>
      <c r="D477" s="6" t="s">
        <v>59</v>
      </c>
      <c r="E477" s="26" t="n">
        <v>18</v>
      </c>
      <c r="F477" s="6" t="str">
        <f aca="false">IFERROR(INDEX(Resources!$B$2:$B$64,MATCH($D477,Resources!$A$2:$A$64,0)),"?")</f>
        <v>kWh</v>
      </c>
      <c r="G477" s="6" t="s">
        <v>939</v>
      </c>
      <c r="H477" s="27" t="n">
        <f aca="false">E477*INDEX(Assumptions!$D$17:$D$23,MATCH(G477,Assumptions!$B$17:$B$23,0))</f>
        <v>18</v>
      </c>
      <c r="I477" s="6" t="n">
        <f aca="false">IFERROR(INDEX(Systems!$R$2:$R$179,MATCH($B477,Systems!$B$2:$B$179,0)),0)</f>
        <v>0</v>
      </c>
      <c r="J477" s="27" t="n">
        <f aca="false">H477*I477</f>
        <v>0</v>
      </c>
      <c r="K477" s="6" t="str">
        <f aca="false">IFERROR(IF(INDEX(Resources!$D$2:$D$64,MATCH($D477,Resources!$A$2:$A$64,0))="","",INDEX(Resources!$D$2:$D$64,MATCH($D477,Resources!$A$2:$A$64,0))),"")</f>
        <v>Electricity</v>
      </c>
      <c r="L477" s="28" t="n">
        <f aca="false">IF(K477="","",J477*INDEX(Resources!$E$2:$E$64,MATCH($D477,Resources!$A$2:$A$64,0)))</f>
        <v>0</v>
      </c>
      <c r="M477" s="6" t="str">
        <f aca="false">B477&amp;"|"&amp;D477&amp;"|"&amp;C477</f>
        <v>Portable Gas Generator (3.5 kW)|Electricity|Output</v>
      </c>
    </row>
    <row r="478" customFormat="false" ht="15" hidden="false" customHeight="true" outlineLevel="0" collapsed="false">
      <c r="A478" s="6" t="s">
        <v>1451</v>
      </c>
      <c r="B478" s="6" t="s">
        <v>623</v>
      </c>
      <c r="C478" s="6" t="s">
        <v>938</v>
      </c>
      <c r="D478" s="6" t="s">
        <v>71</v>
      </c>
      <c r="E478" s="26" t="n">
        <v>0.25</v>
      </c>
      <c r="F478" s="6" t="str">
        <f aca="false">IFERROR(INDEX(Resources!$B$2:$B$64,MATCH($D478,Resources!$A$2:$A$64,0)),"?")</f>
        <v>hours</v>
      </c>
      <c r="G478" s="6" t="s">
        <v>939</v>
      </c>
      <c r="H478" s="27" t="n">
        <f aca="false">E478*INDEX(Assumptions!$D$17:$D$23,MATCH(G478,Assumptions!$B$17:$B$23,0))</f>
        <v>0.25</v>
      </c>
      <c r="I478" s="6" t="n">
        <f aca="false">IFERROR(INDEX(Systems!$R$2:$R$179,MATCH($B478,Systems!$B$2:$B$179,0)),0)</f>
        <v>0</v>
      </c>
      <c r="J478" s="27" t="n">
        <f aca="false">H478*I478</f>
        <v>0</v>
      </c>
      <c r="K478" s="6" t="str">
        <f aca="false">IFERROR(IF(INDEX(Resources!$D$2:$D$64,MATCH($D478,Resources!$A$2:$A$64,0))="","",INDEX(Resources!$D$2:$D$64,MATCH($D478,Resources!$A$2:$A$64,0))),"")</f>
        <v>Est. Required Labor</v>
      </c>
      <c r="L478" s="28" t="n">
        <f aca="false">IF(K478="","",J478*INDEX(Resources!$E$2:$E$64,MATCH($D478,Resources!$A$2:$A$64,0)))</f>
        <v>0</v>
      </c>
      <c r="M478" s="6" t="str">
        <f aca="false">B478&amp;"|"&amp;D478&amp;"|"&amp;C478</f>
        <v>Propane Generator (7 kW)|Labor|Input</v>
      </c>
      <c r="N478" s="6" t="s">
        <v>940</v>
      </c>
    </row>
    <row r="479" customFormat="false" ht="15" hidden="false" customHeight="true" outlineLevel="0" collapsed="false">
      <c r="A479" s="6" t="s">
        <v>1452</v>
      </c>
      <c r="B479" s="6" t="s">
        <v>623</v>
      </c>
      <c r="C479" s="6" t="s">
        <v>938</v>
      </c>
      <c r="D479" s="6" t="s">
        <v>1453</v>
      </c>
      <c r="E479" s="26" t="n">
        <v>8</v>
      </c>
      <c r="F479" s="6" t="str">
        <f aca="false">IFERROR(INDEX(Resources!$B$2:$B$64,MATCH($D479,Resources!$A$2:$A$64,0)),"?")</f>
        <v>gal</v>
      </c>
      <c r="G479" s="6" t="s">
        <v>939</v>
      </c>
      <c r="H479" s="27" t="n">
        <f aca="false">E479*INDEX(Assumptions!$D$17:$D$23,MATCH(G479,Assumptions!$B$17:$B$23,0))</f>
        <v>8</v>
      </c>
      <c r="I479" s="6" t="n">
        <f aca="false">IFERROR(INDEX(Systems!$R$2:$R$179,MATCH($B479,Systems!$B$2:$B$179,0)),0)</f>
        <v>0</v>
      </c>
      <c r="J479" s="27" t="n">
        <f aca="false">H479*I479</f>
        <v>0</v>
      </c>
      <c r="K479" s="6" t="str">
        <f aca="false">IFERROR(IF(INDEX(Resources!$D$2:$D$64,MATCH($D479,Resources!$A$2:$A$64,0))="","",INDEX(Resources!$D$2:$D$64,MATCH($D479,Resources!$A$2:$A$64,0))),"")</f>
        <v/>
      </c>
      <c r="L479" s="28" t="str">
        <f aca="false">IF(K479="","",J479*INDEX(Resources!$E$2:$E$64,MATCH($D479,Resources!$A$2:$A$64,0)))</f>
        <v/>
      </c>
      <c r="M479" s="6" t="str">
        <f aca="false">B479&amp;"|"&amp;D479&amp;"|"&amp;C479</f>
        <v>Propane Generator (7 kW)|Propane|Input</v>
      </c>
    </row>
    <row r="480" customFormat="false" ht="15" hidden="false" customHeight="true" outlineLevel="0" collapsed="false">
      <c r="A480" s="6" t="s">
        <v>1454</v>
      </c>
      <c r="B480" s="6" t="s">
        <v>623</v>
      </c>
      <c r="C480" s="6" t="s">
        <v>943</v>
      </c>
      <c r="D480" s="6" t="s">
        <v>59</v>
      </c>
      <c r="E480" s="26" t="n">
        <v>54</v>
      </c>
      <c r="F480" s="6" t="str">
        <f aca="false">IFERROR(INDEX(Resources!$B$2:$B$64,MATCH($D480,Resources!$A$2:$A$64,0)),"?")</f>
        <v>kWh</v>
      </c>
      <c r="G480" s="6" t="s">
        <v>939</v>
      </c>
      <c r="H480" s="27" t="n">
        <f aca="false">E480*INDEX(Assumptions!$D$17:$D$23,MATCH(G480,Assumptions!$B$17:$B$23,0))</f>
        <v>54</v>
      </c>
      <c r="I480" s="6" t="n">
        <f aca="false">IFERROR(INDEX(Systems!$R$2:$R$179,MATCH($B480,Systems!$B$2:$B$179,0)),0)</f>
        <v>0</v>
      </c>
      <c r="J480" s="27" t="n">
        <f aca="false">H480*I480</f>
        <v>0</v>
      </c>
      <c r="K480" s="6" t="str">
        <f aca="false">IFERROR(IF(INDEX(Resources!$D$2:$D$64,MATCH($D480,Resources!$A$2:$A$64,0))="","",INDEX(Resources!$D$2:$D$64,MATCH($D480,Resources!$A$2:$A$64,0))),"")</f>
        <v>Electricity</v>
      </c>
      <c r="L480" s="28" t="n">
        <f aca="false">IF(K480="","",J480*INDEX(Resources!$E$2:$E$64,MATCH($D480,Resources!$A$2:$A$64,0)))</f>
        <v>0</v>
      </c>
      <c r="M480" s="6" t="str">
        <f aca="false">B480&amp;"|"&amp;D480&amp;"|"&amp;C480</f>
        <v>Propane Generator (7 kW)|Electricity|Output</v>
      </c>
    </row>
    <row r="481" customFormat="false" ht="15" hidden="false" customHeight="true" outlineLevel="0" collapsed="false">
      <c r="A481" s="6" t="s">
        <v>1455</v>
      </c>
      <c r="B481" s="6" t="s">
        <v>626</v>
      </c>
      <c r="C481" s="6" t="s">
        <v>938</v>
      </c>
      <c r="D481" s="6" t="s">
        <v>71</v>
      </c>
      <c r="E481" s="26" t="n">
        <v>0.05</v>
      </c>
      <c r="F481" s="6" t="str">
        <f aca="false">IFERROR(INDEX(Resources!$B$2:$B$64,MATCH($D481,Resources!$A$2:$A$64,0)),"?")</f>
        <v>hours</v>
      </c>
      <c r="G481" s="6" t="s">
        <v>939</v>
      </c>
      <c r="H481" s="27" t="n">
        <f aca="false">E481*INDEX(Assumptions!$D$17:$D$23,MATCH(G481,Assumptions!$B$17:$B$23,0))</f>
        <v>0.05</v>
      </c>
      <c r="I481" s="6" t="n">
        <f aca="false">IFERROR(INDEX(Systems!$R$2:$R$179,MATCH($B481,Systems!$B$2:$B$179,0)),0)</f>
        <v>0</v>
      </c>
      <c r="J481" s="27" t="n">
        <f aca="false">H481*I481</f>
        <v>0</v>
      </c>
      <c r="K481" s="6" t="str">
        <f aca="false">IFERROR(IF(INDEX(Resources!$D$2:$D$64,MATCH($D481,Resources!$A$2:$A$64,0))="","",INDEX(Resources!$D$2:$D$64,MATCH($D481,Resources!$A$2:$A$64,0))),"")</f>
        <v>Est. Required Labor</v>
      </c>
      <c r="L481" s="28" t="n">
        <f aca="false">IF(K481="","",J481*INDEX(Resources!$E$2:$E$64,MATCH($D481,Resources!$A$2:$A$64,0)))</f>
        <v>0</v>
      </c>
      <c r="M481" s="6" t="str">
        <f aca="false">B481&amp;"|"&amp;D481&amp;"|"&amp;C481</f>
        <v>Solar Charge Controller + Inverter (3 kW)|Labor|Input</v>
      </c>
      <c r="N481" s="6" t="s">
        <v>940</v>
      </c>
    </row>
    <row r="482" customFormat="false" ht="15" hidden="false" customHeight="true" outlineLevel="0" collapsed="false">
      <c r="A482" s="6" t="s">
        <v>1456</v>
      </c>
      <c r="B482" s="6" t="s">
        <v>626</v>
      </c>
      <c r="C482" s="6" t="s">
        <v>938</v>
      </c>
      <c r="D482" s="6" t="s">
        <v>59</v>
      </c>
      <c r="E482" s="26" t="n">
        <v>50</v>
      </c>
      <c r="F482" s="6" t="str">
        <f aca="false">IFERROR(INDEX(Resources!$B$2:$B$64,MATCH($D482,Resources!$A$2:$A$64,0)),"?")</f>
        <v>kWh</v>
      </c>
      <c r="G482" s="6" t="s">
        <v>939</v>
      </c>
      <c r="H482" s="27" t="n">
        <f aca="false">E482*INDEX(Assumptions!$D$17:$D$23,MATCH(G482,Assumptions!$B$17:$B$23,0))</f>
        <v>50</v>
      </c>
      <c r="I482" s="6" t="n">
        <f aca="false">IFERROR(INDEX(Systems!$R$2:$R$179,MATCH($B482,Systems!$B$2:$B$179,0)),0)</f>
        <v>0</v>
      </c>
      <c r="J482" s="27" t="n">
        <f aca="false">H482*I482</f>
        <v>0</v>
      </c>
      <c r="K482" s="6" t="str">
        <f aca="false">IFERROR(IF(INDEX(Resources!$D$2:$D$64,MATCH($D482,Resources!$A$2:$A$64,0))="","",INDEX(Resources!$D$2:$D$64,MATCH($D482,Resources!$A$2:$A$64,0))),"")</f>
        <v>Electricity</v>
      </c>
      <c r="L482" s="28" t="n">
        <f aca="false">IF(K482="","",J482*INDEX(Resources!$E$2:$E$64,MATCH($D482,Resources!$A$2:$A$64,0)))</f>
        <v>0</v>
      </c>
      <c r="M482" s="6" t="str">
        <f aca="false">B482&amp;"|"&amp;D482&amp;"|"&amp;C482</f>
        <v>Solar Charge Controller + Inverter (3 kW)|Electricity|Input</v>
      </c>
    </row>
    <row r="483" customFormat="false" ht="15" hidden="false" customHeight="true" outlineLevel="0" collapsed="false">
      <c r="A483" s="6" t="s">
        <v>1457</v>
      </c>
      <c r="B483" s="6" t="s">
        <v>626</v>
      </c>
      <c r="C483" s="6" t="s">
        <v>943</v>
      </c>
      <c r="D483" s="6" t="s">
        <v>59</v>
      </c>
      <c r="E483" s="26" t="n">
        <v>47</v>
      </c>
      <c r="F483" s="6" t="str">
        <f aca="false">IFERROR(INDEX(Resources!$B$2:$B$64,MATCH($D483,Resources!$A$2:$A$64,0)),"?")</f>
        <v>kWh</v>
      </c>
      <c r="G483" s="6" t="s">
        <v>939</v>
      </c>
      <c r="H483" s="27" t="n">
        <f aca="false">E483*INDEX(Assumptions!$D$17:$D$23,MATCH(G483,Assumptions!$B$17:$B$23,0))</f>
        <v>47</v>
      </c>
      <c r="I483" s="6" t="n">
        <f aca="false">IFERROR(INDEX(Systems!$R$2:$R$179,MATCH($B483,Systems!$B$2:$B$179,0)),0)</f>
        <v>0</v>
      </c>
      <c r="J483" s="27" t="n">
        <f aca="false">H483*I483</f>
        <v>0</v>
      </c>
      <c r="K483" s="6" t="str">
        <f aca="false">IFERROR(IF(INDEX(Resources!$D$2:$D$64,MATCH($D483,Resources!$A$2:$A$64,0))="","",INDEX(Resources!$D$2:$D$64,MATCH($D483,Resources!$A$2:$A$64,0))),"")</f>
        <v>Electricity</v>
      </c>
      <c r="L483" s="28" t="n">
        <f aca="false">IF(K483="","",J483*INDEX(Resources!$E$2:$E$64,MATCH($D483,Resources!$A$2:$A$64,0)))</f>
        <v>0</v>
      </c>
      <c r="M483" s="6" t="str">
        <f aca="false">B483&amp;"|"&amp;D483&amp;"|"&amp;C483</f>
        <v>Solar Charge Controller + Inverter (3 kW)|Electricity|Output</v>
      </c>
    </row>
    <row r="484" customFormat="false" ht="15" hidden="false" customHeight="true" outlineLevel="0" collapsed="false">
      <c r="A484" s="6" t="s">
        <v>1458</v>
      </c>
      <c r="B484" s="6" t="s">
        <v>630</v>
      </c>
      <c r="C484" s="6" t="s">
        <v>938</v>
      </c>
      <c r="D484" s="6" t="s">
        <v>71</v>
      </c>
      <c r="E484" s="26" t="n">
        <v>0.05</v>
      </c>
      <c r="F484" s="6" t="str">
        <f aca="false">IFERROR(INDEX(Resources!$B$2:$B$64,MATCH($D484,Resources!$A$2:$A$64,0)),"?")</f>
        <v>hours</v>
      </c>
      <c r="G484" s="6" t="s">
        <v>939</v>
      </c>
      <c r="H484" s="27" t="n">
        <f aca="false">E484*INDEX(Assumptions!$D$17:$D$23,MATCH(G484,Assumptions!$B$17:$B$23,0))</f>
        <v>0.05</v>
      </c>
      <c r="I484" s="6" t="n">
        <f aca="false">IFERROR(INDEX(Systems!$R$2:$R$179,MATCH($B484,Systems!$B$2:$B$179,0)),0)</f>
        <v>0</v>
      </c>
      <c r="J484" s="27" t="n">
        <f aca="false">H484*I484</f>
        <v>0</v>
      </c>
      <c r="K484" s="6" t="str">
        <f aca="false">IFERROR(IF(INDEX(Resources!$D$2:$D$64,MATCH($D484,Resources!$A$2:$A$64,0))="","",INDEX(Resources!$D$2:$D$64,MATCH($D484,Resources!$A$2:$A$64,0))),"")</f>
        <v>Est. Required Labor</v>
      </c>
      <c r="L484" s="28" t="n">
        <f aca="false">IF(K484="","",J484*INDEX(Resources!$E$2:$E$64,MATCH($D484,Resources!$A$2:$A$64,0)))</f>
        <v>0</v>
      </c>
      <c r="M484" s="6" t="str">
        <f aca="false">B484&amp;"|"&amp;D484&amp;"|"&amp;C484</f>
        <v>Portable Power Station (1 kWh)|Labor|Input</v>
      </c>
      <c r="N484" s="6" t="s">
        <v>940</v>
      </c>
    </row>
    <row r="485" customFormat="false" ht="15" hidden="false" customHeight="true" outlineLevel="0" collapsed="false">
      <c r="A485" s="6" t="s">
        <v>1459</v>
      </c>
      <c r="B485" s="6" t="s">
        <v>630</v>
      </c>
      <c r="C485" s="6" t="s">
        <v>938</v>
      </c>
      <c r="D485" s="6" t="s">
        <v>59</v>
      </c>
      <c r="E485" s="26" t="n">
        <v>7</v>
      </c>
      <c r="F485" s="6" t="str">
        <f aca="false">IFERROR(INDEX(Resources!$B$2:$B$64,MATCH($D485,Resources!$A$2:$A$64,0)),"?")</f>
        <v>kWh</v>
      </c>
      <c r="G485" s="6" t="s">
        <v>939</v>
      </c>
      <c r="H485" s="27" t="n">
        <f aca="false">E485*INDEX(Assumptions!$D$17:$D$23,MATCH(G485,Assumptions!$B$17:$B$23,0))</f>
        <v>7</v>
      </c>
      <c r="I485" s="6" t="n">
        <f aca="false">IFERROR(INDEX(Systems!$R$2:$R$179,MATCH($B485,Systems!$B$2:$B$179,0)),0)</f>
        <v>0</v>
      </c>
      <c r="J485" s="27" t="n">
        <f aca="false">H485*I485</f>
        <v>0</v>
      </c>
      <c r="K485" s="6" t="str">
        <f aca="false">IFERROR(IF(INDEX(Resources!$D$2:$D$64,MATCH($D485,Resources!$A$2:$A$64,0))="","",INDEX(Resources!$D$2:$D$64,MATCH($D485,Resources!$A$2:$A$64,0))),"")</f>
        <v>Electricity</v>
      </c>
      <c r="L485" s="28" t="n">
        <f aca="false">IF(K485="","",J485*INDEX(Resources!$E$2:$E$64,MATCH($D485,Resources!$A$2:$A$64,0)))</f>
        <v>0</v>
      </c>
      <c r="M485" s="6" t="str">
        <f aca="false">B485&amp;"|"&amp;D485&amp;"|"&amp;C485</f>
        <v>Portable Power Station (1 kWh)|Electricity|Input</v>
      </c>
    </row>
    <row r="486" customFormat="false" ht="15" hidden="false" customHeight="true" outlineLevel="0" collapsed="false">
      <c r="A486" s="6" t="s">
        <v>1460</v>
      </c>
      <c r="B486" s="6" t="s">
        <v>630</v>
      </c>
      <c r="C486" s="6" t="s">
        <v>943</v>
      </c>
      <c r="D486" s="6" t="s">
        <v>59</v>
      </c>
      <c r="E486" s="26" t="n">
        <v>6.3</v>
      </c>
      <c r="F486" s="6" t="str">
        <f aca="false">IFERROR(INDEX(Resources!$B$2:$B$64,MATCH($D486,Resources!$A$2:$A$64,0)),"?")</f>
        <v>kWh</v>
      </c>
      <c r="G486" s="6" t="s">
        <v>939</v>
      </c>
      <c r="H486" s="27" t="n">
        <f aca="false">E486*INDEX(Assumptions!$D$17:$D$23,MATCH(G486,Assumptions!$B$17:$B$23,0))</f>
        <v>6.3</v>
      </c>
      <c r="I486" s="6" t="n">
        <f aca="false">IFERROR(INDEX(Systems!$R$2:$R$179,MATCH($B486,Systems!$B$2:$B$179,0)),0)</f>
        <v>0</v>
      </c>
      <c r="J486" s="27" t="n">
        <f aca="false">H486*I486</f>
        <v>0</v>
      </c>
      <c r="K486" s="6" t="str">
        <f aca="false">IFERROR(IF(INDEX(Resources!$D$2:$D$64,MATCH($D486,Resources!$A$2:$A$64,0))="","",INDEX(Resources!$D$2:$D$64,MATCH($D486,Resources!$A$2:$A$64,0))),"")</f>
        <v>Electricity</v>
      </c>
      <c r="L486" s="28" t="n">
        <f aca="false">IF(K486="","",J486*INDEX(Resources!$E$2:$E$64,MATCH($D486,Resources!$A$2:$A$64,0)))</f>
        <v>0</v>
      </c>
      <c r="M486" s="6" t="str">
        <f aca="false">B486&amp;"|"&amp;D486&amp;"|"&amp;C486</f>
        <v>Portable Power Station (1 kWh)|Electricity|Output</v>
      </c>
    </row>
    <row r="487" customFormat="false" ht="15" hidden="false" customHeight="true" outlineLevel="0" collapsed="false">
      <c r="A487" s="6" t="s">
        <v>1461</v>
      </c>
      <c r="B487" s="6" t="s">
        <v>630</v>
      </c>
      <c r="C487" s="6" t="s">
        <v>943</v>
      </c>
      <c r="D487" s="6" t="s">
        <v>109</v>
      </c>
      <c r="E487" s="26" t="n">
        <v>1</v>
      </c>
      <c r="F487" s="6" t="str">
        <f aca="false">IFERROR(INDEX(Resources!$B$2:$B$64,MATCH($D487,Resources!$A$2:$A$64,0)),"?")</f>
        <v>kWh</v>
      </c>
      <c r="G487" s="6" t="s">
        <v>945</v>
      </c>
      <c r="H487" s="27" t="n">
        <f aca="false">E487*INDEX(Assumptions!$D$17:$D$23,MATCH(G487,Assumptions!$B$17:$B$23,0))</f>
        <v>1</v>
      </c>
      <c r="I487" s="6" t="n">
        <f aca="false">IFERROR(INDEX(Systems!$R$2:$R$179,MATCH($B487,Systems!$B$2:$B$179,0)),0)</f>
        <v>0</v>
      </c>
      <c r="J487" s="27" t="n">
        <f aca="false">H487*I487</f>
        <v>0</v>
      </c>
      <c r="K487" s="6" t="str">
        <f aca="false">IFERROR(IF(INDEX(Resources!$D$2:$D$64,MATCH($D487,Resources!$A$2:$A$64,0))="","",INDEX(Resources!$D$2:$D$64,MATCH($D487,Resources!$A$2:$A$64,0))),"")</f>
        <v/>
      </c>
      <c r="L487" s="28" t="str">
        <f aca="false">IF(K487="","",J487*INDEX(Resources!$E$2:$E$64,MATCH($D487,Resources!$A$2:$A$64,0)))</f>
        <v/>
      </c>
      <c r="M487" s="6" t="str">
        <f aca="false">B487&amp;"|"&amp;D487&amp;"|"&amp;C487</f>
        <v>Portable Power Station (1 kWh)|Battery storage|Output</v>
      </c>
    </row>
    <row r="488" customFormat="false" ht="15" hidden="false" customHeight="true" outlineLevel="0" collapsed="false">
      <c r="A488" s="6" t="s">
        <v>1462</v>
      </c>
      <c r="B488" s="6" t="s">
        <v>633</v>
      </c>
      <c r="C488" s="6" t="s">
        <v>938</v>
      </c>
      <c r="D488" s="6" t="s">
        <v>71</v>
      </c>
      <c r="E488" s="26" t="n">
        <v>0.1</v>
      </c>
      <c r="F488" s="6" t="str">
        <f aca="false">IFERROR(INDEX(Resources!$B$2:$B$64,MATCH($D488,Resources!$A$2:$A$64,0)),"?")</f>
        <v>hours</v>
      </c>
      <c r="G488" s="6" t="s">
        <v>939</v>
      </c>
      <c r="H488" s="27" t="n">
        <f aca="false">E488*INDEX(Assumptions!$D$17:$D$23,MATCH(G488,Assumptions!$B$17:$B$23,0))</f>
        <v>0.1</v>
      </c>
      <c r="I488" s="6" t="n">
        <f aca="false">IFERROR(INDEX(Systems!$R$2:$R$179,MATCH($B488,Systems!$B$2:$B$179,0)),0)</f>
        <v>0</v>
      </c>
      <c r="J488" s="27" t="n">
        <f aca="false">H488*I488</f>
        <v>0</v>
      </c>
      <c r="K488" s="6" t="str">
        <f aca="false">IFERROR(IF(INDEX(Resources!$D$2:$D$64,MATCH($D488,Resources!$A$2:$A$64,0))="","",INDEX(Resources!$D$2:$D$64,MATCH($D488,Resources!$A$2:$A$64,0))),"")</f>
        <v>Est. Required Labor</v>
      </c>
      <c r="L488" s="28" t="n">
        <f aca="false">IF(K488="","",J488*INDEX(Resources!$E$2:$E$64,MATCH($D488,Resources!$A$2:$A$64,0)))</f>
        <v>0</v>
      </c>
      <c r="M488" s="6" t="str">
        <f aca="false">B488&amp;"|"&amp;D488&amp;"|"&amp;C488</f>
        <v>Rooftop Solar Array (6 kW)|Labor|Input</v>
      </c>
      <c r="N488" s="6" t="s">
        <v>940</v>
      </c>
    </row>
    <row r="489" customFormat="false" ht="15" hidden="false" customHeight="true" outlineLevel="0" collapsed="false">
      <c r="A489" s="6" t="s">
        <v>1463</v>
      </c>
      <c r="B489" s="6" t="s">
        <v>633</v>
      </c>
      <c r="C489" s="6" t="s">
        <v>938</v>
      </c>
      <c r="D489" s="6" t="s">
        <v>165</v>
      </c>
      <c r="E489" s="29" t="n">
        <f aca="false">Assumptions!$C$6*7</f>
        <v>35</v>
      </c>
      <c r="F489" s="6" t="str">
        <f aca="false">IFERROR(INDEX(Resources!$B$2:$B$64,MATCH($D489,Resources!$A$2:$A$64,0)),"?")</f>
        <v>sun-hours</v>
      </c>
      <c r="G489" s="6" t="s">
        <v>939</v>
      </c>
      <c r="H489" s="27" t="n">
        <f aca="false">E489*INDEX(Assumptions!$D$17:$D$23,MATCH(G489,Assumptions!$B$17:$B$23,0))</f>
        <v>35</v>
      </c>
      <c r="I489" s="6" t="n">
        <f aca="false">IFERROR(INDEX(Systems!$R$2:$R$179,MATCH($B489,Systems!$B$2:$B$179,0)),0)</f>
        <v>0</v>
      </c>
      <c r="J489" s="27" t="n">
        <f aca="false">H489*I489</f>
        <v>0</v>
      </c>
      <c r="K489" s="6" t="str">
        <f aca="false">IFERROR(IF(INDEX(Resources!$D$2:$D$64,MATCH($D489,Resources!$A$2:$A$64,0))="","",INDEX(Resources!$D$2:$D$64,MATCH($D489,Resources!$A$2:$A$64,0))),"")</f>
        <v/>
      </c>
      <c r="L489" s="28" t="str">
        <f aca="false">IF(K489="","",J489*INDEX(Resources!$E$2:$E$64,MATCH($D489,Resources!$A$2:$A$64,0)))</f>
        <v/>
      </c>
      <c r="M489" s="6" t="str">
        <f aca="false">B489&amp;"|"&amp;D489&amp;"|"&amp;C489</f>
        <v>Rooftop Solar Array (6 kW)|Sunlight|Input</v>
      </c>
      <c r="N489" s="6" t="s">
        <v>948</v>
      </c>
    </row>
    <row r="490" customFormat="false" ht="15" hidden="false" customHeight="true" outlineLevel="0" collapsed="false">
      <c r="A490" s="6" t="s">
        <v>1464</v>
      </c>
      <c r="B490" s="6" t="s">
        <v>633</v>
      </c>
      <c r="C490" s="6" t="s">
        <v>943</v>
      </c>
      <c r="D490" s="6" t="s">
        <v>59</v>
      </c>
      <c r="E490" s="29" t="n">
        <f aca="false">6*Assumptions!$C$6*7*Assumptions!$C$7</f>
        <v>168</v>
      </c>
      <c r="F490" s="6" t="str">
        <f aca="false">IFERROR(INDEX(Resources!$B$2:$B$64,MATCH($D490,Resources!$A$2:$A$64,0)),"?")</f>
        <v>kWh</v>
      </c>
      <c r="G490" s="6" t="s">
        <v>939</v>
      </c>
      <c r="H490" s="27" t="n">
        <f aca="false">E490*INDEX(Assumptions!$D$17:$D$23,MATCH(G490,Assumptions!$B$17:$B$23,0))</f>
        <v>168</v>
      </c>
      <c r="I490" s="6" t="n">
        <f aca="false">IFERROR(INDEX(Systems!$R$2:$R$179,MATCH($B490,Systems!$B$2:$B$179,0)),0)</f>
        <v>0</v>
      </c>
      <c r="J490" s="27" t="n">
        <f aca="false">H490*I490</f>
        <v>0</v>
      </c>
      <c r="K490" s="6" t="str">
        <f aca="false">IFERROR(IF(INDEX(Resources!$D$2:$D$64,MATCH($D490,Resources!$A$2:$A$64,0))="","",INDEX(Resources!$D$2:$D$64,MATCH($D490,Resources!$A$2:$A$64,0))),"")</f>
        <v>Electricity</v>
      </c>
      <c r="L490" s="28" t="n">
        <f aca="false">IF(K490="","",J490*INDEX(Resources!$E$2:$E$64,MATCH($D490,Resources!$A$2:$A$64,0)))</f>
        <v>0</v>
      </c>
      <c r="M490" s="6" t="str">
        <f aca="false">B490&amp;"|"&amp;D490&amp;"|"&amp;C490</f>
        <v>Rooftop Solar Array (6 kW)|Electricity|Output</v>
      </c>
      <c r="N490" s="6" t="s">
        <v>1465</v>
      </c>
    </row>
    <row r="491" customFormat="false" ht="15" hidden="false" customHeight="true" outlineLevel="0" collapsed="false">
      <c r="A491" s="6" t="s">
        <v>1466</v>
      </c>
      <c r="B491" s="6" t="s">
        <v>636</v>
      </c>
      <c r="C491" s="6" t="s">
        <v>938</v>
      </c>
      <c r="D491" s="6" t="s">
        <v>71</v>
      </c>
      <c r="E491" s="26" t="n">
        <v>7.1</v>
      </c>
      <c r="F491" s="6" t="str">
        <f aca="false">IFERROR(INDEX(Resources!$B$2:$B$64,MATCH($D491,Resources!$A$2:$A$64,0)),"?")</f>
        <v>hours</v>
      </c>
      <c r="G491" s="6" t="s">
        <v>939</v>
      </c>
      <c r="H491" s="27" t="n">
        <f aca="false">E491*INDEX(Assumptions!$D$17:$D$23,MATCH(G491,Assumptions!$B$17:$B$23,0))</f>
        <v>7.1</v>
      </c>
      <c r="I491" s="6" t="n">
        <f aca="false">IFERROR(INDEX(Systems!$R$2:$R$179,MATCH($B491,Systems!$B$2:$B$179,0)),0)</f>
        <v>0</v>
      </c>
      <c r="J491" s="27" t="n">
        <f aca="false">H491*I491</f>
        <v>0</v>
      </c>
      <c r="K491" s="6" t="str">
        <f aca="false">IFERROR(IF(INDEX(Resources!$D$2:$D$64,MATCH($D491,Resources!$A$2:$A$64,0))="","",INDEX(Resources!$D$2:$D$64,MATCH($D491,Resources!$A$2:$A$64,0))),"")</f>
        <v>Est. Required Labor</v>
      </c>
      <c r="L491" s="28" t="n">
        <f aca="false">IF(K491="","",J491*INDEX(Resources!$E$2:$E$64,MATCH($D491,Resources!$A$2:$A$64,0)))</f>
        <v>0</v>
      </c>
      <c r="M491" s="6" t="str">
        <f aca="false">B491&amp;"|"&amp;D491&amp;"|"&amp;C491</f>
        <v>Pedal Power Generator|Labor|Input</v>
      </c>
      <c r="N491" s="6" t="s">
        <v>1060</v>
      </c>
    </row>
    <row r="492" customFormat="false" ht="15" hidden="false" customHeight="true" outlineLevel="0" collapsed="false">
      <c r="A492" s="6" t="s">
        <v>1467</v>
      </c>
      <c r="B492" s="6" t="s">
        <v>636</v>
      </c>
      <c r="C492" s="6" t="s">
        <v>938</v>
      </c>
      <c r="D492" s="6" t="s">
        <v>52</v>
      </c>
      <c r="E492" s="26" t="n">
        <v>2100</v>
      </c>
      <c r="F492" s="6" t="str">
        <f aca="false">IFERROR(INDEX(Resources!$B$2:$B$64,MATCH($D492,Resources!$A$2:$A$64,0)),"?")</f>
        <v>kcal</v>
      </c>
      <c r="G492" s="6" t="s">
        <v>939</v>
      </c>
      <c r="H492" s="27" t="n">
        <f aca="false">E492*INDEX(Assumptions!$D$17:$D$23,MATCH(G492,Assumptions!$B$17:$B$23,0))</f>
        <v>2100</v>
      </c>
      <c r="I492" s="6" t="n">
        <f aca="false">IFERROR(INDEX(Systems!$R$2:$R$179,MATCH($B492,Systems!$B$2:$B$179,0)),0)</f>
        <v>0</v>
      </c>
      <c r="J492" s="27" t="n">
        <f aca="false">H492*I492</f>
        <v>0</v>
      </c>
      <c r="K492" s="6" t="str">
        <f aca="false">IFERROR(IF(INDEX(Resources!$D$2:$D$64,MATCH($D492,Resources!$A$2:$A$64,0))="","",INDEX(Resources!$D$2:$D$64,MATCH($D492,Resources!$A$2:$A$64,0))),"")</f>
        <v>Food</v>
      </c>
      <c r="L492" s="28" t="n">
        <f aca="false">IF(K492="","",J492*INDEX(Resources!$E$2:$E$64,MATCH($D492,Resources!$A$2:$A$64,0)))</f>
        <v>0</v>
      </c>
      <c r="M492" s="6" t="str">
        <f aca="false">B492&amp;"|"&amp;D492&amp;"|"&amp;C492</f>
        <v>Pedal Power Generator|Food|Input</v>
      </c>
    </row>
    <row r="493" customFormat="false" ht="15" hidden="false" customHeight="true" outlineLevel="0" collapsed="false">
      <c r="A493" s="6" t="s">
        <v>1468</v>
      </c>
      <c r="B493" s="6" t="s">
        <v>636</v>
      </c>
      <c r="C493" s="6" t="s">
        <v>943</v>
      </c>
      <c r="D493" s="6" t="s">
        <v>59</v>
      </c>
      <c r="E493" s="26" t="n">
        <v>0.7</v>
      </c>
      <c r="F493" s="6" t="str">
        <f aca="false">IFERROR(INDEX(Resources!$B$2:$B$64,MATCH($D493,Resources!$A$2:$A$64,0)),"?")</f>
        <v>kWh</v>
      </c>
      <c r="G493" s="6" t="s">
        <v>939</v>
      </c>
      <c r="H493" s="27" t="n">
        <f aca="false">E493*INDEX(Assumptions!$D$17:$D$23,MATCH(G493,Assumptions!$B$17:$B$23,0))</f>
        <v>0.7</v>
      </c>
      <c r="I493" s="6" t="n">
        <f aca="false">IFERROR(INDEX(Systems!$R$2:$R$179,MATCH($B493,Systems!$B$2:$B$179,0)),0)</f>
        <v>0</v>
      </c>
      <c r="J493" s="27" t="n">
        <f aca="false">H493*I493</f>
        <v>0</v>
      </c>
      <c r="K493" s="6" t="str">
        <f aca="false">IFERROR(IF(INDEX(Resources!$D$2:$D$64,MATCH($D493,Resources!$A$2:$A$64,0))="","",INDEX(Resources!$D$2:$D$64,MATCH($D493,Resources!$A$2:$A$64,0))),"")</f>
        <v>Electricity</v>
      </c>
      <c r="L493" s="28" t="n">
        <f aca="false">IF(K493="","",J493*INDEX(Resources!$E$2:$E$64,MATCH($D493,Resources!$A$2:$A$64,0)))</f>
        <v>0</v>
      </c>
      <c r="M493" s="6" t="str">
        <f aca="false">B493&amp;"|"&amp;D493&amp;"|"&amp;C493</f>
        <v>Pedal Power Generator|Electricity|Output</v>
      </c>
    </row>
    <row r="494" customFormat="false" ht="15" hidden="false" customHeight="true" outlineLevel="0" collapsed="false">
      <c r="A494" s="6" t="s">
        <v>1469</v>
      </c>
      <c r="B494" s="6" t="s">
        <v>636</v>
      </c>
      <c r="C494" s="6" t="s">
        <v>943</v>
      </c>
      <c r="D494" s="6" t="s">
        <v>462</v>
      </c>
      <c r="E494" s="26" t="n">
        <v>3</v>
      </c>
      <c r="F494" s="6" t="str">
        <f aca="false">IFERROR(INDEX(Resources!$B$2:$B$64,MATCH($D494,Resources!$A$2:$A$64,0)),"?")</f>
        <v>points</v>
      </c>
      <c r="G494" s="6" t="s">
        <v>939</v>
      </c>
      <c r="H494" s="27" t="n">
        <f aca="false">E494*INDEX(Assumptions!$D$17:$D$23,MATCH(G494,Assumptions!$B$17:$B$23,0))</f>
        <v>3</v>
      </c>
      <c r="I494" s="6" t="n">
        <f aca="false">IFERROR(INDEX(Systems!$R$2:$R$179,MATCH($B494,Systems!$B$2:$B$179,0)),0)</f>
        <v>0</v>
      </c>
      <c r="J494" s="27" t="n">
        <f aca="false">H494*I494</f>
        <v>0</v>
      </c>
      <c r="K494" s="6" t="str">
        <f aca="false">IFERROR(IF(INDEX(Resources!$D$2:$D$64,MATCH($D494,Resources!$A$2:$A$64,0))="","",INDEX(Resources!$D$2:$D$64,MATCH($D494,Resources!$A$2:$A$64,0))),"")</f>
        <v/>
      </c>
      <c r="L494" s="28" t="str">
        <f aca="false">IF(K494="","",J494*INDEX(Resources!$E$2:$E$64,MATCH($D494,Resources!$A$2:$A$64,0)))</f>
        <v/>
      </c>
      <c r="M494" s="6" t="str">
        <f aca="false">B494&amp;"|"&amp;D494&amp;"|"&amp;C494</f>
        <v>Pedal Power Generator|Wellbeing|Output</v>
      </c>
    </row>
    <row r="495" customFormat="false" ht="15" hidden="false" customHeight="true" outlineLevel="0" collapsed="false">
      <c r="A495" s="6" t="s">
        <v>1470</v>
      </c>
      <c r="B495" s="6" t="s">
        <v>640</v>
      </c>
      <c r="C495" s="6" t="s">
        <v>938</v>
      </c>
      <c r="D495" s="6" t="s">
        <v>71</v>
      </c>
      <c r="E495" s="26" t="n">
        <v>0.1</v>
      </c>
      <c r="F495" s="6" t="str">
        <f aca="false">IFERROR(INDEX(Resources!$B$2:$B$64,MATCH($D495,Resources!$A$2:$A$64,0)),"?")</f>
        <v>hours</v>
      </c>
      <c r="G495" s="6" t="s">
        <v>939</v>
      </c>
      <c r="H495" s="27" t="n">
        <f aca="false">E495*INDEX(Assumptions!$D$17:$D$23,MATCH(G495,Assumptions!$B$17:$B$23,0))</f>
        <v>0.1</v>
      </c>
      <c r="I495" s="6" t="n">
        <f aca="false">IFERROR(INDEX(Systems!$R$2:$R$179,MATCH($B495,Systems!$B$2:$B$179,0)),0)</f>
        <v>0</v>
      </c>
      <c r="J495" s="27" t="n">
        <f aca="false">H495*I495</f>
        <v>0</v>
      </c>
      <c r="K495" s="6" t="str">
        <f aca="false">IFERROR(IF(INDEX(Resources!$D$2:$D$64,MATCH($D495,Resources!$A$2:$A$64,0))="","",INDEX(Resources!$D$2:$D$64,MATCH($D495,Resources!$A$2:$A$64,0))),"")</f>
        <v>Est. Required Labor</v>
      </c>
      <c r="L495" s="28" t="n">
        <f aca="false">IF(K495="","",J495*INDEX(Resources!$E$2:$E$64,MATCH($D495,Resources!$A$2:$A$64,0)))</f>
        <v>0</v>
      </c>
      <c r="M495" s="6" t="str">
        <f aca="false">B495&amp;"|"&amp;D495&amp;"|"&amp;C495</f>
        <v>Heat Pump (Mini-Split)|Labor|Input</v>
      </c>
      <c r="N495" s="6" t="s">
        <v>940</v>
      </c>
    </row>
    <row r="496" customFormat="false" ht="15" hidden="false" customHeight="true" outlineLevel="0" collapsed="false">
      <c r="A496" s="6" t="s">
        <v>1471</v>
      </c>
      <c r="B496" s="6" t="s">
        <v>640</v>
      </c>
      <c r="C496" s="6" t="s">
        <v>938</v>
      </c>
      <c r="D496" s="6" t="s">
        <v>59</v>
      </c>
      <c r="E496" s="26" t="n">
        <v>55</v>
      </c>
      <c r="F496" s="6" t="str">
        <f aca="false">IFERROR(INDEX(Resources!$B$2:$B$64,MATCH($D496,Resources!$A$2:$A$64,0)),"?")</f>
        <v>kWh</v>
      </c>
      <c r="G496" s="6" t="s">
        <v>939</v>
      </c>
      <c r="H496" s="27" t="n">
        <f aca="false">E496*INDEX(Assumptions!$D$17:$D$23,MATCH(G496,Assumptions!$B$17:$B$23,0))</f>
        <v>55</v>
      </c>
      <c r="I496" s="6" t="n">
        <f aca="false">IFERROR(INDEX(Systems!$R$2:$R$179,MATCH($B496,Systems!$B$2:$B$179,0)),0)</f>
        <v>0</v>
      </c>
      <c r="J496" s="27" t="n">
        <f aca="false">H496*I496</f>
        <v>0</v>
      </c>
      <c r="K496" s="6" t="str">
        <f aca="false">IFERROR(IF(INDEX(Resources!$D$2:$D$64,MATCH($D496,Resources!$A$2:$A$64,0))="","",INDEX(Resources!$D$2:$D$64,MATCH($D496,Resources!$A$2:$A$64,0))),"")</f>
        <v>Electricity</v>
      </c>
      <c r="L496" s="28" t="n">
        <f aca="false">IF(K496="","",J496*INDEX(Resources!$E$2:$E$64,MATCH($D496,Resources!$A$2:$A$64,0)))</f>
        <v>0</v>
      </c>
      <c r="M496" s="6" t="str">
        <f aca="false">B496&amp;"|"&amp;D496&amp;"|"&amp;C496</f>
        <v>Heat Pump (Mini-Split)|Electricity|Input</v>
      </c>
    </row>
    <row r="497" customFormat="false" ht="15" hidden="false" customHeight="true" outlineLevel="0" collapsed="false">
      <c r="A497" s="6" t="s">
        <v>1472</v>
      </c>
      <c r="B497" s="6" t="s">
        <v>640</v>
      </c>
      <c r="C497" s="6" t="s">
        <v>943</v>
      </c>
      <c r="D497" s="6" t="s">
        <v>67</v>
      </c>
      <c r="E497" s="26" t="n">
        <v>300000</v>
      </c>
      <c r="F497" s="6" t="str">
        <f aca="false">IFERROR(INDEX(Resources!$B$2:$B$64,MATCH($D497,Resources!$A$2:$A$64,0)),"?")</f>
        <v>BTU</v>
      </c>
      <c r="G497" s="6" t="s">
        <v>939</v>
      </c>
      <c r="H497" s="27" t="n">
        <f aca="false">E497*INDEX(Assumptions!$D$17:$D$23,MATCH(G497,Assumptions!$B$17:$B$23,0))</f>
        <v>300000</v>
      </c>
      <c r="I497" s="6" t="n">
        <f aca="false">IFERROR(INDEX(Systems!$R$2:$R$179,MATCH($B497,Systems!$B$2:$B$179,0)),0)</f>
        <v>0</v>
      </c>
      <c r="J497" s="27" t="n">
        <f aca="false">H497*I497</f>
        <v>0</v>
      </c>
      <c r="K497" s="6" t="str">
        <f aca="false">IFERROR(IF(INDEX(Resources!$D$2:$D$64,MATCH($D497,Resources!$A$2:$A$64,0))="","",INDEX(Resources!$D$2:$D$64,MATCH($D497,Resources!$A$2:$A$64,0))),"")</f>
        <v>Heated shelter</v>
      </c>
      <c r="L497" s="28" t="n">
        <f aca="false">IF(K497="","",J497*INDEX(Resources!$E$2:$E$64,MATCH($D497,Resources!$A$2:$A$64,0)))</f>
        <v>0</v>
      </c>
      <c r="M497" s="6" t="str">
        <f aca="false">B497&amp;"|"&amp;D497&amp;"|"&amp;C497</f>
        <v>Heat Pump (Mini-Split)|Heat|Output</v>
      </c>
    </row>
    <row r="498" customFormat="false" ht="15" hidden="false" customHeight="true" outlineLevel="0" collapsed="false">
      <c r="A498" s="6" t="s">
        <v>1473</v>
      </c>
      <c r="B498" s="6" t="s">
        <v>640</v>
      </c>
      <c r="C498" s="6" t="s">
        <v>943</v>
      </c>
      <c r="D498" s="6" t="s">
        <v>69</v>
      </c>
      <c r="E498" s="26" t="n">
        <v>160000</v>
      </c>
      <c r="F498" s="6" t="str">
        <f aca="false">IFERROR(INDEX(Resources!$B$2:$B$64,MATCH($D498,Resources!$A$2:$A$64,0)),"?")</f>
        <v>BTU</v>
      </c>
      <c r="G498" s="6" t="s">
        <v>939</v>
      </c>
      <c r="H498" s="27" t="n">
        <f aca="false">E498*INDEX(Assumptions!$D$17:$D$23,MATCH(G498,Assumptions!$B$17:$B$23,0))</f>
        <v>160000</v>
      </c>
      <c r="I498" s="6" t="n">
        <f aca="false">IFERROR(INDEX(Systems!$R$2:$R$179,MATCH($B498,Systems!$B$2:$B$179,0)),0)</f>
        <v>0</v>
      </c>
      <c r="J498" s="27" t="n">
        <f aca="false">H498*I498</f>
        <v>0</v>
      </c>
      <c r="K498" s="6" t="str">
        <f aca="false">IFERROR(IF(INDEX(Resources!$D$2:$D$64,MATCH($D498,Resources!$A$2:$A$64,0))="","",INDEX(Resources!$D$2:$D$64,MATCH($D498,Resources!$A$2:$A$64,0))),"")</f>
        <v>Cooled shelter</v>
      </c>
      <c r="L498" s="28" t="n">
        <f aca="false">IF(K498="","",J498*INDEX(Resources!$E$2:$E$64,MATCH($D498,Resources!$A$2:$A$64,0)))</f>
        <v>0</v>
      </c>
      <c r="M498" s="6" t="str">
        <f aca="false">B498&amp;"|"&amp;D498&amp;"|"&amp;C498</f>
        <v>Heat Pump (Mini-Split)|Cooling|Output</v>
      </c>
    </row>
    <row r="499" customFormat="false" ht="15" hidden="false" customHeight="true" outlineLevel="0" collapsed="false">
      <c r="A499" s="6" t="s">
        <v>1474</v>
      </c>
      <c r="B499" s="6" t="s">
        <v>645</v>
      </c>
      <c r="C499" s="6" t="s">
        <v>938</v>
      </c>
      <c r="D499" s="6" t="s">
        <v>269</v>
      </c>
      <c r="E499" s="26" t="n">
        <v>30</v>
      </c>
      <c r="F499" s="6" t="str">
        <f aca="false">IFERROR(INDEX(Resources!$B$2:$B$64,MATCH($D499,Resources!$A$2:$A$64,0)),"?")</f>
        <v>$</v>
      </c>
      <c r="G499" s="6" t="s">
        <v>939</v>
      </c>
      <c r="H499" s="27" t="n">
        <f aca="false">E499*INDEX(Assumptions!$D$17:$D$23,MATCH(G499,Assumptions!$B$17:$B$23,0))</f>
        <v>30</v>
      </c>
      <c r="I499" s="6" t="n">
        <f aca="false">IFERROR(INDEX(Systems!$R$2:$R$179,MATCH($B499,Systems!$B$2:$B$179,0)),0)</f>
        <v>0</v>
      </c>
      <c r="J499" s="27" t="n">
        <f aca="false">H499*I499</f>
        <v>0</v>
      </c>
      <c r="K499" s="6" t="str">
        <f aca="false">IFERROR(IF(INDEX(Resources!$D$2:$D$64,MATCH($D499,Resources!$A$2:$A$64,0))="","",INDEX(Resources!$D$2:$D$64,MATCH($D499,Resources!$A$2:$A$64,0))),"")</f>
        <v/>
      </c>
      <c r="L499" s="28" t="str">
        <f aca="false">IF(K499="","",J499*INDEX(Resources!$E$2:$E$64,MATCH($D499,Resources!$A$2:$A$64,0)))</f>
        <v/>
      </c>
      <c r="M499" s="6" t="str">
        <f aca="false">B499&amp;"|"&amp;D499&amp;"|"&amp;C499</f>
        <v>Propane Tank &amp; Delivery (500 gal)|Capital|Input</v>
      </c>
    </row>
    <row r="500" customFormat="false" ht="15" hidden="false" customHeight="true" outlineLevel="0" collapsed="false">
      <c r="A500" s="6" t="s">
        <v>1475</v>
      </c>
      <c r="B500" s="6" t="s">
        <v>645</v>
      </c>
      <c r="C500" s="6" t="s">
        <v>943</v>
      </c>
      <c r="D500" s="6" t="s">
        <v>1453</v>
      </c>
      <c r="E500" s="26" t="n">
        <v>10</v>
      </c>
      <c r="F500" s="6" t="str">
        <f aca="false">IFERROR(INDEX(Resources!$B$2:$B$64,MATCH($D500,Resources!$A$2:$A$64,0)),"?")</f>
        <v>gal</v>
      </c>
      <c r="G500" s="6" t="s">
        <v>939</v>
      </c>
      <c r="H500" s="27" t="n">
        <f aca="false">E500*INDEX(Assumptions!$D$17:$D$23,MATCH(G500,Assumptions!$B$17:$B$23,0))</f>
        <v>10</v>
      </c>
      <c r="I500" s="6" t="n">
        <f aca="false">IFERROR(INDEX(Systems!$R$2:$R$179,MATCH($B500,Systems!$B$2:$B$179,0)),0)</f>
        <v>0</v>
      </c>
      <c r="J500" s="27" t="n">
        <f aca="false">H500*I500</f>
        <v>0</v>
      </c>
      <c r="K500" s="6" t="str">
        <f aca="false">IFERROR(IF(INDEX(Resources!$D$2:$D$64,MATCH($D500,Resources!$A$2:$A$64,0))="","",INDEX(Resources!$D$2:$D$64,MATCH($D500,Resources!$A$2:$A$64,0))),"")</f>
        <v/>
      </c>
      <c r="L500" s="28" t="str">
        <f aca="false">IF(K500="","",J500*INDEX(Resources!$E$2:$E$64,MATCH($D500,Resources!$A$2:$A$64,0)))</f>
        <v/>
      </c>
      <c r="M500" s="6" t="str">
        <f aca="false">B500&amp;"|"&amp;D500&amp;"|"&amp;C500</f>
        <v>Propane Tank &amp; Delivery (500 gal)|Propane|Output</v>
      </c>
    </row>
    <row r="501" customFormat="false" ht="15" hidden="false" customHeight="true" outlineLevel="0" collapsed="false">
      <c r="A501" s="6" t="s">
        <v>1476</v>
      </c>
      <c r="B501" s="6" t="s">
        <v>649</v>
      </c>
      <c r="C501" s="6" t="s">
        <v>938</v>
      </c>
      <c r="D501" s="6" t="s">
        <v>71</v>
      </c>
      <c r="E501" s="26" t="n">
        <v>2.1</v>
      </c>
      <c r="F501" s="6" t="str">
        <f aca="false">IFERROR(INDEX(Resources!$B$2:$B$64,MATCH($D501,Resources!$A$2:$A$64,0)),"?")</f>
        <v>hours</v>
      </c>
      <c r="G501" s="6" t="s">
        <v>939</v>
      </c>
      <c r="H501" s="27" t="n">
        <f aca="false">E501*INDEX(Assumptions!$D$17:$D$23,MATCH(G501,Assumptions!$B$17:$B$23,0))</f>
        <v>2.1</v>
      </c>
      <c r="I501" s="6" t="n">
        <f aca="false">IFERROR(INDEX(Systems!$R$2:$R$179,MATCH($B501,Systems!$B$2:$B$179,0)),0)</f>
        <v>0</v>
      </c>
      <c r="J501" s="27" t="n">
        <f aca="false">H501*I501</f>
        <v>0</v>
      </c>
      <c r="K501" s="6" t="str">
        <f aca="false">IFERROR(IF(INDEX(Resources!$D$2:$D$64,MATCH($D501,Resources!$A$2:$A$64,0))="","",INDEX(Resources!$D$2:$D$64,MATCH($D501,Resources!$A$2:$A$64,0))),"")</f>
        <v>Est. Required Labor</v>
      </c>
      <c r="L501" s="28" t="n">
        <f aca="false">IF(K501="","",J501*INDEX(Resources!$E$2:$E$64,MATCH($D501,Resources!$A$2:$A$64,0)))</f>
        <v>0</v>
      </c>
      <c r="M501" s="6" t="str">
        <f aca="false">B501&amp;"|"&amp;D501&amp;"|"&amp;C501</f>
        <v>Hand Pump Well|Labor|Input</v>
      </c>
      <c r="N501" s="6" t="s">
        <v>1060</v>
      </c>
    </row>
    <row r="502" customFormat="false" ht="15" hidden="false" customHeight="true" outlineLevel="0" collapsed="false">
      <c r="A502" s="6" t="s">
        <v>1477</v>
      </c>
      <c r="B502" s="6" t="s">
        <v>649</v>
      </c>
      <c r="C502" s="6" t="s">
        <v>943</v>
      </c>
      <c r="D502" s="6" t="s">
        <v>49</v>
      </c>
      <c r="E502" s="26" t="n">
        <v>150</v>
      </c>
      <c r="F502" s="6" t="str">
        <f aca="false">IFERROR(INDEX(Resources!$B$2:$B$64,MATCH($D502,Resources!$A$2:$A$64,0)),"?")</f>
        <v>gal</v>
      </c>
      <c r="G502" s="6" t="s">
        <v>939</v>
      </c>
      <c r="H502" s="27" t="n">
        <f aca="false">E502*INDEX(Assumptions!$D$17:$D$23,MATCH(G502,Assumptions!$B$17:$B$23,0))</f>
        <v>150</v>
      </c>
      <c r="I502" s="6" t="n">
        <f aca="false">IFERROR(INDEX(Systems!$R$2:$R$179,MATCH($B502,Systems!$B$2:$B$179,0)),0)</f>
        <v>0</v>
      </c>
      <c r="J502" s="27" t="n">
        <f aca="false">H502*I502</f>
        <v>0</v>
      </c>
      <c r="K502" s="6" t="str">
        <f aca="false">IFERROR(IF(INDEX(Resources!$D$2:$D$64,MATCH($D502,Resources!$A$2:$A$64,0))="","",INDEX(Resources!$D$2:$D$64,MATCH($D502,Resources!$A$2:$A$64,0))),"")</f>
        <v>Water</v>
      </c>
      <c r="L502" s="28" t="n">
        <f aca="false">IF(K502="","",J502*INDEX(Resources!$E$2:$E$64,MATCH($D502,Resources!$A$2:$A$64,0)))</f>
        <v>0</v>
      </c>
      <c r="M502" s="6" t="str">
        <f aca="false">B502&amp;"|"&amp;D502&amp;"|"&amp;C502</f>
        <v>Hand Pump Well|Water|Output</v>
      </c>
    </row>
    <row r="503" customFormat="false" ht="15" hidden="false" customHeight="true" outlineLevel="0" collapsed="false">
      <c r="A503" s="6" t="s">
        <v>1478</v>
      </c>
      <c r="B503" s="6" t="s">
        <v>652</v>
      </c>
      <c r="C503" s="6" t="s">
        <v>938</v>
      </c>
      <c r="D503" s="6" t="s">
        <v>71</v>
      </c>
      <c r="E503" s="26" t="n">
        <v>0.25</v>
      </c>
      <c r="F503" s="6" t="str">
        <f aca="false">IFERROR(INDEX(Resources!$B$2:$B$64,MATCH($D503,Resources!$A$2:$A$64,0)),"?")</f>
        <v>hours</v>
      </c>
      <c r="G503" s="6" t="s">
        <v>939</v>
      </c>
      <c r="H503" s="27" t="n">
        <f aca="false">E503*INDEX(Assumptions!$D$17:$D$23,MATCH(G503,Assumptions!$B$17:$B$23,0))</f>
        <v>0.25</v>
      </c>
      <c r="I503" s="6" t="n">
        <f aca="false">IFERROR(INDEX(Systems!$R$2:$R$179,MATCH($B503,Systems!$B$2:$B$179,0)),0)</f>
        <v>0</v>
      </c>
      <c r="J503" s="27" t="n">
        <f aca="false">H503*I503</f>
        <v>0</v>
      </c>
      <c r="K503" s="6" t="str">
        <f aca="false">IFERROR(IF(INDEX(Resources!$D$2:$D$64,MATCH($D503,Resources!$A$2:$A$64,0))="","",INDEX(Resources!$D$2:$D$64,MATCH($D503,Resources!$A$2:$A$64,0))),"")</f>
        <v>Est. Required Labor</v>
      </c>
      <c r="L503" s="28" t="n">
        <f aca="false">IF(K503="","",J503*INDEX(Resources!$E$2:$E$64,MATCH($D503,Resources!$A$2:$A$64,0)))</f>
        <v>0</v>
      </c>
      <c r="M503" s="6" t="str">
        <f aca="false">B503&amp;"|"&amp;D503&amp;"|"&amp;C503</f>
        <v>Greywater Branched Drain|Labor|Input</v>
      </c>
      <c r="N503" s="6" t="s">
        <v>940</v>
      </c>
    </row>
    <row r="504" customFormat="false" ht="15" hidden="false" customHeight="true" outlineLevel="0" collapsed="false">
      <c r="A504" s="6" t="s">
        <v>1479</v>
      </c>
      <c r="B504" s="6" t="s">
        <v>652</v>
      </c>
      <c r="C504" s="6" t="s">
        <v>938</v>
      </c>
      <c r="D504" s="6" t="s">
        <v>1089</v>
      </c>
      <c r="E504" s="26" t="n">
        <v>100</v>
      </c>
      <c r="F504" s="6" t="str">
        <f aca="false">IFERROR(INDEX(Resources!$B$2:$B$64,MATCH($D504,Resources!$A$2:$A$64,0)),"?")</f>
        <v>gal</v>
      </c>
      <c r="G504" s="6" t="s">
        <v>939</v>
      </c>
      <c r="H504" s="27" t="n">
        <f aca="false">E504*INDEX(Assumptions!$D$17:$D$23,MATCH(G504,Assumptions!$B$17:$B$23,0))</f>
        <v>100</v>
      </c>
      <c r="I504" s="6" t="n">
        <f aca="false">IFERROR(INDEX(Systems!$R$2:$R$179,MATCH($B504,Systems!$B$2:$B$179,0)),0)</f>
        <v>0</v>
      </c>
      <c r="J504" s="27" t="n">
        <f aca="false">H504*I504</f>
        <v>0</v>
      </c>
      <c r="K504" s="6" t="str">
        <f aca="false">IFERROR(IF(INDEX(Resources!$D$2:$D$64,MATCH($D504,Resources!$A$2:$A$64,0))="","",INDEX(Resources!$D$2:$D$64,MATCH($D504,Resources!$A$2:$A$64,0))),"")</f>
        <v/>
      </c>
      <c r="L504" s="28" t="str">
        <f aca="false">IF(K504="","",J504*INDEX(Resources!$E$2:$E$64,MATCH($D504,Resources!$A$2:$A$64,0)))</f>
        <v/>
      </c>
      <c r="M504" s="6" t="str">
        <f aca="false">B504&amp;"|"&amp;D504&amp;"|"&amp;C504</f>
        <v>Greywater Branched Drain|Greywater|Input</v>
      </c>
    </row>
    <row r="505" customFormat="false" ht="15" hidden="false" customHeight="true" outlineLevel="0" collapsed="false">
      <c r="A505" s="6" t="s">
        <v>1480</v>
      </c>
      <c r="B505" s="6" t="s">
        <v>652</v>
      </c>
      <c r="C505" s="6" t="s">
        <v>943</v>
      </c>
      <c r="D505" s="6" t="s">
        <v>49</v>
      </c>
      <c r="E505" s="26" t="n">
        <v>90</v>
      </c>
      <c r="F505" s="6" t="str">
        <f aca="false">IFERROR(INDEX(Resources!$B$2:$B$64,MATCH($D505,Resources!$A$2:$A$64,0)),"?")</f>
        <v>gal</v>
      </c>
      <c r="G505" s="6" t="s">
        <v>939</v>
      </c>
      <c r="H505" s="27" t="n">
        <f aca="false">E505*INDEX(Assumptions!$D$17:$D$23,MATCH(G505,Assumptions!$B$17:$B$23,0))</f>
        <v>90</v>
      </c>
      <c r="I505" s="6" t="n">
        <f aca="false">IFERROR(INDEX(Systems!$R$2:$R$179,MATCH($B505,Systems!$B$2:$B$179,0)),0)</f>
        <v>0</v>
      </c>
      <c r="J505" s="27" t="n">
        <f aca="false">H505*I505</f>
        <v>0</v>
      </c>
      <c r="K505" s="6" t="str">
        <f aca="false">IFERROR(IF(INDEX(Resources!$D$2:$D$64,MATCH($D505,Resources!$A$2:$A$64,0))="","",INDEX(Resources!$D$2:$D$64,MATCH($D505,Resources!$A$2:$A$64,0))),"")</f>
        <v>Water</v>
      </c>
      <c r="L505" s="28" t="n">
        <f aca="false">IF(K505="","",J505*INDEX(Resources!$E$2:$E$64,MATCH($D505,Resources!$A$2:$A$64,0)))</f>
        <v>0</v>
      </c>
      <c r="M505" s="6" t="str">
        <f aca="false">B505&amp;"|"&amp;D505&amp;"|"&amp;C505</f>
        <v>Greywater Branched Drain|Water|Output</v>
      </c>
    </row>
    <row r="506" customFormat="false" ht="15" hidden="false" customHeight="true" outlineLevel="0" collapsed="false">
      <c r="A506" s="6" t="s">
        <v>1481</v>
      </c>
      <c r="B506" s="6" t="s">
        <v>657</v>
      </c>
      <c r="C506" s="6" t="s">
        <v>938</v>
      </c>
      <c r="D506" s="6" t="s">
        <v>71</v>
      </c>
      <c r="E506" s="26" t="n">
        <v>0.5</v>
      </c>
      <c r="F506" s="6" t="str">
        <f aca="false">IFERROR(INDEX(Resources!$B$2:$B$64,MATCH($D506,Resources!$A$2:$A$64,0)),"?")</f>
        <v>hours</v>
      </c>
      <c r="G506" s="6" t="s">
        <v>939</v>
      </c>
      <c r="H506" s="27" t="n">
        <f aca="false">E506*INDEX(Assumptions!$D$17:$D$23,MATCH(G506,Assumptions!$B$17:$B$23,0))</f>
        <v>0.5</v>
      </c>
      <c r="I506" s="6" t="n">
        <f aca="false">IFERROR(INDEX(Systems!$R$2:$R$179,MATCH($B506,Systems!$B$2:$B$179,0)),0)</f>
        <v>0</v>
      </c>
      <c r="J506" s="27" t="n">
        <f aca="false">H506*I506</f>
        <v>0</v>
      </c>
      <c r="K506" s="6" t="str">
        <f aca="false">IFERROR(IF(INDEX(Resources!$D$2:$D$64,MATCH($D506,Resources!$A$2:$A$64,0))="","",INDEX(Resources!$D$2:$D$64,MATCH($D506,Resources!$A$2:$A$64,0))),"")</f>
        <v>Est. Required Labor</v>
      </c>
      <c r="L506" s="28" t="n">
        <f aca="false">IF(K506="","",J506*INDEX(Resources!$E$2:$E$64,MATCH($D506,Resources!$A$2:$A$64,0)))</f>
        <v>0</v>
      </c>
      <c r="M506" s="6" t="str">
        <f aca="false">B506&amp;"|"&amp;D506&amp;"|"&amp;C506</f>
        <v>Pond (1/10 acre)|Labor|Input</v>
      </c>
      <c r="N506" s="6" t="s">
        <v>940</v>
      </c>
    </row>
    <row r="507" customFormat="false" ht="15" hidden="false" customHeight="true" outlineLevel="0" collapsed="false">
      <c r="A507" s="6" t="s">
        <v>1482</v>
      </c>
      <c r="B507" s="6" t="s">
        <v>657</v>
      </c>
      <c r="C507" s="6" t="s">
        <v>938</v>
      </c>
      <c r="D507" s="6" t="s">
        <v>864</v>
      </c>
      <c r="E507" s="29" t="n">
        <f aca="false">Assumptions!$C$8/52</f>
        <v>0.288461538461538</v>
      </c>
      <c r="F507" s="6" t="str">
        <f aca="false">IFERROR(INDEX(Resources!$B$2:$B$64,MATCH($D507,Resources!$A$2:$A$64,0)),"?")</f>
        <v>inches</v>
      </c>
      <c r="G507" s="6" t="s">
        <v>939</v>
      </c>
      <c r="H507" s="27" t="n">
        <f aca="false">E507*INDEX(Assumptions!$D$17:$D$23,MATCH(G507,Assumptions!$B$17:$B$23,0))</f>
        <v>0.288461538461538</v>
      </c>
      <c r="I507" s="6" t="n">
        <f aca="false">IFERROR(INDEX(Systems!$R$2:$R$179,MATCH($B507,Systems!$B$2:$B$179,0)),0)</f>
        <v>0</v>
      </c>
      <c r="J507" s="27" t="n">
        <f aca="false">H507*I507</f>
        <v>0</v>
      </c>
      <c r="K507" s="6" t="str">
        <f aca="false">IFERROR(IF(INDEX(Resources!$D$2:$D$64,MATCH($D507,Resources!$A$2:$A$64,0))="","",INDEX(Resources!$D$2:$D$64,MATCH($D507,Resources!$A$2:$A$64,0))),"")</f>
        <v/>
      </c>
      <c r="L507" s="28" t="str">
        <f aca="false">IF(K507="","",J507*INDEX(Resources!$E$2:$E$64,MATCH($D507,Resources!$A$2:$A$64,0)))</f>
        <v/>
      </c>
      <c r="M507" s="6" t="str">
        <f aca="false">B507&amp;"|"&amp;D507&amp;"|"&amp;C507</f>
        <v>Pond (1/10 acre)|Rainfall|Input</v>
      </c>
      <c r="N507" s="6" t="s">
        <v>1076</v>
      </c>
    </row>
    <row r="508" customFormat="false" ht="15" hidden="false" customHeight="true" outlineLevel="0" collapsed="false">
      <c r="A508" s="6" t="s">
        <v>1483</v>
      </c>
      <c r="B508" s="6" t="s">
        <v>657</v>
      </c>
      <c r="C508" s="6" t="s">
        <v>943</v>
      </c>
      <c r="D508" s="6" t="s">
        <v>49</v>
      </c>
      <c r="E508" s="29" t="n">
        <f aca="false">INDEX(Systems!$P$2:$P$179,MATCH($B508,Systems!$B$2:$B$179,0))*Assumptions!$C$8/52*Assumptions!$C$9*INDEX(Systems!$Q$2:$Q$179,MATCH($B508,Systems!$B$2:$B$179,0))</f>
        <v>539.134615384615</v>
      </c>
      <c r="F508" s="6" t="str">
        <f aca="false">IFERROR(INDEX(Resources!$B$2:$B$64,MATCH($D508,Resources!$A$2:$A$64,0)),"?")</f>
        <v>gal</v>
      </c>
      <c r="G508" s="6" t="s">
        <v>939</v>
      </c>
      <c r="H508" s="27" t="n">
        <f aca="false">E508*INDEX(Assumptions!$D$17:$D$23,MATCH(G508,Assumptions!$B$17:$B$23,0))</f>
        <v>539.134615384615</v>
      </c>
      <c r="I508" s="6" t="n">
        <f aca="false">IFERROR(INDEX(Systems!$R$2:$R$179,MATCH($B508,Systems!$B$2:$B$179,0)),0)</f>
        <v>0</v>
      </c>
      <c r="J508" s="27" t="n">
        <f aca="false">H508*I508</f>
        <v>0</v>
      </c>
      <c r="K508" s="6" t="str">
        <f aca="false">IFERROR(IF(INDEX(Resources!$D$2:$D$64,MATCH($D508,Resources!$A$2:$A$64,0))="","",INDEX(Resources!$D$2:$D$64,MATCH($D508,Resources!$A$2:$A$64,0))),"")</f>
        <v>Water</v>
      </c>
      <c r="L508" s="28" t="n">
        <f aca="false">IF(K508="","",J508*INDEX(Resources!$E$2:$E$64,MATCH($D508,Resources!$A$2:$A$64,0)))</f>
        <v>0</v>
      </c>
      <c r="M508" s="6" t="str">
        <f aca="false">B508&amp;"|"&amp;D508&amp;"|"&amp;C508</f>
        <v>Pond (1/10 acre)|Water|Output</v>
      </c>
      <c r="N508" s="6" t="s">
        <v>1078</v>
      </c>
    </row>
    <row r="509" customFormat="false" ht="15" hidden="false" customHeight="true" outlineLevel="0" collapsed="false">
      <c r="A509" s="6" t="s">
        <v>1484</v>
      </c>
      <c r="B509" s="6" t="s">
        <v>657</v>
      </c>
      <c r="C509" s="6" t="s">
        <v>943</v>
      </c>
      <c r="D509" s="6" t="s">
        <v>104</v>
      </c>
      <c r="E509" s="26" t="n">
        <v>30000</v>
      </c>
      <c r="F509" s="6" t="str">
        <f aca="false">IFERROR(INDEX(Resources!$B$2:$B$64,MATCH($D509,Resources!$A$2:$A$64,0)),"?")</f>
        <v>gal</v>
      </c>
      <c r="G509" s="6" t="s">
        <v>945</v>
      </c>
      <c r="H509" s="27" t="n">
        <f aca="false">E509*INDEX(Assumptions!$D$17:$D$23,MATCH(G509,Assumptions!$B$17:$B$23,0))</f>
        <v>30000</v>
      </c>
      <c r="I509" s="6" t="n">
        <f aca="false">IFERROR(INDEX(Systems!$R$2:$R$179,MATCH($B509,Systems!$B$2:$B$179,0)),0)</f>
        <v>0</v>
      </c>
      <c r="J509" s="27" t="n">
        <f aca="false">H509*I509</f>
        <v>0</v>
      </c>
      <c r="K509" s="6" t="str">
        <f aca="false">IFERROR(IF(INDEX(Resources!$D$2:$D$64,MATCH($D509,Resources!$A$2:$A$64,0))="","",INDEX(Resources!$D$2:$D$64,MATCH($D509,Resources!$A$2:$A$64,0))),"")</f>
        <v/>
      </c>
      <c r="L509" s="28" t="str">
        <f aca="false">IF(K509="","",J509*INDEX(Resources!$E$2:$E$64,MATCH($D509,Resources!$A$2:$A$64,0)))</f>
        <v/>
      </c>
      <c r="M509" s="6" t="str">
        <f aca="false">B509&amp;"|"&amp;D509&amp;"|"&amp;C509</f>
        <v>Pond (1/10 acre)|Water storage|Output</v>
      </c>
    </row>
    <row r="510" customFormat="false" ht="15" hidden="false" customHeight="true" outlineLevel="0" collapsed="false">
      <c r="A510" s="6" t="s">
        <v>1485</v>
      </c>
      <c r="B510" s="6" t="s">
        <v>657</v>
      </c>
      <c r="C510" s="6" t="s">
        <v>943</v>
      </c>
      <c r="D510" s="6" t="s">
        <v>1486</v>
      </c>
      <c r="E510" s="26" t="n">
        <v>0.2</v>
      </c>
      <c r="F510" s="6" t="str">
        <f aca="false">IFERROR(INDEX(Resources!$B$2:$B$64,MATCH($D510,Resources!$A$2:$A$64,0)),"?")</f>
        <v>lbs</v>
      </c>
      <c r="G510" s="6" t="s">
        <v>939</v>
      </c>
      <c r="H510" s="27" t="n">
        <f aca="false">E510*INDEX(Assumptions!$D$17:$D$23,MATCH(G510,Assumptions!$B$17:$B$23,0))</f>
        <v>0.2</v>
      </c>
      <c r="I510" s="6" t="n">
        <f aca="false">IFERROR(INDEX(Systems!$R$2:$R$179,MATCH($B510,Systems!$B$2:$B$179,0)),0)</f>
        <v>0</v>
      </c>
      <c r="J510" s="27" t="n">
        <f aca="false">H510*I510</f>
        <v>0</v>
      </c>
      <c r="K510" s="6" t="str">
        <f aca="false">IFERROR(IF(INDEX(Resources!$D$2:$D$64,MATCH($D510,Resources!$A$2:$A$64,0))="","",INDEX(Resources!$D$2:$D$64,MATCH($D510,Resources!$A$2:$A$64,0))),"")</f>
        <v>Food</v>
      </c>
      <c r="L510" s="28" t="n">
        <f aca="false">IF(K510="","",J510*INDEX(Resources!$E$2:$E$64,MATCH($D510,Resources!$A$2:$A$64,0)))</f>
        <v>0</v>
      </c>
      <c r="M510" s="6" t="str">
        <f aca="false">B510&amp;"|"&amp;D510&amp;"|"&amp;C510</f>
        <v>Pond (1/10 acre)|Fish|Output</v>
      </c>
    </row>
    <row r="511" customFormat="false" ht="15" hidden="false" customHeight="true" outlineLevel="0" collapsed="false">
      <c r="A511" s="6" t="s">
        <v>1487</v>
      </c>
      <c r="B511" s="6" t="s">
        <v>657</v>
      </c>
      <c r="C511" s="6" t="s">
        <v>943</v>
      </c>
      <c r="D511" s="6" t="s">
        <v>462</v>
      </c>
      <c r="E511" s="26" t="n">
        <v>5</v>
      </c>
      <c r="F511" s="6" t="str">
        <f aca="false">IFERROR(INDEX(Resources!$B$2:$B$64,MATCH($D511,Resources!$A$2:$A$64,0)),"?")</f>
        <v>points</v>
      </c>
      <c r="G511" s="6" t="s">
        <v>939</v>
      </c>
      <c r="H511" s="27" t="n">
        <f aca="false">E511*INDEX(Assumptions!$D$17:$D$23,MATCH(G511,Assumptions!$B$17:$B$23,0))</f>
        <v>5</v>
      </c>
      <c r="I511" s="6" t="n">
        <f aca="false">IFERROR(INDEX(Systems!$R$2:$R$179,MATCH($B511,Systems!$B$2:$B$179,0)),0)</f>
        <v>0</v>
      </c>
      <c r="J511" s="27" t="n">
        <f aca="false">H511*I511</f>
        <v>0</v>
      </c>
      <c r="K511" s="6" t="str">
        <f aca="false">IFERROR(IF(INDEX(Resources!$D$2:$D$64,MATCH($D511,Resources!$A$2:$A$64,0))="","",INDEX(Resources!$D$2:$D$64,MATCH($D511,Resources!$A$2:$A$64,0))),"")</f>
        <v/>
      </c>
      <c r="L511" s="28" t="str">
        <f aca="false">IF(K511="","",J511*INDEX(Resources!$E$2:$E$64,MATCH($D511,Resources!$A$2:$A$64,0)))</f>
        <v/>
      </c>
      <c r="M511" s="6" t="str">
        <f aca="false">B511&amp;"|"&amp;D511&amp;"|"&amp;C511</f>
        <v>Pond (1/10 acre)|Wellbeing|Output</v>
      </c>
    </row>
    <row r="512" customFormat="false" ht="15" hidden="false" customHeight="true" outlineLevel="0" collapsed="false">
      <c r="A512" s="6" t="s">
        <v>1488</v>
      </c>
      <c r="B512" s="6" t="s">
        <v>657</v>
      </c>
      <c r="C512" s="6" t="s">
        <v>943</v>
      </c>
      <c r="D512" s="6" t="s">
        <v>436</v>
      </c>
      <c r="E512" s="26" t="n">
        <v>200</v>
      </c>
      <c r="F512" s="6" t="str">
        <f aca="false">IFERROR(INDEX(Resources!$B$2:$B$64,MATCH($D512,Resources!$A$2:$A$64,0)),"?")</f>
        <v>sq ft</v>
      </c>
      <c r="G512" s="6" t="s">
        <v>945</v>
      </c>
      <c r="H512" s="27" t="n">
        <f aca="false">E512*INDEX(Assumptions!$D$17:$D$23,MATCH(G512,Assumptions!$B$17:$B$23,0))</f>
        <v>200</v>
      </c>
      <c r="I512" s="6" t="n">
        <f aca="false">IFERROR(INDEX(Systems!$R$2:$R$179,MATCH($B512,Systems!$B$2:$B$179,0)),0)</f>
        <v>0</v>
      </c>
      <c r="J512" s="27" t="n">
        <f aca="false">H512*I512</f>
        <v>0</v>
      </c>
      <c r="K512" s="6" t="str">
        <f aca="false">IFERROR(IF(INDEX(Resources!$D$2:$D$64,MATCH($D512,Resources!$A$2:$A$64,0))="","",INDEX(Resources!$D$2:$D$64,MATCH($D512,Resources!$A$2:$A$64,0))),"")</f>
        <v/>
      </c>
      <c r="L512" s="28" t="str">
        <f aca="false">IF(K512="","",J512*INDEX(Resources!$E$2:$E$64,MATCH($D512,Resources!$A$2:$A$64,0)))</f>
        <v/>
      </c>
      <c r="M512" s="6" t="str">
        <f aca="false">B512&amp;"|"&amp;D512&amp;"|"&amp;C512</f>
        <v>Pond (1/10 acre)|Pollinator flowers|Output</v>
      </c>
    </row>
    <row r="513" customFormat="false" ht="15" hidden="false" customHeight="true" outlineLevel="0" collapsed="false">
      <c r="A513" s="6" t="s">
        <v>1489</v>
      </c>
      <c r="B513" s="6" t="s">
        <v>662</v>
      </c>
      <c r="C513" s="6" t="s">
        <v>938</v>
      </c>
      <c r="D513" s="6" t="s">
        <v>71</v>
      </c>
      <c r="E513" s="26" t="n">
        <v>0.05</v>
      </c>
      <c r="F513" s="6" t="str">
        <f aca="false">IFERROR(INDEX(Resources!$B$2:$B$64,MATCH($D513,Resources!$A$2:$A$64,0)),"?")</f>
        <v>hours</v>
      </c>
      <c r="G513" s="6" t="s">
        <v>939</v>
      </c>
      <c r="H513" s="27" t="n">
        <f aca="false">E513*INDEX(Assumptions!$D$17:$D$23,MATCH(G513,Assumptions!$B$17:$B$23,0))</f>
        <v>0.05</v>
      </c>
      <c r="I513" s="6" t="n">
        <f aca="false">IFERROR(INDEX(Systems!$R$2:$R$179,MATCH($B513,Systems!$B$2:$B$179,0)),0)</f>
        <v>0</v>
      </c>
      <c r="J513" s="27" t="n">
        <f aca="false">H513*I513</f>
        <v>0</v>
      </c>
      <c r="K513" s="6" t="str">
        <f aca="false">IFERROR(IF(INDEX(Resources!$D$2:$D$64,MATCH($D513,Resources!$A$2:$A$64,0))="","",INDEX(Resources!$D$2:$D$64,MATCH($D513,Resources!$A$2:$A$64,0))),"")</f>
        <v>Est. Required Labor</v>
      </c>
      <c r="L513" s="28" t="n">
        <f aca="false">IF(K513="","",J513*INDEX(Resources!$E$2:$E$64,MATCH($D513,Resources!$A$2:$A$64,0)))</f>
        <v>0</v>
      </c>
      <c r="M513" s="6" t="str">
        <f aca="false">B513&amp;"|"&amp;D513&amp;"|"&amp;C513</f>
        <v>5,000 Gallon Cistern|Labor|Input</v>
      </c>
      <c r="N513" s="6" t="s">
        <v>940</v>
      </c>
    </row>
    <row r="514" customFormat="false" ht="15" hidden="false" customHeight="true" outlineLevel="0" collapsed="false">
      <c r="A514" s="6" t="s">
        <v>1490</v>
      </c>
      <c r="B514" s="6" t="s">
        <v>662</v>
      </c>
      <c r="C514" s="6" t="s">
        <v>943</v>
      </c>
      <c r="D514" s="6" t="s">
        <v>104</v>
      </c>
      <c r="E514" s="26" t="n">
        <v>5000</v>
      </c>
      <c r="F514" s="6" t="str">
        <f aca="false">IFERROR(INDEX(Resources!$B$2:$B$64,MATCH($D514,Resources!$A$2:$A$64,0)),"?")</f>
        <v>gal</v>
      </c>
      <c r="G514" s="6" t="s">
        <v>945</v>
      </c>
      <c r="H514" s="27" t="n">
        <f aca="false">E514*INDEX(Assumptions!$D$17:$D$23,MATCH(G514,Assumptions!$B$17:$B$23,0))</f>
        <v>5000</v>
      </c>
      <c r="I514" s="6" t="n">
        <f aca="false">IFERROR(INDEX(Systems!$R$2:$R$179,MATCH($B514,Systems!$B$2:$B$179,0)),0)</f>
        <v>0</v>
      </c>
      <c r="J514" s="27" t="n">
        <f aca="false">H514*I514</f>
        <v>0</v>
      </c>
      <c r="K514" s="6" t="str">
        <f aca="false">IFERROR(IF(INDEX(Resources!$D$2:$D$64,MATCH($D514,Resources!$A$2:$A$64,0))="","",INDEX(Resources!$D$2:$D$64,MATCH($D514,Resources!$A$2:$A$64,0))),"")</f>
        <v/>
      </c>
      <c r="L514" s="28" t="str">
        <f aca="false">IF(K514="","",J514*INDEX(Resources!$E$2:$E$64,MATCH($D514,Resources!$A$2:$A$64,0)))</f>
        <v/>
      </c>
      <c r="M514" s="6" t="str">
        <f aca="false">B514&amp;"|"&amp;D514&amp;"|"&amp;C514</f>
        <v>5,000 Gallon Cistern|Water storage|Output</v>
      </c>
    </row>
    <row r="515" customFormat="false" ht="15" hidden="false" customHeight="true" outlineLevel="0" collapsed="false">
      <c r="A515" s="6" t="s">
        <v>1491</v>
      </c>
      <c r="B515" s="6" t="s">
        <v>665</v>
      </c>
      <c r="C515" s="6" t="s">
        <v>938</v>
      </c>
      <c r="D515" s="6" t="s">
        <v>71</v>
      </c>
      <c r="E515" s="26" t="n">
        <v>0.25</v>
      </c>
      <c r="F515" s="6" t="str">
        <f aca="false">IFERROR(INDEX(Resources!$B$2:$B$64,MATCH($D515,Resources!$A$2:$A$64,0)),"?")</f>
        <v>hours</v>
      </c>
      <c r="G515" s="6" t="s">
        <v>939</v>
      </c>
      <c r="H515" s="27" t="n">
        <f aca="false">E515*INDEX(Assumptions!$D$17:$D$23,MATCH(G515,Assumptions!$B$17:$B$23,0))</f>
        <v>0.25</v>
      </c>
      <c r="I515" s="6" t="n">
        <f aca="false">IFERROR(INDEX(Systems!$R$2:$R$179,MATCH($B515,Systems!$B$2:$B$179,0)),0)</f>
        <v>0</v>
      </c>
      <c r="J515" s="27" t="n">
        <f aca="false">H515*I515</f>
        <v>0</v>
      </c>
      <c r="K515" s="6" t="str">
        <f aca="false">IFERROR(IF(INDEX(Resources!$D$2:$D$64,MATCH($D515,Resources!$A$2:$A$64,0))="","",INDEX(Resources!$D$2:$D$64,MATCH($D515,Resources!$A$2:$A$64,0))),"")</f>
        <v>Est. Required Labor</v>
      </c>
      <c r="L515" s="28" t="n">
        <f aca="false">IF(K515="","",J515*INDEX(Resources!$E$2:$E$64,MATCH($D515,Resources!$A$2:$A$64,0)))</f>
        <v>0</v>
      </c>
      <c r="M515" s="6" t="str">
        <f aca="false">B515&amp;"|"&amp;D515&amp;"|"&amp;C515</f>
        <v>Swales &amp; Berms Earthworks|Labor|Input</v>
      </c>
      <c r="N515" s="6" t="s">
        <v>940</v>
      </c>
    </row>
    <row r="516" customFormat="false" ht="15" hidden="false" customHeight="true" outlineLevel="0" collapsed="false">
      <c r="A516" s="6" t="s">
        <v>1492</v>
      </c>
      <c r="B516" s="6" t="s">
        <v>665</v>
      </c>
      <c r="C516" s="6" t="s">
        <v>938</v>
      </c>
      <c r="D516" s="6" t="s">
        <v>864</v>
      </c>
      <c r="E516" s="29" t="n">
        <f aca="false">Assumptions!$C$8/52</f>
        <v>0.288461538461538</v>
      </c>
      <c r="F516" s="6" t="str">
        <f aca="false">IFERROR(INDEX(Resources!$B$2:$B$64,MATCH($D516,Resources!$A$2:$A$64,0)),"?")</f>
        <v>inches</v>
      </c>
      <c r="G516" s="6" t="s">
        <v>939</v>
      </c>
      <c r="H516" s="27" t="n">
        <f aca="false">E516*INDEX(Assumptions!$D$17:$D$23,MATCH(G516,Assumptions!$B$17:$B$23,0))</f>
        <v>0.288461538461538</v>
      </c>
      <c r="I516" s="6" t="n">
        <f aca="false">IFERROR(INDEX(Systems!$R$2:$R$179,MATCH($B516,Systems!$B$2:$B$179,0)),0)</f>
        <v>0</v>
      </c>
      <c r="J516" s="27" t="n">
        <f aca="false">H516*I516</f>
        <v>0</v>
      </c>
      <c r="K516" s="6" t="str">
        <f aca="false">IFERROR(IF(INDEX(Resources!$D$2:$D$64,MATCH($D516,Resources!$A$2:$A$64,0))="","",INDEX(Resources!$D$2:$D$64,MATCH($D516,Resources!$A$2:$A$64,0))),"")</f>
        <v/>
      </c>
      <c r="L516" s="28" t="str">
        <f aca="false">IF(K516="","",J516*INDEX(Resources!$E$2:$E$64,MATCH($D516,Resources!$A$2:$A$64,0)))</f>
        <v/>
      </c>
      <c r="M516" s="6" t="str">
        <f aca="false">B516&amp;"|"&amp;D516&amp;"|"&amp;C516</f>
        <v>Swales &amp; Berms Earthworks|Rainfall|Input</v>
      </c>
      <c r="N516" s="6" t="s">
        <v>1076</v>
      </c>
    </row>
    <row r="517" customFormat="false" ht="15" hidden="false" customHeight="true" outlineLevel="0" collapsed="false">
      <c r="A517" s="6" t="s">
        <v>1493</v>
      </c>
      <c r="B517" s="6" t="s">
        <v>665</v>
      </c>
      <c r="C517" s="6" t="s">
        <v>943</v>
      </c>
      <c r="D517" s="6" t="s">
        <v>49</v>
      </c>
      <c r="E517" s="29" t="n">
        <f aca="false">INDEX(Systems!$P$2:$P$179,MATCH($B517,Systems!$B$2:$B$179,0))*Assumptions!$C$8/52*Assumptions!$C$9*INDEX(Systems!$Q$2:$Q$179,MATCH($B517,Systems!$B$2:$B$179,0))</f>
        <v>898.557692307692</v>
      </c>
      <c r="F517" s="6" t="str">
        <f aca="false">IFERROR(INDEX(Resources!$B$2:$B$64,MATCH($D517,Resources!$A$2:$A$64,0)),"?")</f>
        <v>gal</v>
      </c>
      <c r="G517" s="6" t="s">
        <v>939</v>
      </c>
      <c r="H517" s="27" t="n">
        <f aca="false">E517*INDEX(Assumptions!$D$17:$D$23,MATCH(G517,Assumptions!$B$17:$B$23,0))</f>
        <v>898.557692307692</v>
      </c>
      <c r="I517" s="6" t="n">
        <f aca="false">IFERROR(INDEX(Systems!$R$2:$R$179,MATCH($B517,Systems!$B$2:$B$179,0)),0)</f>
        <v>0</v>
      </c>
      <c r="J517" s="27" t="n">
        <f aca="false">H517*I517</f>
        <v>0</v>
      </c>
      <c r="K517" s="6" t="str">
        <f aca="false">IFERROR(IF(INDEX(Resources!$D$2:$D$64,MATCH($D517,Resources!$A$2:$A$64,0))="","",INDEX(Resources!$D$2:$D$64,MATCH($D517,Resources!$A$2:$A$64,0))),"")</f>
        <v>Water</v>
      </c>
      <c r="L517" s="28" t="n">
        <f aca="false">IF(K517="","",J517*INDEX(Resources!$E$2:$E$64,MATCH($D517,Resources!$A$2:$A$64,0)))</f>
        <v>0</v>
      </c>
      <c r="M517" s="6" t="str">
        <f aca="false">B517&amp;"|"&amp;D517&amp;"|"&amp;C517</f>
        <v>Swales &amp; Berms Earthworks|Water|Output</v>
      </c>
      <c r="N517" s="6" t="s">
        <v>1078</v>
      </c>
    </row>
    <row r="518" customFormat="false" ht="15" hidden="false" customHeight="true" outlineLevel="0" collapsed="false">
      <c r="A518" s="6" t="s">
        <v>1494</v>
      </c>
      <c r="B518" s="6" t="s">
        <v>665</v>
      </c>
      <c r="C518" s="6" t="s">
        <v>943</v>
      </c>
      <c r="D518" s="6" t="s">
        <v>462</v>
      </c>
      <c r="E518" s="26" t="n">
        <v>1</v>
      </c>
      <c r="F518" s="6" t="str">
        <f aca="false">IFERROR(INDEX(Resources!$B$2:$B$64,MATCH($D518,Resources!$A$2:$A$64,0)),"?")</f>
        <v>points</v>
      </c>
      <c r="G518" s="6" t="s">
        <v>939</v>
      </c>
      <c r="H518" s="27" t="n">
        <f aca="false">E518*INDEX(Assumptions!$D$17:$D$23,MATCH(G518,Assumptions!$B$17:$B$23,0))</f>
        <v>1</v>
      </c>
      <c r="I518" s="6" t="n">
        <f aca="false">IFERROR(INDEX(Systems!$R$2:$R$179,MATCH($B518,Systems!$B$2:$B$179,0)),0)</f>
        <v>0</v>
      </c>
      <c r="J518" s="27" t="n">
        <f aca="false">H518*I518</f>
        <v>0</v>
      </c>
      <c r="K518" s="6" t="str">
        <f aca="false">IFERROR(IF(INDEX(Resources!$D$2:$D$64,MATCH($D518,Resources!$A$2:$A$64,0))="","",INDEX(Resources!$D$2:$D$64,MATCH($D518,Resources!$A$2:$A$64,0))),"")</f>
        <v/>
      </c>
      <c r="L518" s="28" t="str">
        <f aca="false">IF(K518="","",J518*INDEX(Resources!$E$2:$E$64,MATCH($D518,Resources!$A$2:$A$64,0)))</f>
        <v/>
      </c>
      <c r="M518" s="6" t="str">
        <f aca="false">B518&amp;"|"&amp;D518&amp;"|"&amp;C518</f>
        <v>Swales &amp; Berms Earthworks|Wellbeing|Output</v>
      </c>
    </row>
    <row r="519" customFormat="false" ht="15" hidden="false" customHeight="true" outlineLevel="0" collapsed="false">
      <c r="A519" s="6" t="s">
        <v>1495</v>
      </c>
      <c r="B519" s="6" t="s">
        <v>670</v>
      </c>
      <c r="C519" s="6" t="s">
        <v>938</v>
      </c>
      <c r="D519" s="6" t="s">
        <v>269</v>
      </c>
      <c r="E519" s="26" t="n">
        <v>20</v>
      </c>
      <c r="F519" s="6" t="str">
        <f aca="false">IFERROR(INDEX(Resources!$B$2:$B$64,MATCH($D519,Resources!$A$2:$A$64,0)),"?")</f>
        <v>$</v>
      </c>
      <c r="G519" s="6" t="s">
        <v>939</v>
      </c>
      <c r="H519" s="27" t="n">
        <f aca="false">E519*INDEX(Assumptions!$D$17:$D$23,MATCH(G519,Assumptions!$B$17:$B$23,0))</f>
        <v>20</v>
      </c>
      <c r="I519" s="6" t="n">
        <f aca="false">IFERROR(INDEX(Systems!$R$2:$R$179,MATCH($B519,Systems!$B$2:$B$179,0)),0)</f>
        <v>0</v>
      </c>
      <c r="J519" s="27" t="n">
        <f aca="false">H519*I519</f>
        <v>0</v>
      </c>
      <c r="K519" s="6" t="str">
        <f aca="false">IFERROR(IF(INDEX(Resources!$D$2:$D$64,MATCH($D519,Resources!$A$2:$A$64,0))="","",INDEX(Resources!$D$2:$D$64,MATCH($D519,Resources!$A$2:$A$64,0))),"")</f>
        <v/>
      </c>
      <c r="L519" s="28" t="str">
        <f aca="false">IF(K519="","",J519*INDEX(Resources!$E$2:$E$64,MATCH($D519,Resources!$A$2:$A$64,0)))</f>
        <v/>
      </c>
      <c r="M519" s="6" t="str">
        <f aca="false">B519&amp;"|"&amp;D519&amp;"|"&amp;C519</f>
        <v>Municipal Water Hookup|Capital|Input</v>
      </c>
    </row>
    <row r="520" customFormat="false" ht="15" hidden="false" customHeight="true" outlineLevel="0" collapsed="false">
      <c r="A520" s="6" t="s">
        <v>1496</v>
      </c>
      <c r="B520" s="6" t="s">
        <v>670</v>
      </c>
      <c r="C520" s="6" t="s">
        <v>943</v>
      </c>
      <c r="D520" s="6" t="s">
        <v>49</v>
      </c>
      <c r="E520" s="26" t="n">
        <v>700</v>
      </c>
      <c r="F520" s="6" t="str">
        <f aca="false">IFERROR(INDEX(Resources!$B$2:$B$64,MATCH($D520,Resources!$A$2:$A$64,0)),"?")</f>
        <v>gal</v>
      </c>
      <c r="G520" s="6" t="s">
        <v>939</v>
      </c>
      <c r="H520" s="27" t="n">
        <f aca="false">E520*INDEX(Assumptions!$D$17:$D$23,MATCH(G520,Assumptions!$B$17:$B$23,0))</f>
        <v>700</v>
      </c>
      <c r="I520" s="6" t="n">
        <f aca="false">IFERROR(INDEX(Systems!$R$2:$R$179,MATCH($B520,Systems!$B$2:$B$179,0)),0)</f>
        <v>0</v>
      </c>
      <c r="J520" s="27" t="n">
        <f aca="false">H520*I520</f>
        <v>0</v>
      </c>
      <c r="K520" s="6" t="str">
        <f aca="false">IFERROR(IF(INDEX(Resources!$D$2:$D$64,MATCH($D520,Resources!$A$2:$A$64,0))="","",INDEX(Resources!$D$2:$D$64,MATCH($D520,Resources!$A$2:$A$64,0))),"")</f>
        <v>Water</v>
      </c>
      <c r="L520" s="28" t="n">
        <f aca="false">IF(K520="","",J520*INDEX(Resources!$E$2:$E$64,MATCH($D520,Resources!$A$2:$A$64,0)))</f>
        <v>0</v>
      </c>
      <c r="M520" s="6" t="str">
        <f aca="false">B520&amp;"|"&amp;D520&amp;"|"&amp;C520</f>
        <v>Municipal Water Hookup|Water|Output</v>
      </c>
    </row>
    <row r="521" customFormat="false" ht="15" hidden="false" customHeight="true" outlineLevel="0" collapsed="false">
      <c r="A521" s="6" t="s">
        <v>1497</v>
      </c>
      <c r="B521" s="6" t="s">
        <v>670</v>
      </c>
      <c r="C521" s="6" t="s">
        <v>943</v>
      </c>
      <c r="D521" s="6" t="s">
        <v>51</v>
      </c>
      <c r="E521" s="26" t="n">
        <v>35</v>
      </c>
      <c r="F521" s="6" t="str">
        <f aca="false">IFERROR(INDEX(Resources!$B$2:$B$64,MATCH($D521,Resources!$A$2:$A$64,0)),"?")</f>
        <v>gal</v>
      </c>
      <c r="G521" s="6" t="s">
        <v>939</v>
      </c>
      <c r="H521" s="27" t="n">
        <f aca="false">E521*INDEX(Assumptions!$D$17:$D$23,MATCH(G521,Assumptions!$B$17:$B$23,0))</f>
        <v>35</v>
      </c>
      <c r="I521" s="6" t="n">
        <f aca="false">IFERROR(INDEX(Systems!$R$2:$R$179,MATCH($B521,Systems!$B$2:$B$179,0)),0)</f>
        <v>0</v>
      </c>
      <c r="J521" s="27" t="n">
        <f aca="false">H521*I521</f>
        <v>0</v>
      </c>
      <c r="K521" s="6" t="str">
        <f aca="false">IFERROR(IF(INDEX(Resources!$D$2:$D$64,MATCH($D521,Resources!$A$2:$A$64,0))="","",INDEX(Resources!$D$2:$D$64,MATCH($D521,Resources!$A$2:$A$64,0))),"")</f>
        <v>Drinking water</v>
      </c>
      <c r="L521" s="28" t="n">
        <f aca="false">IF(K521="","",J521*INDEX(Resources!$E$2:$E$64,MATCH($D521,Resources!$A$2:$A$64,0)))</f>
        <v>0</v>
      </c>
      <c r="M521" s="6" t="str">
        <f aca="false">B521&amp;"|"&amp;D521&amp;"|"&amp;C521</f>
        <v>Municipal Water Hookup|Drinking water|Output</v>
      </c>
    </row>
    <row r="522" customFormat="false" ht="15" hidden="false" customHeight="true" outlineLevel="0" collapsed="false">
      <c r="A522" s="6" t="s">
        <v>1498</v>
      </c>
      <c r="B522" s="6" t="s">
        <v>674</v>
      </c>
      <c r="C522" s="6" t="s">
        <v>938</v>
      </c>
      <c r="D522" s="6" t="s">
        <v>71</v>
      </c>
      <c r="E522" s="26" t="n">
        <v>0.05</v>
      </c>
      <c r="F522" s="6" t="str">
        <f aca="false">IFERROR(INDEX(Resources!$B$2:$B$64,MATCH($D522,Resources!$A$2:$A$64,0)),"?")</f>
        <v>hours</v>
      </c>
      <c r="G522" s="6" t="s">
        <v>939</v>
      </c>
      <c r="H522" s="27" t="n">
        <f aca="false">E522*INDEX(Assumptions!$D$17:$D$23,MATCH(G522,Assumptions!$B$17:$B$23,0))</f>
        <v>0.05</v>
      </c>
      <c r="I522" s="6" t="n">
        <f aca="false">IFERROR(INDEX(Systems!$R$2:$R$179,MATCH($B522,Systems!$B$2:$B$179,0)),0)</f>
        <v>0</v>
      </c>
      <c r="J522" s="27" t="n">
        <f aca="false">H522*I522</f>
        <v>0</v>
      </c>
      <c r="K522" s="6" t="str">
        <f aca="false">IFERROR(IF(INDEX(Resources!$D$2:$D$64,MATCH($D522,Resources!$A$2:$A$64,0))="","",INDEX(Resources!$D$2:$D$64,MATCH($D522,Resources!$A$2:$A$64,0))),"")</f>
        <v>Est. Required Labor</v>
      </c>
      <c r="L522" s="28" t="n">
        <f aca="false">IF(K522="","",J522*INDEX(Resources!$E$2:$E$64,MATCH($D522,Resources!$A$2:$A$64,0)))</f>
        <v>0</v>
      </c>
      <c r="M522" s="6" t="str">
        <f aca="false">B522&amp;"|"&amp;D522&amp;"|"&amp;C522</f>
        <v>UV Sterilizer|Labor|Input</v>
      </c>
      <c r="N522" s="6" t="s">
        <v>940</v>
      </c>
    </row>
    <row r="523" customFormat="false" ht="15" hidden="false" customHeight="true" outlineLevel="0" collapsed="false">
      <c r="A523" s="6" t="s">
        <v>1499</v>
      </c>
      <c r="B523" s="6" t="s">
        <v>674</v>
      </c>
      <c r="C523" s="6" t="s">
        <v>938</v>
      </c>
      <c r="D523" s="6" t="s">
        <v>49</v>
      </c>
      <c r="E523" s="26" t="n">
        <v>50</v>
      </c>
      <c r="F523" s="6" t="str">
        <f aca="false">IFERROR(INDEX(Resources!$B$2:$B$64,MATCH($D523,Resources!$A$2:$A$64,0)),"?")</f>
        <v>gal</v>
      </c>
      <c r="G523" s="6" t="s">
        <v>939</v>
      </c>
      <c r="H523" s="27" t="n">
        <f aca="false">E523*INDEX(Assumptions!$D$17:$D$23,MATCH(G523,Assumptions!$B$17:$B$23,0))</f>
        <v>50</v>
      </c>
      <c r="I523" s="6" t="n">
        <f aca="false">IFERROR(INDEX(Systems!$R$2:$R$179,MATCH($B523,Systems!$B$2:$B$179,0)),0)</f>
        <v>0</v>
      </c>
      <c r="J523" s="27" t="n">
        <f aca="false">H523*I523</f>
        <v>0</v>
      </c>
      <c r="K523" s="6" t="str">
        <f aca="false">IFERROR(IF(INDEX(Resources!$D$2:$D$64,MATCH($D523,Resources!$A$2:$A$64,0))="","",INDEX(Resources!$D$2:$D$64,MATCH($D523,Resources!$A$2:$A$64,0))),"")</f>
        <v>Water</v>
      </c>
      <c r="L523" s="28" t="n">
        <f aca="false">IF(K523="","",J523*INDEX(Resources!$E$2:$E$64,MATCH($D523,Resources!$A$2:$A$64,0)))</f>
        <v>0</v>
      </c>
      <c r="M523" s="6" t="str">
        <f aca="false">B523&amp;"|"&amp;D523&amp;"|"&amp;C523</f>
        <v>UV Sterilizer|Water|Input</v>
      </c>
    </row>
    <row r="524" customFormat="false" ht="15" hidden="false" customHeight="true" outlineLevel="0" collapsed="false">
      <c r="A524" s="6" t="s">
        <v>1500</v>
      </c>
      <c r="B524" s="6" t="s">
        <v>674</v>
      </c>
      <c r="C524" s="6" t="s">
        <v>938</v>
      </c>
      <c r="D524" s="6" t="s">
        <v>59</v>
      </c>
      <c r="E524" s="26" t="n">
        <v>0.4</v>
      </c>
      <c r="F524" s="6" t="str">
        <f aca="false">IFERROR(INDEX(Resources!$B$2:$B$64,MATCH($D524,Resources!$A$2:$A$64,0)),"?")</f>
        <v>kWh</v>
      </c>
      <c r="G524" s="6" t="s">
        <v>939</v>
      </c>
      <c r="H524" s="27" t="n">
        <f aca="false">E524*INDEX(Assumptions!$D$17:$D$23,MATCH(G524,Assumptions!$B$17:$B$23,0))</f>
        <v>0.4</v>
      </c>
      <c r="I524" s="6" t="n">
        <f aca="false">IFERROR(INDEX(Systems!$R$2:$R$179,MATCH($B524,Systems!$B$2:$B$179,0)),0)</f>
        <v>0</v>
      </c>
      <c r="J524" s="27" t="n">
        <f aca="false">H524*I524</f>
        <v>0</v>
      </c>
      <c r="K524" s="6" t="str">
        <f aca="false">IFERROR(IF(INDEX(Resources!$D$2:$D$64,MATCH($D524,Resources!$A$2:$A$64,0))="","",INDEX(Resources!$D$2:$D$64,MATCH($D524,Resources!$A$2:$A$64,0))),"")</f>
        <v>Electricity</v>
      </c>
      <c r="L524" s="28" t="n">
        <f aca="false">IF(K524="","",J524*INDEX(Resources!$E$2:$E$64,MATCH($D524,Resources!$A$2:$A$64,0)))</f>
        <v>0</v>
      </c>
      <c r="M524" s="6" t="str">
        <f aca="false">B524&amp;"|"&amp;D524&amp;"|"&amp;C524</f>
        <v>UV Sterilizer|Electricity|Input</v>
      </c>
    </row>
    <row r="525" customFormat="false" ht="15" hidden="false" customHeight="true" outlineLevel="0" collapsed="false">
      <c r="A525" s="6" t="s">
        <v>1501</v>
      </c>
      <c r="B525" s="6" t="s">
        <v>674</v>
      </c>
      <c r="C525" s="6" t="s">
        <v>943</v>
      </c>
      <c r="D525" s="6" t="s">
        <v>51</v>
      </c>
      <c r="E525" s="26" t="n">
        <v>50</v>
      </c>
      <c r="F525" s="6" t="str">
        <f aca="false">IFERROR(INDEX(Resources!$B$2:$B$64,MATCH($D525,Resources!$A$2:$A$64,0)),"?")</f>
        <v>gal</v>
      </c>
      <c r="G525" s="6" t="s">
        <v>939</v>
      </c>
      <c r="H525" s="27" t="n">
        <f aca="false">E525*INDEX(Assumptions!$D$17:$D$23,MATCH(G525,Assumptions!$B$17:$B$23,0))</f>
        <v>50</v>
      </c>
      <c r="I525" s="6" t="n">
        <f aca="false">IFERROR(INDEX(Systems!$R$2:$R$179,MATCH($B525,Systems!$B$2:$B$179,0)),0)</f>
        <v>0</v>
      </c>
      <c r="J525" s="27" t="n">
        <f aca="false">H525*I525</f>
        <v>0</v>
      </c>
      <c r="K525" s="6" t="str">
        <f aca="false">IFERROR(IF(INDEX(Resources!$D$2:$D$64,MATCH($D525,Resources!$A$2:$A$64,0))="","",INDEX(Resources!$D$2:$D$64,MATCH($D525,Resources!$A$2:$A$64,0))),"")</f>
        <v>Drinking water</v>
      </c>
      <c r="L525" s="28" t="n">
        <f aca="false">IF(K525="","",J525*INDEX(Resources!$E$2:$E$64,MATCH($D525,Resources!$A$2:$A$64,0)))</f>
        <v>0</v>
      </c>
      <c r="M525" s="6" t="str">
        <f aca="false">B525&amp;"|"&amp;D525&amp;"|"&amp;C525</f>
        <v>UV Sterilizer|Drinking water|Output</v>
      </c>
    </row>
    <row r="526" customFormat="false" ht="15" hidden="false" customHeight="true" outlineLevel="0" collapsed="false">
      <c r="A526" s="6" t="s">
        <v>1502</v>
      </c>
      <c r="B526" s="6" t="s">
        <v>678</v>
      </c>
      <c r="C526" s="6" t="s">
        <v>938</v>
      </c>
      <c r="D526" s="6" t="s">
        <v>71</v>
      </c>
      <c r="E526" s="26" t="n">
        <v>0.25</v>
      </c>
      <c r="F526" s="6" t="str">
        <f aca="false">IFERROR(INDEX(Resources!$B$2:$B$64,MATCH($D526,Resources!$A$2:$A$64,0)),"?")</f>
        <v>hours</v>
      </c>
      <c r="G526" s="6" t="s">
        <v>939</v>
      </c>
      <c r="H526" s="27" t="n">
        <f aca="false">E526*INDEX(Assumptions!$D$17:$D$23,MATCH(G526,Assumptions!$B$17:$B$23,0))</f>
        <v>0.25</v>
      </c>
      <c r="I526" s="6" t="n">
        <f aca="false">IFERROR(INDEX(Systems!$R$2:$R$179,MATCH($B526,Systems!$B$2:$B$179,0)),0)</f>
        <v>0</v>
      </c>
      <c r="J526" s="27" t="n">
        <f aca="false">H526*I526</f>
        <v>0</v>
      </c>
      <c r="K526" s="6" t="str">
        <f aca="false">IFERROR(IF(INDEX(Resources!$D$2:$D$64,MATCH($D526,Resources!$A$2:$A$64,0))="","",INDEX(Resources!$D$2:$D$64,MATCH($D526,Resources!$A$2:$A$64,0))),"")</f>
        <v>Est. Required Labor</v>
      </c>
      <c r="L526" s="28" t="n">
        <f aca="false">IF(K526="","",J526*INDEX(Resources!$E$2:$E$64,MATCH($D526,Resources!$A$2:$A$64,0)))</f>
        <v>0</v>
      </c>
      <c r="M526" s="6" t="str">
        <f aca="false">B526&amp;"|"&amp;D526&amp;"|"&amp;C526</f>
        <v>Slow Sand Filter|Labor|Input</v>
      </c>
      <c r="N526" s="6" t="s">
        <v>940</v>
      </c>
    </row>
    <row r="527" customFormat="false" ht="15" hidden="false" customHeight="true" outlineLevel="0" collapsed="false">
      <c r="A527" s="6" t="s">
        <v>1503</v>
      </c>
      <c r="B527" s="6" t="s">
        <v>678</v>
      </c>
      <c r="C527" s="6" t="s">
        <v>938</v>
      </c>
      <c r="D527" s="6" t="s">
        <v>49</v>
      </c>
      <c r="E527" s="26" t="n">
        <v>35</v>
      </c>
      <c r="F527" s="6" t="str">
        <f aca="false">IFERROR(INDEX(Resources!$B$2:$B$64,MATCH($D527,Resources!$A$2:$A$64,0)),"?")</f>
        <v>gal</v>
      </c>
      <c r="G527" s="6" t="s">
        <v>939</v>
      </c>
      <c r="H527" s="27" t="n">
        <f aca="false">E527*INDEX(Assumptions!$D$17:$D$23,MATCH(G527,Assumptions!$B$17:$B$23,0))</f>
        <v>35</v>
      </c>
      <c r="I527" s="6" t="n">
        <f aca="false">IFERROR(INDEX(Systems!$R$2:$R$179,MATCH($B527,Systems!$B$2:$B$179,0)),0)</f>
        <v>0</v>
      </c>
      <c r="J527" s="27" t="n">
        <f aca="false">H527*I527</f>
        <v>0</v>
      </c>
      <c r="K527" s="6" t="str">
        <f aca="false">IFERROR(IF(INDEX(Resources!$D$2:$D$64,MATCH($D527,Resources!$A$2:$A$64,0))="","",INDEX(Resources!$D$2:$D$64,MATCH($D527,Resources!$A$2:$A$64,0))),"")</f>
        <v>Water</v>
      </c>
      <c r="L527" s="28" t="n">
        <f aca="false">IF(K527="","",J527*INDEX(Resources!$E$2:$E$64,MATCH($D527,Resources!$A$2:$A$64,0)))</f>
        <v>0</v>
      </c>
      <c r="M527" s="6" t="str">
        <f aca="false">B527&amp;"|"&amp;D527&amp;"|"&amp;C527</f>
        <v>Slow Sand Filter|Water|Input</v>
      </c>
    </row>
    <row r="528" customFormat="false" ht="15" hidden="false" customHeight="true" outlineLevel="0" collapsed="false">
      <c r="A528" s="6" t="s">
        <v>1504</v>
      </c>
      <c r="B528" s="6" t="s">
        <v>678</v>
      </c>
      <c r="C528" s="6" t="s">
        <v>943</v>
      </c>
      <c r="D528" s="6" t="s">
        <v>51</v>
      </c>
      <c r="E528" s="26" t="n">
        <v>35</v>
      </c>
      <c r="F528" s="6" t="str">
        <f aca="false">IFERROR(INDEX(Resources!$B$2:$B$64,MATCH($D528,Resources!$A$2:$A$64,0)),"?")</f>
        <v>gal</v>
      </c>
      <c r="G528" s="6" t="s">
        <v>939</v>
      </c>
      <c r="H528" s="27" t="n">
        <f aca="false">E528*INDEX(Assumptions!$D$17:$D$23,MATCH(G528,Assumptions!$B$17:$B$23,0))</f>
        <v>35</v>
      </c>
      <c r="I528" s="6" t="n">
        <f aca="false">IFERROR(INDEX(Systems!$R$2:$R$179,MATCH($B528,Systems!$B$2:$B$179,0)),0)</f>
        <v>0</v>
      </c>
      <c r="J528" s="27" t="n">
        <f aca="false">H528*I528</f>
        <v>0</v>
      </c>
      <c r="K528" s="6" t="str">
        <f aca="false">IFERROR(IF(INDEX(Resources!$D$2:$D$64,MATCH($D528,Resources!$A$2:$A$64,0))="","",INDEX(Resources!$D$2:$D$64,MATCH($D528,Resources!$A$2:$A$64,0))),"")</f>
        <v>Drinking water</v>
      </c>
      <c r="L528" s="28" t="n">
        <f aca="false">IF(K528="","",J528*INDEX(Resources!$E$2:$E$64,MATCH($D528,Resources!$A$2:$A$64,0)))</f>
        <v>0</v>
      </c>
      <c r="M528" s="6" t="str">
        <f aca="false">B528&amp;"|"&amp;D528&amp;"|"&amp;C528</f>
        <v>Slow Sand Filter|Drinking water|Output</v>
      </c>
    </row>
    <row r="529" customFormat="false" ht="15" hidden="false" customHeight="true" outlineLevel="0" collapsed="false">
      <c r="A529" s="6" t="s">
        <v>1505</v>
      </c>
      <c r="B529" s="6" t="s">
        <v>681</v>
      </c>
      <c r="C529" s="6" t="s">
        <v>938</v>
      </c>
      <c r="D529" s="6" t="s">
        <v>71</v>
      </c>
      <c r="E529" s="26" t="n">
        <v>0.1</v>
      </c>
      <c r="F529" s="6" t="str">
        <f aca="false">IFERROR(INDEX(Resources!$B$2:$B$64,MATCH($D529,Resources!$A$2:$A$64,0)),"?")</f>
        <v>hours</v>
      </c>
      <c r="G529" s="6" t="s">
        <v>939</v>
      </c>
      <c r="H529" s="27" t="n">
        <f aca="false">E529*INDEX(Assumptions!$D$17:$D$23,MATCH(G529,Assumptions!$B$17:$B$23,0))</f>
        <v>0.1</v>
      </c>
      <c r="I529" s="6" t="n">
        <f aca="false">IFERROR(INDEX(Systems!$R$2:$R$179,MATCH($B529,Systems!$B$2:$B$179,0)),0)</f>
        <v>0</v>
      </c>
      <c r="J529" s="27" t="n">
        <f aca="false">H529*I529</f>
        <v>0</v>
      </c>
      <c r="K529" s="6" t="str">
        <f aca="false">IFERROR(IF(INDEX(Resources!$D$2:$D$64,MATCH($D529,Resources!$A$2:$A$64,0))="","",INDEX(Resources!$D$2:$D$64,MATCH($D529,Resources!$A$2:$A$64,0))),"")</f>
        <v>Est. Required Labor</v>
      </c>
      <c r="L529" s="28" t="n">
        <f aca="false">IF(K529="","",J529*INDEX(Resources!$E$2:$E$64,MATCH($D529,Resources!$A$2:$A$64,0)))</f>
        <v>0</v>
      </c>
      <c r="M529" s="6" t="str">
        <f aca="false">B529&amp;"|"&amp;D529&amp;"|"&amp;C529</f>
        <v>Solar Water Distiller|Labor|Input</v>
      </c>
      <c r="N529" s="6" t="s">
        <v>940</v>
      </c>
    </row>
    <row r="530" customFormat="false" ht="15" hidden="false" customHeight="true" outlineLevel="0" collapsed="false">
      <c r="A530" s="6" t="s">
        <v>1506</v>
      </c>
      <c r="B530" s="6" t="s">
        <v>681</v>
      </c>
      <c r="C530" s="6" t="s">
        <v>938</v>
      </c>
      <c r="D530" s="6" t="s">
        <v>49</v>
      </c>
      <c r="E530" s="26" t="n">
        <v>7</v>
      </c>
      <c r="F530" s="6" t="str">
        <f aca="false">IFERROR(INDEX(Resources!$B$2:$B$64,MATCH($D530,Resources!$A$2:$A$64,0)),"?")</f>
        <v>gal</v>
      </c>
      <c r="G530" s="6" t="s">
        <v>939</v>
      </c>
      <c r="H530" s="27" t="n">
        <f aca="false">E530*INDEX(Assumptions!$D$17:$D$23,MATCH(G530,Assumptions!$B$17:$B$23,0))</f>
        <v>7</v>
      </c>
      <c r="I530" s="6" t="n">
        <f aca="false">IFERROR(INDEX(Systems!$R$2:$R$179,MATCH($B530,Systems!$B$2:$B$179,0)),0)</f>
        <v>0</v>
      </c>
      <c r="J530" s="27" t="n">
        <f aca="false">H530*I530</f>
        <v>0</v>
      </c>
      <c r="K530" s="6" t="str">
        <f aca="false">IFERROR(IF(INDEX(Resources!$D$2:$D$64,MATCH($D530,Resources!$A$2:$A$64,0))="","",INDEX(Resources!$D$2:$D$64,MATCH($D530,Resources!$A$2:$A$64,0))),"")</f>
        <v>Water</v>
      </c>
      <c r="L530" s="28" t="n">
        <f aca="false">IF(K530="","",J530*INDEX(Resources!$E$2:$E$64,MATCH($D530,Resources!$A$2:$A$64,0)))</f>
        <v>0</v>
      </c>
      <c r="M530" s="6" t="str">
        <f aca="false">B530&amp;"|"&amp;D530&amp;"|"&amp;C530</f>
        <v>Solar Water Distiller|Water|Input</v>
      </c>
    </row>
    <row r="531" customFormat="false" ht="15" hidden="false" customHeight="true" outlineLevel="0" collapsed="false">
      <c r="A531" s="6" t="s">
        <v>1507</v>
      </c>
      <c r="B531" s="6" t="s">
        <v>681</v>
      </c>
      <c r="C531" s="6" t="s">
        <v>938</v>
      </c>
      <c r="D531" s="6" t="s">
        <v>165</v>
      </c>
      <c r="E531" s="29" t="n">
        <f aca="false">Assumptions!$C$6*7</f>
        <v>35</v>
      </c>
      <c r="F531" s="6" t="str">
        <f aca="false">IFERROR(INDEX(Resources!$B$2:$B$64,MATCH($D531,Resources!$A$2:$A$64,0)),"?")</f>
        <v>sun-hours</v>
      </c>
      <c r="G531" s="6" t="s">
        <v>939</v>
      </c>
      <c r="H531" s="27" t="n">
        <f aca="false">E531*INDEX(Assumptions!$D$17:$D$23,MATCH(G531,Assumptions!$B$17:$B$23,0))</f>
        <v>35</v>
      </c>
      <c r="I531" s="6" t="n">
        <f aca="false">IFERROR(INDEX(Systems!$R$2:$R$179,MATCH($B531,Systems!$B$2:$B$179,0)),0)</f>
        <v>0</v>
      </c>
      <c r="J531" s="27" t="n">
        <f aca="false">H531*I531</f>
        <v>0</v>
      </c>
      <c r="K531" s="6" t="str">
        <f aca="false">IFERROR(IF(INDEX(Resources!$D$2:$D$64,MATCH($D531,Resources!$A$2:$A$64,0))="","",INDEX(Resources!$D$2:$D$64,MATCH($D531,Resources!$A$2:$A$64,0))),"")</f>
        <v/>
      </c>
      <c r="L531" s="28" t="str">
        <f aca="false">IF(K531="","",J531*INDEX(Resources!$E$2:$E$64,MATCH($D531,Resources!$A$2:$A$64,0)))</f>
        <v/>
      </c>
      <c r="M531" s="6" t="str">
        <f aca="false">B531&amp;"|"&amp;D531&amp;"|"&amp;C531</f>
        <v>Solar Water Distiller|Sunlight|Input</v>
      </c>
      <c r="N531" s="6" t="s">
        <v>948</v>
      </c>
    </row>
    <row r="532" customFormat="false" ht="15" hidden="false" customHeight="true" outlineLevel="0" collapsed="false">
      <c r="A532" s="6" t="s">
        <v>1508</v>
      </c>
      <c r="B532" s="6" t="s">
        <v>681</v>
      </c>
      <c r="C532" s="6" t="s">
        <v>943</v>
      </c>
      <c r="D532" s="6" t="s">
        <v>51</v>
      </c>
      <c r="E532" s="26" t="n">
        <v>3.5</v>
      </c>
      <c r="F532" s="6" t="str">
        <f aca="false">IFERROR(INDEX(Resources!$B$2:$B$64,MATCH($D532,Resources!$A$2:$A$64,0)),"?")</f>
        <v>gal</v>
      </c>
      <c r="G532" s="6" t="s">
        <v>939</v>
      </c>
      <c r="H532" s="27" t="n">
        <f aca="false">E532*INDEX(Assumptions!$D$17:$D$23,MATCH(G532,Assumptions!$B$17:$B$23,0))</f>
        <v>3.5</v>
      </c>
      <c r="I532" s="6" t="n">
        <f aca="false">IFERROR(INDEX(Systems!$R$2:$R$179,MATCH($B532,Systems!$B$2:$B$179,0)),0)</f>
        <v>0</v>
      </c>
      <c r="J532" s="27" t="n">
        <f aca="false">H532*I532</f>
        <v>0</v>
      </c>
      <c r="K532" s="6" t="str">
        <f aca="false">IFERROR(IF(INDEX(Resources!$D$2:$D$64,MATCH($D532,Resources!$A$2:$A$64,0))="","",INDEX(Resources!$D$2:$D$64,MATCH($D532,Resources!$A$2:$A$64,0))),"")</f>
        <v>Drinking water</v>
      </c>
      <c r="L532" s="28" t="n">
        <f aca="false">IF(K532="","",J532*INDEX(Resources!$E$2:$E$64,MATCH($D532,Resources!$A$2:$A$64,0)))</f>
        <v>0</v>
      </c>
      <c r="M532" s="6" t="str">
        <f aca="false">B532&amp;"|"&amp;D532&amp;"|"&amp;C532</f>
        <v>Solar Water Distiller|Drinking water|Output</v>
      </c>
    </row>
    <row r="533" customFormat="false" ht="15" hidden="false" customHeight="true" outlineLevel="0" collapsed="false">
      <c r="A533" s="6" t="s">
        <v>1509</v>
      </c>
      <c r="B533" s="6" t="s">
        <v>685</v>
      </c>
      <c r="C533" s="6" t="s">
        <v>938</v>
      </c>
      <c r="D533" s="6" t="s">
        <v>71</v>
      </c>
      <c r="E533" s="26" t="n">
        <v>0.25</v>
      </c>
      <c r="F533" s="6" t="str">
        <f aca="false">IFERROR(INDEX(Resources!$B$2:$B$64,MATCH($D533,Resources!$A$2:$A$64,0)),"?")</f>
        <v>hours</v>
      </c>
      <c r="G533" s="6" t="s">
        <v>939</v>
      </c>
      <c r="H533" s="27" t="n">
        <f aca="false">E533*INDEX(Assumptions!$D$17:$D$23,MATCH(G533,Assumptions!$B$17:$B$23,0))</f>
        <v>0.25</v>
      </c>
      <c r="I533" s="6" t="n">
        <f aca="false">IFERROR(INDEX(Systems!$R$2:$R$179,MATCH($B533,Systems!$B$2:$B$179,0)),0)</f>
        <v>0</v>
      </c>
      <c r="J533" s="27" t="n">
        <f aca="false">H533*I533</f>
        <v>0</v>
      </c>
      <c r="K533" s="6" t="str">
        <f aca="false">IFERROR(IF(INDEX(Resources!$D$2:$D$64,MATCH($D533,Resources!$A$2:$A$64,0))="","",INDEX(Resources!$D$2:$D$64,MATCH($D533,Resources!$A$2:$A$64,0))),"")</f>
        <v>Est. Required Labor</v>
      </c>
      <c r="L533" s="28" t="n">
        <f aca="false">IF(K533="","",J533*INDEX(Resources!$E$2:$E$64,MATCH($D533,Resources!$A$2:$A$64,0)))</f>
        <v>0</v>
      </c>
      <c r="M533" s="6" t="str">
        <f aca="false">B533&amp;"|"&amp;D533&amp;"|"&amp;C533</f>
        <v>Constructed Wetland|Labor|Input</v>
      </c>
      <c r="N533" s="6" t="s">
        <v>940</v>
      </c>
    </row>
    <row r="534" customFormat="false" ht="15" hidden="false" customHeight="true" outlineLevel="0" collapsed="false">
      <c r="A534" s="6" t="s">
        <v>1510</v>
      </c>
      <c r="B534" s="6" t="s">
        <v>685</v>
      </c>
      <c r="C534" s="6" t="s">
        <v>938</v>
      </c>
      <c r="D534" s="6" t="s">
        <v>1089</v>
      </c>
      <c r="E534" s="26" t="n">
        <v>150</v>
      </c>
      <c r="F534" s="6" t="str">
        <f aca="false">IFERROR(INDEX(Resources!$B$2:$B$64,MATCH($D534,Resources!$A$2:$A$64,0)),"?")</f>
        <v>gal</v>
      </c>
      <c r="G534" s="6" t="s">
        <v>939</v>
      </c>
      <c r="H534" s="27" t="n">
        <f aca="false">E534*INDEX(Assumptions!$D$17:$D$23,MATCH(G534,Assumptions!$B$17:$B$23,0))</f>
        <v>150</v>
      </c>
      <c r="I534" s="6" t="n">
        <f aca="false">IFERROR(INDEX(Systems!$R$2:$R$179,MATCH($B534,Systems!$B$2:$B$179,0)),0)</f>
        <v>0</v>
      </c>
      <c r="J534" s="27" t="n">
        <f aca="false">H534*I534</f>
        <v>0</v>
      </c>
      <c r="K534" s="6" t="str">
        <f aca="false">IFERROR(IF(INDEX(Resources!$D$2:$D$64,MATCH($D534,Resources!$A$2:$A$64,0))="","",INDEX(Resources!$D$2:$D$64,MATCH($D534,Resources!$A$2:$A$64,0))),"")</f>
        <v/>
      </c>
      <c r="L534" s="28" t="str">
        <f aca="false">IF(K534="","",J534*INDEX(Resources!$E$2:$E$64,MATCH($D534,Resources!$A$2:$A$64,0)))</f>
        <v/>
      </c>
      <c r="M534" s="6" t="str">
        <f aca="false">B534&amp;"|"&amp;D534&amp;"|"&amp;C534</f>
        <v>Constructed Wetland|Greywater|Input</v>
      </c>
    </row>
    <row r="535" customFormat="false" ht="15" hidden="false" customHeight="true" outlineLevel="0" collapsed="false">
      <c r="A535" s="6" t="s">
        <v>1511</v>
      </c>
      <c r="B535" s="6" t="s">
        <v>685</v>
      </c>
      <c r="C535" s="6" t="s">
        <v>943</v>
      </c>
      <c r="D535" s="6" t="s">
        <v>49</v>
      </c>
      <c r="E535" s="26" t="n">
        <v>120</v>
      </c>
      <c r="F535" s="6" t="str">
        <f aca="false">IFERROR(INDEX(Resources!$B$2:$B$64,MATCH($D535,Resources!$A$2:$A$64,0)),"?")</f>
        <v>gal</v>
      </c>
      <c r="G535" s="6" t="s">
        <v>939</v>
      </c>
      <c r="H535" s="27" t="n">
        <f aca="false">E535*INDEX(Assumptions!$D$17:$D$23,MATCH(G535,Assumptions!$B$17:$B$23,0))</f>
        <v>120</v>
      </c>
      <c r="I535" s="6" t="n">
        <f aca="false">IFERROR(INDEX(Systems!$R$2:$R$179,MATCH($B535,Systems!$B$2:$B$179,0)),0)</f>
        <v>0</v>
      </c>
      <c r="J535" s="27" t="n">
        <f aca="false">H535*I535</f>
        <v>0</v>
      </c>
      <c r="K535" s="6" t="str">
        <f aca="false">IFERROR(IF(INDEX(Resources!$D$2:$D$64,MATCH($D535,Resources!$A$2:$A$64,0))="","",INDEX(Resources!$D$2:$D$64,MATCH($D535,Resources!$A$2:$A$64,0))),"")</f>
        <v>Water</v>
      </c>
      <c r="L535" s="28" t="n">
        <f aca="false">IF(K535="","",J535*INDEX(Resources!$E$2:$E$64,MATCH($D535,Resources!$A$2:$A$64,0)))</f>
        <v>0</v>
      </c>
      <c r="M535" s="6" t="str">
        <f aca="false">B535&amp;"|"&amp;D535&amp;"|"&amp;C535</f>
        <v>Constructed Wetland|Water|Output</v>
      </c>
    </row>
    <row r="536" customFormat="false" ht="15" hidden="false" customHeight="true" outlineLevel="0" collapsed="false">
      <c r="A536" s="6" t="s">
        <v>1512</v>
      </c>
      <c r="B536" s="6" t="s">
        <v>685</v>
      </c>
      <c r="C536" s="6" t="s">
        <v>943</v>
      </c>
      <c r="D536" s="6" t="s">
        <v>436</v>
      </c>
      <c r="E536" s="26" t="n">
        <v>300</v>
      </c>
      <c r="F536" s="6" t="str">
        <f aca="false">IFERROR(INDEX(Resources!$B$2:$B$64,MATCH($D536,Resources!$A$2:$A$64,0)),"?")</f>
        <v>sq ft</v>
      </c>
      <c r="G536" s="6" t="s">
        <v>945</v>
      </c>
      <c r="H536" s="27" t="n">
        <f aca="false">E536*INDEX(Assumptions!$D$17:$D$23,MATCH(G536,Assumptions!$B$17:$B$23,0))</f>
        <v>300</v>
      </c>
      <c r="I536" s="6" t="n">
        <f aca="false">IFERROR(INDEX(Systems!$R$2:$R$179,MATCH($B536,Systems!$B$2:$B$179,0)),0)</f>
        <v>0</v>
      </c>
      <c r="J536" s="27" t="n">
        <f aca="false">H536*I536</f>
        <v>0</v>
      </c>
      <c r="K536" s="6" t="str">
        <f aca="false">IFERROR(IF(INDEX(Resources!$D$2:$D$64,MATCH($D536,Resources!$A$2:$A$64,0))="","",INDEX(Resources!$D$2:$D$64,MATCH($D536,Resources!$A$2:$A$64,0))),"")</f>
        <v/>
      </c>
      <c r="L536" s="28" t="str">
        <f aca="false">IF(K536="","",J536*INDEX(Resources!$E$2:$E$64,MATCH($D536,Resources!$A$2:$A$64,0)))</f>
        <v/>
      </c>
      <c r="M536" s="6" t="str">
        <f aca="false">B536&amp;"|"&amp;D536&amp;"|"&amp;C536</f>
        <v>Constructed Wetland|Pollinator flowers|Output</v>
      </c>
    </row>
    <row r="537" customFormat="false" ht="15" hidden="false" customHeight="true" outlineLevel="0" collapsed="false">
      <c r="A537" s="6" t="s">
        <v>1513</v>
      </c>
      <c r="B537" s="6" t="s">
        <v>685</v>
      </c>
      <c r="C537" s="6" t="s">
        <v>943</v>
      </c>
      <c r="D537" s="6" t="s">
        <v>462</v>
      </c>
      <c r="E537" s="26" t="n">
        <v>3</v>
      </c>
      <c r="F537" s="6" t="str">
        <f aca="false">IFERROR(INDEX(Resources!$B$2:$B$64,MATCH($D537,Resources!$A$2:$A$64,0)),"?")</f>
        <v>points</v>
      </c>
      <c r="G537" s="6" t="s">
        <v>939</v>
      </c>
      <c r="H537" s="27" t="n">
        <f aca="false">E537*INDEX(Assumptions!$D$17:$D$23,MATCH(G537,Assumptions!$B$17:$B$23,0))</f>
        <v>3</v>
      </c>
      <c r="I537" s="6" t="n">
        <f aca="false">IFERROR(INDEX(Systems!$R$2:$R$179,MATCH($B537,Systems!$B$2:$B$179,0)),0)</f>
        <v>0</v>
      </c>
      <c r="J537" s="27" t="n">
        <f aca="false">H537*I537</f>
        <v>0</v>
      </c>
      <c r="K537" s="6" t="str">
        <f aca="false">IFERROR(IF(INDEX(Resources!$D$2:$D$64,MATCH($D537,Resources!$A$2:$A$64,0))="","",INDEX(Resources!$D$2:$D$64,MATCH($D537,Resources!$A$2:$A$64,0))),"")</f>
        <v/>
      </c>
      <c r="L537" s="28" t="str">
        <f aca="false">IF(K537="","",J537*INDEX(Resources!$E$2:$E$64,MATCH($D537,Resources!$A$2:$A$64,0)))</f>
        <v/>
      </c>
      <c r="M537" s="6" t="str">
        <f aca="false">B537&amp;"|"&amp;D537&amp;"|"&amp;C537</f>
        <v>Constructed Wetland|Wellbeing|Output</v>
      </c>
    </row>
    <row r="538" customFormat="false" ht="15" hidden="false" customHeight="true" outlineLevel="0" collapsed="false">
      <c r="A538" s="6" t="s">
        <v>1514</v>
      </c>
      <c r="B538" s="6" t="s">
        <v>689</v>
      </c>
      <c r="C538" s="6" t="s">
        <v>938</v>
      </c>
      <c r="D538" s="6" t="s">
        <v>71</v>
      </c>
      <c r="E538" s="26" t="n">
        <v>0.05</v>
      </c>
      <c r="F538" s="6" t="str">
        <f aca="false">IFERROR(INDEX(Resources!$B$2:$B$64,MATCH($D538,Resources!$A$2:$A$64,0)),"?")</f>
        <v>hours</v>
      </c>
      <c r="G538" s="6" t="s">
        <v>939</v>
      </c>
      <c r="H538" s="27" t="n">
        <f aca="false">E538*INDEX(Assumptions!$D$17:$D$23,MATCH(G538,Assumptions!$B$17:$B$23,0))</f>
        <v>0.05</v>
      </c>
      <c r="I538" s="6" t="n">
        <f aca="false">IFERROR(INDEX(Systems!$R$2:$R$179,MATCH($B538,Systems!$B$2:$B$179,0)),0)</f>
        <v>0</v>
      </c>
      <c r="J538" s="27" t="n">
        <f aca="false">H538*I538</f>
        <v>0</v>
      </c>
      <c r="K538" s="6" t="str">
        <f aca="false">IFERROR(IF(INDEX(Resources!$D$2:$D$64,MATCH($D538,Resources!$A$2:$A$64,0))="","",INDEX(Resources!$D$2:$D$64,MATCH($D538,Resources!$A$2:$A$64,0))),"")</f>
        <v>Est. Required Labor</v>
      </c>
      <c r="L538" s="28" t="n">
        <f aca="false">IF(K538="","",J538*INDEX(Resources!$E$2:$E$64,MATCH($D538,Resources!$A$2:$A$64,0)))</f>
        <v>0</v>
      </c>
      <c r="M538" s="6" t="str">
        <f aca="false">B538&amp;"|"&amp;D538&amp;"|"&amp;C538</f>
        <v>Septic Tank &amp; Drain Field|Labor|Input</v>
      </c>
      <c r="N538" s="6" t="s">
        <v>940</v>
      </c>
    </row>
    <row r="539" customFormat="false" ht="15" hidden="false" customHeight="true" outlineLevel="0" collapsed="false">
      <c r="A539" s="6" t="s">
        <v>1515</v>
      </c>
      <c r="B539" s="6" t="s">
        <v>689</v>
      </c>
      <c r="C539" s="6" t="s">
        <v>938</v>
      </c>
      <c r="D539" s="6" t="s">
        <v>341</v>
      </c>
      <c r="E539" s="26" t="n">
        <v>35</v>
      </c>
      <c r="F539" s="6" t="str">
        <f aca="false">IFERROR(INDEX(Resources!$B$2:$B$64,MATCH($D539,Resources!$A$2:$A$64,0)),"?")</f>
        <v>lbs</v>
      </c>
      <c r="G539" s="6" t="s">
        <v>939</v>
      </c>
      <c r="H539" s="27" t="n">
        <f aca="false">E539*INDEX(Assumptions!$D$17:$D$23,MATCH(G539,Assumptions!$B$17:$B$23,0))</f>
        <v>35</v>
      </c>
      <c r="I539" s="6" t="n">
        <f aca="false">IFERROR(INDEX(Systems!$R$2:$R$179,MATCH($B539,Systems!$B$2:$B$179,0)),0)</f>
        <v>0</v>
      </c>
      <c r="J539" s="27" t="n">
        <f aca="false">H539*I539</f>
        <v>0</v>
      </c>
      <c r="K539" s="6" t="str">
        <f aca="false">IFERROR(IF(INDEX(Resources!$D$2:$D$64,MATCH($D539,Resources!$A$2:$A$64,0))="","",INDEX(Resources!$D$2:$D$64,MATCH($D539,Resources!$A$2:$A$64,0))),"")</f>
        <v/>
      </c>
      <c r="L539" s="28" t="str">
        <f aca="false">IF(K539="","",J539*INDEX(Resources!$E$2:$E$64,MATCH($D539,Resources!$A$2:$A$64,0)))</f>
        <v/>
      </c>
      <c r="M539" s="6" t="str">
        <f aca="false">B539&amp;"|"&amp;D539&amp;"|"&amp;C539</f>
        <v>Septic Tank &amp; Drain Field|Organic waste|Input</v>
      </c>
    </row>
    <row r="540" customFormat="false" ht="15" hidden="false" customHeight="true" outlineLevel="0" collapsed="false">
      <c r="A540" s="6" t="s">
        <v>1516</v>
      </c>
      <c r="B540" s="6" t="s">
        <v>689</v>
      </c>
      <c r="C540" s="6" t="s">
        <v>938</v>
      </c>
      <c r="D540" s="6" t="s">
        <v>1089</v>
      </c>
      <c r="E540" s="26" t="n">
        <v>200</v>
      </c>
      <c r="F540" s="6" t="str">
        <f aca="false">IFERROR(INDEX(Resources!$B$2:$B$64,MATCH($D540,Resources!$A$2:$A$64,0)),"?")</f>
        <v>gal</v>
      </c>
      <c r="G540" s="6" t="s">
        <v>939</v>
      </c>
      <c r="H540" s="27" t="n">
        <f aca="false">E540*INDEX(Assumptions!$D$17:$D$23,MATCH(G540,Assumptions!$B$17:$B$23,0))</f>
        <v>200</v>
      </c>
      <c r="I540" s="6" t="n">
        <f aca="false">IFERROR(INDEX(Systems!$R$2:$R$179,MATCH($B540,Systems!$B$2:$B$179,0)),0)</f>
        <v>0</v>
      </c>
      <c r="J540" s="27" t="n">
        <f aca="false">H540*I540</f>
        <v>0</v>
      </c>
      <c r="K540" s="6" t="str">
        <f aca="false">IFERROR(IF(INDEX(Resources!$D$2:$D$64,MATCH($D540,Resources!$A$2:$A$64,0))="","",INDEX(Resources!$D$2:$D$64,MATCH($D540,Resources!$A$2:$A$64,0))),"")</f>
        <v/>
      </c>
      <c r="L540" s="28" t="str">
        <f aca="false">IF(K540="","",J540*INDEX(Resources!$E$2:$E$64,MATCH($D540,Resources!$A$2:$A$64,0)))</f>
        <v/>
      </c>
      <c r="M540" s="6" t="str">
        <f aca="false">B540&amp;"|"&amp;D540&amp;"|"&amp;C540</f>
        <v>Septic Tank &amp; Drain Field|Greywater|Input</v>
      </c>
    </row>
    <row r="541" customFormat="false" ht="15" hidden="false" customHeight="true" outlineLevel="0" collapsed="false">
      <c r="A541" s="6" t="s">
        <v>1517</v>
      </c>
      <c r="B541" s="6" t="s">
        <v>689</v>
      </c>
      <c r="C541" s="6" t="s">
        <v>938</v>
      </c>
      <c r="D541" s="6" t="s">
        <v>269</v>
      </c>
      <c r="E541" s="26" t="n">
        <v>5</v>
      </c>
      <c r="F541" s="6" t="str">
        <f aca="false">IFERROR(INDEX(Resources!$B$2:$B$64,MATCH($D541,Resources!$A$2:$A$64,0)),"?")</f>
        <v>$</v>
      </c>
      <c r="G541" s="6" t="s">
        <v>939</v>
      </c>
      <c r="H541" s="27" t="n">
        <f aca="false">E541*INDEX(Assumptions!$D$17:$D$23,MATCH(G541,Assumptions!$B$17:$B$23,0))</f>
        <v>5</v>
      </c>
      <c r="I541" s="6" t="n">
        <f aca="false">IFERROR(INDEX(Systems!$R$2:$R$179,MATCH($B541,Systems!$B$2:$B$179,0)),0)</f>
        <v>0</v>
      </c>
      <c r="J541" s="27" t="n">
        <f aca="false">H541*I541</f>
        <v>0</v>
      </c>
      <c r="K541" s="6" t="str">
        <f aca="false">IFERROR(IF(INDEX(Resources!$D$2:$D$64,MATCH($D541,Resources!$A$2:$A$64,0))="","",INDEX(Resources!$D$2:$D$64,MATCH($D541,Resources!$A$2:$A$64,0))),"")</f>
        <v/>
      </c>
      <c r="L541" s="28" t="str">
        <f aca="false">IF(K541="","",J541*INDEX(Resources!$E$2:$E$64,MATCH($D541,Resources!$A$2:$A$64,0)))</f>
        <v/>
      </c>
      <c r="M541" s="6" t="str">
        <f aca="false">B541&amp;"|"&amp;D541&amp;"|"&amp;C541</f>
        <v>Septic Tank &amp; Drain Field|Capital|Input</v>
      </c>
    </row>
    <row r="542" customFormat="false" ht="15" hidden="false" customHeight="true" outlineLevel="0" collapsed="false">
      <c r="A542" s="6" t="s">
        <v>1518</v>
      </c>
      <c r="B542" s="6" t="s">
        <v>689</v>
      </c>
      <c r="C542" s="6" t="s">
        <v>943</v>
      </c>
      <c r="D542" s="6" t="s">
        <v>57</v>
      </c>
      <c r="E542" s="26" t="n">
        <v>35</v>
      </c>
      <c r="F542" s="6" t="str">
        <f aca="false">IFERROR(INDEX(Resources!$B$2:$B$64,MATCH($D542,Resources!$A$2:$A$64,0)),"?")</f>
        <v>lbs</v>
      </c>
      <c r="G542" s="6" t="s">
        <v>939</v>
      </c>
      <c r="H542" s="27" t="n">
        <f aca="false">E542*INDEX(Assumptions!$D$17:$D$23,MATCH(G542,Assumptions!$B$17:$B$23,0))</f>
        <v>35</v>
      </c>
      <c r="I542" s="6" t="n">
        <f aca="false">IFERROR(INDEX(Systems!$R$2:$R$179,MATCH($B542,Systems!$B$2:$B$179,0)),0)</f>
        <v>0</v>
      </c>
      <c r="J542" s="27" t="n">
        <f aca="false">H542*I542</f>
        <v>0</v>
      </c>
      <c r="K542" s="6" t="str">
        <f aca="false">IFERROR(IF(INDEX(Resources!$D$2:$D$64,MATCH($D542,Resources!$A$2:$A$64,0))="","",INDEX(Resources!$D$2:$D$64,MATCH($D542,Resources!$A$2:$A$64,0))),"")</f>
        <v>Sanitation</v>
      </c>
      <c r="L542" s="28" t="n">
        <f aca="false">IF(K542="","",J542*INDEX(Resources!$E$2:$E$64,MATCH($D542,Resources!$A$2:$A$64,0)))</f>
        <v>0</v>
      </c>
      <c r="M542" s="6" t="str">
        <f aca="false">B542&amp;"|"&amp;D542&amp;"|"&amp;C542</f>
        <v>Septic Tank &amp; Drain Field|Sanitation|Output</v>
      </c>
    </row>
    <row r="543" customFormat="false" ht="15" hidden="false" customHeight="true" outlineLevel="0" collapsed="false">
      <c r="A543" s="6" t="s">
        <v>1519</v>
      </c>
      <c r="B543" s="6" t="s">
        <v>693</v>
      </c>
      <c r="C543" s="6" t="s">
        <v>938</v>
      </c>
      <c r="D543" s="6" t="s">
        <v>269</v>
      </c>
      <c r="E543" s="26" t="n">
        <v>40</v>
      </c>
      <c r="F543" s="6" t="str">
        <f aca="false">IFERROR(INDEX(Resources!$B$2:$B$64,MATCH($D543,Resources!$A$2:$A$64,0)),"?")</f>
        <v>$</v>
      </c>
      <c r="G543" s="6" t="s">
        <v>939</v>
      </c>
      <c r="H543" s="27" t="n">
        <f aca="false">E543*INDEX(Assumptions!$D$17:$D$23,MATCH(G543,Assumptions!$B$17:$B$23,0))</f>
        <v>40</v>
      </c>
      <c r="I543" s="6" t="n">
        <f aca="false">IFERROR(INDEX(Systems!$R$2:$R$179,MATCH($B543,Systems!$B$2:$B$179,0)),0)</f>
        <v>0</v>
      </c>
      <c r="J543" s="27" t="n">
        <f aca="false">H543*I543</f>
        <v>0</v>
      </c>
      <c r="K543" s="6" t="str">
        <f aca="false">IFERROR(IF(INDEX(Resources!$D$2:$D$64,MATCH($D543,Resources!$A$2:$A$64,0))="","",INDEX(Resources!$D$2:$D$64,MATCH($D543,Resources!$A$2:$A$64,0))),"")</f>
        <v/>
      </c>
      <c r="L543" s="28" t="str">
        <f aca="false">IF(K543="","",J543*INDEX(Resources!$E$2:$E$64,MATCH($D543,Resources!$A$2:$A$64,0)))</f>
        <v/>
      </c>
      <c r="M543" s="6" t="str">
        <f aca="false">B543&amp;"|"&amp;D543&amp;"|"&amp;C543</f>
        <v>Farm &amp; Feed Store|Capital|Input</v>
      </c>
    </row>
    <row r="544" customFormat="false" ht="15" hidden="false" customHeight="true" outlineLevel="0" collapsed="false">
      <c r="A544" s="6" t="s">
        <v>1520</v>
      </c>
      <c r="B544" s="6" t="s">
        <v>693</v>
      </c>
      <c r="C544" s="6" t="s">
        <v>938</v>
      </c>
      <c r="D544" s="6" t="s">
        <v>61</v>
      </c>
      <c r="E544" s="26" t="n">
        <v>10</v>
      </c>
      <c r="F544" s="6" t="str">
        <f aca="false">IFERROR(INDEX(Resources!$B$2:$B$64,MATCH($D544,Resources!$A$2:$A$64,0)),"?")</f>
        <v>miles</v>
      </c>
      <c r="G544" s="6" t="s">
        <v>939</v>
      </c>
      <c r="H544" s="27" t="n">
        <f aca="false">E544*INDEX(Assumptions!$D$17:$D$23,MATCH(G544,Assumptions!$B$17:$B$23,0))</f>
        <v>10</v>
      </c>
      <c r="I544" s="6" t="n">
        <f aca="false">IFERROR(INDEX(Systems!$R$2:$R$179,MATCH($B544,Systems!$B$2:$B$179,0)),0)</f>
        <v>0</v>
      </c>
      <c r="J544" s="27" t="n">
        <f aca="false">H544*I544</f>
        <v>0</v>
      </c>
      <c r="K544" s="6" t="str">
        <f aca="false">IFERROR(IF(INDEX(Resources!$D$2:$D$64,MATCH($D544,Resources!$A$2:$A$64,0))="","",INDEX(Resources!$D$2:$D$64,MATCH($D544,Resources!$A$2:$A$64,0))),"")</f>
        <v>Transportation</v>
      </c>
      <c r="L544" s="28" t="n">
        <f aca="false">IF(K544="","",J544*INDEX(Resources!$E$2:$E$64,MATCH($D544,Resources!$A$2:$A$64,0)))</f>
        <v>0</v>
      </c>
      <c r="M544" s="6" t="str">
        <f aca="false">B544&amp;"|"&amp;D544&amp;"|"&amp;C544</f>
        <v>Farm &amp; Feed Store|Transportation|Input</v>
      </c>
    </row>
    <row r="545" customFormat="false" ht="15" hidden="false" customHeight="true" outlineLevel="0" collapsed="false">
      <c r="A545" s="6" t="s">
        <v>1521</v>
      </c>
      <c r="B545" s="6" t="s">
        <v>693</v>
      </c>
      <c r="C545" s="6" t="s">
        <v>943</v>
      </c>
      <c r="D545" s="6" t="s">
        <v>1025</v>
      </c>
      <c r="E545" s="26" t="n">
        <v>25</v>
      </c>
      <c r="F545" s="6" t="str">
        <f aca="false">IFERROR(INDEX(Resources!$B$2:$B$64,MATCH($D545,Resources!$A$2:$A$64,0)),"?")</f>
        <v>lbs</v>
      </c>
      <c r="G545" s="6" t="s">
        <v>939</v>
      </c>
      <c r="H545" s="27" t="n">
        <f aca="false">E545*INDEX(Assumptions!$D$17:$D$23,MATCH(G545,Assumptions!$B$17:$B$23,0))</f>
        <v>25</v>
      </c>
      <c r="I545" s="6" t="n">
        <f aca="false">IFERROR(INDEX(Systems!$R$2:$R$179,MATCH($B545,Systems!$B$2:$B$179,0)),0)</f>
        <v>0</v>
      </c>
      <c r="J545" s="27" t="n">
        <f aca="false">H545*I545</f>
        <v>0</v>
      </c>
      <c r="K545" s="6" t="str">
        <f aca="false">IFERROR(IF(INDEX(Resources!$D$2:$D$64,MATCH($D545,Resources!$A$2:$A$64,0))="","",INDEX(Resources!$D$2:$D$64,MATCH($D545,Resources!$A$2:$A$64,0))),"")</f>
        <v/>
      </c>
      <c r="L545" s="28" t="str">
        <f aca="false">IF(K545="","",J545*INDEX(Resources!$E$2:$E$64,MATCH($D545,Resources!$A$2:$A$64,0)))</f>
        <v/>
      </c>
      <c r="M545" s="6" t="str">
        <f aca="false">B545&amp;"|"&amp;D545&amp;"|"&amp;C545</f>
        <v>Farm &amp; Feed Store|Chicken feed|Output</v>
      </c>
    </row>
    <row r="546" customFormat="false" ht="15" hidden="false" customHeight="true" outlineLevel="0" collapsed="false">
      <c r="A546" s="6" t="s">
        <v>1522</v>
      </c>
      <c r="B546" s="6" t="s">
        <v>693</v>
      </c>
      <c r="C546" s="6" t="s">
        <v>943</v>
      </c>
      <c r="D546" s="6" t="s">
        <v>1523</v>
      </c>
      <c r="E546" s="26" t="n">
        <v>50</v>
      </c>
      <c r="F546" s="6" t="str">
        <f aca="false">IFERROR(INDEX(Resources!$B$2:$B$64,MATCH($D546,Resources!$A$2:$A$64,0)),"?")</f>
        <v>lbs</v>
      </c>
      <c r="G546" s="6" t="s">
        <v>939</v>
      </c>
      <c r="H546" s="27" t="n">
        <f aca="false">E546*INDEX(Assumptions!$D$17:$D$23,MATCH(G546,Assumptions!$B$17:$B$23,0))</f>
        <v>50</v>
      </c>
      <c r="I546" s="6" t="n">
        <f aca="false">IFERROR(INDEX(Systems!$R$2:$R$179,MATCH($B546,Systems!$B$2:$B$179,0)),0)</f>
        <v>0</v>
      </c>
      <c r="J546" s="27" t="n">
        <f aca="false">H546*I546</f>
        <v>0</v>
      </c>
      <c r="K546" s="6" t="str">
        <f aca="false">IFERROR(IF(INDEX(Resources!$D$2:$D$64,MATCH($D546,Resources!$A$2:$A$64,0))="","",INDEX(Resources!$D$2:$D$64,MATCH($D546,Resources!$A$2:$A$64,0))),"")</f>
        <v/>
      </c>
      <c r="L546" s="28" t="str">
        <f aca="false">IF(K546="","",J546*INDEX(Resources!$E$2:$E$64,MATCH($D546,Resources!$A$2:$A$64,0)))</f>
        <v/>
      </c>
      <c r="M546" s="6" t="str">
        <f aca="false">B546&amp;"|"&amp;D546&amp;"|"&amp;C546</f>
        <v>Farm &amp; Feed Store|Hay|Output</v>
      </c>
    </row>
    <row r="547" customFormat="false" ht="15" hidden="false" customHeight="true" outlineLevel="0" collapsed="false">
      <c r="A547" s="6" t="s">
        <v>1524</v>
      </c>
      <c r="B547" s="6" t="s">
        <v>693</v>
      </c>
      <c r="C547" s="6" t="s">
        <v>943</v>
      </c>
      <c r="D547" s="6" t="s">
        <v>170</v>
      </c>
      <c r="E547" s="26" t="n">
        <v>100</v>
      </c>
      <c r="F547" s="6" t="str">
        <f aca="false">IFERROR(INDEX(Resources!$B$2:$B$64,MATCH($D547,Resources!$A$2:$A$64,0)),"?")</f>
        <v>lbs</v>
      </c>
      <c r="G547" s="6" t="s">
        <v>939</v>
      </c>
      <c r="H547" s="27" t="n">
        <f aca="false">E547*INDEX(Assumptions!$D$17:$D$23,MATCH(G547,Assumptions!$B$17:$B$23,0))</f>
        <v>100</v>
      </c>
      <c r="I547" s="6" t="n">
        <f aca="false">IFERROR(INDEX(Systems!$R$2:$R$179,MATCH($B547,Systems!$B$2:$B$179,0)),0)</f>
        <v>0</v>
      </c>
      <c r="J547" s="27" t="n">
        <f aca="false">H547*I547</f>
        <v>0</v>
      </c>
      <c r="K547" s="6" t="str">
        <f aca="false">IFERROR(IF(INDEX(Resources!$D$2:$D$64,MATCH($D547,Resources!$A$2:$A$64,0))="","",INDEX(Resources!$D$2:$D$64,MATCH($D547,Resources!$A$2:$A$64,0))),"")</f>
        <v/>
      </c>
      <c r="L547" s="28" t="str">
        <f aca="false">IF(K547="","",J547*INDEX(Resources!$E$2:$E$64,MATCH($D547,Resources!$A$2:$A$64,0)))</f>
        <v/>
      </c>
      <c r="M547" s="6" t="str">
        <f aca="false">B547&amp;"|"&amp;D547&amp;"|"&amp;C547</f>
        <v>Farm &amp; Feed Store|Wood pellets|Output</v>
      </c>
    </row>
    <row r="548" customFormat="false" ht="15" hidden="false" customHeight="true" outlineLevel="0" collapsed="false">
      <c r="A548" s="6" t="s">
        <v>1525</v>
      </c>
      <c r="B548" s="6" t="s">
        <v>693</v>
      </c>
      <c r="C548" s="6" t="s">
        <v>943</v>
      </c>
      <c r="D548" s="6" t="s">
        <v>1183</v>
      </c>
      <c r="E548" s="26" t="n">
        <v>4</v>
      </c>
      <c r="F548" s="6" t="str">
        <f aca="false">IFERROR(INDEX(Resources!$B$2:$B$64,MATCH($D548,Resources!$A$2:$A$64,0)),"?")</f>
        <v>oz</v>
      </c>
      <c r="G548" s="6" t="s">
        <v>1184</v>
      </c>
      <c r="H548" s="27" t="n">
        <f aca="false">E548*INDEX(Assumptions!$D$17:$D$23,MATCH(G548,Assumptions!$B$17:$B$23,0))</f>
        <v>0.0769230769230769</v>
      </c>
      <c r="I548" s="6" t="n">
        <f aca="false">IFERROR(INDEX(Systems!$R$2:$R$179,MATCH($B548,Systems!$B$2:$B$179,0)),0)</f>
        <v>0</v>
      </c>
      <c r="J548" s="27" t="n">
        <f aca="false">H548*I548</f>
        <v>0</v>
      </c>
      <c r="K548" s="6" t="str">
        <f aca="false">IFERROR(IF(INDEX(Resources!$D$2:$D$64,MATCH($D548,Resources!$A$2:$A$64,0))="","",INDEX(Resources!$D$2:$D$64,MATCH($D548,Resources!$A$2:$A$64,0))),"")</f>
        <v/>
      </c>
      <c r="L548" s="28" t="str">
        <f aca="false">IF(K548="","",J548*INDEX(Resources!$E$2:$E$64,MATCH($D548,Resources!$A$2:$A$64,0)))</f>
        <v/>
      </c>
      <c r="M548" s="6" t="str">
        <f aca="false">B548&amp;"|"&amp;D548&amp;"|"&amp;C548</f>
        <v>Farm &amp; Feed Store|Seeds|Output</v>
      </c>
    </row>
    <row r="549" customFormat="false" ht="15" hidden="false" customHeight="true" outlineLevel="0" collapsed="false">
      <c r="A549" s="6" t="s">
        <v>1526</v>
      </c>
      <c r="B549" s="6" t="s">
        <v>693</v>
      </c>
      <c r="C549" s="6" t="s">
        <v>943</v>
      </c>
      <c r="D549" s="6" t="s">
        <v>1114</v>
      </c>
      <c r="E549" s="26" t="n">
        <v>12</v>
      </c>
      <c r="F549" s="6" t="str">
        <f aca="false">IFERROR(INDEX(Resources!$B$2:$B$64,MATCH($D549,Resources!$A$2:$A$64,0)),"?")</f>
        <v>plants</v>
      </c>
      <c r="G549" s="6" t="s">
        <v>1184</v>
      </c>
      <c r="H549" s="27" t="n">
        <f aca="false">E549*INDEX(Assumptions!$D$17:$D$23,MATCH(G549,Assumptions!$B$17:$B$23,0))</f>
        <v>0.230769230769231</v>
      </c>
      <c r="I549" s="6" t="n">
        <f aca="false">IFERROR(INDEX(Systems!$R$2:$R$179,MATCH($B549,Systems!$B$2:$B$179,0)),0)</f>
        <v>0</v>
      </c>
      <c r="J549" s="27" t="n">
        <f aca="false">H549*I549</f>
        <v>0</v>
      </c>
      <c r="K549" s="6" t="str">
        <f aca="false">IFERROR(IF(INDEX(Resources!$D$2:$D$64,MATCH($D549,Resources!$A$2:$A$64,0))="","",INDEX(Resources!$D$2:$D$64,MATCH($D549,Resources!$A$2:$A$64,0))),"")</f>
        <v/>
      </c>
      <c r="L549" s="28" t="str">
        <f aca="false">IF(K549="","",J549*INDEX(Resources!$E$2:$E$64,MATCH($D549,Resources!$A$2:$A$64,0)))</f>
        <v/>
      </c>
      <c r="M549" s="6" t="str">
        <f aca="false">B549&amp;"|"&amp;D549&amp;"|"&amp;C549</f>
        <v>Farm &amp; Feed Store|Seedlings|Output</v>
      </c>
    </row>
    <row r="550" customFormat="false" ht="15" hidden="false" customHeight="true" outlineLevel="0" collapsed="false">
      <c r="A550" s="6" t="s">
        <v>1527</v>
      </c>
      <c r="B550" s="6" t="s">
        <v>696</v>
      </c>
      <c r="C550" s="6" t="s">
        <v>938</v>
      </c>
      <c r="D550" s="6" t="s">
        <v>269</v>
      </c>
      <c r="E550" s="26" t="n">
        <v>35</v>
      </c>
      <c r="F550" s="6" t="str">
        <f aca="false">IFERROR(INDEX(Resources!$B$2:$B$64,MATCH($D550,Resources!$A$2:$A$64,0)),"?")</f>
        <v>$</v>
      </c>
      <c r="G550" s="6" t="s">
        <v>939</v>
      </c>
      <c r="H550" s="27" t="n">
        <f aca="false">E550*INDEX(Assumptions!$D$17:$D$23,MATCH(G550,Assumptions!$B$17:$B$23,0))</f>
        <v>35</v>
      </c>
      <c r="I550" s="6" t="n">
        <f aca="false">IFERROR(INDEX(Systems!$R$2:$R$179,MATCH($B550,Systems!$B$2:$B$179,0)),0)</f>
        <v>0</v>
      </c>
      <c r="J550" s="27" t="n">
        <f aca="false">H550*I550</f>
        <v>0</v>
      </c>
      <c r="K550" s="6" t="str">
        <f aca="false">IFERROR(IF(INDEX(Resources!$D$2:$D$64,MATCH($D550,Resources!$A$2:$A$64,0))="","",INDEX(Resources!$D$2:$D$64,MATCH($D550,Resources!$A$2:$A$64,0))),"")</f>
        <v/>
      </c>
      <c r="L550" s="28" t="str">
        <f aca="false">IF(K550="","",J550*INDEX(Resources!$E$2:$E$64,MATCH($D550,Resources!$A$2:$A$64,0)))</f>
        <v/>
      </c>
      <c r="M550" s="6" t="str">
        <f aca="false">B550&amp;"|"&amp;D550&amp;"|"&amp;C550</f>
        <v>Gas Station|Capital|Input</v>
      </c>
    </row>
    <row r="551" customFormat="false" ht="15" hidden="false" customHeight="true" outlineLevel="0" collapsed="false">
      <c r="A551" s="6" t="s">
        <v>1528</v>
      </c>
      <c r="B551" s="6" t="s">
        <v>696</v>
      </c>
      <c r="C551" s="6" t="s">
        <v>943</v>
      </c>
      <c r="D551" s="6" t="s">
        <v>999</v>
      </c>
      <c r="E551" s="26" t="n">
        <v>10</v>
      </c>
      <c r="F551" s="6" t="str">
        <f aca="false">IFERROR(INDEX(Resources!$B$2:$B$64,MATCH($D551,Resources!$A$2:$A$64,0)),"?")</f>
        <v>gal</v>
      </c>
      <c r="G551" s="6" t="s">
        <v>939</v>
      </c>
      <c r="H551" s="27" t="n">
        <f aca="false">E551*INDEX(Assumptions!$D$17:$D$23,MATCH(G551,Assumptions!$B$17:$B$23,0))</f>
        <v>10</v>
      </c>
      <c r="I551" s="6" t="n">
        <f aca="false">IFERROR(INDEX(Systems!$R$2:$R$179,MATCH($B551,Systems!$B$2:$B$179,0)),0)</f>
        <v>0</v>
      </c>
      <c r="J551" s="27" t="n">
        <f aca="false">H551*I551</f>
        <v>0</v>
      </c>
      <c r="K551" s="6" t="str">
        <f aca="false">IFERROR(IF(INDEX(Resources!$D$2:$D$64,MATCH($D551,Resources!$A$2:$A$64,0))="","",INDEX(Resources!$D$2:$D$64,MATCH($D551,Resources!$A$2:$A$64,0))),"")</f>
        <v/>
      </c>
      <c r="L551" s="28" t="str">
        <f aca="false">IF(K551="","",J551*INDEX(Resources!$E$2:$E$64,MATCH($D551,Resources!$A$2:$A$64,0)))</f>
        <v/>
      </c>
      <c r="M551" s="6" t="str">
        <f aca="false">B551&amp;"|"&amp;D551&amp;"|"&amp;C551</f>
        <v>Gas Station|Gasoline|Output</v>
      </c>
    </row>
    <row r="552" customFormat="false" ht="15" hidden="false" customHeight="true" outlineLevel="0" collapsed="false">
      <c r="A552" s="6" t="s">
        <v>1529</v>
      </c>
      <c r="B552" s="6" t="s">
        <v>699</v>
      </c>
      <c r="C552" s="6" t="s">
        <v>938</v>
      </c>
      <c r="D552" s="6" t="s">
        <v>71</v>
      </c>
      <c r="E552" s="26" t="n">
        <v>0.1</v>
      </c>
      <c r="F552" s="6" t="str">
        <f aca="false">IFERROR(INDEX(Resources!$B$2:$B$64,MATCH($D552,Resources!$A$2:$A$64,0)),"?")</f>
        <v>hours</v>
      </c>
      <c r="G552" s="6" t="s">
        <v>939</v>
      </c>
      <c r="H552" s="27" t="n">
        <f aca="false">E552*INDEX(Assumptions!$D$17:$D$23,MATCH(G552,Assumptions!$B$17:$B$23,0))</f>
        <v>0.1</v>
      </c>
      <c r="I552" s="6" t="n">
        <f aca="false">IFERROR(INDEX(Systems!$R$2:$R$179,MATCH($B552,Systems!$B$2:$B$179,0)),0)</f>
        <v>0</v>
      </c>
      <c r="J552" s="27" t="n">
        <f aca="false">H552*I552</f>
        <v>0</v>
      </c>
      <c r="K552" s="6" t="str">
        <f aca="false">IFERROR(IF(INDEX(Resources!$D$2:$D$64,MATCH($D552,Resources!$A$2:$A$64,0))="","",INDEX(Resources!$D$2:$D$64,MATCH($D552,Resources!$A$2:$A$64,0))),"")</f>
        <v>Est. Required Labor</v>
      </c>
      <c r="L552" s="28" t="n">
        <f aca="false">IF(K552="","",J552*INDEX(Resources!$E$2:$E$64,MATCH($D552,Resources!$A$2:$A$64,0)))</f>
        <v>0</v>
      </c>
      <c r="M552" s="6" t="str">
        <f aca="false">B552&amp;"|"&amp;D552&amp;"|"&amp;C552</f>
        <v>Root Cellar|Labor|Input</v>
      </c>
      <c r="N552" s="6" t="s">
        <v>940</v>
      </c>
    </row>
    <row r="553" customFormat="false" ht="15" hidden="false" customHeight="true" outlineLevel="0" collapsed="false">
      <c r="A553" s="6" t="s">
        <v>1530</v>
      </c>
      <c r="B553" s="6" t="s">
        <v>699</v>
      </c>
      <c r="C553" s="6" t="s">
        <v>943</v>
      </c>
      <c r="D553" s="6" t="s">
        <v>113</v>
      </c>
      <c r="E553" s="26" t="n">
        <v>150</v>
      </c>
      <c r="F553" s="6" t="str">
        <f aca="false">IFERROR(INDEX(Resources!$B$2:$B$64,MATCH($D553,Resources!$A$2:$A$64,0)),"?")</f>
        <v>cu ft</v>
      </c>
      <c r="G553" s="6" t="s">
        <v>945</v>
      </c>
      <c r="H553" s="27" t="n">
        <f aca="false">E553*INDEX(Assumptions!$D$17:$D$23,MATCH(G553,Assumptions!$B$17:$B$23,0))</f>
        <v>150</v>
      </c>
      <c r="I553" s="6" t="n">
        <f aca="false">IFERROR(INDEX(Systems!$R$2:$R$179,MATCH($B553,Systems!$B$2:$B$179,0)),0)</f>
        <v>0</v>
      </c>
      <c r="J553" s="27" t="n">
        <f aca="false">H553*I553</f>
        <v>0</v>
      </c>
      <c r="K553" s="6" t="str">
        <f aca="false">IFERROR(IF(INDEX(Resources!$D$2:$D$64,MATCH($D553,Resources!$A$2:$A$64,0))="","",INDEX(Resources!$D$2:$D$64,MATCH($D553,Resources!$A$2:$A$64,0))),"")</f>
        <v/>
      </c>
      <c r="L553" s="28" t="str">
        <f aca="false">IF(K553="","",J553*INDEX(Resources!$E$2:$E$64,MATCH($D553,Resources!$A$2:$A$64,0)))</f>
        <v/>
      </c>
      <c r="M553" s="6" t="str">
        <f aca="false">B553&amp;"|"&amp;D553&amp;"|"&amp;C553</f>
        <v>Root Cellar|Food storage|Output</v>
      </c>
    </row>
    <row r="554" customFormat="false" ht="15" hidden="false" customHeight="true" outlineLevel="0" collapsed="false">
      <c r="A554" s="6" t="s">
        <v>1531</v>
      </c>
      <c r="B554" s="6" t="s">
        <v>703</v>
      </c>
      <c r="C554" s="6" t="s">
        <v>938</v>
      </c>
      <c r="D554" s="6" t="s">
        <v>71</v>
      </c>
      <c r="E554" s="26" t="n">
        <v>0.25</v>
      </c>
      <c r="F554" s="6" t="str">
        <f aca="false">IFERROR(INDEX(Resources!$B$2:$B$64,MATCH($D554,Resources!$A$2:$A$64,0)),"?")</f>
        <v>hours</v>
      </c>
      <c r="G554" s="6" t="s">
        <v>939</v>
      </c>
      <c r="H554" s="27" t="n">
        <f aca="false">E554*INDEX(Assumptions!$D$17:$D$23,MATCH(G554,Assumptions!$B$17:$B$23,0))</f>
        <v>0.25</v>
      </c>
      <c r="I554" s="6" t="n">
        <f aca="false">IFERROR(INDEX(Systems!$R$2:$R$179,MATCH($B554,Systems!$B$2:$B$179,0)),0)</f>
        <v>0</v>
      </c>
      <c r="J554" s="27" t="n">
        <f aca="false">H554*I554</f>
        <v>0</v>
      </c>
      <c r="K554" s="6" t="str">
        <f aca="false">IFERROR(IF(INDEX(Resources!$D$2:$D$64,MATCH($D554,Resources!$A$2:$A$64,0))="","",INDEX(Resources!$D$2:$D$64,MATCH($D554,Resources!$A$2:$A$64,0))),"")</f>
        <v>Est. Required Labor</v>
      </c>
      <c r="L554" s="28" t="n">
        <f aca="false">IF(K554="","",J554*INDEX(Resources!$E$2:$E$64,MATCH($D554,Resources!$A$2:$A$64,0)))</f>
        <v>0</v>
      </c>
      <c r="M554" s="6" t="str">
        <f aca="false">B554&amp;"|"&amp;D554&amp;"|"&amp;C554</f>
        <v>Solar Dehydrator|Labor|Input</v>
      </c>
      <c r="N554" s="6" t="s">
        <v>940</v>
      </c>
    </row>
    <row r="555" customFormat="false" ht="15" hidden="false" customHeight="true" outlineLevel="0" collapsed="false">
      <c r="A555" s="6" t="s">
        <v>1532</v>
      </c>
      <c r="B555" s="6" t="s">
        <v>703</v>
      </c>
      <c r="C555" s="6" t="s">
        <v>938</v>
      </c>
      <c r="D555" s="6" t="s">
        <v>165</v>
      </c>
      <c r="E555" s="29" t="n">
        <f aca="false">Assumptions!$C$6*7</f>
        <v>35</v>
      </c>
      <c r="F555" s="6" t="str">
        <f aca="false">IFERROR(INDEX(Resources!$B$2:$B$64,MATCH($D555,Resources!$A$2:$A$64,0)),"?")</f>
        <v>sun-hours</v>
      </c>
      <c r="G555" s="6" t="s">
        <v>939</v>
      </c>
      <c r="H555" s="27" t="n">
        <f aca="false">E555*INDEX(Assumptions!$D$17:$D$23,MATCH(G555,Assumptions!$B$17:$B$23,0))</f>
        <v>35</v>
      </c>
      <c r="I555" s="6" t="n">
        <f aca="false">IFERROR(INDEX(Systems!$R$2:$R$179,MATCH($B555,Systems!$B$2:$B$179,0)),0)</f>
        <v>0</v>
      </c>
      <c r="J555" s="27" t="n">
        <f aca="false">H555*I555</f>
        <v>0</v>
      </c>
      <c r="K555" s="6" t="str">
        <f aca="false">IFERROR(IF(INDEX(Resources!$D$2:$D$64,MATCH($D555,Resources!$A$2:$A$64,0))="","",INDEX(Resources!$D$2:$D$64,MATCH($D555,Resources!$A$2:$A$64,0))),"")</f>
        <v/>
      </c>
      <c r="L555" s="28" t="str">
        <f aca="false">IF(K555="","",J555*INDEX(Resources!$E$2:$E$64,MATCH($D555,Resources!$A$2:$A$64,0)))</f>
        <v/>
      </c>
      <c r="M555" s="6" t="str">
        <f aca="false">B555&amp;"|"&amp;D555&amp;"|"&amp;C555</f>
        <v>Solar Dehydrator|Sunlight|Input</v>
      </c>
      <c r="N555" s="6" t="s">
        <v>948</v>
      </c>
    </row>
    <row r="556" customFormat="false" ht="15" hidden="false" customHeight="true" outlineLevel="0" collapsed="false">
      <c r="A556" s="6" t="s">
        <v>1533</v>
      </c>
      <c r="B556" s="6" t="s">
        <v>703</v>
      </c>
      <c r="C556" s="6" t="s">
        <v>943</v>
      </c>
      <c r="D556" s="6" t="s">
        <v>113</v>
      </c>
      <c r="E556" s="26" t="n">
        <v>5</v>
      </c>
      <c r="F556" s="6" t="str">
        <f aca="false">IFERROR(INDEX(Resources!$B$2:$B$64,MATCH($D556,Resources!$A$2:$A$64,0)),"?")</f>
        <v>cu ft</v>
      </c>
      <c r="G556" s="6" t="s">
        <v>945</v>
      </c>
      <c r="H556" s="27" t="n">
        <f aca="false">E556*INDEX(Assumptions!$D$17:$D$23,MATCH(G556,Assumptions!$B$17:$B$23,0))</f>
        <v>5</v>
      </c>
      <c r="I556" s="6" t="n">
        <f aca="false">IFERROR(INDEX(Systems!$R$2:$R$179,MATCH($B556,Systems!$B$2:$B$179,0)),0)</f>
        <v>0</v>
      </c>
      <c r="J556" s="27" t="n">
        <f aca="false">H556*I556</f>
        <v>0</v>
      </c>
      <c r="K556" s="6" t="str">
        <f aca="false">IFERROR(IF(INDEX(Resources!$D$2:$D$64,MATCH($D556,Resources!$A$2:$A$64,0))="","",INDEX(Resources!$D$2:$D$64,MATCH($D556,Resources!$A$2:$A$64,0))),"")</f>
        <v/>
      </c>
      <c r="L556" s="28" t="str">
        <f aca="false">IF(K556="","",J556*INDEX(Resources!$E$2:$E$64,MATCH($D556,Resources!$A$2:$A$64,0)))</f>
        <v/>
      </c>
      <c r="M556" s="6" t="str">
        <f aca="false">B556&amp;"|"&amp;D556&amp;"|"&amp;C556</f>
        <v>Solar Dehydrator|Food storage|Output</v>
      </c>
    </row>
    <row r="557" customFormat="false" ht="15" hidden="false" customHeight="true" outlineLevel="0" collapsed="false">
      <c r="A557" s="6" t="s">
        <v>1534</v>
      </c>
      <c r="B557" s="6" t="s">
        <v>707</v>
      </c>
      <c r="C557" s="6" t="s">
        <v>938</v>
      </c>
      <c r="D557" s="6" t="s">
        <v>71</v>
      </c>
      <c r="E557" s="26" t="n">
        <v>1</v>
      </c>
      <c r="F557" s="6" t="str">
        <f aca="false">IFERROR(INDEX(Resources!$B$2:$B$64,MATCH($D557,Resources!$A$2:$A$64,0)),"?")</f>
        <v>hours</v>
      </c>
      <c r="G557" s="6" t="s">
        <v>939</v>
      </c>
      <c r="H557" s="27" t="n">
        <f aca="false">E557*INDEX(Assumptions!$D$17:$D$23,MATCH(G557,Assumptions!$B$17:$B$23,0))</f>
        <v>1</v>
      </c>
      <c r="I557" s="6" t="n">
        <f aca="false">IFERROR(INDEX(Systems!$R$2:$R$179,MATCH($B557,Systems!$B$2:$B$179,0)),0)</f>
        <v>0</v>
      </c>
      <c r="J557" s="27" t="n">
        <f aca="false">H557*I557</f>
        <v>0</v>
      </c>
      <c r="K557" s="6" t="str">
        <f aca="false">IFERROR(IF(INDEX(Resources!$D$2:$D$64,MATCH($D557,Resources!$A$2:$A$64,0))="","",INDEX(Resources!$D$2:$D$64,MATCH($D557,Resources!$A$2:$A$64,0))),"")</f>
        <v>Est. Required Labor</v>
      </c>
      <c r="L557" s="28" t="n">
        <f aca="false">IF(K557="","",J557*INDEX(Resources!$E$2:$E$64,MATCH($D557,Resources!$A$2:$A$64,0)))</f>
        <v>0</v>
      </c>
      <c r="M557" s="6" t="str">
        <f aca="false">B557&amp;"|"&amp;D557&amp;"|"&amp;C557</f>
        <v>Pressure Canner|Labor|Input</v>
      </c>
      <c r="N557" s="6" t="s">
        <v>940</v>
      </c>
    </row>
    <row r="558" customFormat="false" ht="15" hidden="false" customHeight="true" outlineLevel="0" collapsed="false">
      <c r="A558" s="6" t="s">
        <v>1535</v>
      </c>
      <c r="B558" s="6" t="s">
        <v>707</v>
      </c>
      <c r="C558" s="6" t="s">
        <v>938</v>
      </c>
      <c r="D558" s="6" t="s">
        <v>63</v>
      </c>
      <c r="E558" s="26" t="n">
        <v>1</v>
      </c>
      <c r="F558" s="6" t="str">
        <f aca="false">IFERROR(INDEX(Resources!$B$2:$B$64,MATCH($D558,Resources!$A$2:$A$64,0)),"?")</f>
        <v>hours</v>
      </c>
      <c r="G558" s="6" t="s">
        <v>939</v>
      </c>
      <c r="H558" s="27" t="n">
        <f aca="false">E558*INDEX(Assumptions!$D$17:$D$23,MATCH(G558,Assumptions!$B$17:$B$23,0))</f>
        <v>1</v>
      </c>
      <c r="I558" s="6" t="n">
        <f aca="false">IFERROR(INDEX(Systems!$R$2:$R$179,MATCH($B558,Systems!$B$2:$B$179,0)),0)</f>
        <v>0</v>
      </c>
      <c r="J558" s="27" t="n">
        <f aca="false">H558*I558</f>
        <v>0</v>
      </c>
      <c r="K558" s="6" t="str">
        <f aca="false">IFERROR(IF(INDEX(Resources!$D$2:$D$64,MATCH($D558,Resources!$A$2:$A$64,0))="","",INDEX(Resources!$D$2:$D$64,MATCH($D558,Resources!$A$2:$A$64,0))),"")</f>
        <v>Cooking fuel</v>
      </c>
      <c r="L558" s="28" t="n">
        <f aca="false">IF(K558="","",J558*INDEX(Resources!$E$2:$E$64,MATCH($D558,Resources!$A$2:$A$64,0)))</f>
        <v>0</v>
      </c>
      <c r="M558" s="6" t="str">
        <f aca="false">B558&amp;"|"&amp;D558&amp;"|"&amp;C558</f>
        <v>Pressure Canner|Cooking fuel|Input</v>
      </c>
    </row>
    <row r="559" customFormat="false" ht="15" hidden="false" customHeight="true" outlineLevel="0" collapsed="false">
      <c r="A559" s="6" t="s">
        <v>1536</v>
      </c>
      <c r="B559" s="6" t="s">
        <v>707</v>
      </c>
      <c r="C559" s="6" t="s">
        <v>943</v>
      </c>
      <c r="D559" s="6" t="s">
        <v>113</v>
      </c>
      <c r="E559" s="26" t="n">
        <v>20</v>
      </c>
      <c r="F559" s="6" t="str">
        <f aca="false">IFERROR(INDEX(Resources!$B$2:$B$64,MATCH($D559,Resources!$A$2:$A$64,0)),"?")</f>
        <v>cu ft</v>
      </c>
      <c r="G559" s="6" t="s">
        <v>945</v>
      </c>
      <c r="H559" s="27" t="n">
        <f aca="false">E559*INDEX(Assumptions!$D$17:$D$23,MATCH(G559,Assumptions!$B$17:$B$23,0))</f>
        <v>20</v>
      </c>
      <c r="I559" s="6" t="n">
        <f aca="false">IFERROR(INDEX(Systems!$R$2:$R$179,MATCH($B559,Systems!$B$2:$B$179,0)),0)</f>
        <v>0</v>
      </c>
      <c r="J559" s="27" t="n">
        <f aca="false">H559*I559</f>
        <v>0</v>
      </c>
      <c r="K559" s="6" t="str">
        <f aca="false">IFERROR(IF(INDEX(Resources!$D$2:$D$64,MATCH($D559,Resources!$A$2:$A$64,0))="","",INDEX(Resources!$D$2:$D$64,MATCH($D559,Resources!$A$2:$A$64,0))),"")</f>
        <v/>
      </c>
      <c r="L559" s="28" t="str">
        <f aca="false">IF(K559="","",J559*INDEX(Resources!$E$2:$E$64,MATCH($D559,Resources!$A$2:$A$64,0)))</f>
        <v/>
      </c>
      <c r="M559" s="6" t="str">
        <f aca="false">B559&amp;"|"&amp;D559&amp;"|"&amp;C559</f>
        <v>Pressure Canner|Food storage|Output</v>
      </c>
    </row>
    <row r="560" customFormat="false" ht="15" hidden="false" customHeight="true" outlineLevel="0" collapsed="false">
      <c r="A560" s="6" t="s">
        <v>1537</v>
      </c>
      <c r="B560" s="6" t="s">
        <v>711</v>
      </c>
      <c r="C560" s="6" t="s">
        <v>938</v>
      </c>
      <c r="D560" s="6" t="s">
        <v>71</v>
      </c>
      <c r="E560" s="26" t="n">
        <v>2</v>
      </c>
      <c r="F560" s="6" t="str">
        <f aca="false">IFERROR(INDEX(Resources!$B$2:$B$64,MATCH($D560,Resources!$A$2:$A$64,0)),"?")</f>
        <v>hours</v>
      </c>
      <c r="G560" s="6" t="s">
        <v>939</v>
      </c>
      <c r="H560" s="27" t="n">
        <f aca="false">E560*INDEX(Assumptions!$D$17:$D$23,MATCH(G560,Assumptions!$B$17:$B$23,0))</f>
        <v>2</v>
      </c>
      <c r="I560" s="6" t="n">
        <f aca="false">IFERROR(INDEX(Systems!$R$2:$R$179,MATCH($B560,Systems!$B$2:$B$179,0)),0)</f>
        <v>0</v>
      </c>
      <c r="J560" s="27" t="n">
        <f aca="false">H560*I560</f>
        <v>0</v>
      </c>
      <c r="K560" s="6" t="str">
        <f aca="false">IFERROR(IF(INDEX(Resources!$D$2:$D$64,MATCH($D560,Resources!$A$2:$A$64,0))="","",INDEX(Resources!$D$2:$D$64,MATCH($D560,Resources!$A$2:$A$64,0))),"")</f>
        <v>Est. Required Labor</v>
      </c>
      <c r="L560" s="28" t="n">
        <f aca="false">IF(K560="","",J560*INDEX(Resources!$E$2:$E$64,MATCH($D560,Resources!$A$2:$A$64,0)))</f>
        <v>0</v>
      </c>
      <c r="M560" s="6" t="str">
        <f aca="false">B560&amp;"|"&amp;D560&amp;"|"&amp;C560</f>
        <v>Aquaponics System|Labor|Input</v>
      </c>
      <c r="N560" s="6" t="s">
        <v>940</v>
      </c>
    </row>
    <row r="561" customFormat="false" ht="15" hidden="false" customHeight="true" outlineLevel="0" collapsed="false">
      <c r="A561" s="6" t="s">
        <v>1538</v>
      </c>
      <c r="B561" s="6" t="s">
        <v>711</v>
      </c>
      <c r="C561" s="6" t="s">
        <v>938</v>
      </c>
      <c r="D561" s="6" t="s">
        <v>59</v>
      </c>
      <c r="E561" s="26" t="n">
        <v>12</v>
      </c>
      <c r="F561" s="6" t="str">
        <f aca="false">IFERROR(INDEX(Resources!$B$2:$B$64,MATCH($D561,Resources!$A$2:$A$64,0)),"?")</f>
        <v>kWh</v>
      </c>
      <c r="G561" s="6" t="s">
        <v>939</v>
      </c>
      <c r="H561" s="27" t="n">
        <f aca="false">E561*INDEX(Assumptions!$D$17:$D$23,MATCH(G561,Assumptions!$B$17:$B$23,0))</f>
        <v>12</v>
      </c>
      <c r="I561" s="6" t="n">
        <f aca="false">IFERROR(INDEX(Systems!$R$2:$R$179,MATCH($B561,Systems!$B$2:$B$179,0)),0)</f>
        <v>0</v>
      </c>
      <c r="J561" s="27" t="n">
        <f aca="false">H561*I561</f>
        <v>0</v>
      </c>
      <c r="K561" s="6" t="str">
        <f aca="false">IFERROR(IF(INDEX(Resources!$D$2:$D$64,MATCH($D561,Resources!$A$2:$A$64,0))="","",INDEX(Resources!$D$2:$D$64,MATCH($D561,Resources!$A$2:$A$64,0))),"")</f>
        <v>Electricity</v>
      </c>
      <c r="L561" s="28" t="n">
        <f aca="false">IF(K561="","",J561*INDEX(Resources!$E$2:$E$64,MATCH($D561,Resources!$A$2:$A$64,0)))</f>
        <v>0</v>
      </c>
      <c r="M561" s="6" t="str">
        <f aca="false">B561&amp;"|"&amp;D561&amp;"|"&amp;C561</f>
        <v>Aquaponics System|Electricity|Input</v>
      </c>
    </row>
    <row r="562" customFormat="false" ht="15" hidden="false" customHeight="true" outlineLevel="0" collapsed="false">
      <c r="A562" s="6" t="s">
        <v>1539</v>
      </c>
      <c r="B562" s="6" t="s">
        <v>711</v>
      </c>
      <c r="C562" s="6" t="s">
        <v>938</v>
      </c>
      <c r="D562" s="6" t="s">
        <v>49</v>
      </c>
      <c r="E562" s="26" t="n">
        <v>15</v>
      </c>
      <c r="F562" s="6" t="str">
        <f aca="false">IFERROR(INDEX(Resources!$B$2:$B$64,MATCH($D562,Resources!$A$2:$A$64,0)),"?")</f>
        <v>gal</v>
      </c>
      <c r="G562" s="6" t="s">
        <v>939</v>
      </c>
      <c r="H562" s="27" t="n">
        <f aca="false">E562*INDEX(Assumptions!$D$17:$D$23,MATCH(G562,Assumptions!$B$17:$B$23,0))</f>
        <v>15</v>
      </c>
      <c r="I562" s="6" t="n">
        <f aca="false">IFERROR(INDEX(Systems!$R$2:$R$179,MATCH($B562,Systems!$B$2:$B$179,0)),0)</f>
        <v>0</v>
      </c>
      <c r="J562" s="27" t="n">
        <f aca="false">H562*I562</f>
        <v>0</v>
      </c>
      <c r="K562" s="6" t="str">
        <f aca="false">IFERROR(IF(INDEX(Resources!$D$2:$D$64,MATCH($D562,Resources!$A$2:$A$64,0))="","",INDEX(Resources!$D$2:$D$64,MATCH($D562,Resources!$A$2:$A$64,0))),"")</f>
        <v>Water</v>
      </c>
      <c r="L562" s="28" t="n">
        <f aca="false">IF(K562="","",J562*INDEX(Resources!$E$2:$E$64,MATCH($D562,Resources!$A$2:$A$64,0)))</f>
        <v>0</v>
      </c>
      <c r="M562" s="6" t="str">
        <f aca="false">B562&amp;"|"&amp;D562&amp;"|"&amp;C562</f>
        <v>Aquaponics System|Water|Input</v>
      </c>
    </row>
    <row r="563" customFormat="false" ht="15" hidden="false" customHeight="true" outlineLevel="0" collapsed="false">
      <c r="A563" s="6" t="s">
        <v>1540</v>
      </c>
      <c r="B563" s="6" t="s">
        <v>711</v>
      </c>
      <c r="C563" s="6" t="s">
        <v>938</v>
      </c>
      <c r="D563" s="6" t="s">
        <v>1025</v>
      </c>
      <c r="E563" s="26" t="n">
        <v>2</v>
      </c>
      <c r="F563" s="6" t="str">
        <f aca="false">IFERROR(INDEX(Resources!$B$2:$B$64,MATCH($D563,Resources!$A$2:$A$64,0)),"?")</f>
        <v>lbs</v>
      </c>
      <c r="G563" s="6" t="s">
        <v>939</v>
      </c>
      <c r="H563" s="27" t="n">
        <f aca="false">E563*INDEX(Assumptions!$D$17:$D$23,MATCH(G563,Assumptions!$B$17:$B$23,0))</f>
        <v>2</v>
      </c>
      <c r="I563" s="6" t="n">
        <f aca="false">IFERROR(INDEX(Systems!$R$2:$R$179,MATCH($B563,Systems!$B$2:$B$179,0)),0)</f>
        <v>0</v>
      </c>
      <c r="J563" s="27" t="n">
        <f aca="false">H563*I563</f>
        <v>0</v>
      </c>
      <c r="K563" s="6" t="str">
        <f aca="false">IFERROR(IF(INDEX(Resources!$D$2:$D$64,MATCH($D563,Resources!$A$2:$A$64,0))="","",INDEX(Resources!$D$2:$D$64,MATCH($D563,Resources!$A$2:$A$64,0))),"")</f>
        <v/>
      </c>
      <c r="L563" s="28" t="str">
        <f aca="false">IF(K563="","",J563*INDEX(Resources!$E$2:$E$64,MATCH($D563,Resources!$A$2:$A$64,0)))</f>
        <v/>
      </c>
      <c r="M563" s="6" t="str">
        <f aca="false">B563&amp;"|"&amp;D563&amp;"|"&amp;C563</f>
        <v>Aquaponics System|Chicken feed|Input</v>
      </c>
    </row>
    <row r="564" customFormat="false" ht="15" hidden="false" customHeight="true" outlineLevel="0" collapsed="false">
      <c r="A564" s="6" t="s">
        <v>1541</v>
      </c>
      <c r="B564" s="6" t="s">
        <v>711</v>
      </c>
      <c r="C564" s="6" t="s">
        <v>943</v>
      </c>
      <c r="D564" s="6" t="s">
        <v>1486</v>
      </c>
      <c r="E564" s="26" t="n">
        <v>0.8</v>
      </c>
      <c r="F564" s="6" t="str">
        <f aca="false">IFERROR(INDEX(Resources!$B$2:$B$64,MATCH($D564,Resources!$A$2:$A$64,0)),"?")</f>
        <v>lbs</v>
      </c>
      <c r="G564" s="6" t="s">
        <v>939</v>
      </c>
      <c r="H564" s="27" t="n">
        <f aca="false">E564*INDEX(Assumptions!$D$17:$D$23,MATCH(G564,Assumptions!$B$17:$B$23,0))</f>
        <v>0.8</v>
      </c>
      <c r="I564" s="6" t="n">
        <f aca="false">IFERROR(INDEX(Systems!$R$2:$R$179,MATCH($B564,Systems!$B$2:$B$179,0)),0)</f>
        <v>0</v>
      </c>
      <c r="J564" s="27" t="n">
        <f aca="false">H564*I564</f>
        <v>0</v>
      </c>
      <c r="K564" s="6" t="str">
        <f aca="false">IFERROR(IF(INDEX(Resources!$D$2:$D$64,MATCH($D564,Resources!$A$2:$A$64,0))="","",INDEX(Resources!$D$2:$D$64,MATCH($D564,Resources!$A$2:$A$64,0))),"")</f>
        <v>Food</v>
      </c>
      <c r="L564" s="28" t="n">
        <f aca="false">IF(K564="","",J564*INDEX(Resources!$E$2:$E$64,MATCH($D564,Resources!$A$2:$A$64,0)))</f>
        <v>0</v>
      </c>
      <c r="M564" s="6" t="str">
        <f aca="false">B564&amp;"|"&amp;D564&amp;"|"&amp;C564</f>
        <v>Aquaponics System|Fish|Output</v>
      </c>
    </row>
    <row r="565" customFormat="false" ht="15" hidden="false" customHeight="true" outlineLevel="0" collapsed="false">
      <c r="A565" s="6" t="s">
        <v>1542</v>
      </c>
      <c r="B565" s="6" t="s">
        <v>711</v>
      </c>
      <c r="C565" s="6" t="s">
        <v>943</v>
      </c>
      <c r="D565" s="6" t="s">
        <v>561</v>
      </c>
      <c r="E565" s="26" t="n">
        <v>3</v>
      </c>
      <c r="F565" s="6" t="str">
        <f aca="false">IFERROR(INDEX(Resources!$B$2:$B$64,MATCH($D565,Resources!$A$2:$A$64,0)),"?")</f>
        <v>lbs</v>
      </c>
      <c r="G565" s="6" t="s">
        <v>939</v>
      </c>
      <c r="H565" s="27" t="n">
        <f aca="false">E565*INDEX(Assumptions!$D$17:$D$23,MATCH(G565,Assumptions!$B$17:$B$23,0))</f>
        <v>3</v>
      </c>
      <c r="I565" s="6" t="n">
        <f aca="false">IFERROR(INDEX(Systems!$R$2:$R$179,MATCH($B565,Systems!$B$2:$B$179,0)),0)</f>
        <v>0</v>
      </c>
      <c r="J565" s="27" t="n">
        <f aca="false">H565*I565</f>
        <v>0</v>
      </c>
      <c r="K565" s="6" t="str">
        <f aca="false">IFERROR(IF(INDEX(Resources!$D$2:$D$64,MATCH($D565,Resources!$A$2:$A$64,0))="","",INDEX(Resources!$D$2:$D$64,MATCH($D565,Resources!$A$2:$A$64,0))),"")</f>
        <v>Food</v>
      </c>
      <c r="L565" s="28" t="n">
        <f aca="false">IF(K565="","",J565*INDEX(Resources!$E$2:$E$64,MATCH($D565,Resources!$A$2:$A$64,0)))</f>
        <v>0</v>
      </c>
      <c r="M565" s="6" t="str">
        <f aca="false">B565&amp;"|"&amp;D565&amp;"|"&amp;C565</f>
        <v>Aquaponics System|Vegetables fruit fiber herbs|Output</v>
      </c>
    </row>
    <row r="566" customFormat="false" ht="15" hidden="false" customHeight="true" outlineLevel="0" collapsed="false">
      <c r="A566" s="6" t="s">
        <v>1543</v>
      </c>
      <c r="B566" s="6" t="s">
        <v>715</v>
      </c>
      <c r="C566" s="6" t="s">
        <v>938</v>
      </c>
      <c r="D566" s="6" t="s">
        <v>71</v>
      </c>
      <c r="E566" s="26" t="n">
        <v>0.1</v>
      </c>
      <c r="F566" s="6" t="str">
        <f aca="false">IFERROR(INDEX(Resources!$B$2:$B$64,MATCH($D566,Resources!$A$2:$A$64,0)),"?")</f>
        <v>hours</v>
      </c>
      <c r="G566" s="6" t="s">
        <v>939</v>
      </c>
      <c r="H566" s="27" t="n">
        <f aca="false">E566*INDEX(Assumptions!$D$17:$D$23,MATCH(G566,Assumptions!$B$17:$B$23,0))</f>
        <v>0.1</v>
      </c>
      <c r="I566" s="6" t="n">
        <f aca="false">IFERROR(INDEX(Systems!$R$2:$R$179,MATCH($B566,Systems!$B$2:$B$179,0)),0)</f>
        <v>0</v>
      </c>
      <c r="J566" s="27" t="n">
        <f aca="false">H566*I566</f>
        <v>0</v>
      </c>
      <c r="K566" s="6" t="str">
        <f aca="false">IFERROR(IF(INDEX(Resources!$D$2:$D$64,MATCH($D566,Resources!$A$2:$A$64,0))="","",INDEX(Resources!$D$2:$D$64,MATCH($D566,Resources!$A$2:$A$64,0))),"")</f>
        <v>Est. Required Labor</v>
      </c>
      <c r="L566" s="28" t="n">
        <f aca="false">IF(K566="","",J566*INDEX(Resources!$E$2:$E$64,MATCH($D566,Resources!$A$2:$A$64,0)))</f>
        <v>0</v>
      </c>
      <c r="M566" s="6" t="str">
        <f aca="false">B566&amp;"|"&amp;D566&amp;"|"&amp;C566</f>
        <v>Mushroom Logs (Shiitake)|Labor|Input</v>
      </c>
      <c r="N566" s="6" t="s">
        <v>940</v>
      </c>
    </row>
    <row r="567" customFormat="false" ht="15" hidden="false" customHeight="true" outlineLevel="0" collapsed="false">
      <c r="A567" s="6" t="s">
        <v>1544</v>
      </c>
      <c r="B567" s="6" t="s">
        <v>715</v>
      </c>
      <c r="C567" s="6" t="s">
        <v>938</v>
      </c>
      <c r="D567" s="6" t="s">
        <v>177</v>
      </c>
      <c r="E567" s="26" t="n">
        <v>400</v>
      </c>
      <c r="F567" s="6" t="str">
        <f aca="false">IFERROR(INDEX(Resources!$B$2:$B$64,MATCH($D567,Resources!$A$2:$A$64,0)),"?")</f>
        <v>lbs</v>
      </c>
      <c r="G567" s="6" t="s">
        <v>1115</v>
      </c>
      <c r="H567" s="27" t="n">
        <f aca="false">E567*INDEX(Assumptions!$D$17:$D$23,MATCH(G567,Assumptions!$B$17:$B$23,0))</f>
        <v>0</v>
      </c>
      <c r="I567" s="6" t="n">
        <f aca="false">IFERROR(INDEX(Systems!$R$2:$R$179,MATCH($B567,Systems!$B$2:$B$179,0)),0)</f>
        <v>0</v>
      </c>
      <c r="J567" s="27" t="n">
        <f aca="false">H567*I567</f>
        <v>0</v>
      </c>
      <c r="K567" s="6" t="str">
        <f aca="false">IFERROR(IF(INDEX(Resources!$D$2:$D$64,MATCH($D567,Resources!$A$2:$A$64,0))="","",INDEX(Resources!$D$2:$D$64,MATCH($D567,Resources!$A$2:$A$64,0))),"")</f>
        <v/>
      </c>
      <c r="L567" s="28" t="str">
        <f aca="false">IF(K567="","",J567*INDEX(Resources!$E$2:$E$64,MATCH($D567,Resources!$A$2:$A$64,0)))</f>
        <v/>
      </c>
      <c r="M567" s="6" t="str">
        <f aca="false">B567&amp;"|"&amp;D567&amp;"|"&amp;C567</f>
        <v>Mushroom Logs (Shiitake)|Woody biomass|Input</v>
      </c>
    </row>
    <row r="568" customFormat="false" ht="15" hidden="false" customHeight="true" outlineLevel="0" collapsed="false">
      <c r="A568" s="6" t="s">
        <v>1545</v>
      </c>
      <c r="B568" s="6" t="s">
        <v>715</v>
      </c>
      <c r="C568" s="6" t="s">
        <v>938</v>
      </c>
      <c r="D568" s="6" t="s">
        <v>49</v>
      </c>
      <c r="E568" s="26" t="n">
        <v>5</v>
      </c>
      <c r="F568" s="6" t="str">
        <f aca="false">IFERROR(INDEX(Resources!$B$2:$B$64,MATCH($D568,Resources!$A$2:$A$64,0)),"?")</f>
        <v>gal</v>
      </c>
      <c r="G568" s="6" t="s">
        <v>939</v>
      </c>
      <c r="H568" s="27" t="n">
        <f aca="false">E568*INDEX(Assumptions!$D$17:$D$23,MATCH(G568,Assumptions!$B$17:$B$23,0))</f>
        <v>5</v>
      </c>
      <c r="I568" s="6" t="n">
        <f aca="false">IFERROR(INDEX(Systems!$R$2:$R$179,MATCH($B568,Systems!$B$2:$B$179,0)),0)</f>
        <v>0</v>
      </c>
      <c r="J568" s="27" t="n">
        <f aca="false">H568*I568</f>
        <v>0</v>
      </c>
      <c r="K568" s="6" t="str">
        <f aca="false">IFERROR(IF(INDEX(Resources!$D$2:$D$64,MATCH($D568,Resources!$A$2:$A$64,0))="","",INDEX(Resources!$D$2:$D$64,MATCH($D568,Resources!$A$2:$A$64,0))),"")</f>
        <v>Water</v>
      </c>
      <c r="L568" s="28" t="n">
        <f aca="false">IF(K568="","",J568*INDEX(Resources!$E$2:$E$64,MATCH($D568,Resources!$A$2:$A$64,0)))</f>
        <v>0</v>
      </c>
      <c r="M568" s="6" t="str">
        <f aca="false">B568&amp;"|"&amp;D568&amp;"|"&amp;C568</f>
        <v>Mushroom Logs (Shiitake)|Water|Input</v>
      </c>
    </row>
    <row r="569" customFormat="false" ht="15" hidden="false" customHeight="true" outlineLevel="0" collapsed="false">
      <c r="A569" s="6" t="s">
        <v>1546</v>
      </c>
      <c r="B569" s="6" t="s">
        <v>715</v>
      </c>
      <c r="C569" s="6" t="s">
        <v>943</v>
      </c>
      <c r="D569" s="6" t="s">
        <v>1547</v>
      </c>
      <c r="E569" s="26" t="n">
        <v>0.5</v>
      </c>
      <c r="F569" s="6" t="str">
        <f aca="false">IFERROR(INDEX(Resources!$B$2:$B$64,MATCH($D569,Resources!$A$2:$A$64,0)),"?")</f>
        <v>lbs</v>
      </c>
      <c r="G569" s="6" t="s">
        <v>939</v>
      </c>
      <c r="H569" s="27" t="n">
        <f aca="false">E569*INDEX(Assumptions!$D$17:$D$23,MATCH(G569,Assumptions!$B$17:$B$23,0))</f>
        <v>0.5</v>
      </c>
      <c r="I569" s="6" t="n">
        <f aca="false">IFERROR(INDEX(Systems!$R$2:$R$179,MATCH($B569,Systems!$B$2:$B$179,0)),0)</f>
        <v>0</v>
      </c>
      <c r="J569" s="27" t="n">
        <f aca="false">H569*I569</f>
        <v>0</v>
      </c>
      <c r="K569" s="6" t="str">
        <f aca="false">IFERROR(IF(INDEX(Resources!$D$2:$D$64,MATCH($D569,Resources!$A$2:$A$64,0))="","",INDEX(Resources!$D$2:$D$64,MATCH($D569,Resources!$A$2:$A$64,0))),"")</f>
        <v>Food</v>
      </c>
      <c r="L569" s="28" t="n">
        <f aca="false">IF(K569="","",J569*INDEX(Resources!$E$2:$E$64,MATCH($D569,Resources!$A$2:$A$64,0)))</f>
        <v>0</v>
      </c>
      <c r="M569" s="6" t="str">
        <f aca="false">B569&amp;"|"&amp;D569&amp;"|"&amp;C569</f>
        <v>Mushroom Logs (Shiitake)|Mushrooms|Output</v>
      </c>
    </row>
    <row r="570" customFormat="false" ht="15" hidden="false" customHeight="true" outlineLevel="0" collapsed="false">
      <c r="A570" s="6" t="s">
        <v>1548</v>
      </c>
      <c r="B570" s="6" t="s">
        <v>715</v>
      </c>
      <c r="C570" s="6" t="s">
        <v>943</v>
      </c>
      <c r="D570" s="6" t="s">
        <v>1127</v>
      </c>
      <c r="E570" s="26" t="n">
        <v>100</v>
      </c>
      <c r="F570" s="6" t="str">
        <f aca="false">IFERROR(INDEX(Resources!$B$2:$B$64,MATCH($D570,Resources!$A$2:$A$64,0)),"?")</f>
        <v>lbs</v>
      </c>
      <c r="G570" s="6" t="s">
        <v>1032</v>
      </c>
      <c r="H570" s="27" t="n">
        <f aca="false">E570*INDEX(Assumptions!$D$17:$D$23,MATCH(G570,Assumptions!$B$17:$B$23,0))</f>
        <v>1.92307692307692</v>
      </c>
      <c r="I570" s="6" t="n">
        <f aca="false">IFERROR(INDEX(Systems!$R$2:$R$179,MATCH($B570,Systems!$B$2:$B$179,0)),0)</f>
        <v>0</v>
      </c>
      <c r="J570" s="27" t="n">
        <f aca="false">H570*I570</f>
        <v>0</v>
      </c>
      <c r="K570" s="6" t="str">
        <f aca="false">IFERROR(IF(INDEX(Resources!$D$2:$D$64,MATCH($D570,Resources!$A$2:$A$64,0))="","",INDEX(Resources!$D$2:$D$64,MATCH($D570,Resources!$A$2:$A$64,0))),"")</f>
        <v/>
      </c>
      <c r="L570" s="28" t="str">
        <f aca="false">IF(K570="","",J570*INDEX(Resources!$E$2:$E$64,MATCH($D570,Resources!$A$2:$A$64,0)))</f>
        <v/>
      </c>
      <c r="M570" s="6" t="str">
        <f aca="false">B570&amp;"|"&amp;D570&amp;"|"&amp;C570</f>
        <v>Mushroom Logs (Shiitake)|Carbon|Output</v>
      </c>
    </row>
    <row r="571" customFormat="false" ht="15" hidden="false" customHeight="true" outlineLevel="0" collapsed="false">
      <c r="A571" s="6" t="s">
        <v>1549</v>
      </c>
      <c r="B571" s="6" t="s">
        <v>718</v>
      </c>
      <c r="C571" s="6" t="s">
        <v>938</v>
      </c>
      <c r="D571" s="6" t="s">
        <v>71</v>
      </c>
      <c r="E571" s="26" t="n">
        <v>0.05</v>
      </c>
      <c r="F571" s="6" t="str">
        <f aca="false">IFERROR(INDEX(Resources!$B$2:$B$64,MATCH($D571,Resources!$A$2:$A$64,0)),"?")</f>
        <v>hours</v>
      </c>
      <c r="G571" s="6" t="s">
        <v>939</v>
      </c>
      <c r="H571" s="27" t="n">
        <f aca="false">E571*INDEX(Assumptions!$D$17:$D$23,MATCH(G571,Assumptions!$B$17:$B$23,0))</f>
        <v>0.05</v>
      </c>
      <c r="I571" s="6" t="n">
        <f aca="false">IFERROR(INDEX(Systems!$R$2:$R$179,MATCH($B571,Systems!$B$2:$B$179,0)),0)</f>
        <v>0</v>
      </c>
      <c r="J571" s="27" t="n">
        <f aca="false">H571*I571</f>
        <v>0</v>
      </c>
      <c r="K571" s="6" t="str">
        <f aca="false">IFERROR(IF(INDEX(Resources!$D$2:$D$64,MATCH($D571,Resources!$A$2:$A$64,0))="","",INDEX(Resources!$D$2:$D$64,MATCH($D571,Resources!$A$2:$A$64,0))),"")</f>
        <v>Est. Required Labor</v>
      </c>
      <c r="L571" s="28" t="n">
        <f aca="false">IF(K571="","",J571*INDEX(Resources!$E$2:$E$64,MATCH($D571,Resources!$A$2:$A$64,0)))</f>
        <v>0</v>
      </c>
      <c r="M571" s="6" t="str">
        <f aca="false">B571&amp;"|"&amp;D571&amp;"|"&amp;C571</f>
        <v>Efficient Chest Freezer|Labor|Input</v>
      </c>
      <c r="N571" s="6" t="s">
        <v>940</v>
      </c>
    </row>
    <row r="572" customFormat="false" ht="15" hidden="false" customHeight="true" outlineLevel="0" collapsed="false">
      <c r="A572" s="6" t="s">
        <v>1550</v>
      </c>
      <c r="B572" s="6" t="s">
        <v>718</v>
      </c>
      <c r="C572" s="6" t="s">
        <v>938</v>
      </c>
      <c r="D572" s="6" t="s">
        <v>59</v>
      </c>
      <c r="E572" s="26" t="n">
        <v>5</v>
      </c>
      <c r="F572" s="6" t="str">
        <f aca="false">IFERROR(INDEX(Resources!$B$2:$B$64,MATCH($D572,Resources!$A$2:$A$64,0)),"?")</f>
        <v>kWh</v>
      </c>
      <c r="G572" s="6" t="s">
        <v>939</v>
      </c>
      <c r="H572" s="27" t="n">
        <f aca="false">E572*INDEX(Assumptions!$D$17:$D$23,MATCH(G572,Assumptions!$B$17:$B$23,0))</f>
        <v>5</v>
      </c>
      <c r="I572" s="6" t="n">
        <f aca="false">IFERROR(INDEX(Systems!$R$2:$R$179,MATCH($B572,Systems!$B$2:$B$179,0)),0)</f>
        <v>0</v>
      </c>
      <c r="J572" s="27" t="n">
        <f aca="false">H572*I572</f>
        <v>0</v>
      </c>
      <c r="K572" s="6" t="str">
        <f aca="false">IFERROR(IF(INDEX(Resources!$D$2:$D$64,MATCH($D572,Resources!$A$2:$A$64,0))="","",INDEX(Resources!$D$2:$D$64,MATCH($D572,Resources!$A$2:$A$64,0))),"")</f>
        <v>Electricity</v>
      </c>
      <c r="L572" s="28" t="n">
        <f aca="false">IF(K572="","",J572*INDEX(Resources!$E$2:$E$64,MATCH($D572,Resources!$A$2:$A$64,0)))</f>
        <v>0</v>
      </c>
      <c r="M572" s="6" t="str">
        <f aca="false">B572&amp;"|"&amp;D572&amp;"|"&amp;C572</f>
        <v>Efficient Chest Freezer|Electricity|Input</v>
      </c>
    </row>
    <row r="573" customFormat="false" ht="15" hidden="false" customHeight="true" outlineLevel="0" collapsed="false">
      <c r="A573" s="6" t="s">
        <v>1551</v>
      </c>
      <c r="B573" s="6" t="s">
        <v>718</v>
      </c>
      <c r="C573" s="6" t="s">
        <v>943</v>
      </c>
      <c r="D573" s="6" t="s">
        <v>113</v>
      </c>
      <c r="E573" s="26" t="n">
        <v>7</v>
      </c>
      <c r="F573" s="6" t="str">
        <f aca="false">IFERROR(INDEX(Resources!$B$2:$B$64,MATCH($D573,Resources!$A$2:$A$64,0)),"?")</f>
        <v>cu ft</v>
      </c>
      <c r="G573" s="6" t="s">
        <v>945</v>
      </c>
      <c r="H573" s="27" t="n">
        <f aca="false">E573*INDEX(Assumptions!$D$17:$D$23,MATCH(G573,Assumptions!$B$17:$B$23,0))</f>
        <v>7</v>
      </c>
      <c r="I573" s="6" t="n">
        <f aca="false">IFERROR(INDEX(Systems!$R$2:$R$179,MATCH($B573,Systems!$B$2:$B$179,0)),0)</f>
        <v>0</v>
      </c>
      <c r="J573" s="27" t="n">
        <f aca="false">H573*I573</f>
        <v>0</v>
      </c>
      <c r="K573" s="6" t="str">
        <f aca="false">IFERROR(IF(INDEX(Resources!$D$2:$D$64,MATCH($D573,Resources!$A$2:$A$64,0))="","",INDEX(Resources!$D$2:$D$64,MATCH($D573,Resources!$A$2:$A$64,0))),"")</f>
        <v/>
      </c>
      <c r="L573" s="28" t="str">
        <f aca="false">IF(K573="","",J573*INDEX(Resources!$E$2:$E$64,MATCH($D573,Resources!$A$2:$A$64,0)))</f>
        <v/>
      </c>
      <c r="M573" s="6" t="str">
        <f aca="false">B573&amp;"|"&amp;D573&amp;"|"&amp;C573</f>
        <v>Efficient Chest Freezer|Food storage|Output</v>
      </c>
    </row>
    <row r="574" customFormat="false" ht="15" hidden="false" customHeight="true" outlineLevel="0" collapsed="false">
      <c r="A574" s="6" t="s">
        <v>1552</v>
      </c>
      <c r="B574" s="6" t="s">
        <v>721</v>
      </c>
      <c r="C574" s="6" t="s">
        <v>938</v>
      </c>
      <c r="D574" s="6" t="s">
        <v>71</v>
      </c>
      <c r="E574" s="26" t="n">
        <v>3</v>
      </c>
      <c r="F574" s="6" t="str">
        <f aca="false">IFERROR(INDEX(Resources!$B$2:$B$64,MATCH($D574,Resources!$A$2:$A$64,0)),"?")</f>
        <v>hours</v>
      </c>
      <c r="G574" s="6" t="s">
        <v>939</v>
      </c>
      <c r="H574" s="27" t="n">
        <f aca="false">E574*INDEX(Assumptions!$D$17:$D$23,MATCH(G574,Assumptions!$B$17:$B$23,0))</f>
        <v>3</v>
      </c>
      <c r="I574" s="6" t="n">
        <f aca="false">IFERROR(INDEX(Systems!$R$2:$R$179,MATCH($B574,Systems!$B$2:$B$179,0)),0)</f>
        <v>0</v>
      </c>
      <c r="J574" s="27" t="n">
        <f aca="false">H574*I574</f>
        <v>0</v>
      </c>
      <c r="K574" s="6" t="str">
        <f aca="false">IFERROR(IF(INDEX(Resources!$D$2:$D$64,MATCH($D574,Resources!$A$2:$A$64,0))="","",INDEX(Resources!$D$2:$D$64,MATCH($D574,Resources!$A$2:$A$64,0))),"")</f>
        <v>Est. Required Labor</v>
      </c>
      <c r="L574" s="28" t="n">
        <f aca="false">IF(K574="","",J574*INDEX(Resources!$E$2:$E$64,MATCH($D574,Resources!$A$2:$A$64,0)))</f>
        <v>0</v>
      </c>
      <c r="M574" s="6" t="str">
        <f aca="false">B574&amp;"|"&amp;D574&amp;"|"&amp;C574</f>
        <v>Hoop House Greenhouse (200 sq ft)|Labor|Input</v>
      </c>
      <c r="N574" s="6" t="s">
        <v>940</v>
      </c>
    </row>
    <row r="575" customFormat="false" ht="15" hidden="false" customHeight="true" outlineLevel="0" collapsed="false">
      <c r="A575" s="6" t="s">
        <v>1553</v>
      </c>
      <c r="B575" s="6" t="s">
        <v>721</v>
      </c>
      <c r="C575" s="6" t="s">
        <v>938</v>
      </c>
      <c r="D575" s="6" t="s">
        <v>49</v>
      </c>
      <c r="E575" s="26" t="n">
        <v>90</v>
      </c>
      <c r="F575" s="6" t="str">
        <f aca="false">IFERROR(INDEX(Resources!$B$2:$B$64,MATCH($D575,Resources!$A$2:$A$64,0)),"?")</f>
        <v>gal</v>
      </c>
      <c r="G575" s="6" t="s">
        <v>939</v>
      </c>
      <c r="H575" s="27" t="n">
        <f aca="false">E575*INDEX(Assumptions!$D$17:$D$23,MATCH(G575,Assumptions!$B$17:$B$23,0))</f>
        <v>90</v>
      </c>
      <c r="I575" s="6" t="n">
        <f aca="false">IFERROR(INDEX(Systems!$R$2:$R$179,MATCH($B575,Systems!$B$2:$B$179,0)),0)</f>
        <v>0</v>
      </c>
      <c r="J575" s="27" t="n">
        <f aca="false">H575*I575</f>
        <v>0</v>
      </c>
      <c r="K575" s="6" t="str">
        <f aca="false">IFERROR(IF(INDEX(Resources!$D$2:$D$64,MATCH($D575,Resources!$A$2:$A$64,0))="","",INDEX(Resources!$D$2:$D$64,MATCH($D575,Resources!$A$2:$A$64,0))),"")</f>
        <v>Water</v>
      </c>
      <c r="L575" s="28" t="n">
        <f aca="false">IF(K575="","",J575*INDEX(Resources!$E$2:$E$64,MATCH($D575,Resources!$A$2:$A$64,0)))</f>
        <v>0</v>
      </c>
      <c r="M575" s="6" t="str">
        <f aca="false">B575&amp;"|"&amp;D575&amp;"|"&amp;C575</f>
        <v>Hoop House Greenhouse (200 sq ft)|Water|Input</v>
      </c>
    </row>
    <row r="576" customFormat="false" ht="15" hidden="false" customHeight="true" outlineLevel="0" collapsed="false">
      <c r="A576" s="6" t="s">
        <v>1554</v>
      </c>
      <c r="B576" s="6" t="s">
        <v>721</v>
      </c>
      <c r="C576" s="6" t="s">
        <v>938</v>
      </c>
      <c r="D576" s="6" t="s">
        <v>322</v>
      </c>
      <c r="E576" s="26" t="n">
        <v>200</v>
      </c>
      <c r="F576" s="6" t="str">
        <f aca="false">IFERROR(INDEX(Resources!$B$2:$B$64,MATCH($D576,Resources!$A$2:$A$64,0)),"?")</f>
        <v>lbs</v>
      </c>
      <c r="G576" s="6" t="s">
        <v>1184</v>
      </c>
      <c r="H576" s="27" t="n">
        <f aca="false">E576*INDEX(Assumptions!$D$17:$D$23,MATCH(G576,Assumptions!$B$17:$B$23,0))</f>
        <v>3.84615384615385</v>
      </c>
      <c r="I576" s="6" t="n">
        <f aca="false">IFERROR(INDEX(Systems!$R$2:$R$179,MATCH($B576,Systems!$B$2:$B$179,0)),0)</f>
        <v>0</v>
      </c>
      <c r="J576" s="27" t="n">
        <f aca="false">H576*I576</f>
        <v>0</v>
      </c>
      <c r="K576" s="6" t="str">
        <f aca="false">IFERROR(IF(INDEX(Resources!$D$2:$D$64,MATCH($D576,Resources!$A$2:$A$64,0))="","",INDEX(Resources!$D$2:$D$64,MATCH($D576,Resources!$A$2:$A$64,0))),"")</f>
        <v/>
      </c>
      <c r="L576" s="28" t="str">
        <f aca="false">IF(K576="","",J576*INDEX(Resources!$E$2:$E$64,MATCH($D576,Resources!$A$2:$A$64,0)))</f>
        <v/>
      </c>
      <c r="M576" s="6" t="str">
        <f aca="false">B576&amp;"|"&amp;D576&amp;"|"&amp;C576</f>
        <v>Hoop House Greenhouse (200 sq ft)|Compost|Input</v>
      </c>
    </row>
    <row r="577" customFormat="false" ht="15" hidden="false" customHeight="true" outlineLevel="0" collapsed="false">
      <c r="A577" s="6" t="s">
        <v>1555</v>
      </c>
      <c r="B577" s="6" t="s">
        <v>721</v>
      </c>
      <c r="C577" s="6" t="s">
        <v>938</v>
      </c>
      <c r="D577" s="6" t="s">
        <v>1114</v>
      </c>
      <c r="E577" s="26" t="n">
        <v>60</v>
      </c>
      <c r="F577" s="6" t="str">
        <f aca="false">IFERROR(INDEX(Resources!$B$2:$B$64,MATCH($D577,Resources!$A$2:$A$64,0)),"?")</f>
        <v>plants</v>
      </c>
      <c r="G577" s="6" t="s">
        <v>1184</v>
      </c>
      <c r="H577" s="27" t="n">
        <f aca="false">E577*INDEX(Assumptions!$D$17:$D$23,MATCH(G577,Assumptions!$B$17:$B$23,0))</f>
        <v>1.15384615384615</v>
      </c>
      <c r="I577" s="6" t="n">
        <f aca="false">IFERROR(INDEX(Systems!$R$2:$R$179,MATCH($B577,Systems!$B$2:$B$179,0)),0)</f>
        <v>0</v>
      </c>
      <c r="J577" s="27" t="n">
        <f aca="false">H577*I577</f>
        <v>0</v>
      </c>
      <c r="K577" s="6" t="str">
        <f aca="false">IFERROR(IF(INDEX(Resources!$D$2:$D$64,MATCH($D577,Resources!$A$2:$A$64,0))="","",INDEX(Resources!$D$2:$D$64,MATCH($D577,Resources!$A$2:$A$64,0))),"")</f>
        <v/>
      </c>
      <c r="L577" s="28" t="str">
        <f aca="false">IF(K577="","",J577*INDEX(Resources!$E$2:$E$64,MATCH($D577,Resources!$A$2:$A$64,0)))</f>
        <v/>
      </c>
      <c r="M577" s="6" t="str">
        <f aca="false">B577&amp;"|"&amp;D577&amp;"|"&amp;C577</f>
        <v>Hoop House Greenhouse (200 sq ft)|Seedlings|Input</v>
      </c>
    </row>
    <row r="578" customFormat="false" ht="15" hidden="false" customHeight="true" outlineLevel="0" collapsed="false">
      <c r="A578" s="6" t="s">
        <v>1556</v>
      </c>
      <c r="B578" s="6" t="s">
        <v>721</v>
      </c>
      <c r="C578" s="6" t="s">
        <v>938</v>
      </c>
      <c r="D578" s="6" t="s">
        <v>410</v>
      </c>
      <c r="E578" s="26" t="n">
        <v>1</v>
      </c>
      <c r="F578" s="6" t="str">
        <f aca="false">IFERROR(INDEX(Resources!$B$2:$B$64,MATCH($D578,Resources!$A$2:$A$64,0)),"?")</f>
        <v>gal</v>
      </c>
      <c r="G578" s="6" t="s">
        <v>939</v>
      </c>
      <c r="H578" s="27" t="n">
        <f aca="false">E578*INDEX(Assumptions!$D$17:$D$23,MATCH(G578,Assumptions!$B$17:$B$23,0))</f>
        <v>1</v>
      </c>
      <c r="I578" s="6" t="n">
        <f aca="false">IFERROR(INDEX(Systems!$R$2:$R$179,MATCH($B578,Systems!$B$2:$B$179,0)),0)</f>
        <v>0</v>
      </c>
      <c r="J578" s="27" t="n">
        <f aca="false">H578*I578</f>
        <v>0</v>
      </c>
      <c r="K578" s="6" t="str">
        <f aca="false">IFERROR(IF(INDEX(Resources!$D$2:$D$64,MATCH($D578,Resources!$A$2:$A$64,0))="","",INDEX(Resources!$D$2:$D$64,MATCH($D578,Resources!$A$2:$A$64,0))),"")</f>
        <v/>
      </c>
      <c r="L578" s="28" t="str">
        <f aca="false">IF(K578="","",J578*INDEX(Resources!$E$2:$E$64,MATCH($D578,Resources!$A$2:$A$64,0)))</f>
        <v/>
      </c>
      <c r="M578" s="6" t="str">
        <f aca="false">B578&amp;"|"&amp;D578&amp;"|"&amp;C578</f>
        <v>Hoop House Greenhouse (200 sq ft)|Liquid fertilizer|Input</v>
      </c>
    </row>
    <row r="579" customFormat="false" ht="15" hidden="false" customHeight="true" outlineLevel="0" collapsed="false">
      <c r="A579" s="6" t="s">
        <v>1557</v>
      </c>
      <c r="B579" s="6" t="s">
        <v>721</v>
      </c>
      <c r="C579" s="6" t="s">
        <v>943</v>
      </c>
      <c r="D579" s="6" t="s">
        <v>561</v>
      </c>
      <c r="E579" s="26" t="n">
        <v>4</v>
      </c>
      <c r="F579" s="6" t="str">
        <f aca="false">IFERROR(INDEX(Resources!$B$2:$B$64,MATCH($D579,Resources!$A$2:$A$64,0)),"?")</f>
        <v>lbs</v>
      </c>
      <c r="G579" s="6" t="s">
        <v>939</v>
      </c>
      <c r="H579" s="27" t="n">
        <f aca="false">E579*INDEX(Assumptions!$D$17:$D$23,MATCH(G579,Assumptions!$B$17:$B$23,0))</f>
        <v>4</v>
      </c>
      <c r="I579" s="6" t="n">
        <f aca="false">IFERROR(INDEX(Systems!$R$2:$R$179,MATCH($B579,Systems!$B$2:$B$179,0)),0)</f>
        <v>0</v>
      </c>
      <c r="J579" s="27" t="n">
        <f aca="false">H579*I579</f>
        <v>0</v>
      </c>
      <c r="K579" s="6" t="str">
        <f aca="false">IFERROR(IF(INDEX(Resources!$D$2:$D$64,MATCH($D579,Resources!$A$2:$A$64,0))="","",INDEX(Resources!$D$2:$D$64,MATCH($D579,Resources!$A$2:$A$64,0))),"")</f>
        <v>Food</v>
      </c>
      <c r="L579" s="28" t="n">
        <f aca="false">IF(K579="","",J579*INDEX(Resources!$E$2:$E$64,MATCH($D579,Resources!$A$2:$A$64,0)))</f>
        <v>0</v>
      </c>
      <c r="M579" s="6" t="str">
        <f aca="false">B579&amp;"|"&amp;D579&amp;"|"&amp;C579</f>
        <v>Hoop House Greenhouse (200 sq ft)|Vegetables fruit fiber herbs|Output</v>
      </c>
    </row>
    <row r="580" customFormat="false" ht="15" hidden="false" customHeight="true" outlineLevel="0" collapsed="false">
      <c r="A580" s="6" t="s">
        <v>1558</v>
      </c>
      <c r="B580" s="6" t="s">
        <v>721</v>
      </c>
      <c r="C580" s="6" t="s">
        <v>943</v>
      </c>
      <c r="D580" s="6" t="s">
        <v>462</v>
      </c>
      <c r="E580" s="26" t="n">
        <v>2</v>
      </c>
      <c r="F580" s="6" t="str">
        <f aca="false">IFERROR(INDEX(Resources!$B$2:$B$64,MATCH($D580,Resources!$A$2:$A$64,0)),"?")</f>
        <v>points</v>
      </c>
      <c r="G580" s="6" t="s">
        <v>939</v>
      </c>
      <c r="H580" s="27" t="n">
        <f aca="false">E580*INDEX(Assumptions!$D$17:$D$23,MATCH(G580,Assumptions!$B$17:$B$23,0))</f>
        <v>2</v>
      </c>
      <c r="I580" s="6" t="n">
        <f aca="false">IFERROR(INDEX(Systems!$R$2:$R$179,MATCH($B580,Systems!$B$2:$B$179,0)),0)</f>
        <v>0</v>
      </c>
      <c r="J580" s="27" t="n">
        <f aca="false">H580*I580</f>
        <v>0</v>
      </c>
      <c r="K580" s="6" t="str">
        <f aca="false">IFERROR(IF(INDEX(Resources!$D$2:$D$64,MATCH($D580,Resources!$A$2:$A$64,0))="","",INDEX(Resources!$D$2:$D$64,MATCH($D580,Resources!$A$2:$A$64,0))),"")</f>
        <v/>
      </c>
      <c r="L580" s="28" t="str">
        <f aca="false">IF(K580="","",J580*INDEX(Resources!$E$2:$E$64,MATCH($D580,Resources!$A$2:$A$64,0)))</f>
        <v/>
      </c>
      <c r="M580" s="6" t="str">
        <f aca="false">B580&amp;"|"&amp;D580&amp;"|"&amp;C580</f>
        <v>Hoop House Greenhouse (200 sq ft)|Wellbeing|Output</v>
      </c>
    </row>
    <row r="581" customFormat="false" ht="15" hidden="false" customHeight="true" outlineLevel="0" collapsed="false">
      <c r="A581" s="6" t="s">
        <v>1559</v>
      </c>
      <c r="B581" s="6" t="s">
        <v>724</v>
      </c>
      <c r="C581" s="6" t="s">
        <v>938</v>
      </c>
      <c r="D581" s="6" t="s">
        <v>71</v>
      </c>
      <c r="E581" s="26" t="n">
        <v>0.5</v>
      </c>
      <c r="F581" s="6" t="str">
        <f aca="false">IFERROR(INDEX(Resources!$B$2:$B$64,MATCH($D581,Resources!$A$2:$A$64,0)),"?")</f>
        <v>hours</v>
      </c>
      <c r="G581" s="6" t="s">
        <v>939</v>
      </c>
      <c r="H581" s="27" t="n">
        <f aca="false">E581*INDEX(Assumptions!$D$17:$D$23,MATCH(G581,Assumptions!$B$17:$B$23,0))</f>
        <v>0.5</v>
      </c>
      <c r="I581" s="6" t="n">
        <f aca="false">IFERROR(INDEX(Systems!$R$2:$R$179,MATCH($B581,Systems!$B$2:$B$179,0)),0)</f>
        <v>0</v>
      </c>
      <c r="J581" s="27" t="n">
        <f aca="false">H581*I581</f>
        <v>0</v>
      </c>
      <c r="K581" s="6" t="str">
        <f aca="false">IFERROR(IF(INDEX(Resources!$D$2:$D$64,MATCH($D581,Resources!$A$2:$A$64,0))="","",INDEX(Resources!$D$2:$D$64,MATCH($D581,Resources!$A$2:$A$64,0))),"")</f>
        <v>Est. Required Labor</v>
      </c>
      <c r="L581" s="28" t="n">
        <f aca="false">IF(K581="","",J581*INDEX(Resources!$E$2:$E$64,MATCH($D581,Resources!$A$2:$A$64,0)))</f>
        <v>0</v>
      </c>
      <c r="M581" s="6" t="str">
        <f aca="false">B581&amp;"|"&amp;D581&amp;"|"&amp;C581</f>
        <v>Grain Plot (1/10 acre)|Labor|Input</v>
      </c>
      <c r="N581" s="6" t="s">
        <v>940</v>
      </c>
    </row>
    <row r="582" customFormat="false" ht="15" hidden="false" customHeight="true" outlineLevel="0" collapsed="false">
      <c r="A582" s="6" t="s">
        <v>1560</v>
      </c>
      <c r="B582" s="6" t="s">
        <v>724</v>
      </c>
      <c r="C582" s="6" t="s">
        <v>938</v>
      </c>
      <c r="D582" s="6" t="s">
        <v>1561</v>
      </c>
      <c r="E582" s="26" t="n">
        <v>10</v>
      </c>
      <c r="F582" s="6" t="str">
        <f aca="false">IFERROR(INDEX(Resources!$B$2:$B$64,MATCH($D582,Resources!$A$2:$A$64,0)),"?")</f>
        <v>lbs</v>
      </c>
      <c r="G582" s="6" t="s">
        <v>1184</v>
      </c>
      <c r="H582" s="27" t="n">
        <f aca="false">E582*INDEX(Assumptions!$D$17:$D$23,MATCH(G582,Assumptions!$B$17:$B$23,0))</f>
        <v>0.192307692307692</v>
      </c>
      <c r="I582" s="6" t="n">
        <f aca="false">IFERROR(INDEX(Systems!$R$2:$R$179,MATCH($B582,Systems!$B$2:$B$179,0)),0)</f>
        <v>0</v>
      </c>
      <c r="J582" s="27" t="n">
        <f aca="false">H582*I582</f>
        <v>0</v>
      </c>
      <c r="K582" s="6" t="str">
        <f aca="false">IFERROR(IF(INDEX(Resources!$D$2:$D$64,MATCH($D582,Resources!$A$2:$A$64,0))="","",INDEX(Resources!$D$2:$D$64,MATCH($D582,Resources!$A$2:$A$64,0))),"")</f>
        <v>Food</v>
      </c>
      <c r="L582" s="28" t="n">
        <f aca="false">IF(K582="","",J582*INDEX(Resources!$E$2:$E$64,MATCH($D582,Resources!$A$2:$A$64,0)))</f>
        <v>0</v>
      </c>
      <c r="M582" s="6" t="str">
        <f aca="false">B582&amp;"|"&amp;D582&amp;"|"&amp;C582</f>
        <v>Grain Plot (1/10 acre)|Grain|Input</v>
      </c>
    </row>
    <row r="583" customFormat="false" ht="15" hidden="false" customHeight="true" outlineLevel="0" collapsed="false">
      <c r="A583" s="6" t="s">
        <v>1562</v>
      </c>
      <c r="B583" s="6" t="s">
        <v>724</v>
      </c>
      <c r="C583" s="6" t="s">
        <v>938</v>
      </c>
      <c r="D583" s="6" t="s">
        <v>49</v>
      </c>
      <c r="E583" s="26" t="n">
        <v>50</v>
      </c>
      <c r="F583" s="6" t="str">
        <f aca="false">IFERROR(INDEX(Resources!$B$2:$B$64,MATCH($D583,Resources!$A$2:$A$64,0)),"?")</f>
        <v>gal</v>
      </c>
      <c r="G583" s="6" t="s">
        <v>939</v>
      </c>
      <c r="H583" s="27" t="n">
        <f aca="false">E583*INDEX(Assumptions!$D$17:$D$23,MATCH(G583,Assumptions!$B$17:$B$23,0))</f>
        <v>50</v>
      </c>
      <c r="I583" s="6" t="n">
        <f aca="false">IFERROR(INDEX(Systems!$R$2:$R$179,MATCH($B583,Systems!$B$2:$B$179,0)),0)</f>
        <v>0</v>
      </c>
      <c r="J583" s="27" t="n">
        <f aca="false">H583*I583</f>
        <v>0</v>
      </c>
      <c r="K583" s="6" t="str">
        <f aca="false">IFERROR(IF(INDEX(Resources!$D$2:$D$64,MATCH($D583,Resources!$A$2:$A$64,0))="","",INDEX(Resources!$D$2:$D$64,MATCH($D583,Resources!$A$2:$A$64,0))),"")</f>
        <v>Water</v>
      </c>
      <c r="L583" s="28" t="n">
        <f aca="false">IF(K583="","",J583*INDEX(Resources!$E$2:$E$64,MATCH($D583,Resources!$A$2:$A$64,0)))</f>
        <v>0</v>
      </c>
      <c r="M583" s="6" t="str">
        <f aca="false">B583&amp;"|"&amp;D583&amp;"|"&amp;C583</f>
        <v>Grain Plot (1/10 acre)|Water|Input</v>
      </c>
    </row>
    <row r="584" customFormat="false" ht="15" hidden="false" customHeight="true" outlineLevel="0" collapsed="false">
      <c r="A584" s="6" t="s">
        <v>1563</v>
      </c>
      <c r="B584" s="6" t="s">
        <v>724</v>
      </c>
      <c r="C584" s="6" t="s">
        <v>938</v>
      </c>
      <c r="D584" s="6" t="s">
        <v>322</v>
      </c>
      <c r="E584" s="26" t="n">
        <v>200</v>
      </c>
      <c r="F584" s="6" t="str">
        <f aca="false">IFERROR(INDEX(Resources!$B$2:$B$64,MATCH($D584,Resources!$A$2:$A$64,0)),"?")</f>
        <v>lbs</v>
      </c>
      <c r="G584" s="6" t="s">
        <v>1184</v>
      </c>
      <c r="H584" s="27" t="n">
        <f aca="false">E584*INDEX(Assumptions!$D$17:$D$23,MATCH(G584,Assumptions!$B$17:$B$23,0))</f>
        <v>3.84615384615385</v>
      </c>
      <c r="I584" s="6" t="n">
        <f aca="false">IFERROR(INDEX(Systems!$R$2:$R$179,MATCH($B584,Systems!$B$2:$B$179,0)),0)</f>
        <v>0</v>
      </c>
      <c r="J584" s="27" t="n">
        <f aca="false">H584*I584</f>
        <v>0</v>
      </c>
      <c r="K584" s="6" t="str">
        <f aca="false">IFERROR(IF(INDEX(Resources!$D$2:$D$64,MATCH($D584,Resources!$A$2:$A$64,0))="","",INDEX(Resources!$D$2:$D$64,MATCH($D584,Resources!$A$2:$A$64,0))),"")</f>
        <v/>
      </c>
      <c r="L584" s="28" t="str">
        <f aca="false">IF(K584="","",J584*INDEX(Resources!$E$2:$E$64,MATCH($D584,Resources!$A$2:$A$64,0)))</f>
        <v/>
      </c>
      <c r="M584" s="6" t="str">
        <f aca="false">B584&amp;"|"&amp;D584&amp;"|"&amp;C584</f>
        <v>Grain Plot (1/10 acre)|Compost|Input</v>
      </c>
    </row>
    <row r="585" customFormat="false" ht="15" hidden="false" customHeight="true" outlineLevel="0" collapsed="false">
      <c r="A585" s="6" t="s">
        <v>1564</v>
      </c>
      <c r="B585" s="6" t="s">
        <v>724</v>
      </c>
      <c r="C585" s="6" t="s">
        <v>943</v>
      </c>
      <c r="D585" s="6" t="s">
        <v>1561</v>
      </c>
      <c r="E585" s="26" t="n">
        <v>6</v>
      </c>
      <c r="F585" s="6" t="str">
        <f aca="false">IFERROR(INDEX(Resources!$B$2:$B$64,MATCH($D585,Resources!$A$2:$A$64,0)),"?")</f>
        <v>lbs</v>
      </c>
      <c r="G585" s="6" t="s">
        <v>939</v>
      </c>
      <c r="H585" s="27" t="n">
        <f aca="false">E585*INDEX(Assumptions!$D$17:$D$23,MATCH(G585,Assumptions!$B$17:$B$23,0))</f>
        <v>6</v>
      </c>
      <c r="I585" s="6" t="n">
        <f aca="false">IFERROR(INDEX(Systems!$R$2:$R$179,MATCH($B585,Systems!$B$2:$B$179,0)),0)</f>
        <v>0</v>
      </c>
      <c r="J585" s="27" t="n">
        <f aca="false">H585*I585</f>
        <v>0</v>
      </c>
      <c r="K585" s="6" t="str">
        <f aca="false">IFERROR(IF(INDEX(Resources!$D$2:$D$64,MATCH($D585,Resources!$A$2:$A$64,0))="","",INDEX(Resources!$D$2:$D$64,MATCH($D585,Resources!$A$2:$A$64,0))),"")</f>
        <v>Food</v>
      </c>
      <c r="L585" s="28" t="n">
        <f aca="false">IF(K585="","",J585*INDEX(Resources!$E$2:$E$64,MATCH($D585,Resources!$A$2:$A$64,0)))</f>
        <v>0</v>
      </c>
      <c r="M585" s="6" t="str">
        <f aca="false">B585&amp;"|"&amp;D585&amp;"|"&amp;C585</f>
        <v>Grain Plot (1/10 acre)|Grain|Output</v>
      </c>
    </row>
    <row r="586" customFormat="false" ht="15" hidden="false" customHeight="true" outlineLevel="0" collapsed="false">
      <c r="A586" s="6" t="s">
        <v>1565</v>
      </c>
      <c r="B586" s="6" t="s">
        <v>724</v>
      </c>
      <c r="C586" s="6" t="s">
        <v>943</v>
      </c>
      <c r="D586" s="6" t="s">
        <v>1127</v>
      </c>
      <c r="E586" s="26" t="n">
        <v>6</v>
      </c>
      <c r="F586" s="6" t="str">
        <f aca="false">IFERROR(INDEX(Resources!$B$2:$B$64,MATCH($D586,Resources!$A$2:$A$64,0)),"?")</f>
        <v>lbs</v>
      </c>
      <c r="G586" s="6" t="s">
        <v>939</v>
      </c>
      <c r="H586" s="27" t="n">
        <f aca="false">E586*INDEX(Assumptions!$D$17:$D$23,MATCH(G586,Assumptions!$B$17:$B$23,0))</f>
        <v>6</v>
      </c>
      <c r="I586" s="6" t="n">
        <f aca="false">IFERROR(INDEX(Systems!$R$2:$R$179,MATCH($B586,Systems!$B$2:$B$179,0)),0)</f>
        <v>0</v>
      </c>
      <c r="J586" s="27" t="n">
        <f aca="false">H586*I586</f>
        <v>0</v>
      </c>
      <c r="K586" s="6" t="str">
        <f aca="false">IFERROR(IF(INDEX(Resources!$D$2:$D$64,MATCH($D586,Resources!$A$2:$A$64,0))="","",INDEX(Resources!$D$2:$D$64,MATCH($D586,Resources!$A$2:$A$64,0))),"")</f>
        <v/>
      </c>
      <c r="L586" s="28" t="str">
        <f aca="false">IF(K586="","",J586*INDEX(Resources!$E$2:$E$64,MATCH($D586,Resources!$A$2:$A$64,0)))</f>
        <v/>
      </c>
      <c r="M586" s="6" t="str">
        <f aca="false">B586&amp;"|"&amp;D586&amp;"|"&amp;C586</f>
        <v>Grain Plot (1/10 acre)|Carbon|Output</v>
      </c>
    </row>
    <row r="587" customFormat="false" ht="15" hidden="false" customHeight="true" outlineLevel="0" collapsed="false">
      <c r="A587" s="6" t="s">
        <v>1566</v>
      </c>
      <c r="B587" s="6" t="s">
        <v>728</v>
      </c>
      <c r="C587" s="6" t="s">
        <v>938</v>
      </c>
      <c r="D587" s="6" t="s">
        <v>71</v>
      </c>
      <c r="E587" s="26" t="n">
        <v>0.5</v>
      </c>
      <c r="F587" s="6" t="str">
        <f aca="false">IFERROR(INDEX(Resources!$B$2:$B$64,MATCH($D587,Resources!$A$2:$A$64,0)),"?")</f>
        <v>hours</v>
      </c>
      <c r="G587" s="6" t="s">
        <v>939</v>
      </c>
      <c r="H587" s="27" t="n">
        <f aca="false">E587*INDEX(Assumptions!$D$17:$D$23,MATCH(G587,Assumptions!$B$17:$B$23,0))</f>
        <v>0.5</v>
      </c>
      <c r="I587" s="6" t="n">
        <f aca="false">IFERROR(INDEX(Systems!$R$2:$R$179,MATCH($B587,Systems!$B$2:$B$179,0)),0)</f>
        <v>0</v>
      </c>
      <c r="J587" s="27" t="n">
        <f aca="false">H587*I587</f>
        <v>0</v>
      </c>
      <c r="K587" s="6" t="str">
        <f aca="false">IFERROR(IF(INDEX(Resources!$D$2:$D$64,MATCH($D587,Resources!$A$2:$A$64,0))="","",INDEX(Resources!$D$2:$D$64,MATCH($D587,Resources!$A$2:$A$64,0))),"")</f>
        <v>Est. Required Labor</v>
      </c>
      <c r="L587" s="28" t="n">
        <f aca="false">IF(K587="","",J587*INDEX(Resources!$E$2:$E$64,MATCH($D587,Resources!$A$2:$A$64,0)))</f>
        <v>0</v>
      </c>
      <c r="M587" s="6" t="str">
        <f aca="false">B587&amp;"|"&amp;D587&amp;"|"&amp;C587</f>
        <v>Potato Patch (400 sq ft)|Labor|Input</v>
      </c>
      <c r="N587" s="6" t="s">
        <v>940</v>
      </c>
    </row>
    <row r="588" customFormat="false" ht="15" hidden="false" customHeight="true" outlineLevel="0" collapsed="false">
      <c r="A588" s="6" t="s">
        <v>1567</v>
      </c>
      <c r="B588" s="6" t="s">
        <v>728</v>
      </c>
      <c r="C588" s="6" t="s">
        <v>938</v>
      </c>
      <c r="D588" s="6" t="s">
        <v>1568</v>
      </c>
      <c r="E588" s="26" t="n">
        <v>25</v>
      </c>
      <c r="F588" s="6" t="str">
        <f aca="false">IFERROR(INDEX(Resources!$B$2:$B$64,MATCH($D588,Resources!$A$2:$A$64,0)),"?")</f>
        <v>lbs</v>
      </c>
      <c r="G588" s="6" t="s">
        <v>1184</v>
      </c>
      <c r="H588" s="27" t="n">
        <f aca="false">E588*INDEX(Assumptions!$D$17:$D$23,MATCH(G588,Assumptions!$B$17:$B$23,0))</f>
        <v>0.480769230769231</v>
      </c>
      <c r="I588" s="6" t="n">
        <f aca="false">IFERROR(INDEX(Systems!$R$2:$R$179,MATCH($B588,Systems!$B$2:$B$179,0)),0)</f>
        <v>0</v>
      </c>
      <c r="J588" s="27" t="n">
        <f aca="false">H588*I588</f>
        <v>0</v>
      </c>
      <c r="K588" s="6" t="str">
        <f aca="false">IFERROR(IF(INDEX(Resources!$D$2:$D$64,MATCH($D588,Resources!$A$2:$A$64,0))="","",INDEX(Resources!$D$2:$D$64,MATCH($D588,Resources!$A$2:$A$64,0))),"")</f>
        <v>Food</v>
      </c>
      <c r="L588" s="28" t="n">
        <f aca="false">IF(K588="","",J588*INDEX(Resources!$E$2:$E$64,MATCH($D588,Resources!$A$2:$A$64,0)))</f>
        <v>0</v>
      </c>
      <c r="M588" s="6" t="str">
        <f aca="false">B588&amp;"|"&amp;D588&amp;"|"&amp;C588</f>
        <v>Potato Patch (400 sq ft)|Root crops|Input</v>
      </c>
    </row>
    <row r="589" customFormat="false" ht="15" hidden="false" customHeight="true" outlineLevel="0" collapsed="false">
      <c r="A589" s="6" t="s">
        <v>1569</v>
      </c>
      <c r="B589" s="6" t="s">
        <v>728</v>
      </c>
      <c r="C589" s="6" t="s">
        <v>938</v>
      </c>
      <c r="D589" s="6" t="s">
        <v>49</v>
      </c>
      <c r="E589" s="26" t="n">
        <v>80</v>
      </c>
      <c r="F589" s="6" t="str">
        <f aca="false">IFERROR(INDEX(Resources!$B$2:$B$64,MATCH($D589,Resources!$A$2:$A$64,0)),"?")</f>
        <v>gal</v>
      </c>
      <c r="G589" s="6" t="s">
        <v>939</v>
      </c>
      <c r="H589" s="27" t="n">
        <f aca="false">E589*INDEX(Assumptions!$D$17:$D$23,MATCH(G589,Assumptions!$B$17:$B$23,0))</f>
        <v>80</v>
      </c>
      <c r="I589" s="6" t="n">
        <f aca="false">IFERROR(INDEX(Systems!$R$2:$R$179,MATCH($B589,Systems!$B$2:$B$179,0)),0)</f>
        <v>0</v>
      </c>
      <c r="J589" s="27" t="n">
        <f aca="false">H589*I589</f>
        <v>0</v>
      </c>
      <c r="K589" s="6" t="str">
        <f aca="false">IFERROR(IF(INDEX(Resources!$D$2:$D$64,MATCH($D589,Resources!$A$2:$A$64,0))="","",INDEX(Resources!$D$2:$D$64,MATCH($D589,Resources!$A$2:$A$64,0))),"")</f>
        <v>Water</v>
      </c>
      <c r="L589" s="28" t="n">
        <f aca="false">IF(K589="","",J589*INDEX(Resources!$E$2:$E$64,MATCH($D589,Resources!$A$2:$A$64,0)))</f>
        <v>0</v>
      </c>
      <c r="M589" s="6" t="str">
        <f aca="false">B589&amp;"|"&amp;D589&amp;"|"&amp;C589</f>
        <v>Potato Patch (400 sq ft)|Water|Input</v>
      </c>
    </row>
    <row r="590" customFormat="false" ht="15" hidden="false" customHeight="true" outlineLevel="0" collapsed="false">
      <c r="A590" s="6" t="s">
        <v>1570</v>
      </c>
      <c r="B590" s="6" t="s">
        <v>728</v>
      </c>
      <c r="C590" s="6" t="s">
        <v>938</v>
      </c>
      <c r="D590" s="6" t="s">
        <v>322</v>
      </c>
      <c r="E590" s="26" t="n">
        <v>200</v>
      </c>
      <c r="F590" s="6" t="str">
        <f aca="false">IFERROR(INDEX(Resources!$B$2:$B$64,MATCH($D590,Resources!$A$2:$A$64,0)),"?")</f>
        <v>lbs</v>
      </c>
      <c r="G590" s="6" t="s">
        <v>1184</v>
      </c>
      <c r="H590" s="27" t="n">
        <f aca="false">E590*INDEX(Assumptions!$D$17:$D$23,MATCH(G590,Assumptions!$B$17:$B$23,0))</f>
        <v>3.84615384615385</v>
      </c>
      <c r="I590" s="6" t="n">
        <f aca="false">IFERROR(INDEX(Systems!$R$2:$R$179,MATCH($B590,Systems!$B$2:$B$179,0)),0)</f>
        <v>0</v>
      </c>
      <c r="J590" s="27" t="n">
        <f aca="false">H590*I590</f>
        <v>0</v>
      </c>
      <c r="K590" s="6" t="str">
        <f aca="false">IFERROR(IF(INDEX(Resources!$D$2:$D$64,MATCH($D590,Resources!$A$2:$A$64,0))="","",INDEX(Resources!$D$2:$D$64,MATCH($D590,Resources!$A$2:$A$64,0))),"")</f>
        <v/>
      </c>
      <c r="L590" s="28" t="str">
        <f aca="false">IF(K590="","",J590*INDEX(Resources!$E$2:$E$64,MATCH($D590,Resources!$A$2:$A$64,0)))</f>
        <v/>
      </c>
      <c r="M590" s="6" t="str">
        <f aca="false">B590&amp;"|"&amp;D590&amp;"|"&amp;C590</f>
        <v>Potato Patch (400 sq ft)|Compost|Input</v>
      </c>
    </row>
    <row r="591" customFormat="false" ht="15" hidden="false" customHeight="true" outlineLevel="0" collapsed="false">
      <c r="A591" s="6" t="s">
        <v>1571</v>
      </c>
      <c r="B591" s="6" t="s">
        <v>728</v>
      </c>
      <c r="C591" s="6" t="s">
        <v>938</v>
      </c>
      <c r="D591" s="6" t="s">
        <v>1021</v>
      </c>
      <c r="E591" s="26" t="n">
        <v>0.2</v>
      </c>
      <c r="F591" s="6" t="str">
        <f aca="false">IFERROR(INDEX(Resources!$B$2:$B$64,MATCH($D591,Resources!$A$2:$A$64,0)),"?")</f>
        <v>units</v>
      </c>
      <c r="G591" s="6" t="s">
        <v>945</v>
      </c>
      <c r="H591" s="27" t="n">
        <f aca="false">E591*INDEX(Assumptions!$D$17:$D$23,MATCH(G591,Assumptions!$B$17:$B$23,0))</f>
        <v>0.2</v>
      </c>
      <c r="I591" s="6" t="n">
        <f aca="false">IFERROR(INDEX(Systems!$R$2:$R$179,MATCH($B591,Systems!$B$2:$B$179,0)),0)</f>
        <v>0</v>
      </c>
      <c r="J591" s="27" t="n">
        <f aca="false">H591*I591</f>
        <v>0</v>
      </c>
      <c r="K591" s="6" t="str">
        <f aca="false">IFERROR(IF(INDEX(Resources!$D$2:$D$64,MATCH($D591,Resources!$A$2:$A$64,0))="","",INDEX(Resources!$D$2:$D$64,MATCH($D591,Resources!$A$2:$A$64,0))),"")</f>
        <v/>
      </c>
      <c r="L591" s="28" t="str">
        <f aca="false">IF(K591="","",J591*INDEX(Resources!$E$2:$E$64,MATCH($D591,Resources!$A$2:$A$64,0)))</f>
        <v/>
      </c>
      <c r="M591" s="6" t="str">
        <f aca="false">B591&amp;"|"&amp;D591&amp;"|"&amp;C591</f>
        <v>Potato Patch (400 sq ft)|Pest control|Input</v>
      </c>
    </row>
    <row r="592" customFormat="false" ht="15" hidden="false" customHeight="true" outlineLevel="0" collapsed="false">
      <c r="A592" s="6" t="s">
        <v>1572</v>
      </c>
      <c r="B592" s="6" t="s">
        <v>728</v>
      </c>
      <c r="C592" s="6" t="s">
        <v>943</v>
      </c>
      <c r="D592" s="6" t="s">
        <v>1568</v>
      </c>
      <c r="E592" s="26" t="n">
        <v>200</v>
      </c>
      <c r="F592" s="6" t="str">
        <f aca="false">IFERROR(INDEX(Resources!$B$2:$B$64,MATCH($D592,Resources!$A$2:$A$64,0)),"?")</f>
        <v>lbs</v>
      </c>
      <c r="G592" s="6" t="s">
        <v>1184</v>
      </c>
      <c r="H592" s="27" t="n">
        <f aca="false">E592*INDEX(Assumptions!$D$17:$D$23,MATCH(G592,Assumptions!$B$17:$B$23,0))</f>
        <v>3.84615384615385</v>
      </c>
      <c r="I592" s="6" t="n">
        <f aca="false">IFERROR(INDEX(Systems!$R$2:$R$179,MATCH($B592,Systems!$B$2:$B$179,0)),0)</f>
        <v>0</v>
      </c>
      <c r="J592" s="27" t="n">
        <f aca="false">H592*I592</f>
        <v>0</v>
      </c>
      <c r="K592" s="6" t="str">
        <f aca="false">IFERROR(IF(INDEX(Resources!$D$2:$D$64,MATCH($D592,Resources!$A$2:$A$64,0))="","",INDEX(Resources!$D$2:$D$64,MATCH($D592,Resources!$A$2:$A$64,0))),"")</f>
        <v>Food</v>
      </c>
      <c r="L592" s="28" t="n">
        <f aca="false">IF(K592="","",J592*INDEX(Resources!$E$2:$E$64,MATCH($D592,Resources!$A$2:$A$64,0)))</f>
        <v>0</v>
      </c>
      <c r="M592" s="6" t="str">
        <f aca="false">B592&amp;"|"&amp;D592&amp;"|"&amp;C592</f>
        <v>Potato Patch (400 sq ft)|Root crops|Output</v>
      </c>
    </row>
    <row r="593" customFormat="false" ht="15" hidden="false" customHeight="true" outlineLevel="0" collapsed="false">
      <c r="A593" s="6" t="s">
        <v>1573</v>
      </c>
      <c r="B593" s="6" t="s">
        <v>733</v>
      </c>
      <c r="C593" s="6" t="s">
        <v>938</v>
      </c>
      <c r="D593" s="6" t="s">
        <v>71</v>
      </c>
      <c r="E593" s="26" t="n">
        <v>1</v>
      </c>
      <c r="F593" s="6" t="str">
        <f aca="false">IFERROR(INDEX(Resources!$B$2:$B$64,MATCH($D593,Resources!$A$2:$A$64,0)),"?")</f>
        <v>hours</v>
      </c>
      <c r="G593" s="6" t="s">
        <v>939</v>
      </c>
      <c r="H593" s="27" t="n">
        <f aca="false">E593*INDEX(Assumptions!$D$17:$D$23,MATCH(G593,Assumptions!$B$17:$B$23,0))</f>
        <v>1</v>
      </c>
      <c r="I593" s="6" t="n">
        <f aca="false">IFERROR(INDEX(Systems!$R$2:$R$179,MATCH($B593,Systems!$B$2:$B$179,0)),0)</f>
        <v>0</v>
      </c>
      <c r="J593" s="27" t="n">
        <f aca="false">H593*I593</f>
        <v>0</v>
      </c>
      <c r="K593" s="6" t="str">
        <f aca="false">IFERROR(IF(INDEX(Resources!$D$2:$D$64,MATCH($D593,Resources!$A$2:$A$64,0))="","",INDEX(Resources!$D$2:$D$64,MATCH($D593,Resources!$A$2:$A$64,0))),"")</f>
        <v>Est. Required Labor</v>
      </c>
      <c r="L593" s="28" t="n">
        <f aca="false">IF(K593="","",J593*INDEX(Resources!$E$2:$E$64,MATCH($D593,Resources!$A$2:$A$64,0)))</f>
        <v>0</v>
      </c>
      <c r="M593" s="6" t="str">
        <f aca="false">B593&amp;"|"&amp;D593&amp;"|"&amp;C593</f>
        <v>Seed Starting Station|Labor|Input</v>
      </c>
      <c r="N593" s="6" t="s">
        <v>940</v>
      </c>
    </row>
    <row r="594" customFormat="false" ht="15" hidden="false" customHeight="true" outlineLevel="0" collapsed="false">
      <c r="A594" s="6" t="s">
        <v>1574</v>
      </c>
      <c r="B594" s="6" t="s">
        <v>733</v>
      </c>
      <c r="C594" s="6" t="s">
        <v>938</v>
      </c>
      <c r="D594" s="6" t="s">
        <v>1183</v>
      </c>
      <c r="E594" s="26" t="n">
        <v>2</v>
      </c>
      <c r="F594" s="6" t="str">
        <f aca="false">IFERROR(INDEX(Resources!$B$2:$B$64,MATCH($D594,Resources!$A$2:$A$64,0)),"?")</f>
        <v>oz</v>
      </c>
      <c r="G594" s="6" t="s">
        <v>1184</v>
      </c>
      <c r="H594" s="27" t="n">
        <f aca="false">E594*INDEX(Assumptions!$D$17:$D$23,MATCH(G594,Assumptions!$B$17:$B$23,0))</f>
        <v>0.0384615384615385</v>
      </c>
      <c r="I594" s="6" t="n">
        <f aca="false">IFERROR(INDEX(Systems!$R$2:$R$179,MATCH($B594,Systems!$B$2:$B$179,0)),0)</f>
        <v>0</v>
      </c>
      <c r="J594" s="27" t="n">
        <f aca="false">H594*I594</f>
        <v>0</v>
      </c>
      <c r="K594" s="6" t="str">
        <f aca="false">IFERROR(IF(INDEX(Resources!$D$2:$D$64,MATCH($D594,Resources!$A$2:$A$64,0))="","",INDEX(Resources!$D$2:$D$64,MATCH($D594,Resources!$A$2:$A$64,0))),"")</f>
        <v/>
      </c>
      <c r="L594" s="28" t="str">
        <f aca="false">IF(K594="","",J594*INDEX(Resources!$E$2:$E$64,MATCH($D594,Resources!$A$2:$A$64,0)))</f>
        <v/>
      </c>
      <c r="M594" s="6" t="str">
        <f aca="false">B594&amp;"|"&amp;D594&amp;"|"&amp;C594</f>
        <v>Seed Starting Station|Seeds|Input</v>
      </c>
    </row>
    <row r="595" customFormat="false" ht="15" hidden="false" customHeight="true" outlineLevel="0" collapsed="false">
      <c r="A595" s="6" t="s">
        <v>1575</v>
      </c>
      <c r="B595" s="6" t="s">
        <v>733</v>
      </c>
      <c r="C595" s="6" t="s">
        <v>938</v>
      </c>
      <c r="D595" s="6" t="s">
        <v>59</v>
      </c>
      <c r="E595" s="26" t="n">
        <v>3</v>
      </c>
      <c r="F595" s="6" t="str">
        <f aca="false">IFERROR(INDEX(Resources!$B$2:$B$64,MATCH($D595,Resources!$A$2:$A$64,0)),"?")</f>
        <v>kWh</v>
      </c>
      <c r="G595" s="6" t="s">
        <v>939</v>
      </c>
      <c r="H595" s="27" t="n">
        <f aca="false">E595*INDEX(Assumptions!$D$17:$D$23,MATCH(G595,Assumptions!$B$17:$B$23,0))</f>
        <v>3</v>
      </c>
      <c r="I595" s="6" t="n">
        <f aca="false">IFERROR(INDEX(Systems!$R$2:$R$179,MATCH($B595,Systems!$B$2:$B$179,0)),0)</f>
        <v>0</v>
      </c>
      <c r="J595" s="27" t="n">
        <f aca="false">H595*I595</f>
        <v>0</v>
      </c>
      <c r="K595" s="6" t="str">
        <f aca="false">IFERROR(IF(INDEX(Resources!$D$2:$D$64,MATCH($D595,Resources!$A$2:$A$64,0))="","",INDEX(Resources!$D$2:$D$64,MATCH($D595,Resources!$A$2:$A$64,0))),"")</f>
        <v>Electricity</v>
      </c>
      <c r="L595" s="28" t="n">
        <f aca="false">IF(K595="","",J595*INDEX(Resources!$E$2:$E$64,MATCH($D595,Resources!$A$2:$A$64,0)))</f>
        <v>0</v>
      </c>
      <c r="M595" s="6" t="str">
        <f aca="false">B595&amp;"|"&amp;D595&amp;"|"&amp;C595</f>
        <v>Seed Starting Station|Electricity|Input</v>
      </c>
    </row>
    <row r="596" customFormat="false" ht="15" hidden="false" customHeight="true" outlineLevel="0" collapsed="false">
      <c r="A596" s="6" t="s">
        <v>1576</v>
      </c>
      <c r="B596" s="6" t="s">
        <v>733</v>
      </c>
      <c r="C596" s="6" t="s">
        <v>938</v>
      </c>
      <c r="D596" s="6" t="s">
        <v>900</v>
      </c>
      <c r="E596" s="26" t="n">
        <v>2</v>
      </c>
      <c r="F596" s="6" t="str">
        <f aca="false">IFERROR(INDEX(Resources!$B$2:$B$64,MATCH($D596,Resources!$A$2:$A$64,0)),"?")</f>
        <v>cu ft</v>
      </c>
      <c r="G596" s="6" t="s">
        <v>1184</v>
      </c>
      <c r="H596" s="27" t="n">
        <f aca="false">E596*INDEX(Assumptions!$D$17:$D$23,MATCH(G596,Assumptions!$B$17:$B$23,0))</f>
        <v>0.0384615384615385</v>
      </c>
      <c r="I596" s="6" t="n">
        <f aca="false">IFERROR(INDEX(Systems!$R$2:$R$179,MATCH($B596,Systems!$B$2:$B$179,0)),0)</f>
        <v>0</v>
      </c>
      <c r="J596" s="27" t="n">
        <f aca="false">H596*I596</f>
        <v>0</v>
      </c>
      <c r="K596" s="6" t="str">
        <f aca="false">IFERROR(IF(INDEX(Resources!$D$2:$D$64,MATCH($D596,Resources!$A$2:$A$64,0))="","",INDEX(Resources!$D$2:$D$64,MATCH($D596,Resources!$A$2:$A$64,0))),"")</f>
        <v/>
      </c>
      <c r="L596" s="28" t="str">
        <f aca="false">IF(K596="","",J596*INDEX(Resources!$E$2:$E$64,MATCH($D596,Resources!$A$2:$A$64,0)))</f>
        <v/>
      </c>
      <c r="M596" s="6" t="str">
        <f aca="false">B596&amp;"|"&amp;D596&amp;"|"&amp;C596</f>
        <v>Seed Starting Station|Soil|Input</v>
      </c>
    </row>
    <row r="597" customFormat="false" ht="15" hidden="false" customHeight="true" outlineLevel="0" collapsed="false">
      <c r="A597" s="6" t="s">
        <v>1577</v>
      </c>
      <c r="B597" s="6" t="s">
        <v>733</v>
      </c>
      <c r="C597" s="6" t="s">
        <v>938</v>
      </c>
      <c r="D597" s="6" t="s">
        <v>49</v>
      </c>
      <c r="E597" s="26" t="n">
        <v>2</v>
      </c>
      <c r="F597" s="6" t="str">
        <f aca="false">IFERROR(INDEX(Resources!$B$2:$B$64,MATCH($D597,Resources!$A$2:$A$64,0)),"?")</f>
        <v>gal</v>
      </c>
      <c r="G597" s="6" t="s">
        <v>939</v>
      </c>
      <c r="H597" s="27" t="n">
        <f aca="false">E597*INDEX(Assumptions!$D$17:$D$23,MATCH(G597,Assumptions!$B$17:$B$23,0))</f>
        <v>2</v>
      </c>
      <c r="I597" s="6" t="n">
        <f aca="false">IFERROR(INDEX(Systems!$R$2:$R$179,MATCH($B597,Systems!$B$2:$B$179,0)),0)</f>
        <v>0</v>
      </c>
      <c r="J597" s="27" t="n">
        <f aca="false">H597*I597</f>
        <v>0</v>
      </c>
      <c r="K597" s="6" t="str">
        <f aca="false">IFERROR(IF(INDEX(Resources!$D$2:$D$64,MATCH($D597,Resources!$A$2:$A$64,0))="","",INDEX(Resources!$D$2:$D$64,MATCH($D597,Resources!$A$2:$A$64,0))),"")</f>
        <v>Water</v>
      </c>
      <c r="L597" s="28" t="n">
        <f aca="false">IF(K597="","",J597*INDEX(Resources!$E$2:$E$64,MATCH($D597,Resources!$A$2:$A$64,0)))</f>
        <v>0</v>
      </c>
      <c r="M597" s="6" t="str">
        <f aca="false">B597&amp;"|"&amp;D597&amp;"|"&amp;C597</f>
        <v>Seed Starting Station|Water|Input</v>
      </c>
    </row>
    <row r="598" customFormat="false" ht="15" hidden="false" customHeight="true" outlineLevel="0" collapsed="false">
      <c r="A598" s="6" t="s">
        <v>1578</v>
      </c>
      <c r="B598" s="6" t="s">
        <v>733</v>
      </c>
      <c r="C598" s="6" t="s">
        <v>943</v>
      </c>
      <c r="D598" s="6" t="s">
        <v>1114</v>
      </c>
      <c r="E598" s="26" t="n">
        <v>150</v>
      </c>
      <c r="F598" s="6" t="str">
        <f aca="false">IFERROR(INDEX(Resources!$B$2:$B$64,MATCH($D598,Resources!$A$2:$A$64,0)),"?")</f>
        <v>plants</v>
      </c>
      <c r="G598" s="6" t="s">
        <v>1184</v>
      </c>
      <c r="H598" s="27" t="n">
        <f aca="false">E598*INDEX(Assumptions!$D$17:$D$23,MATCH(G598,Assumptions!$B$17:$B$23,0))</f>
        <v>2.88461538461538</v>
      </c>
      <c r="I598" s="6" t="n">
        <f aca="false">IFERROR(INDEX(Systems!$R$2:$R$179,MATCH($B598,Systems!$B$2:$B$179,0)),0)</f>
        <v>0</v>
      </c>
      <c r="J598" s="27" t="n">
        <f aca="false">H598*I598</f>
        <v>0</v>
      </c>
      <c r="K598" s="6" t="str">
        <f aca="false">IFERROR(IF(INDEX(Resources!$D$2:$D$64,MATCH($D598,Resources!$A$2:$A$64,0))="","",INDEX(Resources!$D$2:$D$64,MATCH($D598,Resources!$A$2:$A$64,0))),"")</f>
        <v/>
      </c>
      <c r="L598" s="28" t="str">
        <f aca="false">IF(K598="","",J598*INDEX(Resources!$E$2:$E$64,MATCH($D598,Resources!$A$2:$A$64,0)))</f>
        <v/>
      </c>
      <c r="M598" s="6" t="str">
        <f aca="false">B598&amp;"|"&amp;D598&amp;"|"&amp;C598</f>
        <v>Seed Starting Station|Seedlings|Output</v>
      </c>
    </row>
    <row r="599" customFormat="false" ht="15" hidden="false" customHeight="true" outlineLevel="0" collapsed="false">
      <c r="A599" s="6" t="s">
        <v>1579</v>
      </c>
      <c r="B599" s="6" t="s">
        <v>736</v>
      </c>
      <c r="C599" s="6" t="s">
        <v>938</v>
      </c>
      <c r="D599" s="6" t="s">
        <v>71</v>
      </c>
      <c r="E599" s="26" t="n">
        <v>0.5</v>
      </c>
      <c r="F599" s="6" t="str">
        <f aca="false">IFERROR(INDEX(Resources!$B$2:$B$64,MATCH($D599,Resources!$A$2:$A$64,0)),"?")</f>
        <v>hours</v>
      </c>
      <c r="G599" s="6" t="s">
        <v>939</v>
      </c>
      <c r="H599" s="27" t="n">
        <f aca="false">E599*INDEX(Assumptions!$D$17:$D$23,MATCH(G599,Assumptions!$B$17:$B$23,0))</f>
        <v>0.5</v>
      </c>
      <c r="I599" s="6" t="n">
        <f aca="false">IFERROR(INDEX(Systems!$R$2:$R$179,MATCH($B599,Systems!$B$2:$B$179,0)),0)</f>
        <v>0</v>
      </c>
      <c r="J599" s="27" t="n">
        <f aca="false">H599*I599</f>
        <v>0</v>
      </c>
      <c r="K599" s="6" t="str">
        <f aca="false">IFERROR(IF(INDEX(Resources!$D$2:$D$64,MATCH($D599,Resources!$A$2:$A$64,0))="","",INDEX(Resources!$D$2:$D$64,MATCH($D599,Resources!$A$2:$A$64,0))),"")</f>
        <v>Est. Required Labor</v>
      </c>
      <c r="L599" s="28" t="n">
        <f aca="false">IF(K599="","",J599*INDEX(Resources!$E$2:$E$64,MATCH($D599,Resources!$A$2:$A$64,0)))</f>
        <v>0</v>
      </c>
      <c r="M599" s="6" t="str">
        <f aca="false">B599&amp;"|"&amp;D599&amp;"|"&amp;C599</f>
        <v>Keyhole Garden|Labor|Input</v>
      </c>
      <c r="N599" s="6" t="s">
        <v>940</v>
      </c>
    </row>
    <row r="600" customFormat="false" ht="15" hidden="false" customHeight="true" outlineLevel="0" collapsed="false">
      <c r="A600" s="6" t="s">
        <v>1580</v>
      </c>
      <c r="B600" s="6" t="s">
        <v>736</v>
      </c>
      <c r="C600" s="6" t="s">
        <v>938</v>
      </c>
      <c r="D600" s="6" t="s">
        <v>49</v>
      </c>
      <c r="E600" s="26" t="n">
        <v>10</v>
      </c>
      <c r="F600" s="6" t="str">
        <f aca="false">IFERROR(INDEX(Resources!$B$2:$B$64,MATCH($D600,Resources!$A$2:$A$64,0)),"?")</f>
        <v>gal</v>
      </c>
      <c r="G600" s="6" t="s">
        <v>939</v>
      </c>
      <c r="H600" s="27" t="n">
        <f aca="false">E600*INDEX(Assumptions!$D$17:$D$23,MATCH(G600,Assumptions!$B$17:$B$23,0))</f>
        <v>10</v>
      </c>
      <c r="I600" s="6" t="n">
        <f aca="false">IFERROR(INDEX(Systems!$R$2:$R$179,MATCH($B600,Systems!$B$2:$B$179,0)),0)</f>
        <v>0</v>
      </c>
      <c r="J600" s="27" t="n">
        <f aca="false">H600*I600</f>
        <v>0</v>
      </c>
      <c r="K600" s="6" t="str">
        <f aca="false">IFERROR(IF(INDEX(Resources!$D$2:$D$64,MATCH($D600,Resources!$A$2:$A$64,0))="","",INDEX(Resources!$D$2:$D$64,MATCH($D600,Resources!$A$2:$A$64,0))),"")</f>
        <v>Water</v>
      </c>
      <c r="L600" s="28" t="n">
        <f aca="false">IF(K600="","",J600*INDEX(Resources!$E$2:$E$64,MATCH($D600,Resources!$A$2:$A$64,0)))</f>
        <v>0</v>
      </c>
      <c r="M600" s="6" t="str">
        <f aca="false">B600&amp;"|"&amp;D600&amp;"|"&amp;C600</f>
        <v>Keyhole Garden|Water|Input</v>
      </c>
    </row>
    <row r="601" customFormat="false" ht="15" hidden="false" customHeight="true" outlineLevel="0" collapsed="false">
      <c r="A601" s="6" t="s">
        <v>1581</v>
      </c>
      <c r="B601" s="6" t="s">
        <v>736</v>
      </c>
      <c r="C601" s="6" t="s">
        <v>938</v>
      </c>
      <c r="D601" s="6" t="s">
        <v>325</v>
      </c>
      <c r="E601" s="26" t="n">
        <v>5</v>
      </c>
      <c r="F601" s="6" t="str">
        <f aca="false">IFERROR(INDEX(Resources!$B$2:$B$64,MATCH($D601,Resources!$A$2:$A$64,0)),"?")</f>
        <v>lbs</v>
      </c>
      <c r="G601" s="6" t="s">
        <v>939</v>
      </c>
      <c r="H601" s="27" t="n">
        <f aca="false">E601*INDEX(Assumptions!$D$17:$D$23,MATCH(G601,Assumptions!$B$17:$B$23,0))</f>
        <v>5</v>
      </c>
      <c r="I601" s="6" t="n">
        <f aca="false">IFERROR(INDEX(Systems!$R$2:$R$179,MATCH($B601,Systems!$B$2:$B$179,0)),0)</f>
        <v>0</v>
      </c>
      <c r="J601" s="27" t="n">
        <f aca="false">H601*I601</f>
        <v>0</v>
      </c>
      <c r="K601" s="6" t="str">
        <f aca="false">IFERROR(IF(INDEX(Resources!$D$2:$D$64,MATCH($D601,Resources!$A$2:$A$64,0))="","",INDEX(Resources!$D$2:$D$64,MATCH($D601,Resources!$A$2:$A$64,0))),"")</f>
        <v/>
      </c>
      <c r="L601" s="28" t="str">
        <f aca="false">IF(K601="","",J601*INDEX(Resources!$E$2:$E$64,MATCH($D601,Resources!$A$2:$A$64,0)))</f>
        <v/>
      </c>
      <c r="M601" s="6" t="str">
        <f aca="false">B601&amp;"|"&amp;D601&amp;"|"&amp;C601</f>
        <v>Keyhole Garden|Food waste|Input</v>
      </c>
    </row>
    <row r="602" customFormat="false" ht="15" hidden="false" customHeight="true" outlineLevel="0" collapsed="false">
      <c r="A602" s="6" t="s">
        <v>1582</v>
      </c>
      <c r="B602" s="6" t="s">
        <v>736</v>
      </c>
      <c r="C602" s="6" t="s">
        <v>938</v>
      </c>
      <c r="D602" s="6" t="s">
        <v>900</v>
      </c>
      <c r="E602" s="26" t="n">
        <v>30</v>
      </c>
      <c r="F602" s="6" t="str">
        <f aca="false">IFERROR(INDEX(Resources!$B$2:$B$64,MATCH($D602,Resources!$A$2:$A$64,0)),"?")</f>
        <v>cu ft</v>
      </c>
      <c r="G602" s="6" t="s">
        <v>1115</v>
      </c>
      <c r="H602" s="27" t="n">
        <f aca="false">E602*INDEX(Assumptions!$D$17:$D$23,MATCH(G602,Assumptions!$B$17:$B$23,0))</f>
        <v>0</v>
      </c>
      <c r="I602" s="6" t="n">
        <f aca="false">IFERROR(INDEX(Systems!$R$2:$R$179,MATCH($B602,Systems!$B$2:$B$179,0)),0)</f>
        <v>0</v>
      </c>
      <c r="J602" s="27" t="n">
        <f aca="false">H602*I602</f>
        <v>0</v>
      </c>
      <c r="K602" s="6" t="str">
        <f aca="false">IFERROR(IF(INDEX(Resources!$D$2:$D$64,MATCH($D602,Resources!$A$2:$A$64,0))="","",INDEX(Resources!$D$2:$D$64,MATCH($D602,Resources!$A$2:$A$64,0))),"")</f>
        <v/>
      </c>
      <c r="L602" s="28" t="str">
        <f aca="false">IF(K602="","",J602*INDEX(Resources!$E$2:$E$64,MATCH($D602,Resources!$A$2:$A$64,0)))</f>
        <v/>
      </c>
      <c r="M602" s="6" t="str">
        <f aca="false">B602&amp;"|"&amp;D602&amp;"|"&amp;C602</f>
        <v>Keyhole Garden|Soil|Input</v>
      </c>
    </row>
    <row r="603" customFormat="false" ht="15" hidden="false" customHeight="true" outlineLevel="0" collapsed="false">
      <c r="A603" s="6" t="s">
        <v>1583</v>
      </c>
      <c r="B603" s="6" t="s">
        <v>736</v>
      </c>
      <c r="C603" s="6" t="s">
        <v>938</v>
      </c>
      <c r="D603" s="6" t="s">
        <v>1183</v>
      </c>
      <c r="E603" s="26" t="n">
        <v>0.1</v>
      </c>
      <c r="F603" s="6" t="str">
        <f aca="false">IFERROR(INDEX(Resources!$B$2:$B$64,MATCH($D603,Resources!$A$2:$A$64,0)),"?")</f>
        <v>oz</v>
      </c>
      <c r="G603" s="6" t="s">
        <v>1184</v>
      </c>
      <c r="H603" s="27" t="n">
        <f aca="false">E603*INDEX(Assumptions!$D$17:$D$23,MATCH(G603,Assumptions!$B$17:$B$23,0))</f>
        <v>0.00192307692307692</v>
      </c>
      <c r="I603" s="6" t="n">
        <f aca="false">IFERROR(INDEX(Systems!$R$2:$R$179,MATCH($B603,Systems!$B$2:$B$179,0)),0)</f>
        <v>0</v>
      </c>
      <c r="J603" s="27" t="n">
        <f aca="false">H603*I603</f>
        <v>0</v>
      </c>
      <c r="K603" s="6" t="str">
        <f aca="false">IFERROR(IF(INDEX(Resources!$D$2:$D$64,MATCH($D603,Resources!$A$2:$A$64,0))="","",INDEX(Resources!$D$2:$D$64,MATCH($D603,Resources!$A$2:$A$64,0))),"")</f>
        <v/>
      </c>
      <c r="L603" s="28" t="str">
        <f aca="false">IF(K603="","",J603*INDEX(Resources!$E$2:$E$64,MATCH($D603,Resources!$A$2:$A$64,0)))</f>
        <v/>
      </c>
      <c r="M603" s="6" t="str">
        <f aca="false">B603&amp;"|"&amp;D603&amp;"|"&amp;C603</f>
        <v>Keyhole Garden|Seeds|Input</v>
      </c>
    </row>
    <row r="604" customFormat="false" ht="15" hidden="false" customHeight="true" outlineLevel="0" collapsed="false">
      <c r="A604" s="6" t="s">
        <v>1584</v>
      </c>
      <c r="B604" s="6" t="s">
        <v>736</v>
      </c>
      <c r="C604" s="6" t="s">
        <v>943</v>
      </c>
      <c r="D604" s="6" t="s">
        <v>561</v>
      </c>
      <c r="E604" s="26" t="n">
        <v>25</v>
      </c>
      <c r="F604" s="6" t="str">
        <f aca="false">IFERROR(INDEX(Resources!$B$2:$B$64,MATCH($D604,Resources!$A$2:$A$64,0)),"?")</f>
        <v>lbs</v>
      </c>
      <c r="G604" s="6" t="s">
        <v>1184</v>
      </c>
      <c r="H604" s="27" t="n">
        <f aca="false">E604*INDEX(Assumptions!$D$17:$D$23,MATCH(G604,Assumptions!$B$17:$B$23,0))</f>
        <v>0.480769230769231</v>
      </c>
      <c r="I604" s="6" t="n">
        <f aca="false">IFERROR(INDEX(Systems!$R$2:$R$179,MATCH($B604,Systems!$B$2:$B$179,0)),0)</f>
        <v>0</v>
      </c>
      <c r="J604" s="27" t="n">
        <f aca="false">H604*I604</f>
        <v>0</v>
      </c>
      <c r="K604" s="6" t="str">
        <f aca="false">IFERROR(IF(INDEX(Resources!$D$2:$D$64,MATCH($D604,Resources!$A$2:$A$64,0))="","",INDEX(Resources!$D$2:$D$64,MATCH($D604,Resources!$A$2:$A$64,0))),"")</f>
        <v>Food</v>
      </c>
      <c r="L604" s="28" t="n">
        <f aca="false">IF(K604="","",J604*INDEX(Resources!$E$2:$E$64,MATCH($D604,Resources!$A$2:$A$64,0)))</f>
        <v>0</v>
      </c>
      <c r="M604" s="6" t="str">
        <f aca="false">B604&amp;"|"&amp;D604&amp;"|"&amp;C604</f>
        <v>Keyhole Garden|Vegetables fruit fiber herbs|Output</v>
      </c>
    </row>
    <row r="605" customFormat="false" ht="15" hidden="false" customHeight="true" outlineLevel="0" collapsed="false">
      <c r="A605" s="6" t="s">
        <v>1585</v>
      </c>
      <c r="B605" s="6" t="s">
        <v>739</v>
      </c>
      <c r="C605" s="6" t="s">
        <v>938</v>
      </c>
      <c r="D605" s="6" t="s">
        <v>71</v>
      </c>
      <c r="E605" s="26" t="n">
        <v>0.25</v>
      </c>
      <c r="F605" s="6" t="str">
        <f aca="false">IFERROR(INDEX(Resources!$B$2:$B$64,MATCH($D605,Resources!$A$2:$A$64,0)),"?")</f>
        <v>hours</v>
      </c>
      <c r="G605" s="6" t="s">
        <v>939</v>
      </c>
      <c r="H605" s="27" t="n">
        <f aca="false">E605*INDEX(Assumptions!$D$17:$D$23,MATCH(G605,Assumptions!$B$17:$B$23,0))</f>
        <v>0.25</v>
      </c>
      <c r="I605" s="6" t="n">
        <f aca="false">IFERROR(INDEX(Systems!$R$2:$R$179,MATCH($B605,Systems!$B$2:$B$179,0)),0)</f>
        <v>0</v>
      </c>
      <c r="J605" s="27" t="n">
        <f aca="false">H605*I605</f>
        <v>0</v>
      </c>
      <c r="K605" s="6" t="str">
        <f aca="false">IFERROR(IF(INDEX(Resources!$D$2:$D$64,MATCH($D605,Resources!$A$2:$A$64,0))="","",INDEX(Resources!$D$2:$D$64,MATCH($D605,Resources!$A$2:$A$64,0))),"")</f>
        <v>Est. Required Labor</v>
      </c>
      <c r="L605" s="28" t="n">
        <f aca="false">IF(K605="","",J605*INDEX(Resources!$E$2:$E$64,MATCH($D605,Resources!$A$2:$A$64,0)))</f>
        <v>0</v>
      </c>
      <c r="M605" s="6" t="str">
        <f aca="false">B605&amp;"|"&amp;D605&amp;"|"&amp;C605</f>
        <v>Cold Frame|Labor|Input</v>
      </c>
      <c r="N605" s="6" t="s">
        <v>940</v>
      </c>
    </row>
    <row r="606" customFormat="false" ht="15" hidden="false" customHeight="true" outlineLevel="0" collapsed="false">
      <c r="A606" s="6" t="s">
        <v>1586</v>
      </c>
      <c r="B606" s="6" t="s">
        <v>739</v>
      </c>
      <c r="C606" s="6" t="s">
        <v>938</v>
      </c>
      <c r="D606" s="6" t="s">
        <v>1183</v>
      </c>
      <c r="E606" s="26" t="n">
        <v>0.05</v>
      </c>
      <c r="F606" s="6" t="str">
        <f aca="false">IFERROR(INDEX(Resources!$B$2:$B$64,MATCH($D606,Resources!$A$2:$A$64,0)),"?")</f>
        <v>oz</v>
      </c>
      <c r="G606" s="6" t="s">
        <v>1184</v>
      </c>
      <c r="H606" s="27" t="n">
        <f aca="false">E606*INDEX(Assumptions!$D$17:$D$23,MATCH(G606,Assumptions!$B$17:$B$23,0))</f>
        <v>0.000961538461538462</v>
      </c>
      <c r="I606" s="6" t="n">
        <f aca="false">IFERROR(INDEX(Systems!$R$2:$R$179,MATCH($B606,Systems!$B$2:$B$179,0)),0)</f>
        <v>0</v>
      </c>
      <c r="J606" s="27" t="n">
        <f aca="false">H606*I606</f>
        <v>0</v>
      </c>
      <c r="K606" s="6" t="str">
        <f aca="false">IFERROR(IF(INDEX(Resources!$D$2:$D$64,MATCH($D606,Resources!$A$2:$A$64,0))="","",INDEX(Resources!$D$2:$D$64,MATCH($D606,Resources!$A$2:$A$64,0))),"")</f>
        <v/>
      </c>
      <c r="L606" s="28" t="str">
        <f aca="false">IF(K606="","",J606*INDEX(Resources!$E$2:$E$64,MATCH($D606,Resources!$A$2:$A$64,0)))</f>
        <v/>
      </c>
      <c r="M606" s="6" t="str">
        <f aca="false">B606&amp;"|"&amp;D606&amp;"|"&amp;C606</f>
        <v>Cold Frame|Seeds|Input</v>
      </c>
    </row>
    <row r="607" customFormat="false" ht="15" hidden="false" customHeight="true" outlineLevel="0" collapsed="false">
      <c r="A607" s="6" t="s">
        <v>1587</v>
      </c>
      <c r="B607" s="6" t="s">
        <v>739</v>
      </c>
      <c r="C607" s="6" t="s">
        <v>938</v>
      </c>
      <c r="D607" s="6" t="s">
        <v>49</v>
      </c>
      <c r="E607" s="26" t="n">
        <v>3</v>
      </c>
      <c r="F607" s="6" t="str">
        <f aca="false">IFERROR(INDEX(Resources!$B$2:$B$64,MATCH($D607,Resources!$A$2:$A$64,0)),"?")</f>
        <v>gal</v>
      </c>
      <c r="G607" s="6" t="s">
        <v>939</v>
      </c>
      <c r="H607" s="27" t="n">
        <f aca="false">E607*INDEX(Assumptions!$D$17:$D$23,MATCH(G607,Assumptions!$B$17:$B$23,0))</f>
        <v>3</v>
      </c>
      <c r="I607" s="6" t="n">
        <f aca="false">IFERROR(INDEX(Systems!$R$2:$R$179,MATCH($B607,Systems!$B$2:$B$179,0)),0)</f>
        <v>0</v>
      </c>
      <c r="J607" s="27" t="n">
        <f aca="false">H607*I607</f>
        <v>0</v>
      </c>
      <c r="K607" s="6" t="str">
        <f aca="false">IFERROR(IF(INDEX(Resources!$D$2:$D$64,MATCH($D607,Resources!$A$2:$A$64,0))="","",INDEX(Resources!$D$2:$D$64,MATCH($D607,Resources!$A$2:$A$64,0))),"")</f>
        <v>Water</v>
      </c>
      <c r="L607" s="28" t="n">
        <f aca="false">IF(K607="","",J607*INDEX(Resources!$E$2:$E$64,MATCH($D607,Resources!$A$2:$A$64,0)))</f>
        <v>0</v>
      </c>
      <c r="M607" s="6" t="str">
        <f aca="false">B607&amp;"|"&amp;D607&amp;"|"&amp;C607</f>
        <v>Cold Frame|Water|Input</v>
      </c>
    </row>
    <row r="608" customFormat="false" ht="15" hidden="false" customHeight="true" outlineLevel="0" collapsed="false">
      <c r="A608" s="6" t="s">
        <v>1588</v>
      </c>
      <c r="B608" s="6" t="s">
        <v>739</v>
      </c>
      <c r="C608" s="6" t="s">
        <v>943</v>
      </c>
      <c r="D608" s="6" t="s">
        <v>561</v>
      </c>
      <c r="E608" s="26" t="n">
        <v>8</v>
      </c>
      <c r="F608" s="6" t="str">
        <f aca="false">IFERROR(INDEX(Resources!$B$2:$B$64,MATCH($D608,Resources!$A$2:$A$64,0)),"?")</f>
        <v>lbs</v>
      </c>
      <c r="G608" s="6" t="s">
        <v>1184</v>
      </c>
      <c r="H608" s="27" t="n">
        <f aca="false">E608*INDEX(Assumptions!$D$17:$D$23,MATCH(G608,Assumptions!$B$17:$B$23,0))</f>
        <v>0.153846153846154</v>
      </c>
      <c r="I608" s="6" t="n">
        <f aca="false">IFERROR(INDEX(Systems!$R$2:$R$179,MATCH($B608,Systems!$B$2:$B$179,0)),0)</f>
        <v>0</v>
      </c>
      <c r="J608" s="27" t="n">
        <f aca="false">H608*I608</f>
        <v>0</v>
      </c>
      <c r="K608" s="6" t="str">
        <f aca="false">IFERROR(IF(INDEX(Resources!$D$2:$D$64,MATCH($D608,Resources!$A$2:$A$64,0))="","",INDEX(Resources!$D$2:$D$64,MATCH($D608,Resources!$A$2:$A$64,0))),"")</f>
        <v>Food</v>
      </c>
      <c r="L608" s="28" t="n">
        <f aca="false">IF(K608="","",J608*INDEX(Resources!$E$2:$E$64,MATCH($D608,Resources!$A$2:$A$64,0)))</f>
        <v>0</v>
      </c>
      <c r="M608" s="6" t="str">
        <f aca="false">B608&amp;"|"&amp;D608&amp;"|"&amp;C608</f>
        <v>Cold Frame|Vegetables fruit fiber herbs|Output</v>
      </c>
    </row>
    <row r="609" customFormat="false" ht="15" hidden="false" customHeight="true" outlineLevel="0" collapsed="false">
      <c r="A609" s="6" t="s">
        <v>1589</v>
      </c>
      <c r="B609" s="6" t="s">
        <v>742</v>
      </c>
      <c r="C609" s="6" t="s">
        <v>938</v>
      </c>
      <c r="D609" s="6" t="s">
        <v>71</v>
      </c>
      <c r="E609" s="26" t="n">
        <v>0.25</v>
      </c>
      <c r="F609" s="6" t="str">
        <f aca="false">IFERROR(INDEX(Resources!$B$2:$B$64,MATCH($D609,Resources!$A$2:$A$64,0)),"?")</f>
        <v>hours</v>
      </c>
      <c r="G609" s="6" t="s">
        <v>939</v>
      </c>
      <c r="H609" s="27" t="n">
        <f aca="false">E609*INDEX(Assumptions!$D$17:$D$23,MATCH(G609,Assumptions!$B$17:$B$23,0))</f>
        <v>0.25</v>
      </c>
      <c r="I609" s="6" t="n">
        <f aca="false">IFERROR(INDEX(Systems!$R$2:$R$179,MATCH($B609,Systems!$B$2:$B$179,0)),0)</f>
        <v>0</v>
      </c>
      <c r="J609" s="27" t="n">
        <f aca="false">H609*I609</f>
        <v>0</v>
      </c>
      <c r="K609" s="6" t="str">
        <f aca="false">IFERROR(IF(INDEX(Resources!$D$2:$D$64,MATCH($D609,Resources!$A$2:$A$64,0))="","",INDEX(Resources!$D$2:$D$64,MATCH($D609,Resources!$A$2:$A$64,0))),"")</f>
        <v>Est. Required Labor</v>
      </c>
      <c r="L609" s="28" t="n">
        <f aca="false">IF(K609="","",J609*INDEX(Resources!$E$2:$E$64,MATCH($D609,Resources!$A$2:$A$64,0)))</f>
        <v>0</v>
      </c>
      <c r="M609" s="6" t="str">
        <f aca="false">B609&amp;"|"&amp;D609&amp;"|"&amp;C609</f>
        <v>Hugelkultur Bed|Labor|Input</v>
      </c>
      <c r="N609" s="6" t="s">
        <v>940</v>
      </c>
    </row>
    <row r="610" customFormat="false" ht="15" hidden="false" customHeight="true" outlineLevel="0" collapsed="false">
      <c r="A610" s="6" t="s">
        <v>1590</v>
      </c>
      <c r="B610" s="6" t="s">
        <v>742</v>
      </c>
      <c r="C610" s="6" t="s">
        <v>938</v>
      </c>
      <c r="D610" s="6" t="s">
        <v>177</v>
      </c>
      <c r="E610" s="26" t="n">
        <v>1000</v>
      </c>
      <c r="F610" s="6" t="str">
        <f aca="false">IFERROR(INDEX(Resources!$B$2:$B$64,MATCH($D610,Resources!$A$2:$A$64,0)),"?")</f>
        <v>lbs</v>
      </c>
      <c r="G610" s="6" t="s">
        <v>1115</v>
      </c>
      <c r="H610" s="27" t="n">
        <f aca="false">E610*INDEX(Assumptions!$D$17:$D$23,MATCH(G610,Assumptions!$B$17:$B$23,0))</f>
        <v>0</v>
      </c>
      <c r="I610" s="6" t="n">
        <f aca="false">IFERROR(INDEX(Systems!$R$2:$R$179,MATCH($B610,Systems!$B$2:$B$179,0)),0)</f>
        <v>0</v>
      </c>
      <c r="J610" s="27" t="n">
        <f aca="false">H610*I610</f>
        <v>0</v>
      </c>
      <c r="K610" s="6" t="str">
        <f aca="false">IFERROR(IF(INDEX(Resources!$D$2:$D$64,MATCH($D610,Resources!$A$2:$A$64,0))="","",INDEX(Resources!$D$2:$D$64,MATCH($D610,Resources!$A$2:$A$64,0))),"")</f>
        <v/>
      </c>
      <c r="L610" s="28" t="str">
        <f aca="false">IF(K610="","",J610*INDEX(Resources!$E$2:$E$64,MATCH($D610,Resources!$A$2:$A$64,0)))</f>
        <v/>
      </c>
      <c r="M610" s="6" t="str">
        <f aca="false">B610&amp;"|"&amp;D610&amp;"|"&amp;C610</f>
        <v>Hugelkultur Bed|Woody biomass|Input</v>
      </c>
    </row>
    <row r="611" customFormat="false" ht="15" hidden="false" customHeight="true" outlineLevel="0" collapsed="false">
      <c r="A611" s="6" t="s">
        <v>1591</v>
      </c>
      <c r="B611" s="6" t="s">
        <v>742</v>
      </c>
      <c r="C611" s="6" t="s">
        <v>938</v>
      </c>
      <c r="D611" s="6" t="s">
        <v>216</v>
      </c>
      <c r="E611" s="26" t="n">
        <v>100</v>
      </c>
      <c r="F611" s="6" t="str">
        <f aca="false">IFERROR(INDEX(Resources!$B$2:$B$64,MATCH($D611,Resources!$A$2:$A$64,0)),"?")</f>
        <v>lbs</v>
      </c>
      <c r="G611" s="6" t="s">
        <v>1115</v>
      </c>
      <c r="H611" s="27" t="n">
        <f aca="false">E611*INDEX(Assumptions!$D$17:$D$23,MATCH(G611,Assumptions!$B$17:$B$23,0))</f>
        <v>0</v>
      </c>
      <c r="I611" s="6" t="n">
        <f aca="false">IFERROR(INDEX(Systems!$R$2:$R$179,MATCH($B611,Systems!$B$2:$B$179,0)),0)</f>
        <v>0</v>
      </c>
      <c r="J611" s="27" t="n">
        <f aca="false">H611*I611</f>
        <v>0</v>
      </c>
      <c r="K611" s="6" t="str">
        <f aca="false">IFERROR(IF(INDEX(Resources!$D$2:$D$64,MATCH($D611,Resources!$A$2:$A$64,0))="","",INDEX(Resources!$D$2:$D$64,MATCH($D611,Resources!$A$2:$A$64,0))),"")</f>
        <v/>
      </c>
      <c r="L611" s="28" t="str">
        <f aca="false">IF(K611="","",J611*INDEX(Resources!$E$2:$E$64,MATCH($D611,Resources!$A$2:$A$64,0)))</f>
        <v/>
      </c>
      <c r="M611" s="6" t="str">
        <f aca="false">B611&amp;"|"&amp;D611&amp;"|"&amp;C611</f>
        <v>Hugelkultur Bed|Green biomass|Input</v>
      </c>
    </row>
    <row r="612" customFormat="false" ht="15" hidden="false" customHeight="true" outlineLevel="0" collapsed="false">
      <c r="A612" s="6" t="s">
        <v>1592</v>
      </c>
      <c r="B612" s="6" t="s">
        <v>742</v>
      </c>
      <c r="C612" s="6" t="s">
        <v>938</v>
      </c>
      <c r="D612" s="6" t="s">
        <v>900</v>
      </c>
      <c r="E612" s="26" t="n">
        <v>50</v>
      </c>
      <c r="F612" s="6" t="str">
        <f aca="false">IFERROR(INDEX(Resources!$B$2:$B$64,MATCH($D612,Resources!$A$2:$A$64,0)),"?")</f>
        <v>cu ft</v>
      </c>
      <c r="G612" s="6" t="s">
        <v>1115</v>
      </c>
      <c r="H612" s="27" t="n">
        <f aca="false">E612*INDEX(Assumptions!$D$17:$D$23,MATCH(G612,Assumptions!$B$17:$B$23,0))</f>
        <v>0</v>
      </c>
      <c r="I612" s="6" t="n">
        <f aca="false">IFERROR(INDEX(Systems!$R$2:$R$179,MATCH($B612,Systems!$B$2:$B$179,0)),0)</f>
        <v>0</v>
      </c>
      <c r="J612" s="27" t="n">
        <f aca="false">H612*I612</f>
        <v>0</v>
      </c>
      <c r="K612" s="6" t="str">
        <f aca="false">IFERROR(IF(INDEX(Resources!$D$2:$D$64,MATCH($D612,Resources!$A$2:$A$64,0))="","",INDEX(Resources!$D$2:$D$64,MATCH($D612,Resources!$A$2:$A$64,0))),"")</f>
        <v/>
      </c>
      <c r="L612" s="28" t="str">
        <f aca="false">IF(K612="","",J612*INDEX(Resources!$E$2:$E$64,MATCH($D612,Resources!$A$2:$A$64,0)))</f>
        <v/>
      </c>
      <c r="M612" s="6" t="str">
        <f aca="false">B612&amp;"|"&amp;D612&amp;"|"&amp;C612</f>
        <v>Hugelkultur Bed|Soil|Input</v>
      </c>
    </row>
    <row r="613" customFormat="false" ht="15" hidden="false" customHeight="true" outlineLevel="0" collapsed="false">
      <c r="A613" s="6" t="s">
        <v>1593</v>
      </c>
      <c r="B613" s="6" t="s">
        <v>742</v>
      </c>
      <c r="C613" s="6" t="s">
        <v>938</v>
      </c>
      <c r="D613" s="6" t="s">
        <v>49</v>
      </c>
      <c r="E613" s="26" t="n">
        <v>5</v>
      </c>
      <c r="F613" s="6" t="str">
        <f aca="false">IFERROR(INDEX(Resources!$B$2:$B$64,MATCH($D613,Resources!$A$2:$A$64,0)),"?")</f>
        <v>gal</v>
      </c>
      <c r="G613" s="6" t="s">
        <v>939</v>
      </c>
      <c r="H613" s="27" t="n">
        <f aca="false">E613*INDEX(Assumptions!$D$17:$D$23,MATCH(G613,Assumptions!$B$17:$B$23,0))</f>
        <v>5</v>
      </c>
      <c r="I613" s="6" t="n">
        <f aca="false">IFERROR(INDEX(Systems!$R$2:$R$179,MATCH($B613,Systems!$B$2:$B$179,0)),0)</f>
        <v>0</v>
      </c>
      <c r="J613" s="27" t="n">
        <f aca="false">H613*I613</f>
        <v>0</v>
      </c>
      <c r="K613" s="6" t="str">
        <f aca="false">IFERROR(IF(INDEX(Resources!$D$2:$D$64,MATCH($D613,Resources!$A$2:$A$64,0))="","",INDEX(Resources!$D$2:$D$64,MATCH($D613,Resources!$A$2:$A$64,0))),"")</f>
        <v>Water</v>
      </c>
      <c r="L613" s="28" t="n">
        <f aca="false">IF(K613="","",J613*INDEX(Resources!$E$2:$E$64,MATCH($D613,Resources!$A$2:$A$64,0)))</f>
        <v>0</v>
      </c>
      <c r="M613" s="6" t="str">
        <f aca="false">B613&amp;"|"&amp;D613&amp;"|"&amp;C613</f>
        <v>Hugelkultur Bed|Water|Input</v>
      </c>
    </row>
    <row r="614" customFormat="false" ht="15" hidden="false" customHeight="true" outlineLevel="0" collapsed="false">
      <c r="A614" s="6" t="s">
        <v>1594</v>
      </c>
      <c r="B614" s="6" t="s">
        <v>742</v>
      </c>
      <c r="C614" s="6" t="s">
        <v>943</v>
      </c>
      <c r="D614" s="6" t="s">
        <v>561</v>
      </c>
      <c r="E614" s="26" t="n">
        <v>50</v>
      </c>
      <c r="F614" s="6" t="str">
        <f aca="false">IFERROR(INDEX(Resources!$B$2:$B$64,MATCH($D614,Resources!$A$2:$A$64,0)),"?")</f>
        <v>lbs</v>
      </c>
      <c r="G614" s="6" t="s">
        <v>1184</v>
      </c>
      <c r="H614" s="27" t="n">
        <f aca="false">E614*INDEX(Assumptions!$D$17:$D$23,MATCH(G614,Assumptions!$B$17:$B$23,0))</f>
        <v>0.961538461538462</v>
      </c>
      <c r="I614" s="6" t="n">
        <f aca="false">IFERROR(INDEX(Systems!$R$2:$R$179,MATCH($B614,Systems!$B$2:$B$179,0)),0)</f>
        <v>0</v>
      </c>
      <c r="J614" s="27" t="n">
        <f aca="false">H614*I614</f>
        <v>0</v>
      </c>
      <c r="K614" s="6" t="str">
        <f aca="false">IFERROR(IF(INDEX(Resources!$D$2:$D$64,MATCH($D614,Resources!$A$2:$A$64,0))="","",INDEX(Resources!$D$2:$D$64,MATCH($D614,Resources!$A$2:$A$64,0))),"")</f>
        <v>Food</v>
      </c>
      <c r="L614" s="28" t="n">
        <f aca="false">IF(K614="","",J614*INDEX(Resources!$E$2:$E$64,MATCH($D614,Resources!$A$2:$A$64,0)))</f>
        <v>0</v>
      </c>
      <c r="M614" s="6" t="str">
        <f aca="false">B614&amp;"|"&amp;D614&amp;"|"&amp;C614</f>
        <v>Hugelkultur Bed|Vegetables fruit fiber herbs|Output</v>
      </c>
    </row>
    <row r="615" customFormat="false" ht="15" hidden="false" customHeight="true" outlineLevel="0" collapsed="false">
      <c r="A615" s="6" t="s">
        <v>1595</v>
      </c>
      <c r="B615" s="6" t="s">
        <v>745</v>
      </c>
      <c r="C615" s="6" t="s">
        <v>938</v>
      </c>
      <c r="D615" s="6" t="s">
        <v>71</v>
      </c>
      <c r="E615" s="26" t="n">
        <v>0.25</v>
      </c>
      <c r="F615" s="6" t="str">
        <f aca="false">IFERROR(INDEX(Resources!$B$2:$B$64,MATCH($D615,Resources!$A$2:$A$64,0)),"?")</f>
        <v>hours</v>
      </c>
      <c r="G615" s="6" t="s">
        <v>939</v>
      </c>
      <c r="H615" s="27" t="n">
        <f aca="false">E615*INDEX(Assumptions!$D$17:$D$23,MATCH(G615,Assumptions!$B$17:$B$23,0))</f>
        <v>0.25</v>
      </c>
      <c r="I615" s="6" t="n">
        <f aca="false">IFERROR(INDEX(Systems!$R$2:$R$179,MATCH($B615,Systems!$B$2:$B$179,0)),0)</f>
        <v>0</v>
      </c>
      <c r="J615" s="27" t="n">
        <f aca="false">H615*I615</f>
        <v>0</v>
      </c>
      <c r="K615" s="6" t="str">
        <f aca="false">IFERROR(IF(INDEX(Resources!$D$2:$D$64,MATCH($D615,Resources!$A$2:$A$64,0))="","",INDEX(Resources!$D$2:$D$64,MATCH($D615,Resources!$A$2:$A$64,0))),"")</f>
        <v>Est. Required Labor</v>
      </c>
      <c r="L615" s="28" t="n">
        <f aca="false">IF(K615="","",J615*INDEX(Resources!$E$2:$E$64,MATCH($D615,Resources!$A$2:$A$64,0)))</f>
        <v>0</v>
      </c>
      <c r="M615" s="6" t="str">
        <f aca="false">B615&amp;"|"&amp;D615&amp;"|"&amp;C615</f>
        <v>Herb Spiral|Labor|Input</v>
      </c>
      <c r="N615" s="6" t="s">
        <v>940</v>
      </c>
    </row>
    <row r="616" customFormat="false" ht="15" hidden="false" customHeight="true" outlineLevel="0" collapsed="false">
      <c r="A616" s="6" t="s">
        <v>1596</v>
      </c>
      <c r="B616" s="6" t="s">
        <v>745</v>
      </c>
      <c r="C616" s="6" t="s">
        <v>938</v>
      </c>
      <c r="D616" s="6" t="s">
        <v>49</v>
      </c>
      <c r="E616" s="26" t="n">
        <v>5</v>
      </c>
      <c r="F616" s="6" t="str">
        <f aca="false">IFERROR(INDEX(Resources!$B$2:$B$64,MATCH($D616,Resources!$A$2:$A$64,0)),"?")</f>
        <v>gal</v>
      </c>
      <c r="G616" s="6" t="s">
        <v>939</v>
      </c>
      <c r="H616" s="27" t="n">
        <f aca="false">E616*INDEX(Assumptions!$D$17:$D$23,MATCH(G616,Assumptions!$B$17:$B$23,0))</f>
        <v>5</v>
      </c>
      <c r="I616" s="6" t="n">
        <f aca="false">IFERROR(INDEX(Systems!$R$2:$R$179,MATCH($B616,Systems!$B$2:$B$179,0)),0)</f>
        <v>0</v>
      </c>
      <c r="J616" s="27" t="n">
        <f aca="false">H616*I616</f>
        <v>0</v>
      </c>
      <c r="K616" s="6" t="str">
        <f aca="false">IFERROR(IF(INDEX(Resources!$D$2:$D$64,MATCH($D616,Resources!$A$2:$A$64,0))="","",INDEX(Resources!$D$2:$D$64,MATCH($D616,Resources!$A$2:$A$64,0))),"")</f>
        <v>Water</v>
      </c>
      <c r="L616" s="28" t="n">
        <f aca="false">IF(K616="","",J616*INDEX(Resources!$E$2:$E$64,MATCH($D616,Resources!$A$2:$A$64,0)))</f>
        <v>0</v>
      </c>
      <c r="M616" s="6" t="str">
        <f aca="false">B616&amp;"|"&amp;D616&amp;"|"&amp;C616</f>
        <v>Herb Spiral|Water|Input</v>
      </c>
    </row>
    <row r="617" customFormat="false" ht="15" hidden="false" customHeight="true" outlineLevel="0" collapsed="false">
      <c r="A617" s="6" t="s">
        <v>1597</v>
      </c>
      <c r="B617" s="6" t="s">
        <v>745</v>
      </c>
      <c r="C617" s="6" t="s">
        <v>938</v>
      </c>
      <c r="D617" s="6" t="s">
        <v>1114</v>
      </c>
      <c r="E617" s="26" t="n">
        <v>12</v>
      </c>
      <c r="F617" s="6" t="str">
        <f aca="false">IFERROR(INDEX(Resources!$B$2:$B$64,MATCH($D617,Resources!$A$2:$A$64,0)),"?")</f>
        <v>plants</v>
      </c>
      <c r="G617" s="6" t="s">
        <v>1115</v>
      </c>
      <c r="H617" s="27" t="n">
        <f aca="false">E617*INDEX(Assumptions!$D$17:$D$23,MATCH(G617,Assumptions!$B$17:$B$23,0))</f>
        <v>0</v>
      </c>
      <c r="I617" s="6" t="n">
        <f aca="false">IFERROR(INDEX(Systems!$R$2:$R$179,MATCH($B617,Systems!$B$2:$B$179,0)),0)</f>
        <v>0</v>
      </c>
      <c r="J617" s="27" t="n">
        <f aca="false">H617*I617</f>
        <v>0</v>
      </c>
      <c r="K617" s="6" t="str">
        <f aca="false">IFERROR(IF(INDEX(Resources!$D$2:$D$64,MATCH($D617,Resources!$A$2:$A$64,0))="","",INDEX(Resources!$D$2:$D$64,MATCH($D617,Resources!$A$2:$A$64,0))),"")</f>
        <v/>
      </c>
      <c r="L617" s="28" t="str">
        <f aca="false">IF(K617="","",J617*INDEX(Resources!$E$2:$E$64,MATCH($D617,Resources!$A$2:$A$64,0)))</f>
        <v/>
      </c>
      <c r="M617" s="6" t="str">
        <f aca="false">B617&amp;"|"&amp;D617&amp;"|"&amp;C617</f>
        <v>Herb Spiral|Seedlings|Input</v>
      </c>
    </row>
    <row r="618" customFormat="false" ht="15" hidden="false" customHeight="true" outlineLevel="0" collapsed="false">
      <c r="A618" s="6" t="s">
        <v>1598</v>
      </c>
      <c r="B618" s="6" t="s">
        <v>745</v>
      </c>
      <c r="C618" s="6" t="s">
        <v>943</v>
      </c>
      <c r="D618" s="6" t="s">
        <v>561</v>
      </c>
      <c r="E618" s="26" t="n">
        <v>5</v>
      </c>
      <c r="F618" s="6" t="str">
        <f aca="false">IFERROR(INDEX(Resources!$B$2:$B$64,MATCH($D618,Resources!$A$2:$A$64,0)),"?")</f>
        <v>lbs</v>
      </c>
      <c r="G618" s="6" t="s">
        <v>1184</v>
      </c>
      <c r="H618" s="27" t="n">
        <f aca="false">E618*INDEX(Assumptions!$D$17:$D$23,MATCH(G618,Assumptions!$B$17:$B$23,0))</f>
        <v>0.0961538461538462</v>
      </c>
      <c r="I618" s="6" t="n">
        <f aca="false">IFERROR(INDEX(Systems!$R$2:$R$179,MATCH($B618,Systems!$B$2:$B$179,0)),0)</f>
        <v>0</v>
      </c>
      <c r="J618" s="27" t="n">
        <f aca="false">H618*I618</f>
        <v>0</v>
      </c>
      <c r="K618" s="6" t="str">
        <f aca="false">IFERROR(IF(INDEX(Resources!$D$2:$D$64,MATCH($D618,Resources!$A$2:$A$64,0))="","",INDEX(Resources!$D$2:$D$64,MATCH($D618,Resources!$A$2:$A$64,0))),"")</f>
        <v>Food</v>
      </c>
      <c r="L618" s="28" t="n">
        <f aca="false">IF(K618="","",J618*INDEX(Resources!$E$2:$E$64,MATCH($D618,Resources!$A$2:$A$64,0)))</f>
        <v>0</v>
      </c>
      <c r="M618" s="6" t="str">
        <f aca="false">B618&amp;"|"&amp;D618&amp;"|"&amp;C618</f>
        <v>Herb Spiral|Vegetables fruit fiber herbs|Output</v>
      </c>
    </row>
    <row r="619" customFormat="false" ht="15" hidden="false" customHeight="true" outlineLevel="0" collapsed="false">
      <c r="A619" s="6" t="s">
        <v>1599</v>
      </c>
      <c r="B619" s="6" t="s">
        <v>745</v>
      </c>
      <c r="C619" s="6" t="s">
        <v>943</v>
      </c>
      <c r="D619" s="6" t="s">
        <v>436</v>
      </c>
      <c r="E619" s="26" t="n">
        <v>30</v>
      </c>
      <c r="F619" s="6" t="str">
        <f aca="false">IFERROR(INDEX(Resources!$B$2:$B$64,MATCH($D619,Resources!$A$2:$A$64,0)),"?")</f>
        <v>sq ft</v>
      </c>
      <c r="G619" s="6" t="s">
        <v>945</v>
      </c>
      <c r="H619" s="27" t="n">
        <f aca="false">E619*INDEX(Assumptions!$D$17:$D$23,MATCH(G619,Assumptions!$B$17:$B$23,0))</f>
        <v>30</v>
      </c>
      <c r="I619" s="6" t="n">
        <f aca="false">IFERROR(INDEX(Systems!$R$2:$R$179,MATCH($B619,Systems!$B$2:$B$179,0)),0)</f>
        <v>0</v>
      </c>
      <c r="J619" s="27" t="n">
        <f aca="false">H619*I619</f>
        <v>0</v>
      </c>
      <c r="K619" s="6" t="str">
        <f aca="false">IFERROR(IF(INDEX(Resources!$D$2:$D$64,MATCH($D619,Resources!$A$2:$A$64,0))="","",INDEX(Resources!$D$2:$D$64,MATCH($D619,Resources!$A$2:$A$64,0))),"")</f>
        <v/>
      </c>
      <c r="L619" s="28" t="str">
        <f aca="false">IF(K619="","",J619*INDEX(Resources!$E$2:$E$64,MATCH($D619,Resources!$A$2:$A$64,0)))</f>
        <v/>
      </c>
      <c r="M619" s="6" t="str">
        <f aca="false">B619&amp;"|"&amp;D619&amp;"|"&amp;C619</f>
        <v>Herb Spiral|Pollinator flowers|Output</v>
      </c>
    </row>
    <row r="620" customFormat="false" ht="15" hidden="false" customHeight="true" outlineLevel="0" collapsed="false">
      <c r="A620" s="6" t="s">
        <v>1600</v>
      </c>
      <c r="B620" s="6" t="s">
        <v>745</v>
      </c>
      <c r="C620" s="6" t="s">
        <v>943</v>
      </c>
      <c r="D620" s="6" t="s">
        <v>462</v>
      </c>
      <c r="E620" s="26" t="n">
        <v>2</v>
      </c>
      <c r="F620" s="6" t="str">
        <f aca="false">IFERROR(INDEX(Resources!$B$2:$B$64,MATCH($D620,Resources!$A$2:$A$64,0)),"?")</f>
        <v>points</v>
      </c>
      <c r="G620" s="6" t="s">
        <v>939</v>
      </c>
      <c r="H620" s="27" t="n">
        <f aca="false">E620*INDEX(Assumptions!$D$17:$D$23,MATCH(G620,Assumptions!$B$17:$B$23,0))</f>
        <v>2</v>
      </c>
      <c r="I620" s="6" t="n">
        <f aca="false">IFERROR(INDEX(Systems!$R$2:$R$179,MATCH($B620,Systems!$B$2:$B$179,0)),0)</f>
        <v>0</v>
      </c>
      <c r="J620" s="27" t="n">
        <f aca="false">H620*I620</f>
        <v>0</v>
      </c>
      <c r="K620" s="6" t="str">
        <f aca="false">IFERROR(IF(INDEX(Resources!$D$2:$D$64,MATCH($D620,Resources!$A$2:$A$64,0))="","",INDEX(Resources!$D$2:$D$64,MATCH($D620,Resources!$A$2:$A$64,0))),"")</f>
        <v/>
      </c>
      <c r="L620" s="28" t="str">
        <f aca="false">IF(K620="","",J620*INDEX(Resources!$E$2:$E$64,MATCH($D620,Resources!$A$2:$A$64,0)))</f>
        <v/>
      </c>
      <c r="M620" s="6" t="str">
        <f aca="false">B620&amp;"|"&amp;D620&amp;"|"&amp;C620</f>
        <v>Herb Spiral|Wellbeing|Output</v>
      </c>
    </row>
    <row r="621" customFormat="false" ht="15" hidden="false" customHeight="true" outlineLevel="0" collapsed="false">
      <c r="A621" s="6" t="s">
        <v>1601</v>
      </c>
      <c r="B621" s="6" t="s">
        <v>748</v>
      </c>
      <c r="C621" s="6" t="s">
        <v>938</v>
      </c>
      <c r="D621" s="6" t="s">
        <v>71</v>
      </c>
      <c r="E621" s="26" t="n">
        <v>0.1</v>
      </c>
      <c r="F621" s="6" t="str">
        <f aca="false">IFERROR(INDEX(Resources!$B$2:$B$64,MATCH($D621,Resources!$A$2:$A$64,0)),"?")</f>
        <v>hours</v>
      </c>
      <c r="G621" s="6" t="s">
        <v>939</v>
      </c>
      <c r="H621" s="27" t="n">
        <f aca="false">E621*INDEX(Assumptions!$D$17:$D$23,MATCH(G621,Assumptions!$B$17:$B$23,0))</f>
        <v>0.1</v>
      </c>
      <c r="I621" s="6" t="n">
        <f aca="false">IFERROR(INDEX(Systems!$R$2:$R$179,MATCH($B621,Systems!$B$2:$B$179,0)),0)</f>
        <v>0</v>
      </c>
      <c r="J621" s="27" t="n">
        <f aca="false">H621*I621</f>
        <v>0</v>
      </c>
      <c r="K621" s="6" t="str">
        <f aca="false">IFERROR(IF(INDEX(Resources!$D$2:$D$64,MATCH($D621,Resources!$A$2:$A$64,0))="","",INDEX(Resources!$D$2:$D$64,MATCH($D621,Resources!$A$2:$A$64,0))),"")</f>
        <v>Est. Required Labor</v>
      </c>
      <c r="L621" s="28" t="n">
        <f aca="false">IF(K621="","",J621*INDEX(Resources!$E$2:$E$64,MATCH($D621,Resources!$A$2:$A$64,0)))</f>
        <v>0</v>
      </c>
      <c r="M621" s="6" t="str">
        <f aca="false">B621&amp;"|"&amp;D621&amp;"|"&amp;C621</f>
        <v>Apple Tree|Labor|Input</v>
      </c>
      <c r="N621" s="6" t="s">
        <v>940</v>
      </c>
    </row>
    <row r="622" customFormat="false" ht="15" hidden="false" customHeight="true" outlineLevel="0" collapsed="false">
      <c r="A622" s="6" t="s">
        <v>1602</v>
      </c>
      <c r="B622" s="6" t="s">
        <v>748</v>
      </c>
      <c r="C622" s="6" t="s">
        <v>938</v>
      </c>
      <c r="D622" s="6" t="s">
        <v>1114</v>
      </c>
      <c r="E622" s="26" t="n">
        <v>1</v>
      </c>
      <c r="F622" s="6" t="str">
        <f aca="false">IFERROR(INDEX(Resources!$B$2:$B$64,MATCH($D622,Resources!$A$2:$A$64,0)),"?")</f>
        <v>plants</v>
      </c>
      <c r="G622" s="6" t="s">
        <v>1115</v>
      </c>
      <c r="H622" s="27" t="n">
        <f aca="false">E622*INDEX(Assumptions!$D$17:$D$23,MATCH(G622,Assumptions!$B$17:$B$23,0))</f>
        <v>0</v>
      </c>
      <c r="I622" s="6" t="n">
        <f aca="false">IFERROR(INDEX(Systems!$R$2:$R$179,MATCH($B622,Systems!$B$2:$B$179,0)),0)</f>
        <v>0</v>
      </c>
      <c r="J622" s="27" t="n">
        <f aca="false">H622*I622</f>
        <v>0</v>
      </c>
      <c r="K622" s="6" t="str">
        <f aca="false">IFERROR(IF(INDEX(Resources!$D$2:$D$64,MATCH($D622,Resources!$A$2:$A$64,0))="","",INDEX(Resources!$D$2:$D$64,MATCH($D622,Resources!$A$2:$A$64,0))),"")</f>
        <v/>
      </c>
      <c r="L622" s="28" t="str">
        <f aca="false">IF(K622="","",J622*INDEX(Resources!$E$2:$E$64,MATCH($D622,Resources!$A$2:$A$64,0)))</f>
        <v/>
      </c>
      <c r="M622" s="6" t="str">
        <f aca="false">B622&amp;"|"&amp;D622&amp;"|"&amp;C622</f>
        <v>Apple Tree|Seedlings|Input</v>
      </c>
    </row>
    <row r="623" customFormat="false" ht="15" hidden="false" customHeight="true" outlineLevel="0" collapsed="false">
      <c r="A623" s="6" t="s">
        <v>1603</v>
      </c>
      <c r="B623" s="6" t="s">
        <v>748</v>
      </c>
      <c r="C623" s="6" t="s">
        <v>938</v>
      </c>
      <c r="D623" s="6" t="s">
        <v>49</v>
      </c>
      <c r="E623" s="26" t="n">
        <v>10</v>
      </c>
      <c r="F623" s="6" t="str">
        <f aca="false">IFERROR(INDEX(Resources!$B$2:$B$64,MATCH($D623,Resources!$A$2:$A$64,0)),"?")</f>
        <v>gal</v>
      </c>
      <c r="G623" s="6" t="s">
        <v>939</v>
      </c>
      <c r="H623" s="27" t="n">
        <f aca="false">E623*INDEX(Assumptions!$D$17:$D$23,MATCH(G623,Assumptions!$B$17:$B$23,0))</f>
        <v>10</v>
      </c>
      <c r="I623" s="6" t="n">
        <f aca="false">IFERROR(INDEX(Systems!$R$2:$R$179,MATCH($B623,Systems!$B$2:$B$179,0)),0)</f>
        <v>0</v>
      </c>
      <c r="J623" s="27" t="n">
        <f aca="false">H623*I623</f>
        <v>0</v>
      </c>
      <c r="K623" s="6" t="str">
        <f aca="false">IFERROR(IF(INDEX(Resources!$D$2:$D$64,MATCH($D623,Resources!$A$2:$A$64,0))="","",INDEX(Resources!$D$2:$D$64,MATCH($D623,Resources!$A$2:$A$64,0))),"")</f>
        <v>Water</v>
      </c>
      <c r="L623" s="28" t="n">
        <f aca="false">IF(K623="","",J623*INDEX(Resources!$E$2:$E$64,MATCH($D623,Resources!$A$2:$A$64,0)))</f>
        <v>0</v>
      </c>
      <c r="M623" s="6" t="str">
        <f aca="false">B623&amp;"|"&amp;D623&amp;"|"&amp;C623</f>
        <v>Apple Tree|Water|Input</v>
      </c>
    </row>
    <row r="624" customFormat="false" ht="15" hidden="false" customHeight="true" outlineLevel="0" collapsed="false">
      <c r="A624" s="6" t="s">
        <v>1604</v>
      </c>
      <c r="B624" s="6" t="s">
        <v>748</v>
      </c>
      <c r="C624" s="6" t="s">
        <v>938</v>
      </c>
      <c r="D624" s="6" t="s">
        <v>437</v>
      </c>
      <c r="E624" s="26" t="n">
        <v>0.2</v>
      </c>
      <c r="F624" s="6" t="str">
        <f aca="false">IFERROR(INDEX(Resources!$B$2:$B$64,MATCH($D624,Resources!$A$2:$A$64,0)),"?")</f>
        <v>units</v>
      </c>
      <c r="G624" s="6" t="s">
        <v>945</v>
      </c>
      <c r="H624" s="27" t="n">
        <f aca="false">E624*INDEX(Assumptions!$D$17:$D$23,MATCH(G624,Assumptions!$B$17:$B$23,0))</f>
        <v>0.2</v>
      </c>
      <c r="I624" s="6" t="n">
        <f aca="false">IFERROR(INDEX(Systems!$R$2:$R$179,MATCH($B624,Systems!$B$2:$B$179,0)),0)</f>
        <v>0</v>
      </c>
      <c r="J624" s="27" t="n">
        <f aca="false">H624*I624</f>
        <v>0</v>
      </c>
      <c r="K624" s="6" t="str">
        <f aca="false">IFERROR(IF(INDEX(Resources!$D$2:$D$64,MATCH($D624,Resources!$A$2:$A$64,0))="","",INDEX(Resources!$D$2:$D$64,MATCH($D624,Resources!$A$2:$A$64,0))),"")</f>
        <v/>
      </c>
      <c r="L624" s="28" t="str">
        <f aca="false">IF(K624="","",J624*INDEX(Resources!$E$2:$E$64,MATCH($D624,Resources!$A$2:$A$64,0)))</f>
        <v/>
      </c>
      <c r="M624" s="6" t="str">
        <f aca="false">B624&amp;"|"&amp;D624&amp;"|"&amp;C624</f>
        <v>Apple Tree|Pollination|Input</v>
      </c>
    </row>
    <row r="625" customFormat="false" ht="15" hidden="false" customHeight="true" outlineLevel="0" collapsed="false">
      <c r="A625" s="6" t="s">
        <v>1605</v>
      </c>
      <c r="B625" s="6" t="s">
        <v>748</v>
      </c>
      <c r="C625" s="6" t="s">
        <v>938</v>
      </c>
      <c r="D625" s="6" t="s">
        <v>322</v>
      </c>
      <c r="E625" s="26" t="n">
        <v>20</v>
      </c>
      <c r="F625" s="6" t="str">
        <f aca="false">IFERROR(INDEX(Resources!$B$2:$B$64,MATCH($D625,Resources!$A$2:$A$64,0)),"?")</f>
        <v>lbs</v>
      </c>
      <c r="G625" s="6" t="s">
        <v>1032</v>
      </c>
      <c r="H625" s="27" t="n">
        <f aca="false">E625*INDEX(Assumptions!$D$17:$D$23,MATCH(G625,Assumptions!$B$17:$B$23,0))</f>
        <v>0.384615384615385</v>
      </c>
      <c r="I625" s="6" t="n">
        <f aca="false">IFERROR(INDEX(Systems!$R$2:$R$179,MATCH($B625,Systems!$B$2:$B$179,0)),0)</f>
        <v>0</v>
      </c>
      <c r="J625" s="27" t="n">
        <f aca="false">H625*I625</f>
        <v>0</v>
      </c>
      <c r="K625" s="6" t="str">
        <f aca="false">IFERROR(IF(INDEX(Resources!$D$2:$D$64,MATCH($D625,Resources!$A$2:$A$64,0))="","",INDEX(Resources!$D$2:$D$64,MATCH($D625,Resources!$A$2:$A$64,0))),"")</f>
        <v/>
      </c>
      <c r="L625" s="28" t="str">
        <f aca="false">IF(K625="","",J625*INDEX(Resources!$E$2:$E$64,MATCH($D625,Resources!$A$2:$A$64,0)))</f>
        <v/>
      </c>
      <c r="M625" s="6" t="str">
        <f aca="false">B625&amp;"|"&amp;D625&amp;"|"&amp;C625</f>
        <v>Apple Tree|Compost|Input</v>
      </c>
    </row>
    <row r="626" customFormat="false" ht="15" hidden="false" customHeight="true" outlineLevel="0" collapsed="false">
      <c r="A626" s="6" t="s">
        <v>1606</v>
      </c>
      <c r="B626" s="6" t="s">
        <v>748</v>
      </c>
      <c r="C626" s="6" t="s">
        <v>938</v>
      </c>
      <c r="D626" s="6" t="s">
        <v>1021</v>
      </c>
      <c r="E626" s="26" t="n">
        <v>0.2</v>
      </c>
      <c r="F626" s="6" t="str">
        <f aca="false">IFERROR(INDEX(Resources!$B$2:$B$64,MATCH($D626,Resources!$A$2:$A$64,0)),"?")</f>
        <v>units</v>
      </c>
      <c r="G626" s="6" t="s">
        <v>945</v>
      </c>
      <c r="H626" s="27" t="n">
        <f aca="false">E626*INDEX(Assumptions!$D$17:$D$23,MATCH(G626,Assumptions!$B$17:$B$23,0))</f>
        <v>0.2</v>
      </c>
      <c r="I626" s="6" t="n">
        <f aca="false">IFERROR(INDEX(Systems!$R$2:$R$179,MATCH($B626,Systems!$B$2:$B$179,0)),0)</f>
        <v>0</v>
      </c>
      <c r="J626" s="27" t="n">
        <f aca="false">H626*I626</f>
        <v>0</v>
      </c>
      <c r="K626" s="6" t="str">
        <f aca="false">IFERROR(IF(INDEX(Resources!$D$2:$D$64,MATCH($D626,Resources!$A$2:$A$64,0))="","",INDEX(Resources!$D$2:$D$64,MATCH($D626,Resources!$A$2:$A$64,0))),"")</f>
        <v/>
      </c>
      <c r="L626" s="28" t="str">
        <f aca="false">IF(K626="","",J626*INDEX(Resources!$E$2:$E$64,MATCH($D626,Resources!$A$2:$A$64,0)))</f>
        <v/>
      </c>
      <c r="M626" s="6" t="str">
        <f aca="false">B626&amp;"|"&amp;D626&amp;"|"&amp;C626</f>
        <v>Apple Tree|Pest control|Input</v>
      </c>
    </row>
    <row r="627" customFormat="false" ht="15" hidden="false" customHeight="true" outlineLevel="0" collapsed="false">
      <c r="A627" s="6" t="s">
        <v>1607</v>
      </c>
      <c r="B627" s="6" t="s">
        <v>748</v>
      </c>
      <c r="C627" s="6" t="s">
        <v>943</v>
      </c>
      <c r="D627" s="6" t="s">
        <v>561</v>
      </c>
      <c r="E627" s="26" t="n">
        <v>150</v>
      </c>
      <c r="F627" s="6" t="str">
        <f aca="false">IFERROR(INDEX(Resources!$B$2:$B$64,MATCH($D627,Resources!$A$2:$A$64,0)),"?")</f>
        <v>lbs</v>
      </c>
      <c r="G627" s="6" t="s">
        <v>1032</v>
      </c>
      <c r="H627" s="27" t="n">
        <f aca="false">E627*INDEX(Assumptions!$D$17:$D$23,MATCH(G627,Assumptions!$B$17:$B$23,0))</f>
        <v>2.88461538461538</v>
      </c>
      <c r="I627" s="6" t="n">
        <f aca="false">IFERROR(INDEX(Systems!$R$2:$R$179,MATCH($B627,Systems!$B$2:$B$179,0)),0)</f>
        <v>0</v>
      </c>
      <c r="J627" s="27" t="n">
        <f aca="false">H627*I627</f>
        <v>0</v>
      </c>
      <c r="K627" s="6" t="str">
        <f aca="false">IFERROR(IF(INDEX(Resources!$D$2:$D$64,MATCH($D627,Resources!$A$2:$A$64,0))="","",INDEX(Resources!$D$2:$D$64,MATCH($D627,Resources!$A$2:$A$64,0))),"")</f>
        <v>Food</v>
      </c>
      <c r="L627" s="28" t="n">
        <f aca="false">IF(K627="","",J627*INDEX(Resources!$E$2:$E$64,MATCH($D627,Resources!$A$2:$A$64,0)))</f>
        <v>0</v>
      </c>
      <c r="M627" s="6" t="str">
        <f aca="false">B627&amp;"|"&amp;D627&amp;"|"&amp;C627</f>
        <v>Apple Tree|Vegetables fruit fiber herbs|Output</v>
      </c>
    </row>
    <row r="628" customFormat="false" ht="15" hidden="false" customHeight="true" outlineLevel="0" collapsed="false">
      <c r="A628" s="6" t="s">
        <v>1608</v>
      </c>
      <c r="B628" s="6" t="s">
        <v>748</v>
      </c>
      <c r="C628" s="6" t="s">
        <v>943</v>
      </c>
      <c r="D628" s="6" t="s">
        <v>436</v>
      </c>
      <c r="E628" s="26" t="n">
        <v>300</v>
      </c>
      <c r="F628" s="6" t="str">
        <f aca="false">IFERROR(INDEX(Resources!$B$2:$B$64,MATCH($D628,Resources!$A$2:$A$64,0)),"?")</f>
        <v>sq ft</v>
      </c>
      <c r="G628" s="6" t="s">
        <v>945</v>
      </c>
      <c r="H628" s="27" t="n">
        <f aca="false">E628*INDEX(Assumptions!$D$17:$D$23,MATCH(G628,Assumptions!$B$17:$B$23,0))</f>
        <v>300</v>
      </c>
      <c r="I628" s="6" t="n">
        <f aca="false">IFERROR(INDEX(Systems!$R$2:$R$179,MATCH($B628,Systems!$B$2:$B$179,0)),0)</f>
        <v>0</v>
      </c>
      <c r="J628" s="27" t="n">
        <f aca="false">H628*I628</f>
        <v>0</v>
      </c>
      <c r="K628" s="6" t="str">
        <f aca="false">IFERROR(IF(INDEX(Resources!$D$2:$D$64,MATCH($D628,Resources!$A$2:$A$64,0))="","",INDEX(Resources!$D$2:$D$64,MATCH($D628,Resources!$A$2:$A$64,0))),"")</f>
        <v/>
      </c>
      <c r="L628" s="28" t="str">
        <f aca="false">IF(K628="","",J628*INDEX(Resources!$E$2:$E$64,MATCH($D628,Resources!$A$2:$A$64,0)))</f>
        <v/>
      </c>
      <c r="M628" s="6" t="str">
        <f aca="false">B628&amp;"|"&amp;D628&amp;"|"&amp;C628</f>
        <v>Apple Tree|Pollinator flowers|Output</v>
      </c>
    </row>
    <row r="629" customFormat="false" ht="15" hidden="false" customHeight="true" outlineLevel="0" collapsed="false">
      <c r="A629" s="6" t="s">
        <v>1609</v>
      </c>
      <c r="B629" s="6" t="s">
        <v>748</v>
      </c>
      <c r="C629" s="6" t="s">
        <v>943</v>
      </c>
      <c r="D629" s="6" t="s">
        <v>1127</v>
      </c>
      <c r="E629" s="26" t="n">
        <v>20</v>
      </c>
      <c r="F629" s="6" t="str">
        <f aca="false">IFERROR(INDEX(Resources!$B$2:$B$64,MATCH($D629,Resources!$A$2:$A$64,0)),"?")</f>
        <v>lbs</v>
      </c>
      <c r="G629" s="6" t="s">
        <v>1032</v>
      </c>
      <c r="H629" s="27" t="n">
        <f aca="false">E629*INDEX(Assumptions!$D$17:$D$23,MATCH(G629,Assumptions!$B$17:$B$23,0))</f>
        <v>0.384615384615385</v>
      </c>
      <c r="I629" s="6" t="n">
        <f aca="false">IFERROR(INDEX(Systems!$R$2:$R$179,MATCH($B629,Systems!$B$2:$B$179,0)),0)</f>
        <v>0</v>
      </c>
      <c r="J629" s="27" t="n">
        <f aca="false">H629*I629</f>
        <v>0</v>
      </c>
      <c r="K629" s="6" t="str">
        <f aca="false">IFERROR(IF(INDEX(Resources!$D$2:$D$64,MATCH($D629,Resources!$A$2:$A$64,0))="","",INDEX(Resources!$D$2:$D$64,MATCH($D629,Resources!$A$2:$A$64,0))),"")</f>
        <v/>
      </c>
      <c r="L629" s="28" t="str">
        <f aca="false">IF(K629="","",J629*INDEX(Resources!$E$2:$E$64,MATCH($D629,Resources!$A$2:$A$64,0)))</f>
        <v/>
      </c>
      <c r="M629" s="6" t="str">
        <f aca="false">B629&amp;"|"&amp;D629&amp;"|"&amp;C629</f>
        <v>Apple Tree|Carbon|Output</v>
      </c>
    </row>
    <row r="630" customFormat="false" ht="15" hidden="false" customHeight="true" outlineLevel="0" collapsed="false">
      <c r="A630" s="6" t="s">
        <v>1610</v>
      </c>
      <c r="B630" s="6" t="s">
        <v>751</v>
      </c>
      <c r="C630" s="6" t="s">
        <v>938</v>
      </c>
      <c r="D630" s="6" t="s">
        <v>71</v>
      </c>
      <c r="E630" s="26" t="n">
        <v>0.05</v>
      </c>
      <c r="F630" s="6" t="str">
        <f aca="false">IFERROR(INDEX(Resources!$B$2:$B$64,MATCH($D630,Resources!$A$2:$A$64,0)),"?")</f>
        <v>hours</v>
      </c>
      <c r="G630" s="6" t="s">
        <v>939</v>
      </c>
      <c r="H630" s="27" t="n">
        <f aca="false">E630*INDEX(Assumptions!$D$17:$D$23,MATCH(G630,Assumptions!$B$17:$B$23,0))</f>
        <v>0.05</v>
      </c>
      <c r="I630" s="6" t="n">
        <f aca="false">IFERROR(INDEX(Systems!$R$2:$R$179,MATCH($B630,Systems!$B$2:$B$179,0)),0)</f>
        <v>0</v>
      </c>
      <c r="J630" s="27" t="n">
        <f aca="false">H630*I630</f>
        <v>0</v>
      </c>
      <c r="K630" s="6" t="str">
        <f aca="false">IFERROR(IF(INDEX(Resources!$D$2:$D$64,MATCH($D630,Resources!$A$2:$A$64,0))="","",INDEX(Resources!$D$2:$D$64,MATCH($D630,Resources!$A$2:$A$64,0))),"")</f>
        <v>Est. Required Labor</v>
      </c>
      <c r="L630" s="28" t="n">
        <f aca="false">IF(K630="","",J630*INDEX(Resources!$E$2:$E$64,MATCH($D630,Resources!$A$2:$A$64,0)))</f>
        <v>0</v>
      </c>
      <c r="M630" s="6" t="str">
        <f aca="false">B630&amp;"|"&amp;D630&amp;"|"&amp;C630</f>
        <v>Hazelnut Bush|Labor|Input</v>
      </c>
      <c r="N630" s="6" t="s">
        <v>940</v>
      </c>
    </row>
    <row r="631" customFormat="false" ht="15" hidden="false" customHeight="true" outlineLevel="0" collapsed="false">
      <c r="A631" s="6" t="s">
        <v>1611</v>
      </c>
      <c r="B631" s="6" t="s">
        <v>751</v>
      </c>
      <c r="C631" s="6" t="s">
        <v>938</v>
      </c>
      <c r="D631" s="6" t="s">
        <v>1114</v>
      </c>
      <c r="E631" s="26" t="n">
        <v>1</v>
      </c>
      <c r="F631" s="6" t="str">
        <f aca="false">IFERROR(INDEX(Resources!$B$2:$B$64,MATCH($D631,Resources!$A$2:$A$64,0)),"?")</f>
        <v>plants</v>
      </c>
      <c r="G631" s="6" t="s">
        <v>1115</v>
      </c>
      <c r="H631" s="27" t="n">
        <f aca="false">E631*INDEX(Assumptions!$D$17:$D$23,MATCH(G631,Assumptions!$B$17:$B$23,0))</f>
        <v>0</v>
      </c>
      <c r="I631" s="6" t="n">
        <f aca="false">IFERROR(INDEX(Systems!$R$2:$R$179,MATCH($B631,Systems!$B$2:$B$179,0)),0)</f>
        <v>0</v>
      </c>
      <c r="J631" s="27" t="n">
        <f aca="false">H631*I631</f>
        <v>0</v>
      </c>
      <c r="K631" s="6" t="str">
        <f aca="false">IFERROR(IF(INDEX(Resources!$D$2:$D$64,MATCH($D631,Resources!$A$2:$A$64,0))="","",INDEX(Resources!$D$2:$D$64,MATCH($D631,Resources!$A$2:$A$64,0))),"")</f>
        <v/>
      </c>
      <c r="L631" s="28" t="str">
        <f aca="false">IF(K631="","",J631*INDEX(Resources!$E$2:$E$64,MATCH($D631,Resources!$A$2:$A$64,0)))</f>
        <v/>
      </c>
      <c r="M631" s="6" t="str">
        <f aca="false">B631&amp;"|"&amp;D631&amp;"|"&amp;C631</f>
        <v>Hazelnut Bush|Seedlings|Input</v>
      </c>
    </row>
    <row r="632" customFormat="false" ht="15" hidden="false" customHeight="true" outlineLevel="0" collapsed="false">
      <c r="A632" s="6" t="s">
        <v>1612</v>
      </c>
      <c r="B632" s="6" t="s">
        <v>751</v>
      </c>
      <c r="C632" s="6" t="s">
        <v>938</v>
      </c>
      <c r="D632" s="6" t="s">
        <v>49</v>
      </c>
      <c r="E632" s="26" t="n">
        <v>5</v>
      </c>
      <c r="F632" s="6" t="str">
        <f aca="false">IFERROR(INDEX(Resources!$B$2:$B$64,MATCH($D632,Resources!$A$2:$A$64,0)),"?")</f>
        <v>gal</v>
      </c>
      <c r="G632" s="6" t="s">
        <v>939</v>
      </c>
      <c r="H632" s="27" t="n">
        <f aca="false">E632*INDEX(Assumptions!$D$17:$D$23,MATCH(G632,Assumptions!$B$17:$B$23,0))</f>
        <v>5</v>
      </c>
      <c r="I632" s="6" t="n">
        <f aca="false">IFERROR(INDEX(Systems!$R$2:$R$179,MATCH($B632,Systems!$B$2:$B$179,0)),0)</f>
        <v>0</v>
      </c>
      <c r="J632" s="27" t="n">
        <f aca="false">H632*I632</f>
        <v>0</v>
      </c>
      <c r="K632" s="6" t="str">
        <f aca="false">IFERROR(IF(INDEX(Resources!$D$2:$D$64,MATCH($D632,Resources!$A$2:$A$64,0))="","",INDEX(Resources!$D$2:$D$64,MATCH($D632,Resources!$A$2:$A$64,0))),"")</f>
        <v>Water</v>
      </c>
      <c r="L632" s="28" t="n">
        <f aca="false">IF(K632="","",J632*INDEX(Resources!$E$2:$E$64,MATCH($D632,Resources!$A$2:$A$64,0)))</f>
        <v>0</v>
      </c>
      <c r="M632" s="6" t="str">
        <f aca="false">B632&amp;"|"&amp;D632&amp;"|"&amp;C632</f>
        <v>Hazelnut Bush|Water|Input</v>
      </c>
    </row>
    <row r="633" customFormat="false" ht="15" hidden="false" customHeight="true" outlineLevel="0" collapsed="false">
      <c r="A633" s="6" t="s">
        <v>1613</v>
      </c>
      <c r="B633" s="6" t="s">
        <v>751</v>
      </c>
      <c r="C633" s="6" t="s">
        <v>943</v>
      </c>
      <c r="D633" s="6" t="s">
        <v>1121</v>
      </c>
      <c r="E633" s="26" t="n">
        <v>10</v>
      </c>
      <c r="F633" s="6" t="str">
        <f aca="false">IFERROR(INDEX(Resources!$B$2:$B$64,MATCH($D633,Resources!$A$2:$A$64,0)),"?")</f>
        <v>lbs</v>
      </c>
      <c r="G633" s="6" t="s">
        <v>1032</v>
      </c>
      <c r="H633" s="27" t="n">
        <f aca="false">E633*INDEX(Assumptions!$D$17:$D$23,MATCH(G633,Assumptions!$B$17:$B$23,0))</f>
        <v>0.192307692307692</v>
      </c>
      <c r="I633" s="6" t="n">
        <f aca="false">IFERROR(INDEX(Systems!$R$2:$R$179,MATCH($B633,Systems!$B$2:$B$179,0)),0)</f>
        <v>0</v>
      </c>
      <c r="J633" s="27" t="n">
        <f aca="false">H633*I633</f>
        <v>0</v>
      </c>
      <c r="K633" s="6" t="str">
        <f aca="false">IFERROR(IF(INDEX(Resources!$D$2:$D$64,MATCH($D633,Resources!$A$2:$A$64,0))="","",INDEX(Resources!$D$2:$D$64,MATCH($D633,Resources!$A$2:$A$64,0))),"")</f>
        <v>Food</v>
      </c>
      <c r="L633" s="28" t="n">
        <f aca="false">IF(K633="","",J633*INDEX(Resources!$E$2:$E$64,MATCH($D633,Resources!$A$2:$A$64,0)))</f>
        <v>0</v>
      </c>
      <c r="M633" s="6" t="str">
        <f aca="false">B633&amp;"|"&amp;D633&amp;"|"&amp;C633</f>
        <v>Hazelnut Bush|Nuts|Output</v>
      </c>
    </row>
    <row r="634" customFormat="false" ht="15" hidden="false" customHeight="true" outlineLevel="0" collapsed="false">
      <c r="A634" s="6" t="s">
        <v>1614</v>
      </c>
      <c r="B634" s="6" t="s">
        <v>751</v>
      </c>
      <c r="C634" s="6" t="s">
        <v>943</v>
      </c>
      <c r="D634" s="6" t="s">
        <v>1127</v>
      </c>
      <c r="E634" s="26" t="n">
        <v>5</v>
      </c>
      <c r="F634" s="6" t="str">
        <f aca="false">IFERROR(INDEX(Resources!$B$2:$B$64,MATCH($D634,Resources!$A$2:$A$64,0)),"?")</f>
        <v>lbs</v>
      </c>
      <c r="G634" s="6" t="s">
        <v>1032</v>
      </c>
      <c r="H634" s="27" t="n">
        <f aca="false">E634*INDEX(Assumptions!$D$17:$D$23,MATCH(G634,Assumptions!$B$17:$B$23,0))</f>
        <v>0.0961538461538462</v>
      </c>
      <c r="I634" s="6" t="n">
        <f aca="false">IFERROR(INDEX(Systems!$R$2:$R$179,MATCH($B634,Systems!$B$2:$B$179,0)),0)</f>
        <v>0</v>
      </c>
      <c r="J634" s="27" t="n">
        <f aca="false">H634*I634</f>
        <v>0</v>
      </c>
      <c r="K634" s="6" t="str">
        <f aca="false">IFERROR(IF(INDEX(Resources!$D$2:$D$64,MATCH($D634,Resources!$A$2:$A$64,0))="","",INDEX(Resources!$D$2:$D$64,MATCH($D634,Resources!$A$2:$A$64,0))),"")</f>
        <v/>
      </c>
      <c r="L634" s="28" t="str">
        <f aca="false">IF(K634="","",J634*INDEX(Resources!$E$2:$E$64,MATCH($D634,Resources!$A$2:$A$64,0)))</f>
        <v/>
      </c>
      <c r="M634" s="6" t="str">
        <f aca="false">B634&amp;"|"&amp;D634&amp;"|"&amp;C634</f>
        <v>Hazelnut Bush|Carbon|Output</v>
      </c>
    </row>
    <row r="635" customFormat="false" ht="15" hidden="false" customHeight="true" outlineLevel="0" collapsed="false">
      <c r="A635" s="6" t="s">
        <v>1615</v>
      </c>
      <c r="B635" s="6" t="s">
        <v>754</v>
      </c>
      <c r="C635" s="6" t="s">
        <v>938</v>
      </c>
      <c r="D635" s="6" t="s">
        <v>71</v>
      </c>
      <c r="E635" s="26" t="n">
        <v>0.25</v>
      </c>
      <c r="F635" s="6" t="str">
        <f aca="false">IFERROR(INDEX(Resources!$B$2:$B$64,MATCH($D635,Resources!$A$2:$A$64,0)),"?")</f>
        <v>hours</v>
      </c>
      <c r="G635" s="6" t="s">
        <v>939</v>
      </c>
      <c r="H635" s="27" t="n">
        <f aca="false">E635*INDEX(Assumptions!$D$17:$D$23,MATCH(G635,Assumptions!$B$17:$B$23,0))</f>
        <v>0.25</v>
      </c>
      <c r="I635" s="6" t="n">
        <f aca="false">IFERROR(INDEX(Systems!$R$2:$R$179,MATCH($B635,Systems!$B$2:$B$179,0)),0)</f>
        <v>0</v>
      </c>
      <c r="J635" s="27" t="n">
        <f aca="false">H635*I635</f>
        <v>0</v>
      </c>
      <c r="K635" s="6" t="str">
        <f aca="false">IFERROR(IF(INDEX(Resources!$D$2:$D$64,MATCH($D635,Resources!$A$2:$A$64,0))="","",INDEX(Resources!$D$2:$D$64,MATCH($D635,Resources!$A$2:$A$64,0))),"")</f>
        <v>Est. Required Labor</v>
      </c>
      <c r="L635" s="28" t="n">
        <f aca="false">IF(K635="","",J635*INDEX(Resources!$E$2:$E$64,MATCH($D635,Resources!$A$2:$A$64,0)))</f>
        <v>0</v>
      </c>
      <c r="M635" s="6" t="str">
        <f aca="false">B635&amp;"|"&amp;D635&amp;"|"&amp;C635</f>
        <v>Raspberry Patch (25 ft row)|Labor|Input</v>
      </c>
      <c r="N635" s="6" t="s">
        <v>940</v>
      </c>
    </row>
    <row r="636" customFormat="false" ht="15" hidden="false" customHeight="true" outlineLevel="0" collapsed="false">
      <c r="A636" s="6" t="s">
        <v>1616</v>
      </c>
      <c r="B636" s="6" t="s">
        <v>754</v>
      </c>
      <c r="C636" s="6" t="s">
        <v>938</v>
      </c>
      <c r="D636" s="6" t="s">
        <v>1114</v>
      </c>
      <c r="E636" s="26" t="n">
        <v>10</v>
      </c>
      <c r="F636" s="6" t="str">
        <f aca="false">IFERROR(INDEX(Resources!$B$2:$B$64,MATCH($D636,Resources!$A$2:$A$64,0)),"?")</f>
        <v>plants</v>
      </c>
      <c r="G636" s="6" t="s">
        <v>1115</v>
      </c>
      <c r="H636" s="27" t="n">
        <f aca="false">E636*INDEX(Assumptions!$D$17:$D$23,MATCH(G636,Assumptions!$B$17:$B$23,0))</f>
        <v>0</v>
      </c>
      <c r="I636" s="6" t="n">
        <f aca="false">IFERROR(INDEX(Systems!$R$2:$R$179,MATCH($B636,Systems!$B$2:$B$179,0)),0)</f>
        <v>0</v>
      </c>
      <c r="J636" s="27" t="n">
        <f aca="false">H636*I636</f>
        <v>0</v>
      </c>
      <c r="K636" s="6" t="str">
        <f aca="false">IFERROR(IF(INDEX(Resources!$D$2:$D$64,MATCH($D636,Resources!$A$2:$A$64,0))="","",INDEX(Resources!$D$2:$D$64,MATCH($D636,Resources!$A$2:$A$64,0))),"")</f>
        <v/>
      </c>
      <c r="L636" s="28" t="str">
        <f aca="false">IF(K636="","",J636*INDEX(Resources!$E$2:$E$64,MATCH($D636,Resources!$A$2:$A$64,0)))</f>
        <v/>
      </c>
      <c r="M636" s="6" t="str">
        <f aca="false">B636&amp;"|"&amp;D636&amp;"|"&amp;C636</f>
        <v>Raspberry Patch (25 ft row)|Seedlings|Input</v>
      </c>
    </row>
    <row r="637" customFormat="false" ht="15" hidden="false" customHeight="true" outlineLevel="0" collapsed="false">
      <c r="A637" s="6" t="s">
        <v>1617</v>
      </c>
      <c r="B637" s="6" t="s">
        <v>754</v>
      </c>
      <c r="C637" s="6" t="s">
        <v>938</v>
      </c>
      <c r="D637" s="6" t="s">
        <v>49</v>
      </c>
      <c r="E637" s="26" t="n">
        <v>10</v>
      </c>
      <c r="F637" s="6" t="str">
        <f aca="false">IFERROR(INDEX(Resources!$B$2:$B$64,MATCH($D637,Resources!$A$2:$A$64,0)),"?")</f>
        <v>gal</v>
      </c>
      <c r="G637" s="6" t="s">
        <v>939</v>
      </c>
      <c r="H637" s="27" t="n">
        <f aca="false">E637*INDEX(Assumptions!$D$17:$D$23,MATCH(G637,Assumptions!$B$17:$B$23,0))</f>
        <v>10</v>
      </c>
      <c r="I637" s="6" t="n">
        <f aca="false">IFERROR(INDEX(Systems!$R$2:$R$179,MATCH($B637,Systems!$B$2:$B$179,0)),0)</f>
        <v>0</v>
      </c>
      <c r="J637" s="27" t="n">
        <f aca="false">H637*I637</f>
        <v>0</v>
      </c>
      <c r="K637" s="6" t="str">
        <f aca="false">IFERROR(IF(INDEX(Resources!$D$2:$D$64,MATCH($D637,Resources!$A$2:$A$64,0))="","",INDEX(Resources!$D$2:$D$64,MATCH($D637,Resources!$A$2:$A$64,0))),"")</f>
        <v>Water</v>
      </c>
      <c r="L637" s="28" t="n">
        <f aca="false">IF(K637="","",J637*INDEX(Resources!$E$2:$E$64,MATCH($D637,Resources!$A$2:$A$64,0)))</f>
        <v>0</v>
      </c>
      <c r="M637" s="6" t="str">
        <f aca="false">B637&amp;"|"&amp;D637&amp;"|"&amp;C637</f>
        <v>Raspberry Patch (25 ft row)|Water|Input</v>
      </c>
    </row>
    <row r="638" customFormat="false" ht="15" hidden="false" customHeight="true" outlineLevel="0" collapsed="false">
      <c r="A638" s="6" t="s">
        <v>1618</v>
      </c>
      <c r="B638" s="6" t="s">
        <v>754</v>
      </c>
      <c r="C638" s="6" t="s">
        <v>938</v>
      </c>
      <c r="D638" s="6" t="s">
        <v>322</v>
      </c>
      <c r="E638" s="26" t="n">
        <v>20</v>
      </c>
      <c r="F638" s="6" t="str">
        <f aca="false">IFERROR(INDEX(Resources!$B$2:$B$64,MATCH($D638,Resources!$A$2:$A$64,0)),"?")</f>
        <v>lbs</v>
      </c>
      <c r="G638" s="6" t="s">
        <v>1032</v>
      </c>
      <c r="H638" s="27" t="n">
        <f aca="false">E638*INDEX(Assumptions!$D$17:$D$23,MATCH(G638,Assumptions!$B$17:$B$23,0))</f>
        <v>0.384615384615385</v>
      </c>
      <c r="I638" s="6" t="n">
        <f aca="false">IFERROR(INDEX(Systems!$R$2:$R$179,MATCH($B638,Systems!$B$2:$B$179,0)),0)</f>
        <v>0</v>
      </c>
      <c r="J638" s="27" t="n">
        <f aca="false">H638*I638</f>
        <v>0</v>
      </c>
      <c r="K638" s="6" t="str">
        <f aca="false">IFERROR(IF(INDEX(Resources!$D$2:$D$64,MATCH($D638,Resources!$A$2:$A$64,0))="","",INDEX(Resources!$D$2:$D$64,MATCH($D638,Resources!$A$2:$A$64,0))),"")</f>
        <v/>
      </c>
      <c r="L638" s="28" t="str">
        <f aca="false">IF(K638="","",J638*INDEX(Resources!$E$2:$E$64,MATCH($D638,Resources!$A$2:$A$64,0)))</f>
        <v/>
      </c>
      <c r="M638" s="6" t="str">
        <f aca="false">B638&amp;"|"&amp;D638&amp;"|"&amp;C638</f>
        <v>Raspberry Patch (25 ft row)|Compost|Input</v>
      </c>
    </row>
    <row r="639" customFormat="false" ht="15" hidden="false" customHeight="true" outlineLevel="0" collapsed="false">
      <c r="A639" s="6" t="s">
        <v>1619</v>
      </c>
      <c r="B639" s="6" t="s">
        <v>754</v>
      </c>
      <c r="C639" s="6" t="s">
        <v>938</v>
      </c>
      <c r="D639" s="6" t="s">
        <v>437</v>
      </c>
      <c r="E639" s="26" t="n">
        <v>0.1</v>
      </c>
      <c r="F639" s="6" t="str">
        <f aca="false">IFERROR(INDEX(Resources!$B$2:$B$64,MATCH($D639,Resources!$A$2:$A$64,0)),"?")</f>
        <v>units</v>
      </c>
      <c r="G639" s="6" t="s">
        <v>945</v>
      </c>
      <c r="H639" s="27" t="n">
        <f aca="false">E639*INDEX(Assumptions!$D$17:$D$23,MATCH(G639,Assumptions!$B$17:$B$23,0))</f>
        <v>0.1</v>
      </c>
      <c r="I639" s="6" t="n">
        <f aca="false">IFERROR(INDEX(Systems!$R$2:$R$179,MATCH($B639,Systems!$B$2:$B$179,0)),0)</f>
        <v>0</v>
      </c>
      <c r="J639" s="27" t="n">
        <f aca="false">H639*I639</f>
        <v>0</v>
      </c>
      <c r="K639" s="6" t="str">
        <f aca="false">IFERROR(IF(INDEX(Resources!$D$2:$D$64,MATCH($D639,Resources!$A$2:$A$64,0))="","",INDEX(Resources!$D$2:$D$64,MATCH($D639,Resources!$A$2:$A$64,0))),"")</f>
        <v/>
      </c>
      <c r="L639" s="28" t="str">
        <f aca="false">IF(K639="","",J639*INDEX(Resources!$E$2:$E$64,MATCH($D639,Resources!$A$2:$A$64,0)))</f>
        <v/>
      </c>
      <c r="M639" s="6" t="str">
        <f aca="false">B639&amp;"|"&amp;D639&amp;"|"&amp;C639</f>
        <v>Raspberry Patch (25 ft row)|Pollination|Input</v>
      </c>
    </row>
    <row r="640" customFormat="false" ht="15" hidden="false" customHeight="true" outlineLevel="0" collapsed="false">
      <c r="A640" s="6" t="s">
        <v>1620</v>
      </c>
      <c r="B640" s="6" t="s">
        <v>754</v>
      </c>
      <c r="C640" s="6" t="s">
        <v>943</v>
      </c>
      <c r="D640" s="6" t="s">
        <v>561</v>
      </c>
      <c r="E640" s="26" t="n">
        <v>25</v>
      </c>
      <c r="F640" s="6" t="str">
        <f aca="false">IFERROR(INDEX(Resources!$B$2:$B$64,MATCH($D640,Resources!$A$2:$A$64,0)),"?")</f>
        <v>lbs</v>
      </c>
      <c r="G640" s="6" t="s">
        <v>1032</v>
      </c>
      <c r="H640" s="27" t="n">
        <f aca="false">E640*INDEX(Assumptions!$D$17:$D$23,MATCH(G640,Assumptions!$B$17:$B$23,0))</f>
        <v>0.480769230769231</v>
      </c>
      <c r="I640" s="6" t="n">
        <f aca="false">IFERROR(INDEX(Systems!$R$2:$R$179,MATCH($B640,Systems!$B$2:$B$179,0)),0)</f>
        <v>0</v>
      </c>
      <c r="J640" s="27" t="n">
        <f aca="false">H640*I640</f>
        <v>0</v>
      </c>
      <c r="K640" s="6" t="str">
        <f aca="false">IFERROR(IF(INDEX(Resources!$D$2:$D$64,MATCH($D640,Resources!$A$2:$A$64,0))="","",INDEX(Resources!$D$2:$D$64,MATCH($D640,Resources!$A$2:$A$64,0))),"")</f>
        <v>Food</v>
      </c>
      <c r="L640" s="28" t="n">
        <f aca="false">IF(K640="","",J640*INDEX(Resources!$E$2:$E$64,MATCH($D640,Resources!$A$2:$A$64,0)))</f>
        <v>0</v>
      </c>
      <c r="M640" s="6" t="str">
        <f aca="false">B640&amp;"|"&amp;D640&amp;"|"&amp;C640</f>
        <v>Raspberry Patch (25 ft row)|Vegetables fruit fiber herbs|Output</v>
      </c>
    </row>
    <row r="641" customFormat="false" ht="15" hidden="false" customHeight="true" outlineLevel="0" collapsed="false">
      <c r="A641" s="6" t="s">
        <v>1621</v>
      </c>
      <c r="B641" s="6" t="s">
        <v>754</v>
      </c>
      <c r="C641" s="6" t="s">
        <v>943</v>
      </c>
      <c r="D641" s="6" t="s">
        <v>436</v>
      </c>
      <c r="E641" s="26" t="n">
        <v>75</v>
      </c>
      <c r="F641" s="6" t="str">
        <f aca="false">IFERROR(INDEX(Resources!$B$2:$B$64,MATCH($D641,Resources!$A$2:$A$64,0)),"?")</f>
        <v>sq ft</v>
      </c>
      <c r="G641" s="6" t="s">
        <v>945</v>
      </c>
      <c r="H641" s="27" t="n">
        <f aca="false">E641*INDEX(Assumptions!$D$17:$D$23,MATCH(G641,Assumptions!$B$17:$B$23,0))</f>
        <v>75</v>
      </c>
      <c r="I641" s="6" t="n">
        <f aca="false">IFERROR(INDEX(Systems!$R$2:$R$179,MATCH($B641,Systems!$B$2:$B$179,0)),0)</f>
        <v>0</v>
      </c>
      <c r="J641" s="27" t="n">
        <f aca="false">H641*I641</f>
        <v>0</v>
      </c>
      <c r="K641" s="6" t="str">
        <f aca="false">IFERROR(IF(INDEX(Resources!$D$2:$D$64,MATCH($D641,Resources!$A$2:$A$64,0))="","",INDEX(Resources!$D$2:$D$64,MATCH($D641,Resources!$A$2:$A$64,0))),"")</f>
        <v/>
      </c>
      <c r="L641" s="28" t="str">
        <f aca="false">IF(K641="","",J641*INDEX(Resources!$E$2:$E$64,MATCH($D641,Resources!$A$2:$A$64,0)))</f>
        <v/>
      </c>
      <c r="M641" s="6" t="str">
        <f aca="false">B641&amp;"|"&amp;D641&amp;"|"&amp;C641</f>
        <v>Raspberry Patch (25 ft row)|Pollinator flowers|Output</v>
      </c>
    </row>
    <row r="642" customFormat="false" ht="15" hidden="false" customHeight="true" outlineLevel="0" collapsed="false">
      <c r="A642" s="6" t="s">
        <v>1622</v>
      </c>
      <c r="B642" s="6" t="s">
        <v>757</v>
      </c>
      <c r="C642" s="6" t="s">
        <v>938</v>
      </c>
      <c r="D642" s="6" t="s">
        <v>1183</v>
      </c>
      <c r="E642" s="26" t="n">
        <v>8</v>
      </c>
      <c r="F642" s="6" t="str">
        <f aca="false">IFERROR(INDEX(Resources!$B$2:$B$64,MATCH($D642,Resources!$A$2:$A$64,0)),"?")</f>
        <v>oz</v>
      </c>
      <c r="G642" s="6" t="s">
        <v>1184</v>
      </c>
      <c r="H642" s="27" t="n">
        <f aca="false">E642*INDEX(Assumptions!$D$17:$D$23,MATCH(G642,Assumptions!$B$17:$B$23,0))</f>
        <v>0.153846153846154</v>
      </c>
      <c r="I642" s="6" t="n">
        <f aca="false">IFERROR(INDEX(Systems!$R$2:$R$179,MATCH($B642,Systems!$B$2:$B$179,0)),0)</f>
        <v>0</v>
      </c>
      <c r="J642" s="27" t="n">
        <f aca="false">H642*I642</f>
        <v>0</v>
      </c>
      <c r="K642" s="6" t="str">
        <f aca="false">IFERROR(IF(INDEX(Resources!$D$2:$D$64,MATCH($D642,Resources!$A$2:$A$64,0))="","",INDEX(Resources!$D$2:$D$64,MATCH($D642,Resources!$A$2:$A$64,0))),"")</f>
        <v/>
      </c>
      <c r="L642" s="28" t="str">
        <f aca="false">IF(K642="","",J642*INDEX(Resources!$E$2:$E$64,MATCH($D642,Resources!$A$2:$A$64,0)))</f>
        <v/>
      </c>
      <c r="M642" s="6" t="str">
        <f aca="false">B642&amp;"|"&amp;D642&amp;"|"&amp;C642</f>
        <v>Clover Cover Crop|Seeds|Input</v>
      </c>
    </row>
    <row r="643" customFormat="false" ht="15" hidden="false" customHeight="true" outlineLevel="0" collapsed="false">
      <c r="A643" s="6" t="s">
        <v>1623</v>
      </c>
      <c r="B643" s="6" t="s">
        <v>757</v>
      </c>
      <c r="C643" s="6" t="s">
        <v>943</v>
      </c>
      <c r="D643" s="6" t="s">
        <v>900</v>
      </c>
      <c r="E643" s="26" t="n">
        <v>10</v>
      </c>
      <c r="F643" s="6" t="str">
        <f aca="false">IFERROR(INDEX(Resources!$B$2:$B$64,MATCH($D643,Resources!$A$2:$A$64,0)),"?")</f>
        <v>cu ft</v>
      </c>
      <c r="G643" s="6" t="s">
        <v>1184</v>
      </c>
      <c r="H643" s="27" t="n">
        <f aca="false">E643*INDEX(Assumptions!$D$17:$D$23,MATCH(G643,Assumptions!$B$17:$B$23,0))</f>
        <v>0.192307692307692</v>
      </c>
      <c r="I643" s="6" t="n">
        <f aca="false">IFERROR(INDEX(Systems!$R$2:$R$179,MATCH($B643,Systems!$B$2:$B$179,0)),0)</f>
        <v>0</v>
      </c>
      <c r="J643" s="27" t="n">
        <f aca="false">H643*I643</f>
        <v>0</v>
      </c>
      <c r="K643" s="6" t="str">
        <f aca="false">IFERROR(IF(INDEX(Resources!$D$2:$D$64,MATCH($D643,Resources!$A$2:$A$64,0))="","",INDEX(Resources!$D$2:$D$64,MATCH($D643,Resources!$A$2:$A$64,0))),"")</f>
        <v/>
      </c>
      <c r="L643" s="28" t="str">
        <f aca="false">IF(K643="","",J643*INDEX(Resources!$E$2:$E$64,MATCH($D643,Resources!$A$2:$A$64,0)))</f>
        <v/>
      </c>
      <c r="M643" s="6" t="str">
        <f aca="false">B643&amp;"|"&amp;D643&amp;"|"&amp;C643</f>
        <v>Clover Cover Crop|Soil|Output</v>
      </c>
    </row>
    <row r="644" customFormat="false" ht="15" hidden="false" customHeight="true" outlineLevel="0" collapsed="false">
      <c r="A644" s="6" t="s">
        <v>1624</v>
      </c>
      <c r="B644" s="6" t="s">
        <v>757</v>
      </c>
      <c r="C644" s="6" t="s">
        <v>943</v>
      </c>
      <c r="D644" s="6" t="s">
        <v>216</v>
      </c>
      <c r="E644" s="26" t="n">
        <v>50</v>
      </c>
      <c r="F644" s="6" t="str">
        <f aca="false">IFERROR(INDEX(Resources!$B$2:$B$64,MATCH($D644,Resources!$A$2:$A$64,0)),"?")</f>
        <v>lbs</v>
      </c>
      <c r="G644" s="6" t="s">
        <v>1184</v>
      </c>
      <c r="H644" s="27" t="n">
        <f aca="false">E644*INDEX(Assumptions!$D$17:$D$23,MATCH(G644,Assumptions!$B$17:$B$23,0))</f>
        <v>0.961538461538462</v>
      </c>
      <c r="I644" s="6" t="n">
        <f aca="false">IFERROR(INDEX(Systems!$R$2:$R$179,MATCH($B644,Systems!$B$2:$B$179,0)),0)</f>
        <v>0</v>
      </c>
      <c r="J644" s="27" t="n">
        <f aca="false">H644*I644</f>
        <v>0</v>
      </c>
      <c r="K644" s="6" t="str">
        <f aca="false">IFERROR(IF(INDEX(Resources!$D$2:$D$64,MATCH($D644,Resources!$A$2:$A$64,0))="","",INDEX(Resources!$D$2:$D$64,MATCH($D644,Resources!$A$2:$A$64,0))),"")</f>
        <v/>
      </c>
      <c r="L644" s="28" t="str">
        <f aca="false">IF(K644="","",J644*INDEX(Resources!$E$2:$E$64,MATCH($D644,Resources!$A$2:$A$64,0)))</f>
        <v/>
      </c>
      <c r="M644" s="6" t="str">
        <f aca="false">B644&amp;"|"&amp;D644&amp;"|"&amp;C644</f>
        <v>Clover Cover Crop|Green biomass|Output</v>
      </c>
    </row>
    <row r="645" customFormat="false" ht="15" hidden="false" customHeight="true" outlineLevel="0" collapsed="false">
      <c r="A645" s="6" t="s">
        <v>1625</v>
      </c>
      <c r="B645" s="6" t="s">
        <v>757</v>
      </c>
      <c r="C645" s="6" t="s">
        <v>943</v>
      </c>
      <c r="D645" s="6" t="s">
        <v>436</v>
      </c>
      <c r="E645" s="26" t="n">
        <v>1000</v>
      </c>
      <c r="F645" s="6" t="str">
        <f aca="false">IFERROR(INDEX(Resources!$B$2:$B$64,MATCH($D645,Resources!$A$2:$A$64,0)),"?")</f>
        <v>sq ft</v>
      </c>
      <c r="G645" s="6" t="s">
        <v>945</v>
      </c>
      <c r="H645" s="27" t="n">
        <f aca="false">E645*INDEX(Assumptions!$D$17:$D$23,MATCH(G645,Assumptions!$B$17:$B$23,0))</f>
        <v>1000</v>
      </c>
      <c r="I645" s="6" t="n">
        <f aca="false">IFERROR(INDEX(Systems!$R$2:$R$179,MATCH($B645,Systems!$B$2:$B$179,0)),0)</f>
        <v>0</v>
      </c>
      <c r="J645" s="27" t="n">
        <f aca="false">H645*I645</f>
        <v>0</v>
      </c>
      <c r="K645" s="6" t="str">
        <f aca="false">IFERROR(IF(INDEX(Resources!$D$2:$D$64,MATCH($D645,Resources!$A$2:$A$64,0))="","",INDEX(Resources!$D$2:$D$64,MATCH($D645,Resources!$A$2:$A$64,0))),"")</f>
        <v/>
      </c>
      <c r="L645" s="28" t="str">
        <f aca="false">IF(K645="","",J645*INDEX(Resources!$E$2:$E$64,MATCH($D645,Resources!$A$2:$A$64,0)))</f>
        <v/>
      </c>
      <c r="M645" s="6" t="str">
        <f aca="false">B645&amp;"|"&amp;D645&amp;"|"&amp;C645</f>
        <v>Clover Cover Crop|Pollinator flowers|Output</v>
      </c>
    </row>
    <row r="646" customFormat="false" ht="15" hidden="false" customHeight="true" outlineLevel="0" collapsed="false">
      <c r="A646" s="6" t="s">
        <v>1626</v>
      </c>
      <c r="B646" s="6" t="s">
        <v>760</v>
      </c>
      <c r="C646" s="6" t="s">
        <v>938</v>
      </c>
      <c r="D646" s="6" t="s">
        <v>415</v>
      </c>
      <c r="E646" s="26" t="n">
        <v>10</v>
      </c>
      <c r="F646" s="6" t="str">
        <f aca="false">IFERROR(INDEX(Resources!$B$2:$B$64,MATCH($D646,Resources!$A$2:$A$64,0)),"?")</f>
        <v>lbs</v>
      </c>
      <c r="G646" s="6" t="s">
        <v>1115</v>
      </c>
      <c r="H646" s="27" t="n">
        <f aca="false">E646*INDEX(Assumptions!$D$17:$D$23,MATCH(G646,Assumptions!$B$17:$B$23,0))</f>
        <v>0</v>
      </c>
      <c r="I646" s="6" t="n">
        <f aca="false">IFERROR(INDEX(Systems!$R$2:$R$179,MATCH($B646,Systems!$B$2:$B$179,0)),0)</f>
        <v>0</v>
      </c>
      <c r="J646" s="27" t="n">
        <f aca="false">H646*I646</f>
        <v>0</v>
      </c>
      <c r="K646" s="6" t="str">
        <f aca="false">IFERROR(IF(INDEX(Resources!$D$2:$D$64,MATCH($D646,Resources!$A$2:$A$64,0))="","",INDEX(Resources!$D$2:$D$64,MATCH($D646,Resources!$A$2:$A$64,0))),"")</f>
        <v/>
      </c>
      <c r="L646" s="28" t="str">
        <f aca="false">IF(K646="","",J646*INDEX(Resources!$E$2:$E$64,MATCH($D646,Resources!$A$2:$A$64,0)))</f>
        <v/>
      </c>
      <c r="M646" s="6" t="str">
        <f aca="false">B646&amp;"|"&amp;D646&amp;"|"&amp;C646</f>
        <v>Bat House|Waste lumber|Input</v>
      </c>
    </row>
    <row r="647" customFormat="false" ht="15" hidden="false" customHeight="true" outlineLevel="0" collapsed="false">
      <c r="A647" s="6" t="s">
        <v>1627</v>
      </c>
      <c r="B647" s="6" t="s">
        <v>760</v>
      </c>
      <c r="C647" s="6" t="s">
        <v>943</v>
      </c>
      <c r="D647" s="6" t="s">
        <v>1021</v>
      </c>
      <c r="E647" s="26" t="n">
        <v>2</v>
      </c>
      <c r="F647" s="6" t="str">
        <f aca="false">IFERROR(INDEX(Resources!$B$2:$B$64,MATCH($D647,Resources!$A$2:$A$64,0)),"?")</f>
        <v>units</v>
      </c>
      <c r="G647" s="6" t="s">
        <v>945</v>
      </c>
      <c r="H647" s="27" t="n">
        <f aca="false">E647*INDEX(Assumptions!$D$17:$D$23,MATCH(G647,Assumptions!$B$17:$B$23,0))</f>
        <v>2</v>
      </c>
      <c r="I647" s="6" t="n">
        <f aca="false">IFERROR(INDEX(Systems!$R$2:$R$179,MATCH($B647,Systems!$B$2:$B$179,0)),0)</f>
        <v>0</v>
      </c>
      <c r="J647" s="27" t="n">
        <f aca="false">H647*I647</f>
        <v>0</v>
      </c>
      <c r="K647" s="6" t="str">
        <f aca="false">IFERROR(IF(INDEX(Resources!$D$2:$D$64,MATCH($D647,Resources!$A$2:$A$64,0))="","",INDEX(Resources!$D$2:$D$64,MATCH($D647,Resources!$A$2:$A$64,0))),"")</f>
        <v/>
      </c>
      <c r="L647" s="28" t="str">
        <f aca="false">IF(K647="","",J647*INDEX(Resources!$E$2:$E$64,MATCH($D647,Resources!$A$2:$A$64,0)))</f>
        <v/>
      </c>
      <c r="M647" s="6" t="str">
        <f aca="false">B647&amp;"|"&amp;D647&amp;"|"&amp;C647</f>
        <v>Bat House|Pest control|Output</v>
      </c>
    </row>
    <row r="648" customFormat="false" ht="15" hidden="false" customHeight="true" outlineLevel="0" collapsed="false">
      <c r="A648" s="6" t="s">
        <v>1628</v>
      </c>
      <c r="B648" s="6" t="s">
        <v>760</v>
      </c>
      <c r="C648" s="6" t="s">
        <v>943</v>
      </c>
      <c r="D648" s="6" t="s">
        <v>462</v>
      </c>
      <c r="E648" s="26" t="n">
        <v>1</v>
      </c>
      <c r="F648" s="6" t="str">
        <f aca="false">IFERROR(INDEX(Resources!$B$2:$B$64,MATCH($D648,Resources!$A$2:$A$64,0)),"?")</f>
        <v>points</v>
      </c>
      <c r="G648" s="6" t="s">
        <v>939</v>
      </c>
      <c r="H648" s="27" t="n">
        <f aca="false">E648*INDEX(Assumptions!$D$17:$D$23,MATCH(G648,Assumptions!$B$17:$B$23,0))</f>
        <v>1</v>
      </c>
      <c r="I648" s="6" t="n">
        <f aca="false">IFERROR(INDEX(Systems!$R$2:$R$179,MATCH($B648,Systems!$B$2:$B$179,0)),0)</f>
        <v>0</v>
      </c>
      <c r="J648" s="27" t="n">
        <f aca="false">H648*I648</f>
        <v>0</v>
      </c>
      <c r="K648" s="6" t="str">
        <f aca="false">IFERROR(IF(INDEX(Resources!$D$2:$D$64,MATCH($D648,Resources!$A$2:$A$64,0))="","",INDEX(Resources!$D$2:$D$64,MATCH($D648,Resources!$A$2:$A$64,0))),"")</f>
        <v/>
      </c>
      <c r="L648" s="28" t="str">
        <f aca="false">IF(K648="","",J648*INDEX(Resources!$E$2:$E$64,MATCH($D648,Resources!$A$2:$A$64,0)))</f>
        <v/>
      </c>
      <c r="M648" s="6" t="str">
        <f aca="false">B648&amp;"|"&amp;D648&amp;"|"&amp;C648</f>
        <v>Bat House|Wellbeing|Output</v>
      </c>
    </row>
    <row r="649" customFormat="false" ht="15" hidden="false" customHeight="true" outlineLevel="0" collapsed="false">
      <c r="A649" s="6" t="s">
        <v>1629</v>
      </c>
      <c r="B649" s="6" t="s">
        <v>763</v>
      </c>
      <c r="C649" s="6" t="s">
        <v>938</v>
      </c>
      <c r="D649" s="6" t="s">
        <v>71</v>
      </c>
      <c r="E649" s="26" t="n">
        <v>0.1</v>
      </c>
      <c r="F649" s="6" t="str">
        <f aca="false">IFERROR(INDEX(Resources!$B$2:$B$64,MATCH($D649,Resources!$A$2:$A$64,0)),"?")</f>
        <v>hours</v>
      </c>
      <c r="G649" s="6" t="s">
        <v>939</v>
      </c>
      <c r="H649" s="27" t="n">
        <f aca="false">E649*INDEX(Assumptions!$D$17:$D$23,MATCH(G649,Assumptions!$B$17:$B$23,0))</f>
        <v>0.1</v>
      </c>
      <c r="I649" s="6" t="n">
        <f aca="false">IFERROR(INDEX(Systems!$R$2:$R$179,MATCH($B649,Systems!$B$2:$B$179,0)),0)</f>
        <v>0</v>
      </c>
      <c r="J649" s="27" t="n">
        <f aca="false">H649*I649</f>
        <v>0</v>
      </c>
      <c r="K649" s="6" t="str">
        <f aca="false">IFERROR(IF(INDEX(Resources!$D$2:$D$64,MATCH($D649,Resources!$A$2:$A$64,0))="","",INDEX(Resources!$D$2:$D$64,MATCH($D649,Resources!$A$2:$A$64,0))),"")</f>
        <v>Est. Required Labor</v>
      </c>
      <c r="L649" s="28" t="n">
        <f aca="false">IF(K649="","",J649*INDEX(Resources!$E$2:$E$64,MATCH($D649,Resources!$A$2:$A$64,0)))</f>
        <v>0</v>
      </c>
      <c r="M649" s="6" t="str">
        <f aca="false">B649&amp;"|"&amp;D649&amp;"|"&amp;C649</f>
        <v>Pollinator Meadow (1,000 sq ft)|Labor|Input</v>
      </c>
      <c r="N649" s="6" t="s">
        <v>940</v>
      </c>
    </row>
    <row r="650" customFormat="false" ht="15" hidden="false" customHeight="true" outlineLevel="0" collapsed="false">
      <c r="A650" s="6" t="s">
        <v>1630</v>
      </c>
      <c r="B650" s="6" t="s">
        <v>763</v>
      </c>
      <c r="C650" s="6" t="s">
        <v>938</v>
      </c>
      <c r="D650" s="6" t="s">
        <v>1183</v>
      </c>
      <c r="E650" s="26" t="n">
        <v>8</v>
      </c>
      <c r="F650" s="6" t="str">
        <f aca="false">IFERROR(INDEX(Resources!$B$2:$B$64,MATCH($D650,Resources!$A$2:$A$64,0)),"?")</f>
        <v>oz</v>
      </c>
      <c r="G650" s="6" t="s">
        <v>1184</v>
      </c>
      <c r="H650" s="27" t="n">
        <f aca="false">E650*INDEX(Assumptions!$D$17:$D$23,MATCH(G650,Assumptions!$B$17:$B$23,0))</f>
        <v>0.153846153846154</v>
      </c>
      <c r="I650" s="6" t="n">
        <f aca="false">IFERROR(INDEX(Systems!$R$2:$R$179,MATCH($B650,Systems!$B$2:$B$179,0)),0)</f>
        <v>0</v>
      </c>
      <c r="J650" s="27" t="n">
        <f aca="false">H650*I650</f>
        <v>0</v>
      </c>
      <c r="K650" s="6" t="str">
        <f aca="false">IFERROR(IF(INDEX(Resources!$D$2:$D$64,MATCH($D650,Resources!$A$2:$A$64,0))="","",INDEX(Resources!$D$2:$D$64,MATCH($D650,Resources!$A$2:$A$64,0))),"")</f>
        <v/>
      </c>
      <c r="L650" s="28" t="str">
        <f aca="false">IF(K650="","",J650*INDEX(Resources!$E$2:$E$64,MATCH($D650,Resources!$A$2:$A$64,0)))</f>
        <v/>
      </c>
      <c r="M650" s="6" t="str">
        <f aca="false">B650&amp;"|"&amp;D650&amp;"|"&amp;C650</f>
        <v>Pollinator Meadow (1,000 sq ft)|Seeds|Input</v>
      </c>
    </row>
    <row r="651" customFormat="false" ht="15" hidden="false" customHeight="true" outlineLevel="0" collapsed="false">
      <c r="A651" s="6" t="s">
        <v>1631</v>
      </c>
      <c r="B651" s="6" t="s">
        <v>763</v>
      </c>
      <c r="C651" s="6" t="s">
        <v>943</v>
      </c>
      <c r="D651" s="6" t="s">
        <v>436</v>
      </c>
      <c r="E651" s="26" t="n">
        <v>1000</v>
      </c>
      <c r="F651" s="6" t="str">
        <f aca="false">IFERROR(INDEX(Resources!$B$2:$B$64,MATCH($D651,Resources!$A$2:$A$64,0)),"?")</f>
        <v>sq ft</v>
      </c>
      <c r="G651" s="6" t="s">
        <v>945</v>
      </c>
      <c r="H651" s="27" t="n">
        <f aca="false">E651*INDEX(Assumptions!$D$17:$D$23,MATCH(G651,Assumptions!$B$17:$B$23,0))</f>
        <v>1000</v>
      </c>
      <c r="I651" s="6" t="n">
        <f aca="false">IFERROR(INDEX(Systems!$R$2:$R$179,MATCH($B651,Systems!$B$2:$B$179,0)),0)</f>
        <v>0</v>
      </c>
      <c r="J651" s="27" t="n">
        <f aca="false">H651*I651</f>
        <v>0</v>
      </c>
      <c r="K651" s="6" t="str">
        <f aca="false">IFERROR(IF(INDEX(Resources!$D$2:$D$64,MATCH($D651,Resources!$A$2:$A$64,0))="","",INDEX(Resources!$D$2:$D$64,MATCH($D651,Resources!$A$2:$A$64,0))),"")</f>
        <v/>
      </c>
      <c r="L651" s="28" t="str">
        <f aca="false">IF(K651="","",J651*INDEX(Resources!$E$2:$E$64,MATCH($D651,Resources!$A$2:$A$64,0)))</f>
        <v/>
      </c>
      <c r="M651" s="6" t="str">
        <f aca="false">B651&amp;"|"&amp;D651&amp;"|"&amp;C651</f>
        <v>Pollinator Meadow (1,000 sq ft)|Pollinator flowers|Output</v>
      </c>
    </row>
    <row r="652" customFormat="false" ht="15" hidden="false" customHeight="true" outlineLevel="0" collapsed="false">
      <c r="A652" s="6" t="s">
        <v>1632</v>
      </c>
      <c r="B652" s="6" t="s">
        <v>763</v>
      </c>
      <c r="C652" s="6" t="s">
        <v>943</v>
      </c>
      <c r="D652" s="6" t="s">
        <v>1021</v>
      </c>
      <c r="E652" s="26" t="n">
        <v>0.5</v>
      </c>
      <c r="F652" s="6" t="str">
        <f aca="false">IFERROR(INDEX(Resources!$B$2:$B$64,MATCH($D652,Resources!$A$2:$A$64,0)),"?")</f>
        <v>units</v>
      </c>
      <c r="G652" s="6" t="s">
        <v>945</v>
      </c>
      <c r="H652" s="27" t="n">
        <f aca="false">E652*INDEX(Assumptions!$D$17:$D$23,MATCH(G652,Assumptions!$B$17:$B$23,0))</f>
        <v>0.5</v>
      </c>
      <c r="I652" s="6" t="n">
        <f aca="false">IFERROR(INDEX(Systems!$R$2:$R$179,MATCH($B652,Systems!$B$2:$B$179,0)),0)</f>
        <v>0</v>
      </c>
      <c r="J652" s="27" t="n">
        <f aca="false">H652*I652</f>
        <v>0</v>
      </c>
      <c r="K652" s="6" t="str">
        <f aca="false">IFERROR(IF(INDEX(Resources!$D$2:$D$64,MATCH($D652,Resources!$A$2:$A$64,0))="","",INDEX(Resources!$D$2:$D$64,MATCH($D652,Resources!$A$2:$A$64,0))),"")</f>
        <v/>
      </c>
      <c r="L652" s="28" t="str">
        <f aca="false">IF(K652="","",J652*INDEX(Resources!$E$2:$E$64,MATCH($D652,Resources!$A$2:$A$64,0)))</f>
        <v/>
      </c>
      <c r="M652" s="6" t="str">
        <f aca="false">B652&amp;"|"&amp;D652&amp;"|"&amp;C652</f>
        <v>Pollinator Meadow (1,000 sq ft)|Pest control|Output</v>
      </c>
    </row>
    <row r="653" customFormat="false" ht="15" hidden="false" customHeight="true" outlineLevel="0" collapsed="false">
      <c r="A653" s="6" t="s">
        <v>1633</v>
      </c>
      <c r="B653" s="6" t="s">
        <v>763</v>
      </c>
      <c r="C653" s="6" t="s">
        <v>943</v>
      </c>
      <c r="D653" s="6" t="s">
        <v>462</v>
      </c>
      <c r="E653" s="26" t="n">
        <v>2</v>
      </c>
      <c r="F653" s="6" t="str">
        <f aca="false">IFERROR(INDEX(Resources!$B$2:$B$64,MATCH($D653,Resources!$A$2:$A$64,0)),"?")</f>
        <v>points</v>
      </c>
      <c r="G653" s="6" t="s">
        <v>939</v>
      </c>
      <c r="H653" s="27" t="n">
        <f aca="false">E653*INDEX(Assumptions!$D$17:$D$23,MATCH(G653,Assumptions!$B$17:$B$23,0))</f>
        <v>2</v>
      </c>
      <c r="I653" s="6" t="n">
        <f aca="false">IFERROR(INDEX(Systems!$R$2:$R$179,MATCH($B653,Systems!$B$2:$B$179,0)),0)</f>
        <v>0</v>
      </c>
      <c r="J653" s="27" t="n">
        <f aca="false">H653*I653</f>
        <v>0</v>
      </c>
      <c r="K653" s="6" t="str">
        <f aca="false">IFERROR(IF(INDEX(Resources!$D$2:$D$64,MATCH($D653,Resources!$A$2:$A$64,0))="","",INDEX(Resources!$D$2:$D$64,MATCH($D653,Resources!$A$2:$A$64,0))),"")</f>
        <v/>
      </c>
      <c r="L653" s="28" t="str">
        <f aca="false">IF(K653="","",J653*INDEX(Resources!$E$2:$E$64,MATCH($D653,Resources!$A$2:$A$64,0)))</f>
        <v/>
      </c>
      <c r="M653" s="6" t="str">
        <f aca="false">B653&amp;"|"&amp;D653&amp;"|"&amp;C653</f>
        <v>Pollinator Meadow (1,000 sq ft)|Wellbeing|Output</v>
      </c>
    </row>
    <row r="654" customFormat="false" ht="15" hidden="false" customHeight="true" outlineLevel="0" collapsed="false">
      <c r="A654" s="6" t="s">
        <v>1634</v>
      </c>
      <c r="B654" s="6" t="s">
        <v>766</v>
      </c>
      <c r="C654" s="6" t="s">
        <v>938</v>
      </c>
      <c r="D654" s="6" t="s">
        <v>71</v>
      </c>
      <c r="E654" s="26" t="n">
        <v>0.25</v>
      </c>
      <c r="F654" s="6" t="str">
        <f aca="false">IFERROR(INDEX(Resources!$B$2:$B$64,MATCH($D654,Resources!$A$2:$A$64,0)),"?")</f>
        <v>hours</v>
      </c>
      <c r="G654" s="6" t="s">
        <v>939</v>
      </c>
      <c r="H654" s="27" t="n">
        <f aca="false">E654*INDEX(Assumptions!$D$17:$D$23,MATCH(G654,Assumptions!$B$17:$B$23,0))</f>
        <v>0.25</v>
      </c>
      <c r="I654" s="6" t="n">
        <f aca="false">IFERROR(INDEX(Systems!$R$2:$R$179,MATCH($B654,Systems!$B$2:$B$179,0)),0)</f>
        <v>0</v>
      </c>
      <c r="J654" s="27" t="n">
        <f aca="false">H654*I654</f>
        <v>0</v>
      </c>
      <c r="K654" s="6" t="str">
        <f aca="false">IFERROR(IF(INDEX(Resources!$D$2:$D$64,MATCH($D654,Resources!$A$2:$A$64,0))="","",INDEX(Resources!$D$2:$D$64,MATCH($D654,Resources!$A$2:$A$64,0))),"")</f>
        <v>Est. Required Labor</v>
      </c>
      <c r="L654" s="28" t="n">
        <f aca="false">IF(K654="","",J654*INDEX(Resources!$E$2:$E$64,MATCH($D654,Resources!$A$2:$A$64,0)))</f>
        <v>0</v>
      </c>
      <c r="M654" s="6" t="str">
        <f aca="false">B654&amp;"|"&amp;D654&amp;"|"&amp;C654</f>
        <v>Native Hedgerow (100 ft)|Labor|Input</v>
      </c>
      <c r="N654" s="6" t="s">
        <v>940</v>
      </c>
    </row>
    <row r="655" customFormat="false" ht="15" hidden="false" customHeight="true" outlineLevel="0" collapsed="false">
      <c r="A655" s="6" t="s">
        <v>1635</v>
      </c>
      <c r="B655" s="6" t="s">
        <v>766</v>
      </c>
      <c r="C655" s="6" t="s">
        <v>938</v>
      </c>
      <c r="D655" s="6" t="s">
        <v>1114</v>
      </c>
      <c r="E655" s="26" t="n">
        <v>40</v>
      </c>
      <c r="F655" s="6" t="str">
        <f aca="false">IFERROR(INDEX(Resources!$B$2:$B$64,MATCH($D655,Resources!$A$2:$A$64,0)),"?")</f>
        <v>plants</v>
      </c>
      <c r="G655" s="6" t="s">
        <v>1115</v>
      </c>
      <c r="H655" s="27" t="n">
        <f aca="false">E655*INDEX(Assumptions!$D$17:$D$23,MATCH(G655,Assumptions!$B$17:$B$23,0))</f>
        <v>0</v>
      </c>
      <c r="I655" s="6" t="n">
        <f aca="false">IFERROR(INDEX(Systems!$R$2:$R$179,MATCH($B655,Systems!$B$2:$B$179,0)),0)</f>
        <v>0</v>
      </c>
      <c r="J655" s="27" t="n">
        <f aca="false">H655*I655</f>
        <v>0</v>
      </c>
      <c r="K655" s="6" t="str">
        <f aca="false">IFERROR(IF(INDEX(Resources!$D$2:$D$64,MATCH($D655,Resources!$A$2:$A$64,0))="","",INDEX(Resources!$D$2:$D$64,MATCH($D655,Resources!$A$2:$A$64,0))),"")</f>
        <v/>
      </c>
      <c r="L655" s="28" t="str">
        <f aca="false">IF(K655="","",J655*INDEX(Resources!$E$2:$E$64,MATCH($D655,Resources!$A$2:$A$64,0)))</f>
        <v/>
      </c>
      <c r="M655" s="6" t="str">
        <f aca="false">B655&amp;"|"&amp;D655&amp;"|"&amp;C655</f>
        <v>Native Hedgerow (100 ft)|Seedlings|Input</v>
      </c>
    </row>
    <row r="656" customFormat="false" ht="15" hidden="false" customHeight="true" outlineLevel="0" collapsed="false">
      <c r="A656" s="6" t="s">
        <v>1636</v>
      </c>
      <c r="B656" s="6" t="s">
        <v>766</v>
      </c>
      <c r="C656" s="6" t="s">
        <v>938</v>
      </c>
      <c r="D656" s="6" t="s">
        <v>49</v>
      </c>
      <c r="E656" s="26" t="n">
        <v>20</v>
      </c>
      <c r="F656" s="6" t="str">
        <f aca="false">IFERROR(INDEX(Resources!$B$2:$B$64,MATCH($D656,Resources!$A$2:$A$64,0)),"?")</f>
        <v>gal</v>
      </c>
      <c r="G656" s="6" t="s">
        <v>939</v>
      </c>
      <c r="H656" s="27" t="n">
        <f aca="false">E656*INDEX(Assumptions!$D$17:$D$23,MATCH(G656,Assumptions!$B$17:$B$23,0))</f>
        <v>20</v>
      </c>
      <c r="I656" s="6" t="n">
        <f aca="false">IFERROR(INDEX(Systems!$R$2:$R$179,MATCH($B656,Systems!$B$2:$B$179,0)),0)</f>
        <v>0</v>
      </c>
      <c r="J656" s="27" t="n">
        <f aca="false">H656*I656</f>
        <v>0</v>
      </c>
      <c r="K656" s="6" t="str">
        <f aca="false">IFERROR(IF(INDEX(Resources!$D$2:$D$64,MATCH($D656,Resources!$A$2:$A$64,0))="","",INDEX(Resources!$D$2:$D$64,MATCH($D656,Resources!$A$2:$A$64,0))),"")</f>
        <v>Water</v>
      </c>
      <c r="L656" s="28" t="n">
        <f aca="false">IF(K656="","",J656*INDEX(Resources!$E$2:$E$64,MATCH($D656,Resources!$A$2:$A$64,0)))</f>
        <v>0</v>
      </c>
      <c r="M656" s="6" t="str">
        <f aca="false">B656&amp;"|"&amp;D656&amp;"|"&amp;C656</f>
        <v>Native Hedgerow (100 ft)|Water|Input</v>
      </c>
    </row>
    <row r="657" customFormat="false" ht="15" hidden="false" customHeight="true" outlineLevel="0" collapsed="false">
      <c r="A657" s="6" t="s">
        <v>1637</v>
      </c>
      <c r="B657" s="6" t="s">
        <v>766</v>
      </c>
      <c r="C657" s="6" t="s">
        <v>943</v>
      </c>
      <c r="D657" s="6" t="s">
        <v>1021</v>
      </c>
      <c r="E657" s="26" t="n">
        <v>1</v>
      </c>
      <c r="F657" s="6" t="str">
        <f aca="false">IFERROR(INDEX(Resources!$B$2:$B$64,MATCH($D657,Resources!$A$2:$A$64,0)),"?")</f>
        <v>units</v>
      </c>
      <c r="G657" s="6" t="s">
        <v>945</v>
      </c>
      <c r="H657" s="27" t="n">
        <f aca="false">E657*INDEX(Assumptions!$D$17:$D$23,MATCH(G657,Assumptions!$B$17:$B$23,0))</f>
        <v>1</v>
      </c>
      <c r="I657" s="6" t="n">
        <f aca="false">IFERROR(INDEX(Systems!$R$2:$R$179,MATCH($B657,Systems!$B$2:$B$179,0)),0)</f>
        <v>0</v>
      </c>
      <c r="J657" s="27" t="n">
        <f aca="false">H657*I657</f>
        <v>0</v>
      </c>
      <c r="K657" s="6" t="str">
        <f aca="false">IFERROR(IF(INDEX(Resources!$D$2:$D$64,MATCH($D657,Resources!$A$2:$A$64,0))="","",INDEX(Resources!$D$2:$D$64,MATCH($D657,Resources!$A$2:$A$64,0))),"")</f>
        <v/>
      </c>
      <c r="L657" s="28" t="str">
        <f aca="false">IF(K657="","",J657*INDEX(Resources!$E$2:$E$64,MATCH($D657,Resources!$A$2:$A$64,0)))</f>
        <v/>
      </c>
      <c r="M657" s="6" t="str">
        <f aca="false">B657&amp;"|"&amp;D657&amp;"|"&amp;C657</f>
        <v>Native Hedgerow (100 ft)|Pest control|Output</v>
      </c>
    </row>
    <row r="658" customFormat="false" ht="15" hidden="false" customHeight="true" outlineLevel="0" collapsed="false">
      <c r="A658" s="6" t="s">
        <v>1638</v>
      </c>
      <c r="B658" s="6" t="s">
        <v>766</v>
      </c>
      <c r="C658" s="6" t="s">
        <v>943</v>
      </c>
      <c r="D658" s="6" t="s">
        <v>436</v>
      </c>
      <c r="E658" s="26" t="n">
        <v>400</v>
      </c>
      <c r="F658" s="6" t="str">
        <f aca="false">IFERROR(INDEX(Resources!$B$2:$B$64,MATCH($D658,Resources!$A$2:$A$64,0)),"?")</f>
        <v>sq ft</v>
      </c>
      <c r="G658" s="6" t="s">
        <v>945</v>
      </c>
      <c r="H658" s="27" t="n">
        <f aca="false">E658*INDEX(Assumptions!$D$17:$D$23,MATCH(G658,Assumptions!$B$17:$B$23,0))</f>
        <v>400</v>
      </c>
      <c r="I658" s="6" t="n">
        <f aca="false">IFERROR(INDEX(Systems!$R$2:$R$179,MATCH($B658,Systems!$B$2:$B$179,0)),0)</f>
        <v>0</v>
      </c>
      <c r="J658" s="27" t="n">
        <f aca="false">H658*I658</f>
        <v>0</v>
      </c>
      <c r="K658" s="6" t="str">
        <f aca="false">IFERROR(IF(INDEX(Resources!$D$2:$D$64,MATCH($D658,Resources!$A$2:$A$64,0))="","",INDEX(Resources!$D$2:$D$64,MATCH($D658,Resources!$A$2:$A$64,0))),"")</f>
        <v/>
      </c>
      <c r="L658" s="28" t="str">
        <f aca="false">IF(K658="","",J658*INDEX(Resources!$E$2:$E$64,MATCH($D658,Resources!$A$2:$A$64,0)))</f>
        <v/>
      </c>
      <c r="M658" s="6" t="str">
        <f aca="false">B658&amp;"|"&amp;D658&amp;"|"&amp;C658</f>
        <v>Native Hedgerow (100 ft)|Pollinator flowers|Output</v>
      </c>
    </row>
    <row r="659" customFormat="false" ht="15" hidden="false" customHeight="true" outlineLevel="0" collapsed="false">
      <c r="A659" s="6" t="s">
        <v>1639</v>
      </c>
      <c r="B659" s="6" t="s">
        <v>766</v>
      </c>
      <c r="C659" s="6" t="s">
        <v>943</v>
      </c>
      <c r="D659" s="6" t="s">
        <v>1127</v>
      </c>
      <c r="E659" s="26" t="n">
        <v>50</v>
      </c>
      <c r="F659" s="6" t="str">
        <f aca="false">IFERROR(INDEX(Resources!$B$2:$B$64,MATCH($D659,Resources!$A$2:$A$64,0)),"?")</f>
        <v>lbs</v>
      </c>
      <c r="G659" s="6" t="s">
        <v>1032</v>
      </c>
      <c r="H659" s="27" t="n">
        <f aca="false">E659*INDEX(Assumptions!$D$17:$D$23,MATCH(G659,Assumptions!$B$17:$B$23,0))</f>
        <v>0.961538461538462</v>
      </c>
      <c r="I659" s="6" t="n">
        <f aca="false">IFERROR(INDEX(Systems!$R$2:$R$179,MATCH($B659,Systems!$B$2:$B$179,0)),0)</f>
        <v>0</v>
      </c>
      <c r="J659" s="27" t="n">
        <f aca="false">H659*I659</f>
        <v>0</v>
      </c>
      <c r="K659" s="6" t="str">
        <f aca="false">IFERROR(IF(INDEX(Resources!$D$2:$D$64,MATCH($D659,Resources!$A$2:$A$64,0))="","",INDEX(Resources!$D$2:$D$64,MATCH($D659,Resources!$A$2:$A$64,0))),"")</f>
        <v/>
      </c>
      <c r="L659" s="28" t="str">
        <f aca="false">IF(K659="","",J659*INDEX(Resources!$E$2:$E$64,MATCH($D659,Resources!$A$2:$A$64,0)))</f>
        <v/>
      </c>
      <c r="M659" s="6" t="str">
        <f aca="false">B659&amp;"|"&amp;D659&amp;"|"&amp;C659</f>
        <v>Native Hedgerow (100 ft)|Carbon|Output</v>
      </c>
    </row>
    <row r="660" customFormat="false" ht="15" hidden="false" customHeight="true" outlineLevel="0" collapsed="false">
      <c r="A660" s="6" t="s">
        <v>1640</v>
      </c>
      <c r="B660" s="6" t="s">
        <v>766</v>
      </c>
      <c r="C660" s="6" t="s">
        <v>943</v>
      </c>
      <c r="D660" s="6" t="s">
        <v>462</v>
      </c>
      <c r="E660" s="26" t="n">
        <v>3</v>
      </c>
      <c r="F660" s="6" t="str">
        <f aca="false">IFERROR(INDEX(Resources!$B$2:$B$64,MATCH($D660,Resources!$A$2:$A$64,0)),"?")</f>
        <v>points</v>
      </c>
      <c r="G660" s="6" t="s">
        <v>939</v>
      </c>
      <c r="H660" s="27" t="n">
        <f aca="false">E660*INDEX(Assumptions!$D$17:$D$23,MATCH(G660,Assumptions!$B$17:$B$23,0))</f>
        <v>3</v>
      </c>
      <c r="I660" s="6" t="n">
        <f aca="false">IFERROR(INDEX(Systems!$R$2:$R$179,MATCH($B660,Systems!$B$2:$B$179,0)),0)</f>
        <v>0</v>
      </c>
      <c r="J660" s="27" t="n">
        <f aca="false">H660*I660</f>
        <v>0</v>
      </c>
      <c r="K660" s="6" t="str">
        <f aca="false">IFERROR(IF(INDEX(Resources!$D$2:$D$64,MATCH($D660,Resources!$A$2:$A$64,0))="","",INDEX(Resources!$D$2:$D$64,MATCH($D660,Resources!$A$2:$A$64,0))),"")</f>
        <v/>
      </c>
      <c r="L660" s="28" t="str">
        <f aca="false">IF(K660="","",J660*INDEX(Resources!$E$2:$E$64,MATCH($D660,Resources!$A$2:$A$64,0)))</f>
        <v/>
      </c>
      <c r="M660" s="6" t="str">
        <f aca="false">B660&amp;"|"&amp;D660&amp;"|"&amp;C660</f>
        <v>Native Hedgerow (100 ft)|Wellbeing|Output</v>
      </c>
    </row>
    <row r="661" customFormat="false" ht="15" hidden="false" customHeight="true" outlineLevel="0" collapsed="false">
      <c r="A661" s="6" t="s">
        <v>1641</v>
      </c>
      <c r="B661" s="6" t="s">
        <v>769</v>
      </c>
      <c r="C661" s="6" t="s">
        <v>938</v>
      </c>
      <c r="D661" s="6" t="s">
        <v>71</v>
      </c>
      <c r="E661" s="26" t="n">
        <v>0.05</v>
      </c>
      <c r="F661" s="6" t="str">
        <f aca="false">IFERROR(INDEX(Resources!$B$2:$B$64,MATCH($D661,Resources!$A$2:$A$64,0)),"?")</f>
        <v>hours</v>
      </c>
      <c r="G661" s="6" t="s">
        <v>939</v>
      </c>
      <c r="H661" s="27" t="n">
        <f aca="false">E661*INDEX(Assumptions!$D$17:$D$23,MATCH(G661,Assumptions!$B$17:$B$23,0))</f>
        <v>0.05</v>
      </c>
      <c r="I661" s="6" t="n">
        <f aca="false">IFERROR(INDEX(Systems!$R$2:$R$179,MATCH($B661,Systems!$B$2:$B$179,0)),0)</f>
        <v>0</v>
      </c>
      <c r="J661" s="27" t="n">
        <f aca="false">H661*I661</f>
        <v>0</v>
      </c>
      <c r="K661" s="6" t="str">
        <f aca="false">IFERROR(IF(INDEX(Resources!$D$2:$D$64,MATCH($D661,Resources!$A$2:$A$64,0))="","",INDEX(Resources!$D$2:$D$64,MATCH($D661,Resources!$A$2:$A$64,0))),"")</f>
        <v>Est. Required Labor</v>
      </c>
      <c r="L661" s="28" t="n">
        <f aca="false">IF(K661="","",J661*INDEX(Resources!$E$2:$E$64,MATCH($D661,Resources!$A$2:$A$64,0)))</f>
        <v>0</v>
      </c>
      <c r="M661" s="6" t="str">
        <f aca="false">B661&amp;"|"&amp;D661&amp;"|"&amp;C661</f>
        <v>Mason Bee House|Labor|Input</v>
      </c>
      <c r="N661" s="6" t="s">
        <v>940</v>
      </c>
    </row>
    <row r="662" customFormat="false" ht="15" hidden="false" customHeight="true" outlineLevel="0" collapsed="false">
      <c r="A662" s="6" t="s">
        <v>1642</v>
      </c>
      <c r="B662" s="6" t="s">
        <v>769</v>
      </c>
      <c r="C662" s="6" t="s">
        <v>938</v>
      </c>
      <c r="D662" s="6" t="s">
        <v>436</v>
      </c>
      <c r="E662" s="26" t="n">
        <v>100</v>
      </c>
      <c r="F662" s="6" t="str">
        <f aca="false">IFERROR(INDEX(Resources!$B$2:$B$64,MATCH($D662,Resources!$A$2:$A$64,0)),"?")</f>
        <v>sq ft</v>
      </c>
      <c r="G662" s="6" t="s">
        <v>945</v>
      </c>
      <c r="H662" s="27" t="n">
        <f aca="false">E662*INDEX(Assumptions!$D$17:$D$23,MATCH(G662,Assumptions!$B$17:$B$23,0))</f>
        <v>100</v>
      </c>
      <c r="I662" s="6" t="n">
        <f aca="false">IFERROR(INDEX(Systems!$R$2:$R$179,MATCH($B662,Systems!$B$2:$B$179,0)),0)</f>
        <v>0</v>
      </c>
      <c r="J662" s="27" t="n">
        <f aca="false">H662*I662</f>
        <v>0</v>
      </c>
      <c r="K662" s="6" t="str">
        <f aca="false">IFERROR(IF(INDEX(Resources!$D$2:$D$64,MATCH($D662,Resources!$A$2:$A$64,0))="","",INDEX(Resources!$D$2:$D$64,MATCH($D662,Resources!$A$2:$A$64,0))),"")</f>
        <v/>
      </c>
      <c r="L662" s="28" t="str">
        <f aca="false">IF(K662="","",J662*INDEX(Resources!$E$2:$E$64,MATCH($D662,Resources!$A$2:$A$64,0)))</f>
        <v/>
      </c>
      <c r="M662" s="6" t="str">
        <f aca="false">B662&amp;"|"&amp;D662&amp;"|"&amp;C662</f>
        <v>Mason Bee House|Pollinator flowers|Input</v>
      </c>
    </row>
    <row r="663" customFormat="false" ht="15" hidden="false" customHeight="true" outlineLevel="0" collapsed="false">
      <c r="A663" s="6" t="s">
        <v>1643</v>
      </c>
      <c r="B663" s="6" t="s">
        <v>769</v>
      </c>
      <c r="C663" s="6" t="s">
        <v>943</v>
      </c>
      <c r="D663" s="6" t="s">
        <v>437</v>
      </c>
      <c r="E663" s="26" t="n">
        <v>1</v>
      </c>
      <c r="F663" s="6" t="str">
        <f aca="false">IFERROR(INDEX(Resources!$B$2:$B$64,MATCH($D663,Resources!$A$2:$A$64,0)),"?")</f>
        <v>units</v>
      </c>
      <c r="G663" s="6" t="s">
        <v>945</v>
      </c>
      <c r="H663" s="27" t="n">
        <f aca="false">E663*INDEX(Assumptions!$D$17:$D$23,MATCH(G663,Assumptions!$B$17:$B$23,0))</f>
        <v>1</v>
      </c>
      <c r="I663" s="6" t="n">
        <f aca="false">IFERROR(INDEX(Systems!$R$2:$R$179,MATCH($B663,Systems!$B$2:$B$179,0)),0)</f>
        <v>0</v>
      </c>
      <c r="J663" s="27" t="n">
        <f aca="false">H663*I663</f>
        <v>0</v>
      </c>
      <c r="K663" s="6" t="str">
        <f aca="false">IFERROR(IF(INDEX(Resources!$D$2:$D$64,MATCH($D663,Resources!$A$2:$A$64,0))="","",INDEX(Resources!$D$2:$D$64,MATCH($D663,Resources!$A$2:$A$64,0))),"")</f>
        <v/>
      </c>
      <c r="L663" s="28" t="str">
        <f aca="false">IF(K663="","",J663*INDEX(Resources!$E$2:$E$64,MATCH($D663,Resources!$A$2:$A$64,0)))</f>
        <v/>
      </c>
      <c r="M663" s="6" t="str">
        <f aca="false">B663&amp;"|"&amp;D663&amp;"|"&amp;C663</f>
        <v>Mason Bee House|Pollination|Output</v>
      </c>
    </row>
    <row r="664" customFormat="false" ht="15" hidden="false" customHeight="true" outlineLevel="0" collapsed="false">
      <c r="A664" s="6" t="s">
        <v>1644</v>
      </c>
      <c r="B664" s="6" t="s">
        <v>773</v>
      </c>
      <c r="C664" s="6" t="s">
        <v>938</v>
      </c>
      <c r="D664" s="6" t="s">
        <v>71</v>
      </c>
      <c r="E664" s="26" t="n">
        <v>0.5</v>
      </c>
      <c r="F664" s="6" t="str">
        <f aca="false">IFERROR(INDEX(Resources!$B$2:$B$64,MATCH($D664,Resources!$A$2:$A$64,0)),"?")</f>
        <v>hours</v>
      </c>
      <c r="G664" s="6" t="s">
        <v>939</v>
      </c>
      <c r="H664" s="27" t="n">
        <f aca="false">E664*INDEX(Assumptions!$D$17:$D$23,MATCH(G664,Assumptions!$B$17:$B$23,0))</f>
        <v>0.5</v>
      </c>
      <c r="I664" s="6" t="n">
        <f aca="false">IFERROR(INDEX(Systems!$R$2:$R$179,MATCH($B664,Systems!$B$2:$B$179,0)),0)</f>
        <v>0</v>
      </c>
      <c r="J664" s="27" t="n">
        <f aca="false">H664*I664</f>
        <v>0</v>
      </c>
      <c r="K664" s="6" t="str">
        <f aca="false">IFERROR(IF(INDEX(Resources!$D$2:$D$64,MATCH($D664,Resources!$A$2:$A$64,0))="","",INDEX(Resources!$D$2:$D$64,MATCH($D664,Resources!$A$2:$A$64,0))),"")</f>
        <v>Est. Required Labor</v>
      </c>
      <c r="L664" s="28" t="n">
        <f aca="false">IF(K664="","",J664*INDEX(Resources!$E$2:$E$64,MATCH($D664,Resources!$A$2:$A$64,0)))</f>
        <v>0</v>
      </c>
      <c r="M664" s="6" t="str">
        <f aca="false">B664&amp;"|"&amp;D664&amp;"|"&amp;C664</f>
        <v>Mealworm Farm|Labor|Input</v>
      </c>
      <c r="N664" s="6" t="s">
        <v>940</v>
      </c>
    </row>
    <row r="665" customFormat="false" ht="15" hidden="false" customHeight="true" outlineLevel="0" collapsed="false">
      <c r="A665" s="6" t="s">
        <v>1645</v>
      </c>
      <c r="B665" s="6" t="s">
        <v>773</v>
      </c>
      <c r="C665" s="6" t="s">
        <v>938</v>
      </c>
      <c r="D665" s="6" t="s">
        <v>325</v>
      </c>
      <c r="E665" s="26" t="n">
        <v>2</v>
      </c>
      <c r="F665" s="6" t="str">
        <f aca="false">IFERROR(INDEX(Resources!$B$2:$B$64,MATCH($D665,Resources!$A$2:$A$64,0)),"?")</f>
        <v>lbs</v>
      </c>
      <c r="G665" s="6" t="s">
        <v>939</v>
      </c>
      <c r="H665" s="27" t="n">
        <f aca="false">E665*INDEX(Assumptions!$D$17:$D$23,MATCH(G665,Assumptions!$B$17:$B$23,0))</f>
        <v>2</v>
      </c>
      <c r="I665" s="6" t="n">
        <f aca="false">IFERROR(INDEX(Systems!$R$2:$R$179,MATCH($B665,Systems!$B$2:$B$179,0)),0)</f>
        <v>0</v>
      </c>
      <c r="J665" s="27" t="n">
        <f aca="false">H665*I665</f>
        <v>0</v>
      </c>
      <c r="K665" s="6" t="str">
        <f aca="false">IFERROR(IF(INDEX(Resources!$D$2:$D$64,MATCH($D665,Resources!$A$2:$A$64,0))="","",INDEX(Resources!$D$2:$D$64,MATCH($D665,Resources!$A$2:$A$64,0))),"")</f>
        <v/>
      </c>
      <c r="L665" s="28" t="str">
        <f aca="false">IF(K665="","",J665*INDEX(Resources!$E$2:$E$64,MATCH($D665,Resources!$A$2:$A$64,0)))</f>
        <v/>
      </c>
      <c r="M665" s="6" t="str">
        <f aca="false">B665&amp;"|"&amp;D665&amp;"|"&amp;C665</f>
        <v>Mealworm Farm|Food waste|Input</v>
      </c>
    </row>
    <row r="666" customFormat="false" ht="15" hidden="false" customHeight="true" outlineLevel="0" collapsed="false">
      <c r="A666" s="6" t="s">
        <v>1646</v>
      </c>
      <c r="B666" s="6" t="s">
        <v>773</v>
      </c>
      <c r="C666" s="6" t="s">
        <v>938</v>
      </c>
      <c r="D666" s="6" t="s">
        <v>1025</v>
      </c>
      <c r="E666" s="26" t="n">
        <v>1</v>
      </c>
      <c r="F666" s="6" t="str">
        <f aca="false">IFERROR(INDEX(Resources!$B$2:$B$64,MATCH($D666,Resources!$A$2:$A$64,0)),"?")</f>
        <v>lbs</v>
      </c>
      <c r="G666" s="6" t="s">
        <v>939</v>
      </c>
      <c r="H666" s="27" t="n">
        <f aca="false">E666*INDEX(Assumptions!$D$17:$D$23,MATCH(G666,Assumptions!$B$17:$B$23,0))</f>
        <v>1</v>
      </c>
      <c r="I666" s="6" t="n">
        <f aca="false">IFERROR(INDEX(Systems!$R$2:$R$179,MATCH($B666,Systems!$B$2:$B$179,0)),0)</f>
        <v>0</v>
      </c>
      <c r="J666" s="27" t="n">
        <f aca="false">H666*I666</f>
        <v>0</v>
      </c>
      <c r="K666" s="6" t="str">
        <f aca="false">IFERROR(IF(INDEX(Resources!$D$2:$D$64,MATCH($D666,Resources!$A$2:$A$64,0))="","",INDEX(Resources!$D$2:$D$64,MATCH($D666,Resources!$A$2:$A$64,0))),"")</f>
        <v/>
      </c>
      <c r="L666" s="28" t="str">
        <f aca="false">IF(K666="","",J666*INDEX(Resources!$E$2:$E$64,MATCH($D666,Resources!$A$2:$A$64,0)))</f>
        <v/>
      </c>
      <c r="M666" s="6" t="str">
        <f aca="false">B666&amp;"|"&amp;D666&amp;"|"&amp;C666</f>
        <v>Mealworm Farm|Chicken feed|Input</v>
      </c>
    </row>
    <row r="667" customFormat="false" ht="15" hidden="false" customHeight="true" outlineLevel="0" collapsed="false">
      <c r="A667" s="6" t="s">
        <v>1647</v>
      </c>
      <c r="B667" s="6" t="s">
        <v>773</v>
      </c>
      <c r="C667" s="6" t="s">
        <v>943</v>
      </c>
      <c r="D667" s="6" t="s">
        <v>1040</v>
      </c>
      <c r="E667" s="26" t="n">
        <v>0.5</v>
      </c>
      <c r="F667" s="6" t="str">
        <f aca="false">IFERROR(INDEX(Resources!$B$2:$B$64,MATCH($D667,Resources!$A$2:$A$64,0)),"?")</f>
        <v>lbs</v>
      </c>
      <c r="G667" s="6" t="s">
        <v>939</v>
      </c>
      <c r="H667" s="27" t="n">
        <f aca="false">E667*INDEX(Assumptions!$D$17:$D$23,MATCH(G667,Assumptions!$B$17:$B$23,0))</f>
        <v>0.5</v>
      </c>
      <c r="I667" s="6" t="n">
        <f aca="false">IFERROR(INDEX(Systems!$R$2:$R$179,MATCH($B667,Systems!$B$2:$B$179,0)),0)</f>
        <v>0</v>
      </c>
      <c r="J667" s="27" t="n">
        <f aca="false">H667*I667</f>
        <v>0</v>
      </c>
      <c r="K667" s="6" t="str">
        <f aca="false">IFERROR(IF(INDEX(Resources!$D$2:$D$64,MATCH($D667,Resources!$A$2:$A$64,0))="","",INDEX(Resources!$D$2:$D$64,MATCH($D667,Resources!$A$2:$A$64,0))),"")</f>
        <v/>
      </c>
      <c r="L667" s="28" t="str">
        <f aca="false">IF(K667="","",J667*INDEX(Resources!$E$2:$E$64,MATCH($D667,Resources!$A$2:$A$64,0)))</f>
        <v/>
      </c>
      <c r="M667" s="6" t="str">
        <f aca="false">B667&amp;"|"&amp;D667&amp;"|"&amp;C667</f>
        <v>Mealworm Farm|Grubs|Output</v>
      </c>
    </row>
    <row r="668" customFormat="false" ht="15" hidden="false" customHeight="true" outlineLevel="0" collapsed="false">
      <c r="A668" s="6" t="s">
        <v>1648</v>
      </c>
      <c r="B668" s="6" t="s">
        <v>773</v>
      </c>
      <c r="C668" s="6" t="s">
        <v>943</v>
      </c>
      <c r="D668" s="6" t="s">
        <v>240</v>
      </c>
      <c r="E668" s="26" t="n">
        <v>0.5</v>
      </c>
      <c r="F668" s="6" t="str">
        <f aca="false">IFERROR(INDEX(Resources!$B$2:$B$64,MATCH($D668,Resources!$A$2:$A$64,0)),"?")</f>
        <v>lbs</v>
      </c>
      <c r="G668" s="6" t="s">
        <v>939</v>
      </c>
      <c r="H668" s="27" t="n">
        <f aca="false">E668*INDEX(Assumptions!$D$17:$D$23,MATCH(G668,Assumptions!$B$17:$B$23,0))</f>
        <v>0.5</v>
      </c>
      <c r="I668" s="6" t="n">
        <f aca="false">IFERROR(INDEX(Systems!$R$2:$R$179,MATCH($B668,Systems!$B$2:$B$179,0)),0)</f>
        <v>0</v>
      </c>
      <c r="J668" s="27" t="n">
        <f aca="false">H668*I668</f>
        <v>0</v>
      </c>
      <c r="K668" s="6" t="str">
        <f aca="false">IFERROR(IF(INDEX(Resources!$D$2:$D$64,MATCH($D668,Resources!$A$2:$A$64,0))="","",INDEX(Resources!$D$2:$D$64,MATCH($D668,Resources!$A$2:$A$64,0))),"")</f>
        <v/>
      </c>
      <c r="L668" s="28" t="str">
        <f aca="false">IF(K668="","",J668*INDEX(Resources!$E$2:$E$64,MATCH($D668,Resources!$A$2:$A$64,0)))</f>
        <v/>
      </c>
      <c r="M668" s="6" t="str">
        <f aca="false">B668&amp;"|"&amp;D668&amp;"|"&amp;C668</f>
        <v>Mealworm Farm|Manure|Output</v>
      </c>
    </row>
    <row r="669" customFormat="false" ht="15" hidden="false" customHeight="true" outlineLevel="0" collapsed="false">
      <c r="A669" s="6" t="s">
        <v>1649</v>
      </c>
      <c r="B669" s="6" t="s">
        <v>777</v>
      </c>
      <c r="C669" s="6" t="s">
        <v>938</v>
      </c>
      <c r="D669" s="6" t="s">
        <v>71</v>
      </c>
      <c r="E669" s="26" t="n">
        <v>7</v>
      </c>
      <c r="F669" s="6" t="str">
        <f aca="false">IFERROR(INDEX(Resources!$B$2:$B$64,MATCH($D669,Resources!$A$2:$A$64,0)),"?")</f>
        <v>hours</v>
      </c>
      <c r="G669" s="6" t="s">
        <v>939</v>
      </c>
      <c r="H669" s="27" t="n">
        <f aca="false">E669*INDEX(Assumptions!$D$17:$D$23,MATCH(G669,Assumptions!$B$17:$B$23,0))</f>
        <v>7</v>
      </c>
      <c r="I669" s="6" t="n">
        <f aca="false">IFERROR(INDEX(Systems!$R$2:$R$179,MATCH($B669,Systems!$B$2:$B$179,0)),0)</f>
        <v>0</v>
      </c>
      <c r="J669" s="27" t="n">
        <f aca="false">H669*I669</f>
        <v>0</v>
      </c>
      <c r="K669" s="6" t="str">
        <f aca="false">IFERROR(IF(INDEX(Resources!$D$2:$D$64,MATCH($D669,Resources!$A$2:$A$64,0))="","",INDEX(Resources!$D$2:$D$64,MATCH($D669,Resources!$A$2:$A$64,0))),"")</f>
        <v>Est. Required Labor</v>
      </c>
      <c r="L669" s="28" t="n">
        <f aca="false">IF(K669="","",J669*INDEX(Resources!$E$2:$E$64,MATCH($D669,Resources!$A$2:$A$64,0)))</f>
        <v>0</v>
      </c>
      <c r="M669" s="6" t="str">
        <f aca="false">B669&amp;"|"&amp;D669&amp;"|"&amp;C669</f>
        <v>Dairy Goats (pair)|Labor|Input</v>
      </c>
      <c r="N669" s="6" t="s">
        <v>940</v>
      </c>
    </row>
    <row r="670" customFormat="false" ht="15" hidden="false" customHeight="true" outlineLevel="0" collapsed="false">
      <c r="A670" s="6" t="s">
        <v>1650</v>
      </c>
      <c r="B670" s="6" t="s">
        <v>777</v>
      </c>
      <c r="C670" s="6" t="s">
        <v>938</v>
      </c>
      <c r="D670" s="6" t="s">
        <v>1523</v>
      </c>
      <c r="E670" s="26" t="n">
        <v>60</v>
      </c>
      <c r="F670" s="6" t="str">
        <f aca="false">IFERROR(INDEX(Resources!$B$2:$B$64,MATCH($D670,Resources!$A$2:$A$64,0)),"?")</f>
        <v>lbs</v>
      </c>
      <c r="G670" s="6" t="s">
        <v>939</v>
      </c>
      <c r="H670" s="27" t="n">
        <f aca="false">E670*INDEX(Assumptions!$D$17:$D$23,MATCH(G670,Assumptions!$B$17:$B$23,0))</f>
        <v>60</v>
      </c>
      <c r="I670" s="6" t="n">
        <f aca="false">IFERROR(INDEX(Systems!$R$2:$R$179,MATCH($B670,Systems!$B$2:$B$179,0)),0)</f>
        <v>0</v>
      </c>
      <c r="J670" s="27" t="n">
        <f aca="false">H670*I670</f>
        <v>0</v>
      </c>
      <c r="K670" s="6" t="str">
        <f aca="false">IFERROR(IF(INDEX(Resources!$D$2:$D$64,MATCH($D670,Resources!$A$2:$A$64,0))="","",INDEX(Resources!$D$2:$D$64,MATCH($D670,Resources!$A$2:$A$64,0))),"")</f>
        <v/>
      </c>
      <c r="L670" s="28" t="str">
        <f aca="false">IF(K670="","",J670*INDEX(Resources!$E$2:$E$64,MATCH($D670,Resources!$A$2:$A$64,0)))</f>
        <v/>
      </c>
      <c r="M670" s="6" t="str">
        <f aca="false">B670&amp;"|"&amp;D670&amp;"|"&amp;C670</f>
        <v>Dairy Goats (pair)|Hay|Input</v>
      </c>
    </row>
    <row r="671" customFormat="false" ht="15" hidden="false" customHeight="true" outlineLevel="0" collapsed="false">
      <c r="A671" s="6" t="s">
        <v>1651</v>
      </c>
      <c r="B671" s="6" t="s">
        <v>777</v>
      </c>
      <c r="C671" s="6" t="s">
        <v>938</v>
      </c>
      <c r="D671" s="6" t="s">
        <v>216</v>
      </c>
      <c r="E671" s="26" t="n">
        <v>20</v>
      </c>
      <c r="F671" s="6" t="str">
        <f aca="false">IFERROR(INDEX(Resources!$B$2:$B$64,MATCH($D671,Resources!$A$2:$A$64,0)),"?")</f>
        <v>lbs</v>
      </c>
      <c r="G671" s="6" t="s">
        <v>939</v>
      </c>
      <c r="H671" s="27" t="n">
        <f aca="false">E671*INDEX(Assumptions!$D$17:$D$23,MATCH(G671,Assumptions!$B$17:$B$23,0))</f>
        <v>20</v>
      </c>
      <c r="I671" s="6" t="n">
        <f aca="false">IFERROR(INDEX(Systems!$R$2:$R$179,MATCH($B671,Systems!$B$2:$B$179,0)),0)</f>
        <v>0</v>
      </c>
      <c r="J671" s="27" t="n">
        <f aca="false">H671*I671</f>
        <v>0</v>
      </c>
      <c r="K671" s="6" t="str">
        <f aca="false">IFERROR(IF(INDEX(Resources!$D$2:$D$64,MATCH($D671,Resources!$A$2:$A$64,0))="","",INDEX(Resources!$D$2:$D$64,MATCH($D671,Resources!$A$2:$A$64,0))),"")</f>
        <v/>
      </c>
      <c r="L671" s="28" t="str">
        <f aca="false">IF(K671="","",J671*INDEX(Resources!$E$2:$E$64,MATCH($D671,Resources!$A$2:$A$64,0)))</f>
        <v/>
      </c>
      <c r="M671" s="6" t="str">
        <f aca="false">B671&amp;"|"&amp;D671&amp;"|"&amp;C671</f>
        <v>Dairy Goats (pair)|Green biomass|Input</v>
      </c>
    </row>
    <row r="672" customFormat="false" ht="15" hidden="false" customHeight="true" outlineLevel="0" collapsed="false">
      <c r="A672" s="6" t="s">
        <v>1652</v>
      </c>
      <c r="B672" s="6" t="s">
        <v>777</v>
      </c>
      <c r="C672" s="6" t="s">
        <v>938</v>
      </c>
      <c r="D672" s="6" t="s">
        <v>49</v>
      </c>
      <c r="E672" s="26" t="n">
        <v>14</v>
      </c>
      <c r="F672" s="6" t="str">
        <f aca="false">IFERROR(INDEX(Resources!$B$2:$B$64,MATCH($D672,Resources!$A$2:$A$64,0)),"?")</f>
        <v>gal</v>
      </c>
      <c r="G672" s="6" t="s">
        <v>939</v>
      </c>
      <c r="H672" s="27" t="n">
        <f aca="false">E672*INDEX(Assumptions!$D$17:$D$23,MATCH(G672,Assumptions!$B$17:$B$23,0))</f>
        <v>14</v>
      </c>
      <c r="I672" s="6" t="n">
        <f aca="false">IFERROR(INDEX(Systems!$R$2:$R$179,MATCH($B672,Systems!$B$2:$B$179,0)),0)</f>
        <v>0</v>
      </c>
      <c r="J672" s="27" t="n">
        <f aca="false">H672*I672</f>
        <v>0</v>
      </c>
      <c r="K672" s="6" t="str">
        <f aca="false">IFERROR(IF(INDEX(Resources!$D$2:$D$64,MATCH($D672,Resources!$A$2:$A$64,0))="","",INDEX(Resources!$D$2:$D$64,MATCH($D672,Resources!$A$2:$A$64,0))),"")</f>
        <v>Water</v>
      </c>
      <c r="L672" s="28" t="n">
        <f aca="false">IF(K672="","",J672*INDEX(Resources!$E$2:$E$64,MATCH($D672,Resources!$A$2:$A$64,0)))</f>
        <v>0</v>
      </c>
      <c r="M672" s="6" t="str">
        <f aca="false">B672&amp;"|"&amp;D672&amp;"|"&amp;C672</f>
        <v>Dairy Goats (pair)|Water|Input</v>
      </c>
    </row>
    <row r="673" customFormat="false" ht="15" hidden="false" customHeight="true" outlineLevel="0" collapsed="false">
      <c r="A673" s="6" t="s">
        <v>1653</v>
      </c>
      <c r="B673" s="6" t="s">
        <v>777</v>
      </c>
      <c r="C673" s="6" t="s">
        <v>938</v>
      </c>
      <c r="D673" s="6" t="s">
        <v>1169</v>
      </c>
      <c r="E673" s="26" t="n">
        <v>2000</v>
      </c>
      <c r="F673" s="6" t="str">
        <f aca="false">IFERROR(INDEX(Resources!$B$2:$B$64,MATCH($D673,Resources!$A$2:$A$64,0)),"?")</f>
        <v>sq ft</v>
      </c>
      <c r="G673" s="6" t="s">
        <v>945</v>
      </c>
      <c r="H673" s="27" t="n">
        <f aca="false">E673*INDEX(Assumptions!$D$17:$D$23,MATCH(G673,Assumptions!$B$17:$B$23,0))</f>
        <v>2000</v>
      </c>
      <c r="I673" s="6" t="n">
        <f aca="false">IFERROR(INDEX(Systems!$R$2:$R$179,MATCH($B673,Systems!$B$2:$B$179,0)),0)</f>
        <v>0</v>
      </c>
      <c r="J673" s="27" t="n">
        <f aca="false">H673*I673</f>
        <v>0</v>
      </c>
      <c r="K673" s="6" t="str">
        <f aca="false">IFERROR(IF(INDEX(Resources!$D$2:$D$64,MATCH($D673,Resources!$A$2:$A$64,0))="","",INDEX(Resources!$D$2:$D$64,MATCH($D673,Resources!$A$2:$A$64,0))),"")</f>
        <v/>
      </c>
      <c r="L673" s="28" t="str">
        <f aca="false">IF(K673="","",J673*INDEX(Resources!$E$2:$E$64,MATCH($D673,Resources!$A$2:$A$64,0)))</f>
        <v/>
      </c>
      <c r="M673" s="6" t="str">
        <f aca="false">B673&amp;"|"&amp;D673&amp;"|"&amp;C673</f>
        <v>Dairy Goats (pair)|Fenced paddock|Input</v>
      </c>
    </row>
    <row r="674" customFormat="false" ht="15" hidden="false" customHeight="true" outlineLevel="0" collapsed="false">
      <c r="A674" s="6" t="s">
        <v>1654</v>
      </c>
      <c r="B674" s="6" t="s">
        <v>777</v>
      </c>
      <c r="C674" s="6" t="s">
        <v>943</v>
      </c>
      <c r="D674" s="6" t="s">
        <v>1655</v>
      </c>
      <c r="E674" s="26" t="n">
        <v>5</v>
      </c>
      <c r="F674" s="6" t="str">
        <f aca="false">IFERROR(INDEX(Resources!$B$2:$B$64,MATCH($D674,Resources!$A$2:$A$64,0)),"?")</f>
        <v>gal</v>
      </c>
      <c r="G674" s="6" t="s">
        <v>939</v>
      </c>
      <c r="H674" s="27" t="n">
        <f aca="false">E674*INDEX(Assumptions!$D$17:$D$23,MATCH(G674,Assumptions!$B$17:$B$23,0))</f>
        <v>5</v>
      </c>
      <c r="I674" s="6" t="n">
        <f aca="false">IFERROR(INDEX(Systems!$R$2:$R$179,MATCH($B674,Systems!$B$2:$B$179,0)),0)</f>
        <v>0</v>
      </c>
      <c r="J674" s="27" t="n">
        <f aca="false">H674*I674</f>
        <v>0</v>
      </c>
      <c r="K674" s="6" t="str">
        <f aca="false">IFERROR(IF(INDEX(Resources!$D$2:$D$64,MATCH($D674,Resources!$A$2:$A$64,0))="","",INDEX(Resources!$D$2:$D$64,MATCH($D674,Resources!$A$2:$A$64,0))),"")</f>
        <v>Food</v>
      </c>
      <c r="L674" s="28" t="n">
        <f aca="false">IF(K674="","",J674*INDEX(Resources!$E$2:$E$64,MATCH($D674,Resources!$A$2:$A$64,0)))</f>
        <v>0</v>
      </c>
      <c r="M674" s="6" t="str">
        <f aca="false">B674&amp;"|"&amp;D674&amp;"|"&amp;C674</f>
        <v>Dairy Goats (pair)|Milk|Output</v>
      </c>
    </row>
    <row r="675" customFormat="false" ht="15" hidden="false" customHeight="true" outlineLevel="0" collapsed="false">
      <c r="A675" s="6" t="s">
        <v>1656</v>
      </c>
      <c r="B675" s="6" t="s">
        <v>777</v>
      </c>
      <c r="C675" s="6" t="s">
        <v>943</v>
      </c>
      <c r="D675" s="6" t="s">
        <v>240</v>
      </c>
      <c r="E675" s="26" t="n">
        <v>35</v>
      </c>
      <c r="F675" s="6" t="str">
        <f aca="false">IFERROR(INDEX(Resources!$B$2:$B$64,MATCH($D675,Resources!$A$2:$A$64,0)),"?")</f>
        <v>lbs</v>
      </c>
      <c r="G675" s="6" t="s">
        <v>939</v>
      </c>
      <c r="H675" s="27" t="n">
        <f aca="false">E675*INDEX(Assumptions!$D$17:$D$23,MATCH(G675,Assumptions!$B$17:$B$23,0))</f>
        <v>35</v>
      </c>
      <c r="I675" s="6" t="n">
        <f aca="false">IFERROR(INDEX(Systems!$R$2:$R$179,MATCH($B675,Systems!$B$2:$B$179,0)),0)</f>
        <v>0</v>
      </c>
      <c r="J675" s="27" t="n">
        <f aca="false">H675*I675</f>
        <v>0</v>
      </c>
      <c r="K675" s="6" t="str">
        <f aca="false">IFERROR(IF(INDEX(Resources!$D$2:$D$64,MATCH($D675,Resources!$A$2:$A$64,0))="","",INDEX(Resources!$D$2:$D$64,MATCH($D675,Resources!$A$2:$A$64,0))),"")</f>
        <v/>
      </c>
      <c r="L675" s="28" t="str">
        <f aca="false">IF(K675="","",J675*INDEX(Resources!$E$2:$E$64,MATCH($D675,Resources!$A$2:$A$64,0)))</f>
        <v/>
      </c>
      <c r="M675" s="6" t="str">
        <f aca="false">B675&amp;"|"&amp;D675&amp;"|"&amp;C675</f>
        <v>Dairy Goats (pair)|Manure|Output</v>
      </c>
    </row>
    <row r="676" customFormat="false" ht="15" hidden="false" customHeight="true" outlineLevel="0" collapsed="false">
      <c r="A676" s="6" t="s">
        <v>1657</v>
      </c>
      <c r="B676" s="6" t="s">
        <v>781</v>
      </c>
      <c r="C676" s="6" t="s">
        <v>938</v>
      </c>
      <c r="D676" s="6" t="s">
        <v>71</v>
      </c>
      <c r="E676" s="26" t="n">
        <v>2</v>
      </c>
      <c r="F676" s="6" t="str">
        <f aca="false">IFERROR(INDEX(Resources!$B$2:$B$64,MATCH($D676,Resources!$A$2:$A$64,0)),"?")</f>
        <v>hours</v>
      </c>
      <c r="G676" s="6" t="s">
        <v>939</v>
      </c>
      <c r="H676" s="27" t="n">
        <f aca="false">E676*INDEX(Assumptions!$D$17:$D$23,MATCH(G676,Assumptions!$B$17:$B$23,0))</f>
        <v>2</v>
      </c>
      <c r="I676" s="6" t="n">
        <f aca="false">IFERROR(INDEX(Systems!$R$2:$R$179,MATCH($B676,Systems!$B$2:$B$179,0)),0)</f>
        <v>0</v>
      </c>
      <c r="J676" s="27" t="n">
        <f aca="false">H676*I676</f>
        <v>0</v>
      </c>
      <c r="K676" s="6" t="str">
        <f aca="false">IFERROR(IF(INDEX(Resources!$D$2:$D$64,MATCH($D676,Resources!$A$2:$A$64,0))="","",INDEX(Resources!$D$2:$D$64,MATCH($D676,Resources!$A$2:$A$64,0))),"")</f>
        <v>Est. Required Labor</v>
      </c>
      <c r="L676" s="28" t="n">
        <f aca="false">IF(K676="","",J676*INDEX(Resources!$E$2:$E$64,MATCH($D676,Resources!$A$2:$A$64,0)))</f>
        <v>0</v>
      </c>
      <c r="M676" s="6" t="str">
        <f aca="false">B676&amp;"|"&amp;D676&amp;"|"&amp;C676</f>
        <v>Meat Rabbits (trio)|Labor|Input</v>
      </c>
      <c r="N676" s="6" t="s">
        <v>940</v>
      </c>
    </row>
    <row r="677" customFormat="false" ht="15" hidden="false" customHeight="true" outlineLevel="0" collapsed="false">
      <c r="A677" s="6" t="s">
        <v>1658</v>
      </c>
      <c r="B677" s="6" t="s">
        <v>781</v>
      </c>
      <c r="C677" s="6" t="s">
        <v>938</v>
      </c>
      <c r="D677" s="6" t="s">
        <v>1523</v>
      </c>
      <c r="E677" s="26" t="n">
        <v>10</v>
      </c>
      <c r="F677" s="6" t="str">
        <f aca="false">IFERROR(INDEX(Resources!$B$2:$B$64,MATCH($D677,Resources!$A$2:$A$64,0)),"?")</f>
        <v>lbs</v>
      </c>
      <c r="G677" s="6" t="s">
        <v>939</v>
      </c>
      <c r="H677" s="27" t="n">
        <f aca="false">E677*INDEX(Assumptions!$D$17:$D$23,MATCH(G677,Assumptions!$B$17:$B$23,0))</f>
        <v>10</v>
      </c>
      <c r="I677" s="6" t="n">
        <f aca="false">IFERROR(INDEX(Systems!$R$2:$R$179,MATCH($B677,Systems!$B$2:$B$179,0)),0)</f>
        <v>0</v>
      </c>
      <c r="J677" s="27" t="n">
        <f aca="false">H677*I677</f>
        <v>0</v>
      </c>
      <c r="K677" s="6" t="str">
        <f aca="false">IFERROR(IF(INDEX(Resources!$D$2:$D$64,MATCH($D677,Resources!$A$2:$A$64,0))="","",INDEX(Resources!$D$2:$D$64,MATCH($D677,Resources!$A$2:$A$64,0))),"")</f>
        <v/>
      </c>
      <c r="L677" s="28" t="str">
        <f aca="false">IF(K677="","",J677*INDEX(Resources!$E$2:$E$64,MATCH($D677,Resources!$A$2:$A$64,0)))</f>
        <v/>
      </c>
      <c r="M677" s="6" t="str">
        <f aca="false">B677&amp;"|"&amp;D677&amp;"|"&amp;C677</f>
        <v>Meat Rabbits (trio)|Hay|Input</v>
      </c>
    </row>
    <row r="678" customFormat="false" ht="15" hidden="false" customHeight="true" outlineLevel="0" collapsed="false">
      <c r="A678" s="6" t="s">
        <v>1659</v>
      </c>
      <c r="B678" s="6" t="s">
        <v>781</v>
      </c>
      <c r="C678" s="6" t="s">
        <v>938</v>
      </c>
      <c r="D678" s="6" t="s">
        <v>216</v>
      </c>
      <c r="E678" s="26" t="n">
        <v>10</v>
      </c>
      <c r="F678" s="6" t="str">
        <f aca="false">IFERROR(INDEX(Resources!$B$2:$B$64,MATCH($D678,Resources!$A$2:$A$64,0)),"?")</f>
        <v>lbs</v>
      </c>
      <c r="G678" s="6" t="s">
        <v>939</v>
      </c>
      <c r="H678" s="27" t="n">
        <f aca="false">E678*INDEX(Assumptions!$D$17:$D$23,MATCH(G678,Assumptions!$B$17:$B$23,0))</f>
        <v>10</v>
      </c>
      <c r="I678" s="6" t="n">
        <f aca="false">IFERROR(INDEX(Systems!$R$2:$R$179,MATCH($B678,Systems!$B$2:$B$179,0)),0)</f>
        <v>0</v>
      </c>
      <c r="J678" s="27" t="n">
        <f aca="false">H678*I678</f>
        <v>0</v>
      </c>
      <c r="K678" s="6" t="str">
        <f aca="false">IFERROR(IF(INDEX(Resources!$D$2:$D$64,MATCH($D678,Resources!$A$2:$A$64,0))="","",INDEX(Resources!$D$2:$D$64,MATCH($D678,Resources!$A$2:$A$64,0))),"")</f>
        <v/>
      </c>
      <c r="L678" s="28" t="str">
        <f aca="false">IF(K678="","",J678*INDEX(Resources!$E$2:$E$64,MATCH($D678,Resources!$A$2:$A$64,0)))</f>
        <v/>
      </c>
      <c r="M678" s="6" t="str">
        <f aca="false">B678&amp;"|"&amp;D678&amp;"|"&amp;C678</f>
        <v>Meat Rabbits (trio)|Green biomass|Input</v>
      </c>
    </row>
    <row r="679" customFormat="false" ht="15" hidden="false" customHeight="true" outlineLevel="0" collapsed="false">
      <c r="A679" s="6" t="s">
        <v>1660</v>
      </c>
      <c r="B679" s="6" t="s">
        <v>781</v>
      </c>
      <c r="C679" s="6" t="s">
        <v>938</v>
      </c>
      <c r="D679" s="6" t="s">
        <v>49</v>
      </c>
      <c r="E679" s="26" t="n">
        <v>3</v>
      </c>
      <c r="F679" s="6" t="str">
        <f aca="false">IFERROR(INDEX(Resources!$B$2:$B$64,MATCH($D679,Resources!$A$2:$A$64,0)),"?")</f>
        <v>gal</v>
      </c>
      <c r="G679" s="6" t="s">
        <v>939</v>
      </c>
      <c r="H679" s="27" t="n">
        <f aca="false">E679*INDEX(Assumptions!$D$17:$D$23,MATCH(G679,Assumptions!$B$17:$B$23,0))</f>
        <v>3</v>
      </c>
      <c r="I679" s="6" t="n">
        <f aca="false">IFERROR(INDEX(Systems!$R$2:$R$179,MATCH($B679,Systems!$B$2:$B$179,0)),0)</f>
        <v>0</v>
      </c>
      <c r="J679" s="27" t="n">
        <f aca="false">H679*I679</f>
        <v>0</v>
      </c>
      <c r="K679" s="6" t="str">
        <f aca="false">IFERROR(IF(INDEX(Resources!$D$2:$D$64,MATCH($D679,Resources!$A$2:$A$64,0))="","",INDEX(Resources!$D$2:$D$64,MATCH($D679,Resources!$A$2:$A$64,0))),"")</f>
        <v>Water</v>
      </c>
      <c r="L679" s="28" t="n">
        <f aca="false">IF(K679="","",J679*INDEX(Resources!$E$2:$E$64,MATCH($D679,Resources!$A$2:$A$64,0)))</f>
        <v>0</v>
      </c>
      <c r="M679" s="6" t="str">
        <f aca="false">B679&amp;"|"&amp;D679&amp;"|"&amp;C679</f>
        <v>Meat Rabbits (trio)|Water|Input</v>
      </c>
    </row>
    <row r="680" customFormat="false" ht="15" hidden="false" customHeight="true" outlineLevel="0" collapsed="false">
      <c r="A680" s="6" t="s">
        <v>1661</v>
      </c>
      <c r="B680" s="6" t="s">
        <v>781</v>
      </c>
      <c r="C680" s="6" t="s">
        <v>943</v>
      </c>
      <c r="D680" s="6" t="s">
        <v>1230</v>
      </c>
      <c r="E680" s="26" t="n">
        <v>1.5</v>
      </c>
      <c r="F680" s="6" t="str">
        <f aca="false">IFERROR(INDEX(Resources!$B$2:$B$64,MATCH($D680,Resources!$A$2:$A$64,0)),"?")</f>
        <v>lbs</v>
      </c>
      <c r="G680" s="6" t="s">
        <v>939</v>
      </c>
      <c r="H680" s="27" t="n">
        <f aca="false">E680*INDEX(Assumptions!$D$17:$D$23,MATCH(G680,Assumptions!$B$17:$B$23,0))</f>
        <v>1.5</v>
      </c>
      <c r="I680" s="6" t="n">
        <f aca="false">IFERROR(INDEX(Systems!$R$2:$R$179,MATCH($B680,Systems!$B$2:$B$179,0)),0)</f>
        <v>0</v>
      </c>
      <c r="J680" s="27" t="n">
        <f aca="false">H680*I680</f>
        <v>0</v>
      </c>
      <c r="K680" s="6" t="str">
        <f aca="false">IFERROR(IF(INDEX(Resources!$D$2:$D$64,MATCH($D680,Resources!$A$2:$A$64,0))="","",INDEX(Resources!$D$2:$D$64,MATCH($D680,Resources!$A$2:$A$64,0))),"")</f>
        <v>Food</v>
      </c>
      <c r="L680" s="28" t="n">
        <f aca="false">IF(K680="","",J680*INDEX(Resources!$E$2:$E$64,MATCH($D680,Resources!$A$2:$A$64,0)))</f>
        <v>0</v>
      </c>
      <c r="M680" s="6" t="str">
        <f aca="false">B680&amp;"|"&amp;D680&amp;"|"&amp;C680</f>
        <v>Meat Rabbits (trio)|Meat|Output</v>
      </c>
    </row>
    <row r="681" customFormat="false" ht="15" hidden="false" customHeight="true" outlineLevel="0" collapsed="false">
      <c r="A681" s="6" t="s">
        <v>1662</v>
      </c>
      <c r="B681" s="6" t="s">
        <v>781</v>
      </c>
      <c r="C681" s="6" t="s">
        <v>943</v>
      </c>
      <c r="D681" s="6" t="s">
        <v>240</v>
      </c>
      <c r="E681" s="26" t="n">
        <v>8</v>
      </c>
      <c r="F681" s="6" t="str">
        <f aca="false">IFERROR(INDEX(Resources!$B$2:$B$64,MATCH($D681,Resources!$A$2:$A$64,0)),"?")</f>
        <v>lbs</v>
      </c>
      <c r="G681" s="6" t="s">
        <v>939</v>
      </c>
      <c r="H681" s="27" t="n">
        <f aca="false">E681*INDEX(Assumptions!$D$17:$D$23,MATCH(G681,Assumptions!$B$17:$B$23,0))</f>
        <v>8</v>
      </c>
      <c r="I681" s="6" t="n">
        <f aca="false">IFERROR(INDEX(Systems!$R$2:$R$179,MATCH($B681,Systems!$B$2:$B$179,0)),0)</f>
        <v>0</v>
      </c>
      <c r="J681" s="27" t="n">
        <f aca="false">H681*I681</f>
        <v>0</v>
      </c>
      <c r="K681" s="6" t="str">
        <f aca="false">IFERROR(IF(INDEX(Resources!$D$2:$D$64,MATCH($D681,Resources!$A$2:$A$64,0))="","",INDEX(Resources!$D$2:$D$64,MATCH($D681,Resources!$A$2:$A$64,0))),"")</f>
        <v/>
      </c>
      <c r="L681" s="28" t="str">
        <f aca="false">IF(K681="","",J681*INDEX(Resources!$E$2:$E$64,MATCH($D681,Resources!$A$2:$A$64,0)))</f>
        <v/>
      </c>
      <c r="M681" s="6" t="str">
        <f aca="false">B681&amp;"|"&amp;D681&amp;"|"&amp;C681</f>
        <v>Meat Rabbits (trio)|Manure|Output</v>
      </c>
    </row>
    <row r="682" customFormat="false" ht="15" hidden="false" customHeight="true" outlineLevel="0" collapsed="false">
      <c r="A682" s="6" t="s">
        <v>1663</v>
      </c>
      <c r="B682" s="6" t="s">
        <v>784</v>
      </c>
      <c r="C682" s="6" t="s">
        <v>938</v>
      </c>
      <c r="D682" s="6" t="s">
        <v>71</v>
      </c>
      <c r="E682" s="26" t="n">
        <v>2</v>
      </c>
      <c r="F682" s="6" t="str">
        <f aca="false">IFERROR(INDEX(Resources!$B$2:$B$64,MATCH($D682,Resources!$A$2:$A$64,0)),"?")</f>
        <v>hours</v>
      </c>
      <c r="G682" s="6" t="s">
        <v>939</v>
      </c>
      <c r="H682" s="27" t="n">
        <f aca="false">E682*INDEX(Assumptions!$D$17:$D$23,MATCH(G682,Assumptions!$B$17:$B$23,0))</f>
        <v>2</v>
      </c>
      <c r="I682" s="6" t="n">
        <f aca="false">IFERROR(INDEX(Systems!$R$2:$R$179,MATCH($B682,Systems!$B$2:$B$179,0)),0)</f>
        <v>0</v>
      </c>
      <c r="J682" s="27" t="n">
        <f aca="false">H682*I682</f>
        <v>0</v>
      </c>
      <c r="K682" s="6" t="str">
        <f aca="false">IFERROR(IF(INDEX(Resources!$D$2:$D$64,MATCH($D682,Resources!$A$2:$A$64,0))="","",INDEX(Resources!$D$2:$D$64,MATCH($D682,Resources!$A$2:$A$64,0))),"")</f>
        <v>Est. Required Labor</v>
      </c>
      <c r="L682" s="28" t="n">
        <f aca="false">IF(K682="","",J682*INDEX(Resources!$E$2:$E$64,MATCH($D682,Resources!$A$2:$A$64,0)))</f>
        <v>0</v>
      </c>
      <c r="M682" s="6" t="str">
        <f aca="false">B682&amp;"|"&amp;D682&amp;"|"&amp;C682</f>
        <v>Sheep (flock of 3)|Labor|Input</v>
      </c>
      <c r="N682" s="6" t="s">
        <v>940</v>
      </c>
    </row>
    <row r="683" customFormat="false" ht="15" hidden="false" customHeight="true" outlineLevel="0" collapsed="false">
      <c r="A683" s="6" t="s">
        <v>1664</v>
      </c>
      <c r="B683" s="6" t="s">
        <v>784</v>
      </c>
      <c r="C683" s="6" t="s">
        <v>938</v>
      </c>
      <c r="D683" s="6" t="s">
        <v>1523</v>
      </c>
      <c r="E683" s="26" t="n">
        <v>40</v>
      </c>
      <c r="F683" s="6" t="str">
        <f aca="false">IFERROR(INDEX(Resources!$B$2:$B$64,MATCH($D683,Resources!$A$2:$A$64,0)),"?")</f>
        <v>lbs</v>
      </c>
      <c r="G683" s="6" t="s">
        <v>939</v>
      </c>
      <c r="H683" s="27" t="n">
        <f aca="false">E683*INDEX(Assumptions!$D$17:$D$23,MATCH(G683,Assumptions!$B$17:$B$23,0))</f>
        <v>40</v>
      </c>
      <c r="I683" s="6" t="n">
        <f aca="false">IFERROR(INDEX(Systems!$R$2:$R$179,MATCH($B683,Systems!$B$2:$B$179,0)),0)</f>
        <v>0</v>
      </c>
      <c r="J683" s="27" t="n">
        <f aca="false">H683*I683</f>
        <v>0</v>
      </c>
      <c r="K683" s="6" t="str">
        <f aca="false">IFERROR(IF(INDEX(Resources!$D$2:$D$64,MATCH($D683,Resources!$A$2:$A$64,0))="","",INDEX(Resources!$D$2:$D$64,MATCH($D683,Resources!$A$2:$A$64,0))),"")</f>
        <v/>
      </c>
      <c r="L683" s="28" t="str">
        <f aca="false">IF(K683="","",J683*INDEX(Resources!$E$2:$E$64,MATCH($D683,Resources!$A$2:$A$64,0)))</f>
        <v/>
      </c>
      <c r="M683" s="6" t="str">
        <f aca="false">B683&amp;"|"&amp;D683&amp;"|"&amp;C683</f>
        <v>Sheep (flock of 3)|Hay|Input</v>
      </c>
    </row>
    <row r="684" customFormat="false" ht="15" hidden="false" customHeight="true" outlineLevel="0" collapsed="false">
      <c r="A684" s="6" t="s">
        <v>1665</v>
      </c>
      <c r="B684" s="6" t="s">
        <v>784</v>
      </c>
      <c r="C684" s="6" t="s">
        <v>938</v>
      </c>
      <c r="D684" s="6" t="s">
        <v>216</v>
      </c>
      <c r="E684" s="26" t="n">
        <v>30</v>
      </c>
      <c r="F684" s="6" t="str">
        <f aca="false">IFERROR(INDEX(Resources!$B$2:$B$64,MATCH($D684,Resources!$A$2:$A$64,0)),"?")</f>
        <v>lbs</v>
      </c>
      <c r="G684" s="6" t="s">
        <v>939</v>
      </c>
      <c r="H684" s="27" t="n">
        <f aca="false">E684*INDEX(Assumptions!$D$17:$D$23,MATCH(G684,Assumptions!$B$17:$B$23,0))</f>
        <v>30</v>
      </c>
      <c r="I684" s="6" t="n">
        <f aca="false">IFERROR(INDEX(Systems!$R$2:$R$179,MATCH($B684,Systems!$B$2:$B$179,0)),0)</f>
        <v>0</v>
      </c>
      <c r="J684" s="27" t="n">
        <f aca="false">H684*I684</f>
        <v>0</v>
      </c>
      <c r="K684" s="6" t="str">
        <f aca="false">IFERROR(IF(INDEX(Resources!$D$2:$D$64,MATCH($D684,Resources!$A$2:$A$64,0))="","",INDEX(Resources!$D$2:$D$64,MATCH($D684,Resources!$A$2:$A$64,0))),"")</f>
        <v/>
      </c>
      <c r="L684" s="28" t="str">
        <f aca="false">IF(K684="","",J684*INDEX(Resources!$E$2:$E$64,MATCH($D684,Resources!$A$2:$A$64,0)))</f>
        <v/>
      </c>
      <c r="M684" s="6" t="str">
        <f aca="false">B684&amp;"|"&amp;D684&amp;"|"&amp;C684</f>
        <v>Sheep (flock of 3)|Green biomass|Input</v>
      </c>
    </row>
    <row r="685" customFormat="false" ht="15" hidden="false" customHeight="true" outlineLevel="0" collapsed="false">
      <c r="A685" s="6" t="s">
        <v>1666</v>
      </c>
      <c r="B685" s="6" t="s">
        <v>784</v>
      </c>
      <c r="C685" s="6" t="s">
        <v>938</v>
      </c>
      <c r="D685" s="6" t="s">
        <v>49</v>
      </c>
      <c r="E685" s="26" t="n">
        <v>10</v>
      </c>
      <c r="F685" s="6" t="str">
        <f aca="false">IFERROR(INDEX(Resources!$B$2:$B$64,MATCH($D685,Resources!$A$2:$A$64,0)),"?")</f>
        <v>gal</v>
      </c>
      <c r="G685" s="6" t="s">
        <v>939</v>
      </c>
      <c r="H685" s="27" t="n">
        <f aca="false">E685*INDEX(Assumptions!$D$17:$D$23,MATCH(G685,Assumptions!$B$17:$B$23,0))</f>
        <v>10</v>
      </c>
      <c r="I685" s="6" t="n">
        <f aca="false">IFERROR(INDEX(Systems!$R$2:$R$179,MATCH($B685,Systems!$B$2:$B$179,0)),0)</f>
        <v>0</v>
      </c>
      <c r="J685" s="27" t="n">
        <f aca="false">H685*I685</f>
        <v>0</v>
      </c>
      <c r="K685" s="6" t="str">
        <f aca="false">IFERROR(IF(INDEX(Resources!$D$2:$D$64,MATCH($D685,Resources!$A$2:$A$64,0))="","",INDEX(Resources!$D$2:$D$64,MATCH($D685,Resources!$A$2:$A$64,0))),"")</f>
        <v>Water</v>
      </c>
      <c r="L685" s="28" t="n">
        <f aca="false">IF(K685="","",J685*INDEX(Resources!$E$2:$E$64,MATCH($D685,Resources!$A$2:$A$64,0)))</f>
        <v>0</v>
      </c>
      <c r="M685" s="6" t="str">
        <f aca="false">B685&amp;"|"&amp;D685&amp;"|"&amp;C685</f>
        <v>Sheep (flock of 3)|Water|Input</v>
      </c>
    </row>
    <row r="686" customFormat="false" ht="15" hidden="false" customHeight="true" outlineLevel="0" collapsed="false">
      <c r="A686" s="6" t="s">
        <v>1667</v>
      </c>
      <c r="B686" s="6" t="s">
        <v>784</v>
      </c>
      <c r="C686" s="6" t="s">
        <v>938</v>
      </c>
      <c r="D686" s="6" t="s">
        <v>1169</v>
      </c>
      <c r="E686" s="26" t="n">
        <v>15000</v>
      </c>
      <c r="F686" s="6" t="str">
        <f aca="false">IFERROR(INDEX(Resources!$B$2:$B$64,MATCH($D686,Resources!$A$2:$A$64,0)),"?")</f>
        <v>sq ft</v>
      </c>
      <c r="G686" s="6" t="s">
        <v>945</v>
      </c>
      <c r="H686" s="27" t="n">
        <f aca="false">E686*INDEX(Assumptions!$D$17:$D$23,MATCH(G686,Assumptions!$B$17:$B$23,0))</f>
        <v>15000</v>
      </c>
      <c r="I686" s="6" t="n">
        <f aca="false">IFERROR(INDEX(Systems!$R$2:$R$179,MATCH($B686,Systems!$B$2:$B$179,0)),0)</f>
        <v>0</v>
      </c>
      <c r="J686" s="27" t="n">
        <f aca="false">H686*I686</f>
        <v>0</v>
      </c>
      <c r="K686" s="6" t="str">
        <f aca="false">IFERROR(IF(INDEX(Resources!$D$2:$D$64,MATCH($D686,Resources!$A$2:$A$64,0))="","",INDEX(Resources!$D$2:$D$64,MATCH($D686,Resources!$A$2:$A$64,0))),"")</f>
        <v/>
      </c>
      <c r="L686" s="28" t="str">
        <f aca="false">IF(K686="","",J686*INDEX(Resources!$E$2:$E$64,MATCH($D686,Resources!$A$2:$A$64,0)))</f>
        <v/>
      </c>
      <c r="M686" s="6" t="str">
        <f aca="false">B686&amp;"|"&amp;D686&amp;"|"&amp;C686</f>
        <v>Sheep (flock of 3)|Fenced paddock|Input</v>
      </c>
    </row>
    <row r="687" customFormat="false" ht="15" hidden="false" customHeight="true" outlineLevel="0" collapsed="false">
      <c r="A687" s="6" t="s">
        <v>1668</v>
      </c>
      <c r="B687" s="6" t="s">
        <v>784</v>
      </c>
      <c r="C687" s="6" t="s">
        <v>943</v>
      </c>
      <c r="D687" s="6" t="s">
        <v>1230</v>
      </c>
      <c r="E687" s="26" t="n">
        <v>1.5</v>
      </c>
      <c r="F687" s="6" t="str">
        <f aca="false">IFERROR(INDEX(Resources!$B$2:$B$64,MATCH($D687,Resources!$A$2:$A$64,0)),"?")</f>
        <v>lbs</v>
      </c>
      <c r="G687" s="6" t="s">
        <v>939</v>
      </c>
      <c r="H687" s="27" t="n">
        <f aca="false">E687*INDEX(Assumptions!$D$17:$D$23,MATCH(G687,Assumptions!$B$17:$B$23,0))</f>
        <v>1.5</v>
      </c>
      <c r="I687" s="6" t="n">
        <f aca="false">IFERROR(INDEX(Systems!$R$2:$R$179,MATCH($B687,Systems!$B$2:$B$179,0)),0)</f>
        <v>0</v>
      </c>
      <c r="J687" s="27" t="n">
        <f aca="false">H687*I687</f>
        <v>0</v>
      </c>
      <c r="K687" s="6" t="str">
        <f aca="false">IFERROR(IF(INDEX(Resources!$D$2:$D$64,MATCH($D687,Resources!$A$2:$A$64,0))="","",INDEX(Resources!$D$2:$D$64,MATCH($D687,Resources!$A$2:$A$64,0))),"")</f>
        <v>Food</v>
      </c>
      <c r="L687" s="28" t="n">
        <f aca="false">IF(K687="","",J687*INDEX(Resources!$E$2:$E$64,MATCH($D687,Resources!$A$2:$A$64,0)))</f>
        <v>0</v>
      </c>
      <c r="M687" s="6" t="str">
        <f aca="false">B687&amp;"|"&amp;D687&amp;"|"&amp;C687</f>
        <v>Sheep (flock of 3)|Meat|Output</v>
      </c>
    </row>
    <row r="688" customFormat="false" ht="15" hidden="false" customHeight="true" outlineLevel="0" collapsed="false">
      <c r="A688" s="6" t="s">
        <v>1669</v>
      </c>
      <c r="B688" s="6" t="s">
        <v>784</v>
      </c>
      <c r="C688" s="6" t="s">
        <v>943</v>
      </c>
      <c r="D688" s="6" t="s">
        <v>1670</v>
      </c>
      <c r="E688" s="26" t="n">
        <v>0.5</v>
      </c>
      <c r="F688" s="6" t="str">
        <f aca="false">IFERROR(INDEX(Resources!$B$2:$B$64,MATCH($D688,Resources!$A$2:$A$64,0)),"?")</f>
        <v>lbs</v>
      </c>
      <c r="G688" s="6" t="s">
        <v>939</v>
      </c>
      <c r="H688" s="27" t="n">
        <f aca="false">E688*INDEX(Assumptions!$D$17:$D$23,MATCH(G688,Assumptions!$B$17:$B$23,0))</f>
        <v>0.5</v>
      </c>
      <c r="I688" s="6" t="n">
        <f aca="false">IFERROR(INDEX(Systems!$R$2:$R$179,MATCH($B688,Systems!$B$2:$B$179,0)),0)</f>
        <v>0</v>
      </c>
      <c r="J688" s="27" t="n">
        <f aca="false">H688*I688</f>
        <v>0</v>
      </c>
      <c r="K688" s="6" t="str">
        <f aca="false">IFERROR(IF(INDEX(Resources!$D$2:$D$64,MATCH($D688,Resources!$A$2:$A$64,0))="","",INDEX(Resources!$D$2:$D$64,MATCH($D688,Resources!$A$2:$A$64,0))),"")</f>
        <v/>
      </c>
      <c r="L688" s="28" t="str">
        <f aca="false">IF(K688="","",J688*INDEX(Resources!$E$2:$E$64,MATCH($D688,Resources!$A$2:$A$64,0)))</f>
        <v/>
      </c>
      <c r="M688" s="6" t="str">
        <f aca="false">B688&amp;"|"&amp;D688&amp;"|"&amp;C688</f>
        <v>Sheep (flock of 3)|Wool|Output</v>
      </c>
    </row>
    <row r="689" customFormat="false" ht="15" hidden="false" customHeight="true" outlineLevel="0" collapsed="false">
      <c r="A689" s="6" t="s">
        <v>1671</v>
      </c>
      <c r="B689" s="6" t="s">
        <v>784</v>
      </c>
      <c r="C689" s="6" t="s">
        <v>943</v>
      </c>
      <c r="D689" s="6" t="s">
        <v>240</v>
      </c>
      <c r="E689" s="26" t="n">
        <v>25</v>
      </c>
      <c r="F689" s="6" t="str">
        <f aca="false">IFERROR(INDEX(Resources!$B$2:$B$64,MATCH($D689,Resources!$A$2:$A$64,0)),"?")</f>
        <v>lbs</v>
      </c>
      <c r="G689" s="6" t="s">
        <v>939</v>
      </c>
      <c r="H689" s="27" t="n">
        <f aca="false">E689*INDEX(Assumptions!$D$17:$D$23,MATCH(G689,Assumptions!$B$17:$B$23,0))</f>
        <v>25</v>
      </c>
      <c r="I689" s="6" t="n">
        <f aca="false">IFERROR(INDEX(Systems!$R$2:$R$179,MATCH($B689,Systems!$B$2:$B$179,0)),0)</f>
        <v>0</v>
      </c>
      <c r="J689" s="27" t="n">
        <f aca="false">H689*I689</f>
        <v>0</v>
      </c>
      <c r="K689" s="6" t="str">
        <f aca="false">IFERROR(IF(INDEX(Resources!$D$2:$D$64,MATCH($D689,Resources!$A$2:$A$64,0))="","",INDEX(Resources!$D$2:$D$64,MATCH($D689,Resources!$A$2:$A$64,0))),"")</f>
        <v/>
      </c>
      <c r="L689" s="28" t="str">
        <f aca="false">IF(K689="","",J689*INDEX(Resources!$E$2:$E$64,MATCH($D689,Resources!$A$2:$A$64,0)))</f>
        <v/>
      </c>
      <c r="M689" s="6" t="str">
        <f aca="false">B689&amp;"|"&amp;D689&amp;"|"&amp;C689</f>
        <v>Sheep (flock of 3)|Manure|Output</v>
      </c>
    </row>
    <row r="690" customFormat="false" ht="15" hidden="false" customHeight="true" outlineLevel="0" collapsed="false">
      <c r="A690" s="6" t="s">
        <v>1672</v>
      </c>
      <c r="B690" s="6" t="s">
        <v>787</v>
      </c>
      <c r="C690" s="6" t="s">
        <v>938</v>
      </c>
      <c r="D690" s="6" t="s">
        <v>71</v>
      </c>
      <c r="E690" s="26" t="n">
        <v>1</v>
      </c>
      <c r="F690" s="6" t="str">
        <f aca="false">IFERROR(INDEX(Resources!$B$2:$B$64,MATCH($D690,Resources!$A$2:$A$64,0)),"?")</f>
        <v>hours</v>
      </c>
      <c r="G690" s="6" t="s">
        <v>939</v>
      </c>
      <c r="H690" s="27" t="n">
        <f aca="false">E690*INDEX(Assumptions!$D$17:$D$23,MATCH(G690,Assumptions!$B$17:$B$23,0))</f>
        <v>1</v>
      </c>
      <c r="I690" s="6" t="n">
        <f aca="false">IFERROR(INDEX(Systems!$R$2:$R$179,MATCH($B690,Systems!$B$2:$B$179,0)),0)</f>
        <v>0</v>
      </c>
      <c r="J690" s="27" t="n">
        <f aca="false">H690*I690</f>
        <v>0</v>
      </c>
      <c r="K690" s="6" t="str">
        <f aca="false">IFERROR(IF(INDEX(Resources!$D$2:$D$64,MATCH($D690,Resources!$A$2:$A$64,0))="","",INDEX(Resources!$D$2:$D$64,MATCH($D690,Resources!$A$2:$A$64,0))),"")</f>
        <v>Est. Required Labor</v>
      </c>
      <c r="L690" s="28" t="n">
        <f aca="false">IF(K690="","",J690*INDEX(Resources!$E$2:$E$64,MATCH($D690,Resources!$A$2:$A$64,0)))</f>
        <v>0</v>
      </c>
      <c r="M690" s="6" t="str">
        <f aca="false">B690&amp;"|"&amp;D690&amp;"|"&amp;C690</f>
        <v>Quail Hutch (10 quail)|Labor|Input</v>
      </c>
      <c r="N690" s="6" t="s">
        <v>940</v>
      </c>
    </row>
    <row r="691" customFormat="false" ht="15" hidden="false" customHeight="true" outlineLevel="0" collapsed="false">
      <c r="A691" s="6" t="s">
        <v>1673</v>
      </c>
      <c r="B691" s="6" t="s">
        <v>787</v>
      </c>
      <c r="C691" s="6" t="s">
        <v>938</v>
      </c>
      <c r="D691" s="6" t="s">
        <v>1025</v>
      </c>
      <c r="E691" s="26" t="n">
        <v>2.5</v>
      </c>
      <c r="F691" s="6" t="str">
        <f aca="false">IFERROR(INDEX(Resources!$B$2:$B$64,MATCH($D691,Resources!$A$2:$A$64,0)),"?")</f>
        <v>lbs</v>
      </c>
      <c r="G691" s="6" t="s">
        <v>939</v>
      </c>
      <c r="H691" s="27" t="n">
        <f aca="false">E691*INDEX(Assumptions!$D$17:$D$23,MATCH(G691,Assumptions!$B$17:$B$23,0))</f>
        <v>2.5</v>
      </c>
      <c r="I691" s="6" t="n">
        <f aca="false">IFERROR(INDEX(Systems!$R$2:$R$179,MATCH($B691,Systems!$B$2:$B$179,0)),0)</f>
        <v>0</v>
      </c>
      <c r="J691" s="27" t="n">
        <f aca="false">H691*I691</f>
        <v>0</v>
      </c>
      <c r="K691" s="6" t="str">
        <f aca="false">IFERROR(IF(INDEX(Resources!$D$2:$D$64,MATCH($D691,Resources!$A$2:$A$64,0))="","",INDEX(Resources!$D$2:$D$64,MATCH($D691,Resources!$A$2:$A$64,0))),"")</f>
        <v/>
      </c>
      <c r="L691" s="28" t="str">
        <f aca="false">IF(K691="","",J691*INDEX(Resources!$E$2:$E$64,MATCH($D691,Resources!$A$2:$A$64,0)))</f>
        <v/>
      </c>
      <c r="M691" s="6" t="str">
        <f aca="false">B691&amp;"|"&amp;D691&amp;"|"&amp;C691</f>
        <v>Quail Hutch (10 quail)|Chicken feed|Input</v>
      </c>
    </row>
    <row r="692" customFormat="false" ht="15" hidden="false" customHeight="true" outlineLevel="0" collapsed="false">
      <c r="A692" s="6" t="s">
        <v>1674</v>
      </c>
      <c r="B692" s="6" t="s">
        <v>787</v>
      </c>
      <c r="C692" s="6" t="s">
        <v>938</v>
      </c>
      <c r="D692" s="6" t="s">
        <v>49</v>
      </c>
      <c r="E692" s="26" t="n">
        <v>1</v>
      </c>
      <c r="F692" s="6" t="str">
        <f aca="false">IFERROR(INDEX(Resources!$B$2:$B$64,MATCH($D692,Resources!$A$2:$A$64,0)),"?")</f>
        <v>gal</v>
      </c>
      <c r="G692" s="6" t="s">
        <v>939</v>
      </c>
      <c r="H692" s="27" t="n">
        <f aca="false">E692*INDEX(Assumptions!$D$17:$D$23,MATCH(G692,Assumptions!$B$17:$B$23,0))</f>
        <v>1</v>
      </c>
      <c r="I692" s="6" t="n">
        <f aca="false">IFERROR(INDEX(Systems!$R$2:$R$179,MATCH($B692,Systems!$B$2:$B$179,0)),0)</f>
        <v>0</v>
      </c>
      <c r="J692" s="27" t="n">
        <f aca="false">H692*I692</f>
        <v>0</v>
      </c>
      <c r="K692" s="6" t="str">
        <f aca="false">IFERROR(IF(INDEX(Resources!$D$2:$D$64,MATCH($D692,Resources!$A$2:$A$64,0))="","",INDEX(Resources!$D$2:$D$64,MATCH($D692,Resources!$A$2:$A$64,0))),"")</f>
        <v>Water</v>
      </c>
      <c r="L692" s="28" t="n">
        <f aca="false">IF(K692="","",J692*INDEX(Resources!$E$2:$E$64,MATCH($D692,Resources!$A$2:$A$64,0)))</f>
        <v>0</v>
      </c>
      <c r="M692" s="6" t="str">
        <f aca="false">B692&amp;"|"&amp;D692&amp;"|"&amp;C692</f>
        <v>Quail Hutch (10 quail)|Water|Input</v>
      </c>
    </row>
    <row r="693" customFormat="false" ht="15" hidden="false" customHeight="true" outlineLevel="0" collapsed="false">
      <c r="A693" s="6" t="s">
        <v>1675</v>
      </c>
      <c r="B693" s="6" t="s">
        <v>787</v>
      </c>
      <c r="C693" s="6" t="s">
        <v>943</v>
      </c>
      <c r="D693" s="6" t="s">
        <v>1049</v>
      </c>
      <c r="E693" s="26" t="n">
        <v>10</v>
      </c>
      <c r="F693" s="6" t="str">
        <f aca="false">IFERROR(INDEX(Resources!$B$2:$B$64,MATCH($D693,Resources!$A$2:$A$64,0)),"?")</f>
        <v>eggs</v>
      </c>
      <c r="G693" s="6" t="s">
        <v>939</v>
      </c>
      <c r="H693" s="27" t="n">
        <f aca="false">E693*INDEX(Assumptions!$D$17:$D$23,MATCH(G693,Assumptions!$B$17:$B$23,0))</f>
        <v>10</v>
      </c>
      <c r="I693" s="6" t="n">
        <f aca="false">IFERROR(INDEX(Systems!$R$2:$R$179,MATCH($B693,Systems!$B$2:$B$179,0)),0)</f>
        <v>0</v>
      </c>
      <c r="J693" s="27" t="n">
        <f aca="false">H693*I693</f>
        <v>0</v>
      </c>
      <c r="K693" s="6" t="str">
        <f aca="false">IFERROR(IF(INDEX(Resources!$D$2:$D$64,MATCH($D693,Resources!$A$2:$A$64,0))="","",INDEX(Resources!$D$2:$D$64,MATCH($D693,Resources!$A$2:$A$64,0))),"")</f>
        <v>Food</v>
      </c>
      <c r="L693" s="28" t="n">
        <f aca="false">IF(K693="","",J693*INDEX(Resources!$E$2:$E$64,MATCH($D693,Resources!$A$2:$A$64,0)))</f>
        <v>0</v>
      </c>
      <c r="M693" s="6" t="str">
        <f aca="false">B693&amp;"|"&amp;D693&amp;"|"&amp;C693</f>
        <v>Quail Hutch (10 quail)|Eggs|Output</v>
      </c>
    </row>
    <row r="694" customFormat="false" ht="15" hidden="false" customHeight="true" outlineLevel="0" collapsed="false">
      <c r="A694" s="6" t="s">
        <v>1676</v>
      </c>
      <c r="B694" s="6" t="s">
        <v>787</v>
      </c>
      <c r="C694" s="6" t="s">
        <v>943</v>
      </c>
      <c r="D694" s="6" t="s">
        <v>1230</v>
      </c>
      <c r="E694" s="26" t="n">
        <v>0.2</v>
      </c>
      <c r="F694" s="6" t="str">
        <f aca="false">IFERROR(INDEX(Resources!$B$2:$B$64,MATCH($D694,Resources!$A$2:$A$64,0)),"?")</f>
        <v>lbs</v>
      </c>
      <c r="G694" s="6" t="s">
        <v>939</v>
      </c>
      <c r="H694" s="27" t="n">
        <f aca="false">E694*INDEX(Assumptions!$D$17:$D$23,MATCH(G694,Assumptions!$B$17:$B$23,0))</f>
        <v>0.2</v>
      </c>
      <c r="I694" s="6" t="n">
        <f aca="false">IFERROR(INDEX(Systems!$R$2:$R$179,MATCH($B694,Systems!$B$2:$B$179,0)),0)</f>
        <v>0</v>
      </c>
      <c r="J694" s="27" t="n">
        <f aca="false">H694*I694</f>
        <v>0</v>
      </c>
      <c r="K694" s="6" t="str">
        <f aca="false">IFERROR(IF(INDEX(Resources!$D$2:$D$64,MATCH($D694,Resources!$A$2:$A$64,0))="","",INDEX(Resources!$D$2:$D$64,MATCH($D694,Resources!$A$2:$A$64,0))),"")</f>
        <v>Food</v>
      </c>
      <c r="L694" s="28" t="n">
        <f aca="false">IF(K694="","",J694*INDEX(Resources!$E$2:$E$64,MATCH($D694,Resources!$A$2:$A$64,0)))</f>
        <v>0</v>
      </c>
      <c r="M694" s="6" t="str">
        <f aca="false">B694&amp;"|"&amp;D694&amp;"|"&amp;C694</f>
        <v>Quail Hutch (10 quail)|Meat|Output</v>
      </c>
    </row>
    <row r="695" customFormat="false" ht="15" hidden="false" customHeight="true" outlineLevel="0" collapsed="false">
      <c r="A695" s="6" t="s">
        <v>1677</v>
      </c>
      <c r="B695" s="6" t="s">
        <v>787</v>
      </c>
      <c r="C695" s="6" t="s">
        <v>943</v>
      </c>
      <c r="D695" s="6" t="s">
        <v>240</v>
      </c>
      <c r="E695" s="26" t="n">
        <v>2</v>
      </c>
      <c r="F695" s="6" t="str">
        <f aca="false">IFERROR(INDEX(Resources!$B$2:$B$64,MATCH($D695,Resources!$A$2:$A$64,0)),"?")</f>
        <v>lbs</v>
      </c>
      <c r="G695" s="6" t="s">
        <v>939</v>
      </c>
      <c r="H695" s="27" t="n">
        <f aca="false">E695*INDEX(Assumptions!$D$17:$D$23,MATCH(G695,Assumptions!$B$17:$B$23,0))</f>
        <v>2</v>
      </c>
      <c r="I695" s="6" t="n">
        <f aca="false">IFERROR(INDEX(Systems!$R$2:$R$179,MATCH($B695,Systems!$B$2:$B$179,0)),0)</f>
        <v>0</v>
      </c>
      <c r="J695" s="27" t="n">
        <f aca="false">H695*I695</f>
        <v>0</v>
      </c>
      <c r="K695" s="6" t="str">
        <f aca="false">IFERROR(IF(INDEX(Resources!$D$2:$D$64,MATCH($D695,Resources!$A$2:$A$64,0))="","",INDEX(Resources!$D$2:$D$64,MATCH($D695,Resources!$A$2:$A$64,0))),"")</f>
        <v/>
      </c>
      <c r="L695" s="28" t="str">
        <f aca="false">IF(K695="","",J695*INDEX(Resources!$E$2:$E$64,MATCH($D695,Resources!$A$2:$A$64,0)))</f>
        <v/>
      </c>
      <c r="M695" s="6" t="str">
        <f aca="false">B695&amp;"|"&amp;D695&amp;"|"&amp;C695</f>
        <v>Quail Hutch (10 quail)|Manure|Output</v>
      </c>
    </row>
    <row r="696" customFormat="false" ht="15" hidden="false" customHeight="true" outlineLevel="0" collapsed="false">
      <c r="A696" s="6" t="s">
        <v>1678</v>
      </c>
      <c r="B696" s="6" t="s">
        <v>791</v>
      </c>
      <c r="C696" s="6" t="s">
        <v>938</v>
      </c>
      <c r="D696" s="6" t="s">
        <v>71</v>
      </c>
      <c r="E696" s="26" t="n">
        <v>7</v>
      </c>
      <c r="F696" s="6" t="str">
        <f aca="false">IFERROR(INDEX(Resources!$B$2:$B$64,MATCH($D696,Resources!$A$2:$A$64,0)),"?")</f>
        <v>hours</v>
      </c>
      <c r="G696" s="6" t="s">
        <v>939</v>
      </c>
      <c r="H696" s="27" t="n">
        <f aca="false">E696*INDEX(Assumptions!$D$17:$D$23,MATCH(G696,Assumptions!$B$17:$B$23,0))</f>
        <v>7</v>
      </c>
      <c r="I696" s="6" t="n">
        <f aca="false">IFERROR(INDEX(Systems!$R$2:$R$179,MATCH($B696,Systems!$B$2:$B$179,0)),0)</f>
        <v>0</v>
      </c>
      <c r="J696" s="27" t="n">
        <f aca="false">H696*I696</f>
        <v>0</v>
      </c>
      <c r="K696" s="6" t="str">
        <f aca="false">IFERROR(IF(INDEX(Resources!$D$2:$D$64,MATCH($D696,Resources!$A$2:$A$64,0))="","",INDEX(Resources!$D$2:$D$64,MATCH($D696,Resources!$A$2:$A$64,0))),"")</f>
        <v>Est. Required Labor</v>
      </c>
      <c r="L696" s="28" t="n">
        <f aca="false">IF(K696="","",J696*INDEX(Resources!$E$2:$E$64,MATCH($D696,Resources!$A$2:$A$64,0)))</f>
        <v>0</v>
      </c>
      <c r="M696" s="6" t="str">
        <f aca="false">B696&amp;"|"&amp;D696&amp;"|"&amp;C696</f>
        <v>Horse|Labor|Input</v>
      </c>
      <c r="N696" s="6" t="s">
        <v>940</v>
      </c>
    </row>
    <row r="697" customFormat="false" ht="15" hidden="false" customHeight="true" outlineLevel="0" collapsed="false">
      <c r="A697" s="6" t="s">
        <v>1679</v>
      </c>
      <c r="B697" s="6" t="s">
        <v>791</v>
      </c>
      <c r="C697" s="6" t="s">
        <v>938</v>
      </c>
      <c r="D697" s="6" t="s">
        <v>1523</v>
      </c>
      <c r="E697" s="26" t="n">
        <v>140</v>
      </c>
      <c r="F697" s="6" t="str">
        <f aca="false">IFERROR(INDEX(Resources!$B$2:$B$64,MATCH($D697,Resources!$A$2:$A$64,0)),"?")</f>
        <v>lbs</v>
      </c>
      <c r="G697" s="6" t="s">
        <v>939</v>
      </c>
      <c r="H697" s="27" t="n">
        <f aca="false">E697*INDEX(Assumptions!$D$17:$D$23,MATCH(G697,Assumptions!$B$17:$B$23,0))</f>
        <v>140</v>
      </c>
      <c r="I697" s="6" t="n">
        <f aca="false">IFERROR(INDEX(Systems!$R$2:$R$179,MATCH($B697,Systems!$B$2:$B$179,0)),0)</f>
        <v>0</v>
      </c>
      <c r="J697" s="27" t="n">
        <f aca="false">H697*I697</f>
        <v>0</v>
      </c>
      <c r="K697" s="6" t="str">
        <f aca="false">IFERROR(IF(INDEX(Resources!$D$2:$D$64,MATCH($D697,Resources!$A$2:$A$64,0))="","",INDEX(Resources!$D$2:$D$64,MATCH($D697,Resources!$A$2:$A$64,0))),"")</f>
        <v/>
      </c>
      <c r="L697" s="28" t="str">
        <f aca="false">IF(K697="","",J697*INDEX(Resources!$E$2:$E$64,MATCH($D697,Resources!$A$2:$A$64,0)))</f>
        <v/>
      </c>
      <c r="M697" s="6" t="str">
        <f aca="false">B697&amp;"|"&amp;D697&amp;"|"&amp;C697</f>
        <v>Horse|Hay|Input</v>
      </c>
    </row>
    <row r="698" customFormat="false" ht="15" hidden="false" customHeight="true" outlineLevel="0" collapsed="false">
      <c r="A698" s="6" t="s">
        <v>1680</v>
      </c>
      <c r="B698" s="6" t="s">
        <v>791</v>
      </c>
      <c r="C698" s="6" t="s">
        <v>938</v>
      </c>
      <c r="D698" s="6" t="s">
        <v>49</v>
      </c>
      <c r="E698" s="26" t="n">
        <v>70</v>
      </c>
      <c r="F698" s="6" t="str">
        <f aca="false">IFERROR(INDEX(Resources!$B$2:$B$64,MATCH($D698,Resources!$A$2:$A$64,0)),"?")</f>
        <v>gal</v>
      </c>
      <c r="G698" s="6" t="s">
        <v>939</v>
      </c>
      <c r="H698" s="27" t="n">
        <f aca="false">E698*INDEX(Assumptions!$D$17:$D$23,MATCH(G698,Assumptions!$B$17:$B$23,0))</f>
        <v>70</v>
      </c>
      <c r="I698" s="6" t="n">
        <f aca="false">IFERROR(INDEX(Systems!$R$2:$R$179,MATCH($B698,Systems!$B$2:$B$179,0)),0)</f>
        <v>0</v>
      </c>
      <c r="J698" s="27" t="n">
        <f aca="false">H698*I698</f>
        <v>0</v>
      </c>
      <c r="K698" s="6" t="str">
        <f aca="false">IFERROR(IF(INDEX(Resources!$D$2:$D$64,MATCH($D698,Resources!$A$2:$A$64,0))="","",INDEX(Resources!$D$2:$D$64,MATCH($D698,Resources!$A$2:$A$64,0))),"")</f>
        <v>Water</v>
      </c>
      <c r="L698" s="28" t="n">
        <f aca="false">IF(K698="","",J698*INDEX(Resources!$E$2:$E$64,MATCH($D698,Resources!$A$2:$A$64,0)))</f>
        <v>0</v>
      </c>
      <c r="M698" s="6" t="str">
        <f aca="false">B698&amp;"|"&amp;D698&amp;"|"&amp;C698</f>
        <v>Horse|Water|Input</v>
      </c>
    </row>
    <row r="699" customFormat="false" ht="15" hidden="false" customHeight="true" outlineLevel="0" collapsed="false">
      <c r="A699" s="6" t="s">
        <v>1681</v>
      </c>
      <c r="B699" s="6" t="s">
        <v>791</v>
      </c>
      <c r="C699" s="6" t="s">
        <v>938</v>
      </c>
      <c r="D699" s="6" t="s">
        <v>1169</v>
      </c>
      <c r="E699" s="26" t="n">
        <v>43560</v>
      </c>
      <c r="F699" s="6" t="str">
        <f aca="false">IFERROR(INDEX(Resources!$B$2:$B$64,MATCH($D699,Resources!$A$2:$A$64,0)),"?")</f>
        <v>sq ft</v>
      </c>
      <c r="G699" s="6" t="s">
        <v>945</v>
      </c>
      <c r="H699" s="27" t="n">
        <f aca="false">E699*INDEX(Assumptions!$D$17:$D$23,MATCH(G699,Assumptions!$B$17:$B$23,0))</f>
        <v>43560</v>
      </c>
      <c r="I699" s="6" t="n">
        <f aca="false">IFERROR(INDEX(Systems!$R$2:$R$179,MATCH($B699,Systems!$B$2:$B$179,0)),0)</f>
        <v>0</v>
      </c>
      <c r="J699" s="27" t="n">
        <f aca="false">H699*I699</f>
        <v>0</v>
      </c>
      <c r="K699" s="6" t="str">
        <f aca="false">IFERROR(IF(INDEX(Resources!$D$2:$D$64,MATCH($D699,Resources!$A$2:$A$64,0))="","",INDEX(Resources!$D$2:$D$64,MATCH($D699,Resources!$A$2:$A$64,0))),"")</f>
        <v/>
      </c>
      <c r="L699" s="28" t="str">
        <f aca="false">IF(K699="","",J699*INDEX(Resources!$E$2:$E$64,MATCH($D699,Resources!$A$2:$A$64,0)))</f>
        <v/>
      </c>
      <c r="M699" s="6" t="str">
        <f aca="false">B699&amp;"|"&amp;D699&amp;"|"&amp;C699</f>
        <v>Horse|Fenced paddock|Input</v>
      </c>
    </row>
    <row r="700" customFormat="false" ht="15" hidden="false" customHeight="true" outlineLevel="0" collapsed="false">
      <c r="A700" s="6" t="s">
        <v>1682</v>
      </c>
      <c r="B700" s="6" t="s">
        <v>791</v>
      </c>
      <c r="C700" s="6" t="s">
        <v>938</v>
      </c>
      <c r="D700" s="6" t="s">
        <v>269</v>
      </c>
      <c r="E700" s="26" t="n">
        <v>40</v>
      </c>
      <c r="F700" s="6" t="str">
        <f aca="false">IFERROR(INDEX(Resources!$B$2:$B$64,MATCH($D700,Resources!$A$2:$A$64,0)),"?")</f>
        <v>$</v>
      </c>
      <c r="G700" s="6" t="s">
        <v>939</v>
      </c>
      <c r="H700" s="27" t="n">
        <f aca="false">E700*INDEX(Assumptions!$D$17:$D$23,MATCH(G700,Assumptions!$B$17:$B$23,0))</f>
        <v>40</v>
      </c>
      <c r="I700" s="6" t="n">
        <f aca="false">IFERROR(INDEX(Systems!$R$2:$R$179,MATCH($B700,Systems!$B$2:$B$179,0)),0)</f>
        <v>0</v>
      </c>
      <c r="J700" s="27" t="n">
        <f aca="false">H700*I700</f>
        <v>0</v>
      </c>
      <c r="K700" s="6" t="str">
        <f aca="false">IFERROR(IF(INDEX(Resources!$D$2:$D$64,MATCH($D700,Resources!$A$2:$A$64,0))="","",INDEX(Resources!$D$2:$D$64,MATCH($D700,Resources!$A$2:$A$64,0))),"")</f>
        <v/>
      </c>
      <c r="L700" s="28" t="str">
        <f aca="false">IF(K700="","",J700*INDEX(Resources!$E$2:$E$64,MATCH($D700,Resources!$A$2:$A$64,0)))</f>
        <v/>
      </c>
      <c r="M700" s="6" t="str">
        <f aca="false">B700&amp;"|"&amp;D700&amp;"|"&amp;C700</f>
        <v>Horse|Capital|Input</v>
      </c>
    </row>
    <row r="701" customFormat="false" ht="15" hidden="false" customHeight="true" outlineLevel="0" collapsed="false">
      <c r="A701" s="6" t="s">
        <v>1683</v>
      </c>
      <c r="B701" s="6" t="s">
        <v>791</v>
      </c>
      <c r="C701" s="6" t="s">
        <v>943</v>
      </c>
      <c r="D701" s="6" t="s">
        <v>61</v>
      </c>
      <c r="E701" s="26" t="n">
        <v>60</v>
      </c>
      <c r="F701" s="6" t="str">
        <f aca="false">IFERROR(INDEX(Resources!$B$2:$B$64,MATCH($D701,Resources!$A$2:$A$64,0)),"?")</f>
        <v>miles</v>
      </c>
      <c r="G701" s="6" t="s">
        <v>939</v>
      </c>
      <c r="H701" s="27" t="n">
        <f aca="false">E701*INDEX(Assumptions!$D$17:$D$23,MATCH(G701,Assumptions!$B$17:$B$23,0))</f>
        <v>60</v>
      </c>
      <c r="I701" s="6" t="n">
        <f aca="false">IFERROR(INDEX(Systems!$R$2:$R$179,MATCH($B701,Systems!$B$2:$B$179,0)),0)</f>
        <v>0</v>
      </c>
      <c r="J701" s="27" t="n">
        <f aca="false">H701*I701</f>
        <v>0</v>
      </c>
      <c r="K701" s="6" t="str">
        <f aca="false">IFERROR(IF(INDEX(Resources!$D$2:$D$64,MATCH($D701,Resources!$A$2:$A$64,0))="","",INDEX(Resources!$D$2:$D$64,MATCH($D701,Resources!$A$2:$A$64,0))),"")</f>
        <v>Transportation</v>
      </c>
      <c r="L701" s="28" t="n">
        <f aca="false">IF(K701="","",J701*INDEX(Resources!$E$2:$E$64,MATCH($D701,Resources!$A$2:$A$64,0)))</f>
        <v>0</v>
      </c>
      <c r="M701" s="6" t="str">
        <f aca="false">B701&amp;"|"&amp;D701&amp;"|"&amp;C701</f>
        <v>Horse|Transportation|Output</v>
      </c>
    </row>
    <row r="702" customFormat="false" ht="15" hidden="false" customHeight="true" outlineLevel="0" collapsed="false">
      <c r="A702" s="6" t="s">
        <v>1684</v>
      </c>
      <c r="B702" s="6" t="s">
        <v>791</v>
      </c>
      <c r="C702" s="6" t="s">
        <v>943</v>
      </c>
      <c r="D702" s="6" t="s">
        <v>240</v>
      </c>
      <c r="E702" s="26" t="n">
        <v>280</v>
      </c>
      <c r="F702" s="6" t="str">
        <f aca="false">IFERROR(INDEX(Resources!$B$2:$B$64,MATCH($D702,Resources!$A$2:$A$64,0)),"?")</f>
        <v>lbs</v>
      </c>
      <c r="G702" s="6" t="s">
        <v>939</v>
      </c>
      <c r="H702" s="27" t="n">
        <f aca="false">E702*INDEX(Assumptions!$D$17:$D$23,MATCH(G702,Assumptions!$B$17:$B$23,0))</f>
        <v>280</v>
      </c>
      <c r="I702" s="6" t="n">
        <f aca="false">IFERROR(INDEX(Systems!$R$2:$R$179,MATCH($B702,Systems!$B$2:$B$179,0)),0)</f>
        <v>0</v>
      </c>
      <c r="J702" s="27" t="n">
        <f aca="false">H702*I702</f>
        <v>0</v>
      </c>
      <c r="K702" s="6" t="str">
        <f aca="false">IFERROR(IF(INDEX(Resources!$D$2:$D$64,MATCH($D702,Resources!$A$2:$A$64,0))="","",INDEX(Resources!$D$2:$D$64,MATCH($D702,Resources!$A$2:$A$64,0))),"")</f>
        <v/>
      </c>
      <c r="L702" s="28" t="str">
        <f aca="false">IF(K702="","",J702*INDEX(Resources!$E$2:$E$64,MATCH($D702,Resources!$A$2:$A$64,0)))</f>
        <v/>
      </c>
      <c r="M702" s="6" t="str">
        <f aca="false">B702&amp;"|"&amp;D702&amp;"|"&amp;C702</f>
        <v>Horse|Manure|Output</v>
      </c>
    </row>
    <row r="703" customFormat="false" ht="15" hidden="false" customHeight="true" outlineLevel="0" collapsed="false">
      <c r="A703" s="6" t="s">
        <v>1685</v>
      </c>
      <c r="B703" s="6" t="s">
        <v>791</v>
      </c>
      <c r="C703" s="6" t="s">
        <v>943</v>
      </c>
      <c r="D703" s="6" t="s">
        <v>462</v>
      </c>
      <c r="E703" s="26" t="n">
        <v>10</v>
      </c>
      <c r="F703" s="6" t="str">
        <f aca="false">IFERROR(INDEX(Resources!$B$2:$B$64,MATCH($D703,Resources!$A$2:$A$64,0)),"?")</f>
        <v>points</v>
      </c>
      <c r="G703" s="6" t="s">
        <v>939</v>
      </c>
      <c r="H703" s="27" t="n">
        <f aca="false">E703*INDEX(Assumptions!$D$17:$D$23,MATCH(G703,Assumptions!$B$17:$B$23,0))</f>
        <v>10</v>
      </c>
      <c r="I703" s="6" t="n">
        <f aca="false">IFERROR(INDEX(Systems!$R$2:$R$179,MATCH($B703,Systems!$B$2:$B$179,0)),0)</f>
        <v>0</v>
      </c>
      <c r="J703" s="27" t="n">
        <f aca="false">H703*I703</f>
        <v>0</v>
      </c>
      <c r="K703" s="6" t="str">
        <f aca="false">IFERROR(IF(INDEX(Resources!$D$2:$D$64,MATCH($D703,Resources!$A$2:$A$64,0))="","",INDEX(Resources!$D$2:$D$64,MATCH($D703,Resources!$A$2:$A$64,0))),"")</f>
        <v/>
      </c>
      <c r="L703" s="28" t="str">
        <f aca="false">IF(K703="","",J703*INDEX(Resources!$E$2:$E$64,MATCH($D703,Resources!$A$2:$A$64,0)))</f>
        <v/>
      </c>
      <c r="M703" s="6" t="str">
        <f aca="false">B703&amp;"|"&amp;D703&amp;"|"&amp;C703</f>
        <v>Horse|Wellbeing|Output</v>
      </c>
    </row>
    <row r="704" customFormat="false" ht="15" hidden="false" customHeight="true" outlineLevel="0" collapsed="false">
      <c r="A704" s="6" t="s">
        <v>1686</v>
      </c>
      <c r="B704" s="6" t="s">
        <v>795</v>
      </c>
      <c r="C704" s="6" t="s">
        <v>938</v>
      </c>
      <c r="D704" s="6" t="s">
        <v>71</v>
      </c>
      <c r="E704" s="26" t="n">
        <v>4.2</v>
      </c>
      <c r="F704" s="6" t="str">
        <f aca="false">IFERROR(INDEX(Resources!$B$2:$B$64,MATCH($D704,Resources!$A$2:$A$64,0)),"?")</f>
        <v>hours</v>
      </c>
      <c r="G704" s="6" t="s">
        <v>939</v>
      </c>
      <c r="H704" s="27" t="n">
        <f aca="false">E704*INDEX(Assumptions!$D$17:$D$23,MATCH(G704,Assumptions!$B$17:$B$23,0))</f>
        <v>4.2</v>
      </c>
      <c r="I704" s="6" t="n">
        <f aca="false">IFERROR(INDEX(Systems!$R$2:$R$179,MATCH($B704,Systems!$B$2:$B$179,0)),0)</f>
        <v>0</v>
      </c>
      <c r="J704" s="27" t="n">
        <f aca="false">H704*I704</f>
        <v>0</v>
      </c>
      <c r="K704" s="6" t="str">
        <f aca="false">IFERROR(IF(INDEX(Resources!$D$2:$D$64,MATCH($D704,Resources!$A$2:$A$64,0))="","",INDEX(Resources!$D$2:$D$64,MATCH($D704,Resources!$A$2:$A$64,0))),"")</f>
        <v>Est. Required Labor</v>
      </c>
      <c r="L704" s="28" t="n">
        <f aca="false">IF(K704="","",J704*INDEX(Resources!$E$2:$E$64,MATCH($D704,Resources!$A$2:$A$64,0)))</f>
        <v>0</v>
      </c>
      <c r="M704" s="6" t="str">
        <f aca="false">B704&amp;"|"&amp;D704&amp;"|"&amp;C704</f>
        <v>E-Bike|Labor|Input</v>
      </c>
      <c r="N704" s="6" t="s">
        <v>1060</v>
      </c>
    </row>
    <row r="705" customFormat="false" ht="15" hidden="false" customHeight="true" outlineLevel="0" collapsed="false">
      <c r="A705" s="6" t="s">
        <v>1687</v>
      </c>
      <c r="B705" s="6" t="s">
        <v>795</v>
      </c>
      <c r="C705" s="6" t="s">
        <v>938</v>
      </c>
      <c r="D705" s="6" t="s">
        <v>59</v>
      </c>
      <c r="E705" s="26" t="n">
        <v>1.5</v>
      </c>
      <c r="F705" s="6" t="str">
        <f aca="false">IFERROR(INDEX(Resources!$B$2:$B$64,MATCH($D705,Resources!$A$2:$A$64,0)),"?")</f>
        <v>kWh</v>
      </c>
      <c r="G705" s="6" t="s">
        <v>939</v>
      </c>
      <c r="H705" s="27" t="n">
        <f aca="false">E705*INDEX(Assumptions!$D$17:$D$23,MATCH(G705,Assumptions!$B$17:$B$23,0))</f>
        <v>1.5</v>
      </c>
      <c r="I705" s="6" t="n">
        <f aca="false">IFERROR(INDEX(Systems!$R$2:$R$179,MATCH($B705,Systems!$B$2:$B$179,0)),0)</f>
        <v>0</v>
      </c>
      <c r="J705" s="27" t="n">
        <f aca="false">H705*I705</f>
        <v>0</v>
      </c>
      <c r="K705" s="6" t="str">
        <f aca="false">IFERROR(IF(INDEX(Resources!$D$2:$D$64,MATCH($D705,Resources!$A$2:$A$64,0))="","",INDEX(Resources!$D$2:$D$64,MATCH($D705,Resources!$A$2:$A$64,0))),"")</f>
        <v>Electricity</v>
      </c>
      <c r="L705" s="28" t="n">
        <f aca="false">IF(K705="","",J705*INDEX(Resources!$E$2:$E$64,MATCH($D705,Resources!$A$2:$A$64,0)))</f>
        <v>0</v>
      </c>
      <c r="M705" s="6" t="str">
        <f aca="false">B705&amp;"|"&amp;D705&amp;"|"&amp;C705</f>
        <v>E-Bike|Electricity|Input</v>
      </c>
    </row>
    <row r="706" customFormat="false" ht="15" hidden="false" customHeight="true" outlineLevel="0" collapsed="false">
      <c r="A706" s="6" t="s">
        <v>1688</v>
      </c>
      <c r="B706" s="6" t="s">
        <v>795</v>
      </c>
      <c r="C706" s="6" t="s">
        <v>938</v>
      </c>
      <c r="D706" s="6" t="s">
        <v>52</v>
      </c>
      <c r="E706" s="26" t="n">
        <v>800</v>
      </c>
      <c r="F706" s="6" t="str">
        <f aca="false">IFERROR(INDEX(Resources!$B$2:$B$64,MATCH($D706,Resources!$A$2:$A$64,0)),"?")</f>
        <v>kcal</v>
      </c>
      <c r="G706" s="6" t="s">
        <v>939</v>
      </c>
      <c r="H706" s="27" t="n">
        <f aca="false">E706*INDEX(Assumptions!$D$17:$D$23,MATCH(G706,Assumptions!$B$17:$B$23,0))</f>
        <v>800</v>
      </c>
      <c r="I706" s="6" t="n">
        <f aca="false">IFERROR(INDEX(Systems!$R$2:$R$179,MATCH($B706,Systems!$B$2:$B$179,0)),0)</f>
        <v>0</v>
      </c>
      <c r="J706" s="27" t="n">
        <f aca="false">H706*I706</f>
        <v>0</v>
      </c>
      <c r="K706" s="6" t="str">
        <f aca="false">IFERROR(IF(INDEX(Resources!$D$2:$D$64,MATCH($D706,Resources!$A$2:$A$64,0))="","",INDEX(Resources!$D$2:$D$64,MATCH($D706,Resources!$A$2:$A$64,0))),"")</f>
        <v>Food</v>
      </c>
      <c r="L706" s="28" t="n">
        <f aca="false">IF(K706="","",J706*INDEX(Resources!$E$2:$E$64,MATCH($D706,Resources!$A$2:$A$64,0)))</f>
        <v>0</v>
      </c>
      <c r="M706" s="6" t="str">
        <f aca="false">B706&amp;"|"&amp;D706&amp;"|"&amp;C706</f>
        <v>E-Bike|Food|Input</v>
      </c>
    </row>
    <row r="707" customFormat="false" ht="15" hidden="false" customHeight="true" outlineLevel="0" collapsed="false">
      <c r="A707" s="6" t="s">
        <v>1689</v>
      </c>
      <c r="B707" s="6" t="s">
        <v>795</v>
      </c>
      <c r="C707" s="6" t="s">
        <v>938</v>
      </c>
      <c r="D707" s="6" t="s">
        <v>329</v>
      </c>
      <c r="E707" s="26" t="n">
        <v>12</v>
      </c>
      <c r="F707" s="6" t="str">
        <f aca="false">IFERROR(INDEX(Resources!$B$2:$B$64,MATCH($D707,Resources!$A$2:$A$64,0)),"?")</f>
        <v>cu ft</v>
      </c>
      <c r="G707" s="6" t="s">
        <v>945</v>
      </c>
      <c r="H707" s="27" t="n">
        <f aca="false">E707*INDEX(Assumptions!$D$17:$D$23,MATCH(G707,Assumptions!$B$17:$B$23,0))</f>
        <v>12</v>
      </c>
      <c r="I707" s="6" t="n">
        <f aca="false">IFERROR(INDEX(Systems!$R$2:$R$179,MATCH($B707,Systems!$B$2:$B$179,0)),0)</f>
        <v>0</v>
      </c>
      <c r="J707" s="27" t="n">
        <f aca="false">H707*I707</f>
        <v>0</v>
      </c>
      <c r="K707" s="6" t="str">
        <f aca="false">IFERROR(IF(INDEX(Resources!$D$2:$D$64,MATCH($D707,Resources!$A$2:$A$64,0))="","",INDEX(Resources!$D$2:$D$64,MATCH($D707,Resources!$A$2:$A$64,0))),"")</f>
        <v/>
      </c>
      <c r="L707" s="28" t="str">
        <f aca="false">IF(K707="","",J707*INDEX(Resources!$E$2:$E$64,MATCH($D707,Resources!$A$2:$A$64,0)))</f>
        <v/>
      </c>
      <c r="M707" s="6" t="str">
        <f aca="false">B707&amp;"|"&amp;D707&amp;"|"&amp;C707</f>
        <v>E-Bike|Storage space|Input</v>
      </c>
    </row>
    <row r="708" customFormat="false" ht="15" hidden="false" customHeight="true" outlineLevel="0" collapsed="false">
      <c r="A708" s="6" t="s">
        <v>1690</v>
      </c>
      <c r="B708" s="6" t="s">
        <v>795</v>
      </c>
      <c r="C708" s="6" t="s">
        <v>943</v>
      </c>
      <c r="D708" s="6" t="s">
        <v>61</v>
      </c>
      <c r="E708" s="26" t="n">
        <v>100</v>
      </c>
      <c r="F708" s="6" t="str">
        <f aca="false">IFERROR(INDEX(Resources!$B$2:$B$64,MATCH($D708,Resources!$A$2:$A$64,0)),"?")</f>
        <v>miles</v>
      </c>
      <c r="G708" s="6" t="s">
        <v>939</v>
      </c>
      <c r="H708" s="27" t="n">
        <f aca="false">E708*INDEX(Assumptions!$D$17:$D$23,MATCH(G708,Assumptions!$B$17:$B$23,0))</f>
        <v>100</v>
      </c>
      <c r="I708" s="6" t="n">
        <f aca="false">IFERROR(INDEX(Systems!$R$2:$R$179,MATCH($B708,Systems!$B$2:$B$179,0)),0)</f>
        <v>0</v>
      </c>
      <c r="J708" s="27" t="n">
        <f aca="false">H708*I708</f>
        <v>0</v>
      </c>
      <c r="K708" s="6" t="str">
        <f aca="false">IFERROR(IF(INDEX(Resources!$D$2:$D$64,MATCH($D708,Resources!$A$2:$A$64,0))="","",INDEX(Resources!$D$2:$D$64,MATCH($D708,Resources!$A$2:$A$64,0))),"")</f>
        <v>Transportation</v>
      </c>
      <c r="L708" s="28" t="n">
        <f aca="false">IF(K708="","",J708*INDEX(Resources!$E$2:$E$64,MATCH($D708,Resources!$A$2:$A$64,0)))</f>
        <v>0</v>
      </c>
      <c r="M708" s="6" t="str">
        <f aca="false">B708&amp;"|"&amp;D708&amp;"|"&amp;C708</f>
        <v>E-Bike|Transportation|Output</v>
      </c>
    </row>
    <row r="709" customFormat="false" ht="15" hidden="false" customHeight="true" outlineLevel="0" collapsed="false">
      <c r="A709" s="6" t="s">
        <v>1691</v>
      </c>
      <c r="B709" s="6" t="s">
        <v>795</v>
      </c>
      <c r="C709" s="6" t="s">
        <v>943</v>
      </c>
      <c r="D709" s="6" t="s">
        <v>462</v>
      </c>
      <c r="E709" s="26" t="n">
        <v>5</v>
      </c>
      <c r="F709" s="6" t="str">
        <f aca="false">IFERROR(INDEX(Resources!$B$2:$B$64,MATCH($D709,Resources!$A$2:$A$64,0)),"?")</f>
        <v>points</v>
      </c>
      <c r="G709" s="6" t="s">
        <v>939</v>
      </c>
      <c r="H709" s="27" t="n">
        <f aca="false">E709*INDEX(Assumptions!$D$17:$D$23,MATCH(G709,Assumptions!$B$17:$B$23,0))</f>
        <v>5</v>
      </c>
      <c r="I709" s="6" t="n">
        <f aca="false">IFERROR(INDEX(Systems!$R$2:$R$179,MATCH($B709,Systems!$B$2:$B$179,0)),0)</f>
        <v>0</v>
      </c>
      <c r="J709" s="27" t="n">
        <f aca="false">H709*I709</f>
        <v>0</v>
      </c>
      <c r="K709" s="6" t="str">
        <f aca="false">IFERROR(IF(INDEX(Resources!$D$2:$D$64,MATCH($D709,Resources!$A$2:$A$64,0))="","",INDEX(Resources!$D$2:$D$64,MATCH($D709,Resources!$A$2:$A$64,0))),"")</f>
        <v/>
      </c>
      <c r="L709" s="28" t="str">
        <f aca="false">IF(K709="","",J709*INDEX(Resources!$E$2:$E$64,MATCH($D709,Resources!$A$2:$A$64,0)))</f>
        <v/>
      </c>
      <c r="M709" s="6" t="str">
        <f aca="false">B709&amp;"|"&amp;D709&amp;"|"&amp;C709</f>
        <v>E-Bike|Wellbeing|Output</v>
      </c>
    </row>
    <row r="710" customFormat="false" ht="15" hidden="false" customHeight="true" outlineLevel="0" collapsed="false">
      <c r="A710" s="6" t="s">
        <v>1692</v>
      </c>
      <c r="B710" s="6" t="s">
        <v>798</v>
      </c>
      <c r="C710" s="6" t="s">
        <v>938</v>
      </c>
      <c r="D710" s="6" t="s">
        <v>71</v>
      </c>
      <c r="E710" s="26" t="n">
        <v>0.2</v>
      </c>
      <c r="F710" s="6" t="str">
        <f aca="false">IFERROR(INDEX(Resources!$B$2:$B$64,MATCH($D710,Resources!$A$2:$A$64,0)),"?")</f>
        <v>hours</v>
      </c>
      <c r="G710" s="6" t="s">
        <v>939</v>
      </c>
      <c r="H710" s="27" t="n">
        <f aca="false">E710*INDEX(Assumptions!$D$17:$D$23,MATCH(G710,Assumptions!$B$17:$B$23,0))</f>
        <v>0.2</v>
      </c>
      <c r="I710" s="6" t="n">
        <f aca="false">IFERROR(INDEX(Systems!$R$2:$R$179,MATCH($B710,Systems!$B$2:$B$179,0)),0)</f>
        <v>0</v>
      </c>
      <c r="J710" s="27" t="n">
        <f aca="false">H710*I710</f>
        <v>0</v>
      </c>
      <c r="K710" s="6" t="str">
        <f aca="false">IFERROR(IF(INDEX(Resources!$D$2:$D$64,MATCH($D710,Resources!$A$2:$A$64,0))="","",INDEX(Resources!$D$2:$D$64,MATCH($D710,Resources!$A$2:$A$64,0))),"")</f>
        <v>Est. Required Labor</v>
      </c>
      <c r="L710" s="28" t="n">
        <f aca="false">IF(K710="","",J710*INDEX(Resources!$E$2:$E$64,MATCH($D710,Resources!$A$2:$A$64,0)))</f>
        <v>0</v>
      </c>
      <c r="M710" s="6" t="str">
        <f aca="false">B710&amp;"|"&amp;D710&amp;"|"&amp;C710</f>
        <v>Used EV (Nissan Leaf)|Labor|Input</v>
      </c>
      <c r="N710" s="6" t="s">
        <v>940</v>
      </c>
    </row>
    <row r="711" customFormat="false" ht="15" hidden="false" customHeight="true" outlineLevel="0" collapsed="false">
      <c r="A711" s="6" t="s">
        <v>1693</v>
      </c>
      <c r="B711" s="6" t="s">
        <v>798</v>
      </c>
      <c r="C711" s="6" t="s">
        <v>938</v>
      </c>
      <c r="D711" s="6" t="s">
        <v>59</v>
      </c>
      <c r="E711" s="26" t="n">
        <v>70</v>
      </c>
      <c r="F711" s="6" t="str">
        <f aca="false">IFERROR(INDEX(Resources!$B$2:$B$64,MATCH($D711,Resources!$A$2:$A$64,0)),"?")</f>
        <v>kWh</v>
      </c>
      <c r="G711" s="6" t="s">
        <v>939</v>
      </c>
      <c r="H711" s="27" t="n">
        <f aca="false">E711*INDEX(Assumptions!$D$17:$D$23,MATCH(G711,Assumptions!$B$17:$B$23,0))</f>
        <v>70</v>
      </c>
      <c r="I711" s="6" t="n">
        <f aca="false">IFERROR(INDEX(Systems!$R$2:$R$179,MATCH($B711,Systems!$B$2:$B$179,0)),0)</f>
        <v>0</v>
      </c>
      <c r="J711" s="27" t="n">
        <f aca="false">H711*I711</f>
        <v>0</v>
      </c>
      <c r="K711" s="6" t="str">
        <f aca="false">IFERROR(IF(INDEX(Resources!$D$2:$D$64,MATCH($D711,Resources!$A$2:$A$64,0))="","",INDEX(Resources!$D$2:$D$64,MATCH($D711,Resources!$A$2:$A$64,0))),"")</f>
        <v>Electricity</v>
      </c>
      <c r="L711" s="28" t="n">
        <f aca="false">IF(K711="","",J711*INDEX(Resources!$E$2:$E$64,MATCH($D711,Resources!$A$2:$A$64,0)))</f>
        <v>0</v>
      </c>
      <c r="M711" s="6" t="str">
        <f aca="false">B711&amp;"|"&amp;D711&amp;"|"&amp;C711</f>
        <v>Used EV (Nissan Leaf)|Electricity|Input</v>
      </c>
    </row>
    <row r="712" customFormat="false" ht="15" hidden="false" customHeight="true" outlineLevel="0" collapsed="false">
      <c r="A712" s="6" t="s">
        <v>1694</v>
      </c>
      <c r="B712" s="6" t="s">
        <v>798</v>
      </c>
      <c r="C712" s="6" t="s">
        <v>938</v>
      </c>
      <c r="D712" s="6" t="s">
        <v>269</v>
      </c>
      <c r="E712" s="26" t="n">
        <v>60</v>
      </c>
      <c r="F712" s="6" t="str">
        <f aca="false">IFERROR(INDEX(Resources!$B$2:$B$64,MATCH($D712,Resources!$A$2:$A$64,0)),"?")</f>
        <v>$</v>
      </c>
      <c r="G712" s="6" t="s">
        <v>939</v>
      </c>
      <c r="H712" s="27" t="n">
        <f aca="false">E712*INDEX(Assumptions!$D$17:$D$23,MATCH(G712,Assumptions!$B$17:$B$23,0))</f>
        <v>60</v>
      </c>
      <c r="I712" s="6" t="n">
        <f aca="false">IFERROR(INDEX(Systems!$R$2:$R$179,MATCH($B712,Systems!$B$2:$B$179,0)),0)</f>
        <v>0</v>
      </c>
      <c r="J712" s="27" t="n">
        <f aca="false">H712*I712</f>
        <v>0</v>
      </c>
      <c r="K712" s="6" t="str">
        <f aca="false">IFERROR(IF(INDEX(Resources!$D$2:$D$64,MATCH($D712,Resources!$A$2:$A$64,0))="","",INDEX(Resources!$D$2:$D$64,MATCH($D712,Resources!$A$2:$A$64,0))),"")</f>
        <v/>
      </c>
      <c r="L712" s="28" t="str">
        <f aca="false">IF(K712="","",J712*INDEX(Resources!$E$2:$E$64,MATCH($D712,Resources!$A$2:$A$64,0)))</f>
        <v/>
      </c>
      <c r="M712" s="6" t="str">
        <f aca="false">B712&amp;"|"&amp;D712&amp;"|"&amp;C712</f>
        <v>Used EV (Nissan Leaf)|Capital|Input</v>
      </c>
    </row>
    <row r="713" customFormat="false" ht="15" hidden="false" customHeight="true" outlineLevel="0" collapsed="false">
      <c r="A713" s="6" t="s">
        <v>1695</v>
      </c>
      <c r="B713" s="6" t="s">
        <v>798</v>
      </c>
      <c r="C713" s="6" t="s">
        <v>943</v>
      </c>
      <c r="D713" s="6" t="s">
        <v>61</v>
      </c>
      <c r="E713" s="26" t="n">
        <v>250</v>
      </c>
      <c r="F713" s="6" t="str">
        <f aca="false">IFERROR(INDEX(Resources!$B$2:$B$64,MATCH($D713,Resources!$A$2:$A$64,0)),"?")</f>
        <v>miles</v>
      </c>
      <c r="G713" s="6" t="s">
        <v>939</v>
      </c>
      <c r="H713" s="27" t="n">
        <f aca="false">E713*INDEX(Assumptions!$D$17:$D$23,MATCH(G713,Assumptions!$B$17:$B$23,0))</f>
        <v>250</v>
      </c>
      <c r="I713" s="6" t="n">
        <f aca="false">IFERROR(INDEX(Systems!$R$2:$R$179,MATCH($B713,Systems!$B$2:$B$179,0)),0)</f>
        <v>0</v>
      </c>
      <c r="J713" s="27" t="n">
        <f aca="false">H713*I713</f>
        <v>0</v>
      </c>
      <c r="K713" s="6" t="str">
        <f aca="false">IFERROR(IF(INDEX(Resources!$D$2:$D$64,MATCH($D713,Resources!$A$2:$A$64,0))="","",INDEX(Resources!$D$2:$D$64,MATCH($D713,Resources!$A$2:$A$64,0))),"")</f>
        <v>Transportation</v>
      </c>
      <c r="L713" s="28" t="n">
        <f aca="false">IF(K713="","",J713*INDEX(Resources!$E$2:$E$64,MATCH($D713,Resources!$A$2:$A$64,0)))</f>
        <v>0</v>
      </c>
      <c r="M713" s="6" t="str">
        <f aca="false">B713&amp;"|"&amp;D713&amp;"|"&amp;C713</f>
        <v>Used EV (Nissan Leaf)|Transportation|Output</v>
      </c>
    </row>
    <row r="714" customFormat="false" ht="15" hidden="false" customHeight="true" outlineLevel="0" collapsed="false">
      <c r="A714" s="6" t="s">
        <v>1696</v>
      </c>
      <c r="B714" s="6" t="s">
        <v>801</v>
      </c>
      <c r="C714" s="6" t="s">
        <v>938</v>
      </c>
      <c r="D714" s="6" t="s">
        <v>71</v>
      </c>
      <c r="E714" s="26" t="n">
        <v>0.25</v>
      </c>
      <c r="F714" s="6" t="str">
        <f aca="false">IFERROR(INDEX(Resources!$B$2:$B$64,MATCH($D714,Resources!$A$2:$A$64,0)),"?")</f>
        <v>hours</v>
      </c>
      <c r="G714" s="6" t="s">
        <v>939</v>
      </c>
      <c r="H714" s="27" t="n">
        <f aca="false">E714*INDEX(Assumptions!$D$17:$D$23,MATCH(G714,Assumptions!$B$17:$B$23,0))</f>
        <v>0.25</v>
      </c>
      <c r="I714" s="6" t="n">
        <f aca="false">IFERROR(INDEX(Systems!$R$2:$R$179,MATCH($B714,Systems!$B$2:$B$179,0)),0)</f>
        <v>0</v>
      </c>
      <c r="J714" s="27" t="n">
        <f aca="false">H714*I714</f>
        <v>0</v>
      </c>
      <c r="K714" s="6" t="str">
        <f aca="false">IFERROR(IF(INDEX(Resources!$D$2:$D$64,MATCH($D714,Resources!$A$2:$A$64,0))="","",INDEX(Resources!$D$2:$D$64,MATCH($D714,Resources!$A$2:$A$64,0))),"")</f>
        <v>Est. Required Labor</v>
      </c>
      <c r="L714" s="28" t="n">
        <f aca="false">IF(K714="","",J714*INDEX(Resources!$E$2:$E$64,MATCH($D714,Resources!$A$2:$A$64,0)))</f>
        <v>0</v>
      </c>
      <c r="M714" s="6" t="str">
        <f aca="false">B714&amp;"|"&amp;D714&amp;"|"&amp;C714</f>
        <v>Vermicompost Bin|Labor|Input</v>
      </c>
      <c r="N714" s="6" t="s">
        <v>940</v>
      </c>
    </row>
    <row r="715" customFormat="false" ht="15" hidden="false" customHeight="true" outlineLevel="0" collapsed="false">
      <c r="A715" s="6" t="s">
        <v>1697</v>
      </c>
      <c r="B715" s="6" t="s">
        <v>801</v>
      </c>
      <c r="C715" s="6" t="s">
        <v>938</v>
      </c>
      <c r="D715" s="6" t="s">
        <v>325</v>
      </c>
      <c r="E715" s="26" t="n">
        <v>3</v>
      </c>
      <c r="F715" s="6" t="str">
        <f aca="false">IFERROR(INDEX(Resources!$B$2:$B$64,MATCH($D715,Resources!$A$2:$A$64,0)),"?")</f>
        <v>lbs</v>
      </c>
      <c r="G715" s="6" t="s">
        <v>939</v>
      </c>
      <c r="H715" s="27" t="n">
        <f aca="false">E715*INDEX(Assumptions!$D$17:$D$23,MATCH(G715,Assumptions!$B$17:$B$23,0))</f>
        <v>3</v>
      </c>
      <c r="I715" s="6" t="n">
        <f aca="false">IFERROR(INDEX(Systems!$R$2:$R$179,MATCH($B715,Systems!$B$2:$B$179,0)),0)</f>
        <v>0</v>
      </c>
      <c r="J715" s="27" t="n">
        <f aca="false">H715*I715</f>
        <v>0</v>
      </c>
      <c r="K715" s="6" t="str">
        <f aca="false">IFERROR(IF(INDEX(Resources!$D$2:$D$64,MATCH($D715,Resources!$A$2:$A$64,0))="","",INDEX(Resources!$D$2:$D$64,MATCH($D715,Resources!$A$2:$A$64,0))),"")</f>
        <v/>
      </c>
      <c r="L715" s="28" t="str">
        <f aca="false">IF(K715="","",J715*INDEX(Resources!$E$2:$E$64,MATCH($D715,Resources!$A$2:$A$64,0)))</f>
        <v/>
      </c>
      <c r="M715" s="6" t="str">
        <f aca="false">B715&amp;"|"&amp;D715&amp;"|"&amp;C715</f>
        <v>Vermicompost Bin|Food waste|Input</v>
      </c>
    </row>
    <row r="716" customFormat="false" ht="15" hidden="false" customHeight="true" outlineLevel="0" collapsed="false">
      <c r="A716" s="6" t="s">
        <v>1698</v>
      </c>
      <c r="B716" s="6" t="s">
        <v>801</v>
      </c>
      <c r="C716" s="6" t="s">
        <v>938</v>
      </c>
      <c r="D716" s="6" t="s">
        <v>1036</v>
      </c>
      <c r="E716" s="26" t="n">
        <v>1</v>
      </c>
      <c r="F716" s="6" t="str">
        <f aca="false">IFERROR(INDEX(Resources!$B$2:$B$64,MATCH($D716,Resources!$A$2:$A$64,0)),"?")</f>
        <v>lbs</v>
      </c>
      <c r="G716" s="6" t="s">
        <v>939</v>
      </c>
      <c r="H716" s="27" t="n">
        <f aca="false">E716*INDEX(Assumptions!$D$17:$D$23,MATCH(G716,Assumptions!$B$17:$B$23,0))</f>
        <v>1</v>
      </c>
      <c r="I716" s="6" t="n">
        <f aca="false">IFERROR(INDEX(Systems!$R$2:$R$179,MATCH($B716,Systems!$B$2:$B$179,0)),0)</f>
        <v>0</v>
      </c>
      <c r="J716" s="27" t="n">
        <f aca="false">H716*I716</f>
        <v>0</v>
      </c>
      <c r="K716" s="6" t="str">
        <f aca="false">IFERROR(IF(INDEX(Resources!$D$2:$D$64,MATCH($D716,Resources!$A$2:$A$64,0))="","",INDEX(Resources!$D$2:$D$64,MATCH($D716,Resources!$A$2:$A$64,0))),"")</f>
        <v/>
      </c>
      <c r="L716" s="28" t="str">
        <f aca="false">IF(K716="","",J716*INDEX(Resources!$E$2:$E$64,MATCH($D716,Resources!$A$2:$A$64,0)))</f>
        <v/>
      </c>
      <c r="M716" s="6" t="str">
        <f aca="false">B716&amp;"|"&amp;D716&amp;"|"&amp;C716</f>
        <v>Vermicompost Bin|Coffee grounds|Input</v>
      </c>
    </row>
    <row r="717" customFormat="false" ht="15" hidden="false" customHeight="true" outlineLevel="0" collapsed="false">
      <c r="A717" s="6" t="s">
        <v>1699</v>
      </c>
      <c r="B717" s="6" t="s">
        <v>801</v>
      </c>
      <c r="C717" s="6" t="s">
        <v>938</v>
      </c>
      <c r="D717" s="6" t="s">
        <v>1127</v>
      </c>
      <c r="E717" s="26" t="n">
        <v>1</v>
      </c>
      <c r="F717" s="6" t="str">
        <f aca="false">IFERROR(INDEX(Resources!$B$2:$B$64,MATCH($D717,Resources!$A$2:$A$64,0)),"?")</f>
        <v>lbs</v>
      </c>
      <c r="G717" s="6" t="s">
        <v>939</v>
      </c>
      <c r="H717" s="27" t="n">
        <f aca="false">E717*INDEX(Assumptions!$D$17:$D$23,MATCH(G717,Assumptions!$B$17:$B$23,0))</f>
        <v>1</v>
      </c>
      <c r="I717" s="6" t="n">
        <f aca="false">IFERROR(INDEX(Systems!$R$2:$R$179,MATCH($B717,Systems!$B$2:$B$179,0)),0)</f>
        <v>0</v>
      </c>
      <c r="J717" s="27" t="n">
        <f aca="false">H717*I717</f>
        <v>0</v>
      </c>
      <c r="K717" s="6" t="str">
        <f aca="false">IFERROR(IF(INDEX(Resources!$D$2:$D$64,MATCH($D717,Resources!$A$2:$A$64,0))="","",INDEX(Resources!$D$2:$D$64,MATCH($D717,Resources!$A$2:$A$64,0))),"")</f>
        <v/>
      </c>
      <c r="L717" s="28" t="str">
        <f aca="false">IF(K717="","",J717*INDEX(Resources!$E$2:$E$64,MATCH($D717,Resources!$A$2:$A$64,0)))</f>
        <v/>
      </c>
      <c r="M717" s="6" t="str">
        <f aca="false">B717&amp;"|"&amp;D717&amp;"|"&amp;C717</f>
        <v>Vermicompost Bin|Carbon|Input</v>
      </c>
    </row>
    <row r="718" customFormat="false" ht="15" hidden="false" customHeight="true" outlineLevel="0" collapsed="false">
      <c r="A718" s="6" t="s">
        <v>1700</v>
      </c>
      <c r="B718" s="6" t="s">
        <v>801</v>
      </c>
      <c r="C718" s="6" t="s">
        <v>938</v>
      </c>
      <c r="D718" s="6" t="s">
        <v>49</v>
      </c>
      <c r="E718" s="26" t="n">
        <v>0.5</v>
      </c>
      <c r="F718" s="6" t="str">
        <f aca="false">IFERROR(INDEX(Resources!$B$2:$B$64,MATCH($D718,Resources!$A$2:$A$64,0)),"?")</f>
        <v>gal</v>
      </c>
      <c r="G718" s="6" t="s">
        <v>939</v>
      </c>
      <c r="H718" s="27" t="n">
        <f aca="false">E718*INDEX(Assumptions!$D$17:$D$23,MATCH(G718,Assumptions!$B$17:$B$23,0))</f>
        <v>0.5</v>
      </c>
      <c r="I718" s="6" t="n">
        <f aca="false">IFERROR(INDEX(Systems!$R$2:$R$179,MATCH($B718,Systems!$B$2:$B$179,0)),0)</f>
        <v>0</v>
      </c>
      <c r="J718" s="27" t="n">
        <f aca="false">H718*I718</f>
        <v>0</v>
      </c>
      <c r="K718" s="6" t="str">
        <f aca="false">IFERROR(IF(INDEX(Resources!$D$2:$D$64,MATCH($D718,Resources!$A$2:$A$64,0))="","",INDEX(Resources!$D$2:$D$64,MATCH($D718,Resources!$A$2:$A$64,0))),"")</f>
        <v>Water</v>
      </c>
      <c r="L718" s="28" t="n">
        <f aca="false">IF(K718="","",J718*INDEX(Resources!$E$2:$E$64,MATCH($D718,Resources!$A$2:$A$64,0)))</f>
        <v>0</v>
      </c>
      <c r="M718" s="6" t="str">
        <f aca="false">B718&amp;"|"&amp;D718&amp;"|"&amp;C718</f>
        <v>Vermicompost Bin|Water|Input</v>
      </c>
    </row>
    <row r="719" customFormat="false" ht="15" hidden="false" customHeight="true" outlineLevel="0" collapsed="false">
      <c r="A719" s="6" t="s">
        <v>1701</v>
      </c>
      <c r="B719" s="6" t="s">
        <v>801</v>
      </c>
      <c r="C719" s="6" t="s">
        <v>943</v>
      </c>
      <c r="D719" s="6" t="s">
        <v>322</v>
      </c>
      <c r="E719" s="26" t="n">
        <v>2</v>
      </c>
      <c r="F719" s="6" t="str">
        <f aca="false">IFERROR(INDEX(Resources!$B$2:$B$64,MATCH($D719,Resources!$A$2:$A$64,0)),"?")</f>
        <v>lbs</v>
      </c>
      <c r="G719" s="6" t="s">
        <v>939</v>
      </c>
      <c r="H719" s="27" t="n">
        <f aca="false">E719*INDEX(Assumptions!$D$17:$D$23,MATCH(G719,Assumptions!$B$17:$B$23,0))</f>
        <v>2</v>
      </c>
      <c r="I719" s="6" t="n">
        <f aca="false">IFERROR(INDEX(Systems!$R$2:$R$179,MATCH($B719,Systems!$B$2:$B$179,0)),0)</f>
        <v>0</v>
      </c>
      <c r="J719" s="27" t="n">
        <f aca="false">H719*I719</f>
        <v>0</v>
      </c>
      <c r="K719" s="6" t="str">
        <f aca="false">IFERROR(IF(INDEX(Resources!$D$2:$D$64,MATCH($D719,Resources!$A$2:$A$64,0))="","",INDEX(Resources!$D$2:$D$64,MATCH($D719,Resources!$A$2:$A$64,0))),"")</f>
        <v/>
      </c>
      <c r="L719" s="28" t="str">
        <f aca="false">IF(K719="","",J719*INDEX(Resources!$E$2:$E$64,MATCH($D719,Resources!$A$2:$A$64,0)))</f>
        <v/>
      </c>
      <c r="M719" s="6" t="str">
        <f aca="false">B719&amp;"|"&amp;D719&amp;"|"&amp;C719</f>
        <v>Vermicompost Bin|Compost|Output</v>
      </c>
    </row>
    <row r="720" customFormat="false" ht="15" hidden="false" customHeight="true" outlineLevel="0" collapsed="false">
      <c r="A720" s="6" t="s">
        <v>1702</v>
      </c>
      <c r="B720" s="6" t="s">
        <v>801</v>
      </c>
      <c r="C720" s="6" t="s">
        <v>943</v>
      </c>
      <c r="D720" s="6" t="s">
        <v>410</v>
      </c>
      <c r="E720" s="26" t="n">
        <v>0.5</v>
      </c>
      <c r="F720" s="6" t="str">
        <f aca="false">IFERROR(INDEX(Resources!$B$2:$B$64,MATCH($D720,Resources!$A$2:$A$64,0)),"?")</f>
        <v>gal</v>
      </c>
      <c r="G720" s="6" t="s">
        <v>939</v>
      </c>
      <c r="H720" s="27" t="n">
        <f aca="false">E720*INDEX(Assumptions!$D$17:$D$23,MATCH(G720,Assumptions!$B$17:$B$23,0))</f>
        <v>0.5</v>
      </c>
      <c r="I720" s="6" t="n">
        <f aca="false">IFERROR(INDEX(Systems!$R$2:$R$179,MATCH($B720,Systems!$B$2:$B$179,0)),0)</f>
        <v>0</v>
      </c>
      <c r="J720" s="27" t="n">
        <f aca="false">H720*I720</f>
        <v>0</v>
      </c>
      <c r="K720" s="6" t="str">
        <f aca="false">IFERROR(IF(INDEX(Resources!$D$2:$D$64,MATCH($D720,Resources!$A$2:$A$64,0))="","",INDEX(Resources!$D$2:$D$64,MATCH($D720,Resources!$A$2:$A$64,0))),"")</f>
        <v/>
      </c>
      <c r="L720" s="28" t="str">
        <f aca="false">IF(K720="","",J720*INDEX(Resources!$E$2:$E$64,MATCH($D720,Resources!$A$2:$A$64,0)))</f>
        <v/>
      </c>
      <c r="M720" s="6" t="str">
        <f aca="false">B720&amp;"|"&amp;D720&amp;"|"&amp;C720</f>
        <v>Vermicompost Bin|Liquid fertilizer|Output</v>
      </c>
    </row>
    <row r="721" customFormat="false" ht="15" hidden="false" customHeight="true" outlineLevel="0" collapsed="false">
      <c r="A721" s="6" t="s">
        <v>1703</v>
      </c>
      <c r="B721" s="6" t="s">
        <v>804</v>
      </c>
      <c r="C721" s="6" t="s">
        <v>938</v>
      </c>
      <c r="D721" s="6" t="s">
        <v>71</v>
      </c>
      <c r="E721" s="26" t="n">
        <v>0.25</v>
      </c>
      <c r="F721" s="6" t="str">
        <f aca="false">IFERROR(INDEX(Resources!$B$2:$B$64,MATCH($D721,Resources!$A$2:$A$64,0)),"?")</f>
        <v>hours</v>
      </c>
      <c r="G721" s="6" t="s">
        <v>939</v>
      </c>
      <c r="H721" s="27" t="n">
        <f aca="false">E721*INDEX(Assumptions!$D$17:$D$23,MATCH(G721,Assumptions!$B$17:$B$23,0))</f>
        <v>0.25</v>
      </c>
      <c r="I721" s="6" t="n">
        <f aca="false">IFERROR(INDEX(Systems!$R$2:$R$179,MATCH($B721,Systems!$B$2:$B$179,0)),0)</f>
        <v>0</v>
      </c>
      <c r="J721" s="27" t="n">
        <f aca="false">H721*I721</f>
        <v>0</v>
      </c>
      <c r="K721" s="6" t="str">
        <f aca="false">IFERROR(IF(INDEX(Resources!$D$2:$D$64,MATCH($D721,Resources!$A$2:$A$64,0))="","",INDEX(Resources!$D$2:$D$64,MATCH($D721,Resources!$A$2:$A$64,0))),"")</f>
        <v>Est. Required Labor</v>
      </c>
      <c r="L721" s="28" t="n">
        <f aca="false">IF(K721="","",J721*INDEX(Resources!$E$2:$E$64,MATCH($D721,Resources!$A$2:$A$64,0)))</f>
        <v>0</v>
      </c>
      <c r="M721" s="6" t="str">
        <f aca="false">B721&amp;"|"&amp;D721&amp;"|"&amp;C721</f>
        <v>Bokashi Bucket|Labor|Input</v>
      </c>
      <c r="N721" s="6" t="s">
        <v>940</v>
      </c>
    </row>
    <row r="722" customFormat="false" ht="15" hidden="false" customHeight="true" outlineLevel="0" collapsed="false">
      <c r="A722" s="6" t="s">
        <v>1704</v>
      </c>
      <c r="B722" s="6" t="s">
        <v>804</v>
      </c>
      <c r="C722" s="6" t="s">
        <v>938</v>
      </c>
      <c r="D722" s="6" t="s">
        <v>325</v>
      </c>
      <c r="E722" s="26" t="n">
        <v>5</v>
      </c>
      <c r="F722" s="6" t="str">
        <f aca="false">IFERROR(INDEX(Resources!$B$2:$B$64,MATCH($D722,Resources!$A$2:$A$64,0)),"?")</f>
        <v>lbs</v>
      </c>
      <c r="G722" s="6" t="s">
        <v>939</v>
      </c>
      <c r="H722" s="27" t="n">
        <f aca="false">E722*INDEX(Assumptions!$D$17:$D$23,MATCH(G722,Assumptions!$B$17:$B$23,0))</f>
        <v>5</v>
      </c>
      <c r="I722" s="6" t="n">
        <f aca="false">IFERROR(INDEX(Systems!$R$2:$R$179,MATCH($B722,Systems!$B$2:$B$179,0)),0)</f>
        <v>0</v>
      </c>
      <c r="J722" s="27" t="n">
        <f aca="false">H722*I722</f>
        <v>0</v>
      </c>
      <c r="K722" s="6" t="str">
        <f aca="false">IFERROR(IF(INDEX(Resources!$D$2:$D$64,MATCH($D722,Resources!$A$2:$A$64,0))="","",INDEX(Resources!$D$2:$D$64,MATCH($D722,Resources!$A$2:$A$64,0))),"")</f>
        <v/>
      </c>
      <c r="L722" s="28" t="str">
        <f aca="false">IF(K722="","",J722*INDEX(Resources!$E$2:$E$64,MATCH($D722,Resources!$A$2:$A$64,0)))</f>
        <v/>
      </c>
      <c r="M722" s="6" t="str">
        <f aca="false">B722&amp;"|"&amp;D722&amp;"|"&amp;C722</f>
        <v>Bokashi Bucket|Food waste|Input</v>
      </c>
    </row>
    <row r="723" customFormat="false" ht="15" hidden="false" customHeight="true" outlineLevel="0" collapsed="false">
      <c r="A723" s="6" t="s">
        <v>1705</v>
      </c>
      <c r="B723" s="6" t="s">
        <v>804</v>
      </c>
      <c r="C723" s="6" t="s">
        <v>938</v>
      </c>
      <c r="D723" s="6" t="s">
        <v>1127</v>
      </c>
      <c r="E723" s="26" t="n">
        <v>0.3</v>
      </c>
      <c r="F723" s="6" t="str">
        <f aca="false">IFERROR(INDEX(Resources!$B$2:$B$64,MATCH($D723,Resources!$A$2:$A$64,0)),"?")</f>
        <v>lbs</v>
      </c>
      <c r="G723" s="6" t="s">
        <v>939</v>
      </c>
      <c r="H723" s="27" t="n">
        <f aca="false">E723*INDEX(Assumptions!$D$17:$D$23,MATCH(G723,Assumptions!$B$17:$B$23,0))</f>
        <v>0.3</v>
      </c>
      <c r="I723" s="6" t="n">
        <f aca="false">IFERROR(INDEX(Systems!$R$2:$R$179,MATCH($B723,Systems!$B$2:$B$179,0)),0)</f>
        <v>0</v>
      </c>
      <c r="J723" s="27" t="n">
        <f aca="false">H723*I723</f>
        <v>0</v>
      </c>
      <c r="K723" s="6" t="str">
        <f aca="false">IFERROR(IF(INDEX(Resources!$D$2:$D$64,MATCH($D723,Resources!$A$2:$A$64,0))="","",INDEX(Resources!$D$2:$D$64,MATCH($D723,Resources!$A$2:$A$64,0))),"")</f>
        <v/>
      </c>
      <c r="L723" s="28" t="str">
        <f aca="false">IF(K723="","",J723*INDEX(Resources!$E$2:$E$64,MATCH($D723,Resources!$A$2:$A$64,0)))</f>
        <v/>
      </c>
      <c r="M723" s="6" t="str">
        <f aca="false">B723&amp;"|"&amp;D723&amp;"|"&amp;C723</f>
        <v>Bokashi Bucket|Carbon|Input</v>
      </c>
    </row>
    <row r="724" customFormat="false" ht="15" hidden="false" customHeight="true" outlineLevel="0" collapsed="false">
      <c r="A724" s="6" t="s">
        <v>1706</v>
      </c>
      <c r="B724" s="6" t="s">
        <v>804</v>
      </c>
      <c r="C724" s="6" t="s">
        <v>943</v>
      </c>
      <c r="D724" s="6" t="s">
        <v>322</v>
      </c>
      <c r="E724" s="26" t="n">
        <v>4</v>
      </c>
      <c r="F724" s="6" t="str">
        <f aca="false">IFERROR(INDEX(Resources!$B$2:$B$64,MATCH($D724,Resources!$A$2:$A$64,0)),"?")</f>
        <v>lbs</v>
      </c>
      <c r="G724" s="6" t="s">
        <v>939</v>
      </c>
      <c r="H724" s="27" t="n">
        <f aca="false">E724*INDEX(Assumptions!$D$17:$D$23,MATCH(G724,Assumptions!$B$17:$B$23,0))</f>
        <v>4</v>
      </c>
      <c r="I724" s="6" t="n">
        <f aca="false">IFERROR(INDEX(Systems!$R$2:$R$179,MATCH($B724,Systems!$B$2:$B$179,0)),0)</f>
        <v>0</v>
      </c>
      <c r="J724" s="27" t="n">
        <f aca="false">H724*I724</f>
        <v>0</v>
      </c>
      <c r="K724" s="6" t="str">
        <f aca="false">IFERROR(IF(INDEX(Resources!$D$2:$D$64,MATCH($D724,Resources!$A$2:$A$64,0))="","",INDEX(Resources!$D$2:$D$64,MATCH($D724,Resources!$A$2:$A$64,0))),"")</f>
        <v/>
      </c>
      <c r="L724" s="28" t="str">
        <f aca="false">IF(K724="","",J724*INDEX(Resources!$E$2:$E$64,MATCH($D724,Resources!$A$2:$A$64,0)))</f>
        <v/>
      </c>
      <c r="M724" s="6" t="str">
        <f aca="false">B724&amp;"|"&amp;D724&amp;"|"&amp;C724</f>
        <v>Bokashi Bucket|Compost|Output</v>
      </c>
    </row>
    <row r="725" customFormat="false" ht="15" hidden="false" customHeight="true" outlineLevel="0" collapsed="false">
      <c r="A725" s="6" t="s">
        <v>1707</v>
      </c>
      <c r="B725" s="6" t="s">
        <v>804</v>
      </c>
      <c r="C725" s="6" t="s">
        <v>943</v>
      </c>
      <c r="D725" s="6" t="s">
        <v>410</v>
      </c>
      <c r="E725" s="26" t="n">
        <v>0.1</v>
      </c>
      <c r="F725" s="6" t="str">
        <f aca="false">IFERROR(INDEX(Resources!$B$2:$B$64,MATCH($D725,Resources!$A$2:$A$64,0)),"?")</f>
        <v>gal</v>
      </c>
      <c r="G725" s="6" t="s">
        <v>939</v>
      </c>
      <c r="H725" s="27" t="n">
        <f aca="false">E725*INDEX(Assumptions!$D$17:$D$23,MATCH(G725,Assumptions!$B$17:$B$23,0))</f>
        <v>0.1</v>
      </c>
      <c r="I725" s="6" t="n">
        <f aca="false">IFERROR(INDEX(Systems!$R$2:$R$179,MATCH($B725,Systems!$B$2:$B$179,0)),0)</f>
        <v>0</v>
      </c>
      <c r="J725" s="27" t="n">
        <f aca="false">H725*I725</f>
        <v>0</v>
      </c>
      <c r="K725" s="6" t="str">
        <f aca="false">IFERROR(IF(INDEX(Resources!$D$2:$D$64,MATCH($D725,Resources!$A$2:$A$64,0))="","",INDEX(Resources!$D$2:$D$64,MATCH($D725,Resources!$A$2:$A$64,0))),"")</f>
        <v/>
      </c>
      <c r="L725" s="28" t="str">
        <f aca="false">IF(K725="","",J725*INDEX(Resources!$E$2:$E$64,MATCH($D725,Resources!$A$2:$A$64,0)))</f>
        <v/>
      </c>
      <c r="M725" s="6" t="str">
        <f aca="false">B725&amp;"|"&amp;D725&amp;"|"&amp;C725</f>
        <v>Bokashi Bucket|Liquid fertilizer|Output</v>
      </c>
    </row>
    <row r="726" customFormat="false" ht="15" hidden="false" customHeight="true" outlineLevel="0" collapsed="false">
      <c r="A726" s="6" t="s">
        <v>1708</v>
      </c>
      <c r="B726" s="6" t="s">
        <v>807</v>
      </c>
      <c r="C726" s="6" t="s">
        <v>938</v>
      </c>
      <c r="D726" s="6" t="s">
        <v>71</v>
      </c>
      <c r="E726" s="26" t="n">
        <v>1</v>
      </c>
      <c r="F726" s="6" t="str">
        <f aca="false">IFERROR(INDEX(Resources!$B$2:$B$64,MATCH($D726,Resources!$A$2:$A$64,0)),"?")</f>
        <v>hours</v>
      </c>
      <c r="G726" s="6" t="s">
        <v>939</v>
      </c>
      <c r="H726" s="27" t="n">
        <f aca="false">E726*INDEX(Assumptions!$D$17:$D$23,MATCH(G726,Assumptions!$B$17:$B$23,0))</f>
        <v>1</v>
      </c>
      <c r="I726" s="6" t="n">
        <f aca="false">IFERROR(INDEX(Systems!$R$2:$R$179,MATCH($B726,Systems!$B$2:$B$179,0)),0)</f>
        <v>0</v>
      </c>
      <c r="J726" s="27" t="n">
        <f aca="false">H726*I726</f>
        <v>0</v>
      </c>
      <c r="K726" s="6" t="str">
        <f aca="false">IFERROR(IF(INDEX(Resources!$D$2:$D$64,MATCH($D726,Resources!$A$2:$A$64,0))="","",INDEX(Resources!$D$2:$D$64,MATCH($D726,Resources!$A$2:$A$64,0))),"")</f>
        <v>Est. Required Labor</v>
      </c>
      <c r="L726" s="28" t="n">
        <f aca="false">IF(K726="","",J726*INDEX(Resources!$E$2:$E$64,MATCH($D726,Resources!$A$2:$A$64,0)))</f>
        <v>0</v>
      </c>
      <c r="M726" s="6" t="str">
        <f aca="false">B726&amp;"|"&amp;D726&amp;"|"&amp;C726</f>
        <v>Humanure Bucket System|Labor|Input</v>
      </c>
      <c r="N726" s="6" t="s">
        <v>940</v>
      </c>
    </row>
    <row r="727" customFormat="false" ht="15" hidden="false" customHeight="true" outlineLevel="0" collapsed="false">
      <c r="A727" s="6" t="s">
        <v>1709</v>
      </c>
      <c r="B727" s="6" t="s">
        <v>807</v>
      </c>
      <c r="C727" s="6" t="s">
        <v>938</v>
      </c>
      <c r="D727" s="6" t="s">
        <v>341</v>
      </c>
      <c r="E727" s="26" t="n">
        <v>17.5</v>
      </c>
      <c r="F727" s="6" t="str">
        <f aca="false">IFERROR(INDEX(Resources!$B$2:$B$64,MATCH($D727,Resources!$A$2:$A$64,0)),"?")</f>
        <v>lbs</v>
      </c>
      <c r="G727" s="6" t="s">
        <v>939</v>
      </c>
      <c r="H727" s="27" t="n">
        <f aca="false">E727*INDEX(Assumptions!$D$17:$D$23,MATCH(G727,Assumptions!$B$17:$B$23,0))</f>
        <v>17.5</v>
      </c>
      <c r="I727" s="6" t="n">
        <f aca="false">IFERROR(INDEX(Systems!$R$2:$R$179,MATCH($B727,Systems!$B$2:$B$179,0)),0)</f>
        <v>0</v>
      </c>
      <c r="J727" s="27" t="n">
        <f aca="false">H727*I727</f>
        <v>0</v>
      </c>
      <c r="K727" s="6" t="str">
        <f aca="false">IFERROR(IF(INDEX(Resources!$D$2:$D$64,MATCH($D727,Resources!$A$2:$A$64,0))="","",INDEX(Resources!$D$2:$D$64,MATCH($D727,Resources!$A$2:$A$64,0))),"")</f>
        <v/>
      </c>
      <c r="L727" s="28" t="str">
        <f aca="false">IF(K727="","",J727*INDEX(Resources!$E$2:$E$64,MATCH($D727,Resources!$A$2:$A$64,0)))</f>
        <v/>
      </c>
      <c r="M727" s="6" t="str">
        <f aca="false">B727&amp;"|"&amp;D727&amp;"|"&amp;C727</f>
        <v>Humanure Bucket System|Organic waste|Input</v>
      </c>
    </row>
    <row r="728" customFormat="false" ht="15" hidden="false" customHeight="true" outlineLevel="0" collapsed="false">
      <c r="A728" s="6" t="s">
        <v>1710</v>
      </c>
      <c r="B728" s="6" t="s">
        <v>807</v>
      </c>
      <c r="C728" s="6" t="s">
        <v>938</v>
      </c>
      <c r="D728" s="6" t="s">
        <v>1127</v>
      </c>
      <c r="E728" s="26" t="n">
        <v>4</v>
      </c>
      <c r="F728" s="6" t="str">
        <f aca="false">IFERROR(INDEX(Resources!$B$2:$B$64,MATCH($D728,Resources!$A$2:$A$64,0)),"?")</f>
        <v>lbs</v>
      </c>
      <c r="G728" s="6" t="s">
        <v>939</v>
      </c>
      <c r="H728" s="27" t="n">
        <f aca="false">E728*INDEX(Assumptions!$D$17:$D$23,MATCH(G728,Assumptions!$B$17:$B$23,0))</f>
        <v>4</v>
      </c>
      <c r="I728" s="6" t="n">
        <f aca="false">IFERROR(INDEX(Systems!$R$2:$R$179,MATCH($B728,Systems!$B$2:$B$179,0)),0)</f>
        <v>0</v>
      </c>
      <c r="J728" s="27" t="n">
        <f aca="false">H728*I728</f>
        <v>0</v>
      </c>
      <c r="K728" s="6" t="str">
        <f aca="false">IFERROR(IF(INDEX(Resources!$D$2:$D$64,MATCH($D728,Resources!$A$2:$A$64,0))="","",INDEX(Resources!$D$2:$D$64,MATCH($D728,Resources!$A$2:$A$64,0))),"")</f>
        <v/>
      </c>
      <c r="L728" s="28" t="str">
        <f aca="false">IF(K728="","",J728*INDEX(Resources!$E$2:$E$64,MATCH($D728,Resources!$A$2:$A$64,0)))</f>
        <v/>
      </c>
      <c r="M728" s="6" t="str">
        <f aca="false">B728&amp;"|"&amp;D728&amp;"|"&amp;C728</f>
        <v>Humanure Bucket System|Carbon|Input</v>
      </c>
    </row>
    <row r="729" customFormat="false" ht="15" hidden="false" customHeight="true" outlineLevel="0" collapsed="false">
      <c r="A729" s="6" t="s">
        <v>1711</v>
      </c>
      <c r="B729" s="6" t="s">
        <v>807</v>
      </c>
      <c r="C729" s="6" t="s">
        <v>943</v>
      </c>
      <c r="D729" s="6" t="s">
        <v>57</v>
      </c>
      <c r="E729" s="26" t="n">
        <v>17.5</v>
      </c>
      <c r="F729" s="6" t="str">
        <f aca="false">IFERROR(INDEX(Resources!$B$2:$B$64,MATCH($D729,Resources!$A$2:$A$64,0)),"?")</f>
        <v>lbs</v>
      </c>
      <c r="G729" s="6" t="s">
        <v>939</v>
      </c>
      <c r="H729" s="27" t="n">
        <f aca="false">E729*INDEX(Assumptions!$D$17:$D$23,MATCH(G729,Assumptions!$B$17:$B$23,0))</f>
        <v>17.5</v>
      </c>
      <c r="I729" s="6" t="n">
        <f aca="false">IFERROR(INDEX(Systems!$R$2:$R$179,MATCH($B729,Systems!$B$2:$B$179,0)),0)</f>
        <v>0</v>
      </c>
      <c r="J729" s="27" t="n">
        <f aca="false">H729*I729</f>
        <v>0</v>
      </c>
      <c r="K729" s="6" t="str">
        <f aca="false">IFERROR(IF(INDEX(Resources!$D$2:$D$64,MATCH($D729,Resources!$A$2:$A$64,0))="","",INDEX(Resources!$D$2:$D$64,MATCH($D729,Resources!$A$2:$A$64,0))),"")</f>
        <v>Sanitation</v>
      </c>
      <c r="L729" s="28" t="n">
        <f aca="false">IF(K729="","",J729*INDEX(Resources!$E$2:$E$64,MATCH($D729,Resources!$A$2:$A$64,0)))</f>
        <v>0</v>
      </c>
      <c r="M729" s="6" t="str">
        <f aca="false">B729&amp;"|"&amp;D729&amp;"|"&amp;C729</f>
        <v>Humanure Bucket System|Sanitation|Output</v>
      </c>
    </row>
    <row r="730" customFormat="false" ht="15" hidden="false" customHeight="true" outlineLevel="0" collapsed="false">
      <c r="A730" s="6" t="s">
        <v>1712</v>
      </c>
      <c r="B730" s="6" t="s">
        <v>807</v>
      </c>
      <c r="C730" s="6" t="s">
        <v>943</v>
      </c>
      <c r="D730" s="6" t="s">
        <v>322</v>
      </c>
      <c r="E730" s="26" t="n">
        <v>5</v>
      </c>
      <c r="F730" s="6" t="str">
        <f aca="false">IFERROR(INDEX(Resources!$B$2:$B$64,MATCH($D730,Resources!$A$2:$A$64,0)),"?")</f>
        <v>lbs</v>
      </c>
      <c r="G730" s="6" t="s">
        <v>939</v>
      </c>
      <c r="H730" s="27" t="n">
        <f aca="false">E730*INDEX(Assumptions!$D$17:$D$23,MATCH(G730,Assumptions!$B$17:$B$23,0))</f>
        <v>5</v>
      </c>
      <c r="I730" s="6" t="n">
        <f aca="false">IFERROR(INDEX(Systems!$R$2:$R$179,MATCH($B730,Systems!$B$2:$B$179,0)),0)</f>
        <v>0</v>
      </c>
      <c r="J730" s="27" t="n">
        <f aca="false">H730*I730</f>
        <v>0</v>
      </c>
      <c r="K730" s="6" t="str">
        <f aca="false">IFERROR(IF(INDEX(Resources!$D$2:$D$64,MATCH($D730,Resources!$A$2:$A$64,0))="","",INDEX(Resources!$D$2:$D$64,MATCH($D730,Resources!$A$2:$A$64,0))),"")</f>
        <v/>
      </c>
      <c r="L730" s="28" t="str">
        <f aca="false">IF(K730="","",J730*INDEX(Resources!$E$2:$E$64,MATCH($D730,Resources!$A$2:$A$64,0)))</f>
        <v/>
      </c>
      <c r="M730" s="6" t="str">
        <f aca="false">B730&amp;"|"&amp;D730&amp;"|"&amp;C730</f>
        <v>Humanure Bucket System|Compost|Output</v>
      </c>
    </row>
    <row r="731" customFormat="false" ht="15" hidden="false" customHeight="true" outlineLevel="0" collapsed="false">
      <c r="A731" s="6" t="s">
        <v>1713</v>
      </c>
      <c r="B731" s="6" t="s">
        <v>810</v>
      </c>
      <c r="C731" s="6" t="s">
        <v>938</v>
      </c>
      <c r="D731" s="6" t="s">
        <v>71</v>
      </c>
      <c r="E731" s="26" t="n">
        <v>0.05</v>
      </c>
      <c r="F731" s="6" t="str">
        <f aca="false">IFERROR(INDEX(Resources!$B$2:$B$64,MATCH($D731,Resources!$A$2:$A$64,0)),"?")</f>
        <v>hours</v>
      </c>
      <c r="G731" s="6" t="s">
        <v>939</v>
      </c>
      <c r="H731" s="27" t="n">
        <f aca="false">E731*INDEX(Assumptions!$D$17:$D$23,MATCH(G731,Assumptions!$B$17:$B$23,0))</f>
        <v>0.05</v>
      </c>
      <c r="I731" s="6" t="n">
        <f aca="false">IFERROR(INDEX(Systems!$R$2:$R$179,MATCH($B731,Systems!$B$2:$B$179,0)),0)</f>
        <v>0</v>
      </c>
      <c r="J731" s="27" t="n">
        <f aca="false">H731*I731</f>
        <v>0</v>
      </c>
      <c r="K731" s="6" t="str">
        <f aca="false">IFERROR(IF(INDEX(Resources!$D$2:$D$64,MATCH($D731,Resources!$A$2:$A$64,0))="","",INDEX(Resources!$D$2:$D$64,MATCH($D731,Resources!$A$2:$A$64,0))),"")</f>
        <v>Est. Required Labor</v>
      </c>
      <c r="L731" s="28" t="n">
        <f aca="false">IF(K731="","",J731*INDEX(Resources!$E$2:$E$64,MATCH($D731,Resources!$A$2:$A$64,0)))</f>
        <v>0</v>
      </c>
      <c r="M731" s="6" t="str">
        <f aca="false">B731&amp;"|"&amp;D731&amp;"|"&amp;C731</f>
        <v>Shade Sail|Labor|Input</v>
      </c>
      <c r="N731" s="6" t="s">
        <v>940</v>
      </c>
    </row>
    <row r="732" customFormat="false" ht="15" hidden="false" customHeight="true" outlineLevel="0" collapsed="false">
      <c r="A732" s="6" t="s">
        <v>1714</v>
      </c>
      <c r="B732" s="6" t="s">
        <v>810</v>
      </c>
      <c r="C732" s="6" t="s">
        <v>943</v>
      </c>
      <c r="D732" s="6" t="s">
        <v>69</v>
      </c>
      <c r="E732" s="26" t="n">
        <v>30000</v>
      </c>
      <c r="F732" s="6" t="str">
        <f aca="false">IFERROR(INDEX(Resources!$B$2:$B$64,MATCH($D732,Resources!$A$2:$A$64,0)),"?")</f>
        <v>BTU</v>
      </c>
      <c r="G732" s="6" t="s">
        <v>939</v>
      </c>
      <c r="H732" s="27" t="n">
        <f aca="false">E732*INDEX(Assumptions!$D$17:$D$23,MATCH(G732,Assumptions!$B$17:$B$23,0))</f>
        <v>30000</v>
      </c>
      <c r="I732" s="6" t="n">
        <f aca="false">IFERROR(INDEX(Systems!$R$2:$R$179,MATCH($B732,Systems!$B$2:$B$179,0)),0)</f>
        <v>0</v>
      </c>
      <c r="J732" s="27" t="n">
        <f aca="false">H732*I732</f>
        <v>0</v>
      </c>
      <c r="K732" s="6" t="str">
        <f aca="false">IFERROR(IF(INDEX(Resources!$D$2:$D$64,MATCH($D732,Resources!$A$2:$A$64,0))="","",INDEX(Resources!$D$2:$D$64,MATCH($D732,Resources!$A$2:$A$64,0))),"")</f>
        <v>Cooled shelter</v>
      </c>
      <c r="L732" s="28" t="n">
        <f aca="false">IF(K732="","",J732*INDEX(Resources!$E$2:$E$64,MATCH($D732,Resources!$A$2:$A$64,0)))</f>
        <v>0</v>
      </c>
      <c r="M732" s="6" t="str">
        <f aca="false">B732&amp;"|"&amp;D732&amp;"|"&amp;C732</f>
        <v>Shade Sail|Cooling|Output</v>
      </c>
    </row>
    <row r="733" customFormat="false" ht="15" hidden="false" customHeight="true" outlineLevel="0" collapsed="false">
      <c r="A733" s="6" t="s">
        <v>1715</v>
      </c>
      <c r="B733" s="6" t="s">
        <v>810</v>
      </c>
      <c r="C733" s="6" t="s">
        <v>943</v>
      </c>
      <c r="D733" s="6" t="s">
        <v>462</v>
      </c>
      <c r="E733" s="26" t="n">
        <v>1</v>
      </c>
      <c r="F733" s="6" t="str">
        <f aca="false">IFERROR(INDEX(Resources!$B$2:$B$64,MATCH($D733,Resources!$A$2:$A$64,0)),"?")</f>
        <v>points</v>
      </c>
      <c r="G733" s="6" t="s">
        <v>939</v>
      </c>
      <c r="H733" s="27" t="n">
        <f aca="false">E733*INDEX(Assumptions!$D$17:$D$23,MATCH(G733,Assumptions!$B$17:$B$23,0))</f>
        <v>1</v>
      </c>
      <c r="I733" s="6" t="n">
        <f aca="false">IFERROR(INDEX(Systems!$R$2:$R$179,MATCH($B733,Systems!$B$2:$B$179,0)),0)</f>
        <v>0</v>
      </c>
      <c r="J733" s="27" t="n">
        <f aca="false">H733*I733</f>
        <v>0</v>
      </c>
      <c r="K733" s="6" t="str">
        <f aca="false">IFERROR(IF(INDEX(Resources!$D$2:$D$64,MATCH($D733,Resources!$A$2:$A$64,0))="","",INDEX(Resources!$D$2:$D$64,MATCH($D733,Resources!$A$2:$A$64,0))),"")</f>
        <v/>
      </c>
      <c r="L733" s="28" t="str">
        <f aca="false">IF(K733="","",J733*INDEX(Resources!$E$2:$E$64,MATCH($D733,Resources!$A$2:$A$64,0)))</f>
        <v/>
      </c>
      <c r="M733" s="6" t="str">
        <f aca="false">B733&amp;"|"&amp;D733&amp;"|"&amp;C733</f>
        <v>Shade Sail|Wellbeing|Output</v>
      </c>
    </row>
    <row r="734" customFormat="false" ht="15" hidden="false" customHeight="true" outlineLevel="0" collapsed="false">
      <c r="A734" s="6" t="s">
        <v>1716</v>
      </c>
      <c r="B734" s="6" t="s">
        <v>814</v>
      </c>
      <c r="C734" s="6" t="s">
        <v>938</v>
      </c>
      <c r="D734" s="6" t="s">
        <v>71</v>
      </c>
      <c r="E734" s="26" t="n">
        <v>2.1</v>
      </c>
      <c r="F734" s="6" t="str">
        <f aca="false">IFERROR(INDEX(Resources!$B$2:$B$64,MATCH($D734,Resources!$A$2:$A$64,0)),"?")</f>
        <v>hours</v>
      </c>
      <c r="G734" s="6" t="s">
        <v>939</v>
      </c>
      <c r="H734" s="27" t="n">
        <f aca="false">E734*INDEX(Assumptions!$D$17:$D$23,MATCH(G734,Assumptions!$B$17:$B$23,0))</f>
        <v>2.1</v>
      </c>
      <c r="I734" s="6" t="n">
        <f aca="false">IFERROR(INDEX(Systems!$R$2:$R$179,MATCH($B734,Systems!$B$2:$B$179,0)),0)</f>
        <v>0</v>
      </c>
      <c r="J734" s="27" t="n">
        <f aca="false">H734*I734</f>
        <v>0</v>
      </c>
      <c r="K734" s="6" t="str">
        <f aca="false">IFERROR(IF(INDEX(Resources!$D$2:$D$64,MATCH($D734,Resources!$A$2:$A$64,0))="","",INDEX(Resources!$D$2:$D$64,MATCH($D734,Resources!$A$2:$A$64,0))),"")</f>
        <v>Est. Required Labor</v>
      </c>
      <c r="L734" s="28" t="n">
        <f aca="false">IF(K734="","",J734*INDEX(Resources!$E$2:$E$64,MATCH($D734,Resources!$A$2:$A$64,0)))</f>
        <v>0</v>
      </c>
      <c r="M734" s="6" t="str">
        <f aca="false">B734&amp;"|"&amp;D734&amp;"|"&amp;C734</f>
        <v>Scythe|Labor|Input</v>
      </c>
      <c r="N734" s="6" t="s">
        <v>1060</v>
      </c>
    </row>
    <row r="735" customFormat="false" ht="15" hidden="false" customHeight="true" outlineLevel="0" collapsed="false">
      <c r="A735" s="6" t="s">
        <v>1717</v>
      </c>
      <c r="B735" s="6" t="s">
        <v>814</v>
      </c>
      <c r="C735" s="6" t="s">
        <v>938</v>
      </c>
      <c r="D735" s="6" t="s">
        <v>329</v>
      </c>
      <c r="E735" s="26" t="n">
        <v>2</v>
      </c>
      <c r="F735" s="6" t="str">
        <f aca="false">IFERROR(INDEX(Resources!$B$2:$B$64,MATCH($D735,Resources!$A$2:$A$64,0)),"?")</f>
        <v>cu ft</v>
      </c>
      <c r="G735" s="6" t="s">
        <v>945</v>
      </c>
      <c r="H735" s="27" t="n">
        <f aca="false">E735*INDEX(Assumptions!$D$17:$D$23,MATCH(G735,Assumptions!$B$17:$B$23,0))</f>
        <v>2</v>
      </c>
      <c r="I735" s="6" t="n">
        <f aca="false">IFERROR(INDEX(Systems!$R$2:$R$179,MATCH($B735,Systems!$B$2:$B$179,0)),0)</f>
        <v>0</v>
      </c>
      <c r="J735" s="27" t="n">
        <f aca="false">H735*I735</f>
        <v>0</v>
      </c>
      <c r="K735" s="6" t="str">
        <f aca="false">IFERROR(IF(INDEX(Resources!$D$2:$D$64,MATCH($D735,Resources!$A$2:$A$64,0))="","",INDEX(Resources!$D$2:$D$64,MATCH($D735,Resources!$A$2:$A$64,0))),"")</f>
        <v/>
      </c>
      <c r="L735" s="28" t="str">
        <f aca="false">IF(K735="","",J735*INDEX(Resources!$E$2:$E$64,MATCH($D735,Resources!$A$2:$A$64,0)))</f>
        <v/>
      </c>
      <c r="M735" s="6" t="str">
        <f aca="false">B735&amp;"|"&amp;D735&amp;"|"&amp;C735</f>
        <v>Scythe|Storage space|Input</v>
      </c>
    </row>
    <row r="736" customFormat="false" ht="15" hidden="false" customHeight="true" outlineLevel="0" collapsed="false">
      <c r="A736" s="6" t="s">
        <v>1718</v>
      </c>
      <c r="B736" s="6" t="s">
        <v>814</v>
      </c>
      <c r="C736" s="6" t="s">
        <v>943</v>
      </c>
      <c r="D736" s="6" t="s">
        <v>216</v>
      </c>
      <c r="E736" s="26" t="n">
        <v>30</v>
      </c>
      <c r="F736" s="6" t="str">
        <f aca="false">IFERROR(INDEX(Resources!$B$2:$B$64,MATCH($D736,Resources!$A$2:$A$64,0)),"?")</f>
        <v>lbs</v>
      </c>
      <c r="G736" s="6" t="s">
        <v>939</v>
      </c>
      <c r="H736" s="27" t="n">
        <f aca="false">E736*INDEX(Assumptions!$D$17:$D$23,MATCH(G736,Assumptions!$B$17:$B$23,0))</f>
        <v>30</v>
      </c>
      <c r="I736" s="6" t="n">
        <f aca="false">IFERROR(INDEX(Systems!$R$2:$R$179,MATCH($B736,Systems!$B$2:$B$179,0)),0)</f>
        <v>0</v>
      </c>
      <c r="J736" s="27" t="n">
        <f aca="false">H736*I736</f>
        <v>0</v>
      </c>
      <c r="K736" s="6" t="str">
        <f aca="false">IFERROR(IF(INDEX(Resources!$D$2:$D$64,MATCH($D736,Resources!$A$2:$A$64,0))="","",INDEX(Resources!$D$2:$D$64,MATCH($D736,Resources!$A$2:$A$64,0))),"")</f>
        <v/>
      </c>
      <c r="L736" s="28" t="str">
        <f aca="false">IF(K736="","",J736*INDEX(Resources!$E$2:$E$64,MATCH($D736,Resources!$A$2:$A$64,0)))</f>
        <v/>
      </c>
      <c r="M736" s="6" t="str">
        <f aca="false">B736&amp;"|"&amp;D736&amp;"|"&amp;C736</f>
        <v>Scythe|Green biomass|Output</v>
      </c>
    </row>
    <row r="737" customFormat="false" ht="15" hidden="false" customHeight="true" outlineLevel="0" collapsed="false">
      <c r="A737" s="6" t="s">
        <v>1719</v>
      </c>
      <c r="B737" s="6" t="s">
        <v>814</v>
      </c>
      <c r="C737" s="6" t="s">
        <v>943</v>
      </c>
      <c r="D737" s="6" t="s">
        <v>462</v>
      </c>
      <c r="E737" s="26" t="n">
        <v>1</v>
      </c>
      <c r="F737" s="6" t="str">
        <f aca="false">IFERROR(INDEX(Resources!$B$2:$B$64,MATCH($D737,Resources!$A$2:$A$64,0)),"?")</f>
        <v>points</v>
      </c>
      <c r="G737" s="6" t="s">
        <v>939</v>
      </c>
      <c r="H737" s="27" t="n">
        <f aca="false">E737*INDEX(Assumptions!$D$17:$D$23,MATCH(G737,Assumptions!$B$17:$B$23,0))</f>
        <v>1</v>
      </c>
      <c r="I737" s="6" t="n">
        <f aca="false">IFERROR(INDEX(Systems!$R$2:$R$179,MATCH($B737,Systems!$B$2:$B$179,0)),0)</f>
        <v>0</v>
      </c>
      <c r="J737" s="27" t="n">
        <f aca="false">H737*I737</f>
        <v>0</v>
      </c>
      <c r="K737" s="6" t="str">
        <f aca="false">IFERROR(IF(INDEX(Resources!$D$2:$D$64,MATCH($D737,Resources!$A$2:$A$64,0))="","",INDEX(Resources!$D$2:$D$64,MATCH($D737,Resources!$A$2:$A$64,0))),"")</f>
        <v/>
      </c>
      <c r="L737" s="28" t="str">
        <f aca="false">IF(K737="","",J737*INDEX(Resources!$E$2:$E$64,MATCH($D737,Resources!$A$2:$A$64,0)))</f>
        <v/>
      </c>
      <c r="M737" s="6" t="str">
        <f aca="false">B737&amp;"|"&amp;D737&amp;"|"&amp;C737</f>
        <v>Scythe|Wellbeing|Output</v>
      </c>
    </row>
    <row r="738" customFormat="false" ht="15" hidden="false" customHeight="true" outlineLevel="0" collapsed="false">
      <c r="A738" s="6" t="s">
        <v>1720</v>
      </c>
      <c r="B738" s="6" t="s">
        <v>817</v>
      </c>
      <c r="C738" s="6" t="s">
        <v>938</v>
      </c>
      <c r="D738" s="6" t="s">
        <v>71</v>
      </c>
      <c r="E738" s="26" t="n">
        <v>2.2</v>
      </c>
      <c r="F738" s="6" t="str">
        <f aca="false">IFERROR(INDEX(Resources!$B$2:$B$64,MATCH($D738,Resources!$A$2:$A$64,0)),"?")</f>
        <v>hours</v>
      </c>
      <c r="G738" s="6" t="s">
        <v>939</v>
      </c>
      <c r="H738" s="27" t="n">
        <f aca="false">E738*INDEX(Assumptions!$D$17:$D$23,MATCH(G738,Assumptions!$B$17:$B$23,0))</f>
        <v>2.2</v>
      </c>
      <c r="I738" s="6" t="n">
        <f aca="false">IFERROR(INDEX(Systems!$R$2:$R$179,MATCH($B738,Systems!$B$2:$B$179,0)),0)</f>
        <v>0</v>
      </c>
      <c r="J738" s="27" t="n">
        <f aca="false">H738*I738</f>
        <v>0</v>
      </c>
      <c r="K738" s="6" t="str">
        <f aca="false">IFERROR(IF(INDEX(Resources!$D$2:$D$64,MATCH($D738,Resources!$A$2:$A$64,0))="","",INDEX(Resources!$D$2:$D$64,MATCH($D738,Resources!$A$2:$A$64,0))),"")</f>
        <v>Est. Required Labor</v>
      </c>
      <c r="L738" s="28" t="n">
        <f aca="false">IF(K738="","",J738*INDEX(Resources!$E$2:$E$64,MATCH($D738,Resources!$A$2:$A$64,0)))</f>
        <v>0</v>
      </c>
      <c r="M738" s="6" t="str">
        <f aca="false">B738&amp;"|"&amp;D738&amp;"|"&amp;C738</f>
        <v>Chainsaw|Labor|Input</v>
      </c>
      <c r="N738" s="6" t="s">
        <v>1060</v>
      </c>
    </row>
    <row r="739" customFormat="false" ht="15" hidden="false" customHeight="true" outlineLevel="0" collapsed="false">
      <c r="A739" s="6" t="s">
        <v>1721</v>
      </c>
      <c r="B739" s="6" t="s">
        <v>817</v>
      </c>
      <c r="C739" s="6" t="s">
        <v>938</v>
      </c>
      <c r="D739" s="6" t="s">
        <v>999</v>
      </c>
      <c r="E739" s="26" t="n">
        <v>0.2</v>
      </c>
      <c r="F739" s="6" t="str">
        <f aca="false">IFERROR(INDEX(Resources!$B$2:$B$64,MATCH($D739,Resources!$A$2:$A$64,0)),"?")</f>
        <v>gal</v>
      </c>
      <c r="G739" s="6" t="s">
        <v>939</v>
      </c>
      <c r="H739" s="27" t="n">
        <f aca="false">E739*INDEX(Assumptions!$D$17:$D$23,MATCH(G739,Assumptions!$B$17:$B$23,0))</f>
        <v>0.2</v>
      </c>
      <c r="I739" s="6" t="n">
        <f aca="false">IFERROR(INDEX(Systems!$R$2:$R$179,MATCH($B739,Systems!$B$2:$B$179,0)),0)</f>
        <v>0</v>
      </c>
      <c r="J739" s="27" t="n">
        <f aca="false">H739*I739</f>
        <v>0</v>
      </c>
      <c r="K739" s="6" t="str">
        <f aca="false">IFERROR(IF(INDEX(Resources!$D$2:$D$64,MATCH($D739,Resources!$A$2:$A$64,0))="","",INDEX(Resources!$D$2:$D$64,MATCH($D739,Resources!$A$2:$A$64,0))),"")</f>
        <v/>
      </c>
      <c r="L739" s="28" t="str">
        <f aca="false">IF(K739="","",J739*INDEX(Resources!$E$2:$E$64,MATCH($D739,Resources!$A$2:$A$64,0)))</f>
        <v/>
      </c>
      <c r="M739" s="6" t="str">
        <f aca="false">B739&amp;"|"&amp;D739&amp;"|"&amp;C739</f>
        <v>Chainsaw|Gasoline|Input</v>
      </c>
    </row>
    <row r="740" customFormat="false" ht="15" hidden="false" customHeight="true" outlineLevel="0" collapsed="false">
      <c r="A740" s="6" t="s">
        <v>1722</v>
      </c>
      <c r="B740" s="6" t="s">
        <v>817</v>
      </c>
      <c r="C740" s="6" t="s">
        <v>938</v>
      </c>
      <c r="D740" s="6" t="s">
        <v>329</v>
      </c>
      <c r="E740" s="26" t="n">
        <v>3</v>
      </c>
      <c r="F740" s="6" t="str">
        <f aca="false">IFERROR(INDEX(Resources!$B$2:$B$64,MATCH($D740,Resources!$A$2:$A$64,0)),"?")</f>
        <v>cu ft</v>
      </c>
      <c r="G740" s="6" t="s">
        <v>945</v>
      </c>
      <c r="H740" s="27" t="n">
        <f aca="false">E740*INDEX(Assumptions!$D$17:$D$23,MATCH(G740,Assumptions!$B$17:$B$23,0))</f>
        <v>3</v>
      </c>
      <c r="I740" s="6" t="n">
        <f aca="false">IFERROR(INDEX(Systems!$R$2:$R$179,MATCH($B740,Systems!$B$2:$B$179,0)),0)</f>
        <v>0</v>
      </c>
      <c r="J740" s="27" t="n">
        <f aca="false">H740*I740</f>
        <v>0</v>
      </c>
      <c r="K740" s="6" t="str">
        <f aca="false">IFERROR(IF(INDEX(Resources!$D$2:$D$64,MATCH($D740,Resources!$A$2:$A$64,0))="","",INDEX(Resources!$D$2:$D$64,MATCH($D740,Resources!$A$2:$A$64,0))),"")</f>
        <v/>
      </c>
      <c r="L740" s="28" t="str">
        <f aca="false">IF(K740="","",J740*INDEX(Resources!$E$2:$E$64,MATCH($D740,Resources!$A$2:$A$64,0)))</f>
        <v/>
      </c>
      <c r="M740" s="6" t="str">
        <f aca="false">B740&amp;"|"&amp;D740&amp;"|"&amp;C740</f>
        <v>Chainsaw|Storage space|Input</v>
      </c>
    </row>
    <row r="741" customFormat="false" ht="15" hidden="false" customHeight="true" outlineLevel="0" collapsed="false">
      <c r="A741" s="6" t="s">
        <v>1723</v>
      </c>
      <c r="B741" s="6" t="s">
        <v>817</v>
      </c>
      <c r="C741" s="6" t="s">
        <v>943</v>
      </c>
      <c r="D741" s="6" t="s">
        <v>177</v>
      </c>
      <c r="E741" s="26" t="n">
        <v>150</v>
      </c>
      <c r="F741" s="6" t="str">
        <f aca="false">IFERROR(INDEX(Resources!$B$2:$B$64,MATCH($D741,Resources!$A$2:$A$64,0)),"?")</f>
        <v>lbs</v>
      </c>
      <c r="G741" s="6" t="s">
        <v>939</v>
      </c>
      <c r="H741" s="27" t="n">
        <f aca="false">E741*INDEX(Assumptions!$D$17:$D$23,MATCH(G741,Assumptions!$B$17:$B$23,0))</f>
        <v>150</v>
      </c>
      <c r="I741" s="6" t="n">
        <f aca="false">IFERROR(INDEX(Systems!$R$2:$R$179,MATCH($B741,Systems!$B$2:$B$179,0)),0)</f>
        <v>0</v>
      </c>
      <c r="J741" s="27" t="n">
        <f aca="false">H741*I741</f>
        <v>0</v>
      </c>
      <c r="K741" s="6" t="str">
        <f aca="false">IFERROR(IF(INDEX(Resources!$D$2:$D$64,MATCH($D741,Resources!$A$2:$A$64,0))="","",INDEX(Resources!$D$2:$D$64,MATCH($D741,Resources!$A$2:$A$64,0))),"")</f>
        <v/>
      </c>
      <c r="L741" s="28" t="str">
        <f aca="false">IF(K741="","",J741*INDEX(Resources!$E$2:$E$64,MATCH($D741,Resources!$A$2:$A$64,0)))</f>
        <v/>
      </c>
      <c r="M741" s="6" t="str">
        <f aca="false">B741&amp;"|"&amp;D741&amp;"|"&amp;C741</f>
        <v>Chainsaw|Woody biomass|Output</v>
      </c>
    </row>
    <row r="742" customFormat="false" ht="15" hidden="false" customHeight="true" outlineLevel="0" collapsed="false">
      <c r="A742" s="6" t="s">
        <v>1724</v>
      </c>
      <c r="B742" s="6" t="s">
        <v>821</v>
      </c>
      <c r="C742" s="6" t="s">
        <v>938</v>
      </c>
      <c r="D742" s="6" t="s">
        <v>71</v>
      </c>
      <c r="E742" s="26" t="n">
        <v>1.2</v>
      </c>
      <c r="F742" s="6" t="str">
        <f aca="false">IFERROR(INDEX(Resources!$B$2:$B$64,MATCH($D742,Resources!$A$2:$A$64,0)),"?")</f>
        <v>hours</v>
      </c>
      <c r="G742" s="6" t="s">
        <v>939</v>
      </c>
      <c r="H742" s="27" t="n">
        <f aca="false">E742*INDEX(Assumptions!$D$17:$D$23,MATCH(G742,Assumptions!$B$17:$B$23,0))</f>
        <v>1.2</v>
      </c>
      <c r="I742" s="6" t="n">
        <f aca="false">IFERROR(INDEX(Systems!$R$2:$R$179,MATCH($B742,Systems!$B$2:$B$179,0)),0)</f>
        <v>0</v>
      </c>
      <c r="J742" s="27" t="n">
        <f aca="false">H742*I742</f>
        <v>0</v>
      </c>
      <c r="K742" s="6" t="str">
        <f aca="false">IFERROR(IF(INDEX(Resources!$D$2:$D$64,MATCH($D742,Resources!$A$2:$A$64,0))="","",INDEX(Resources!$D$2:$D$64,MATCH($D742,Resources!$A$2:$A$64,0))),"")</f>
        <v>Est. Required Labor</v>
      </c>
      <c r="L742" s="28" t="n">
        <f aca="false">IF(K742="","",J742*INDEX(Resources!$E$2:$E$64,MATCH($D742,Resources!$A$2:$A$64,0)))</f>
        <v>0</v>
      </c>
      <c r="M742" s="6" t="str">
        <f aca="false">B742&amp;"|"&amp;D742&amp;"|"&amp;C742</f>
        <v>Wood Chipper|Labor|Input</v>
      </c>
      <c r="N742" s="6" t="s">
        <v>1060</v>
      </c>
    </row>
    <row r="743" customFormat="false" ht="15" hidden="false" customHeight="true" outlineLevel="0" collapsed="false">
      <c r="A743" s="6" t="s">
        <v>1725</v>
      </c>
      <c r="B743" s="6" t="s">
        <v>821</v>
      </c>
      <c r="C743" s="6" t="s">
        <v>938</v>
      </c>
      <c r="D743" s="6" t="s">
        <v>177</v>
      </c>
      <c r="E743" s="26" t="n">
        <v>100</v>
      </c>
      <c r="F743" s="6" t="str">
        <f aca="false">IFERROR(INDEX(Resources!$B$2:$B$64,MATCH($D743,Resources!$A$2:$A$64,0)),"?")</f>
        <v>lbs</v>
      </c>
      <c r="G743" s="6" t="s">
        <v>939</v>
      </c>
      <c r="H743" s="27" t="n">
        <f aca="false">E743*INDEX(Assumptions!$D$17:$D$23,MATCH(G743,Assumptions!$B$17:$B$23,0))</f>
        <v>100</v>
      </c>
      <c r="I743" s="6" t="n">
        <f aca="false">IFERROR(INDEX(Systems!$R$2:$R$179,MATCH($B743,Systems!$B$2:$B$179,0)),0)</f>
        <v>0</v>
      </c>
      <c r="J743" s="27" t="n">
        <f aca="false">H743*I743</f>
        <v>0</v>
      </c>
      <c r="K743" s="6" t="str">
        <f aca="false">IFERROR(IF(INDEX(Resources!$D$2:$D$64,MATCH($D743,Resources!$A$2:$A$64,0))="","",INDEX(Resources!$D$2:$D$64,MATCH($D743,Resources!$A$2:$A$64,0))),"")</f>
        <v/>
      </c>
      <c r="L743" s="28" t="str">
        <f aca="false">IF(K743="","",J743*INDEX(Resources!$E$2:$E$64,MATCH($D743,Resources!$A$2:$A$64,0)))</f>
        <v/>
      </c>
      <c r="M743" s="6" t="str">
        <f aca="false">B743&amp;"|"&amp;D743&amp;"|"&amp;C743</f>
        <v>Wood Chipper|Woody biomass|Input</v>
      </c>
    </row>
    <row r="744" customFormat="false" ht="15" hidden="false" customHeight="true" outlineLevel="0" collapsed="false">
      <c r="A744" s="6" t="s">
        <v>1726</v>
      </c>
      <c r="B744" s="6" t="s">
        <v>821</v>
      </c>
      <c r="C744" s="6" t="s">
        <v>938</v>
      </c>
      <c r="D744" s="6" t="s">
        <v>999</v>
      </c>
      <c r="E744" s="26" t="n">
        <v>0.5</v>
      </c>
      <c r="F744" s="6" t="str">
        <f aca="false">IFERROR(INDEX(Resources!$B$2:$B$64,MATCH($D744,Resources!$A$2:$A$64,0)),"?")</f>
        <v>gal</v>
      </c>
      <c r="G744" s="6" t="s">
        <v>939</v>
      </c>
      <c r="H744" s="27" t="n">
        <f aca="false">E744*INDEX(Assumptions!$D$17:$D$23,MATCH(G744,Assumptions!$B$17:$B$23,0))</f>
        <v>0.5</v>
      </c>
      <c r="I744" s="6" t="n">
        <f aca="false">IFERROR(INDEX(Systems!$R$2:$R$179,MATCH($B744,Systems!$B$2:$B$179,0)),0)</f>
        <v>0</v>
      </c>
      <c r="J744" s="27" t="n">
        <f aca="false">H744*I744</f>
        <v>0</v>
      </c>
      <c r="K744" s="6" t="str">
        <f aca="false">IFERROR(IF(INDEX(Resources!$D$2:$D$64,MATCH($D744,Resources!$A$2:$A$64,0))="","",INDEX(Resources!$D$2:$D$64,MATCH($D744,Resources!$A$2:$A$64,0))),"")</f>
        <v/>
      </c>
      <c r="L744" s="28" t="str">
        <f aca="false">IF(K744="","",J744*INDEX(Resources!$E$2:$E$64,MATCH($D744,Resources!$A$2:$A$64,0)))</f>
        <v/>
      </c>
      <c r="M744" s="6" t="str">
        <f aca="false">B744&amp;"|"&amp;D744&amp;"|"&amp;C744</f>
        <v>Wood Chipper|Gasoline|Input</v>
      </c>
    </row>
    <row r="745" customFormat="false" ht="15" hidden="false" customHeight="true" outlineLevel="0" collapsed="false">
      <c r="A745" s="6" t="s">
        <v>1727</v>
      </c>
      <c r="B745" s="6" t="s">
        <v>821</v>
      </c>
      <c r="C745" s="6" t="s">
        <v>938</v>
      </c>
      <c r="D745" s="6" t="s">
        <v>329</v>
      </c>
      <c r="E745" s="26" t="n">
        <v>20</v>
      </c>
      <c r="F745" s="6" t="str">
        <f aca="false">IFERROR(INDEX(Resources!$B$2:$B$64,MATCH($D745,Resources!$A$2:$A$64,0)),"?")</f>
        <v>cu ft</v>
      </c>
      <c r="G745" s="6" t="s">
        <v>945</v>
      </c>
      <c r="H745" s="27" t="n">
        <f aca="false">E745*INDEX(Assumptions!$D$17:$D$23,MATCH(G745,Assumptions!$B$17:$B$23,0))</f>
        <v>20</v>
      </c>
      <c r="I745" s="6" t="n">
        <f aca="false">IFERROR(INDEX(Systems!$R$2:$R$179,MATCH($B745,Systems!$B$2:$B$179,0)),0)</f>
        <v>0</v>
      </c>
      <c r="J745" s="27" t="n">
        <f aca="false">H745*I745</f>
        <v>0</v>
      </c>
      <c r="K745" s="6" t="str">
        <f aca="false">IFERROR(IF(INDEX(Resources!$D$2:$D$64,MATCH($D745,Resources!$A$2:$A$64,0))="","",INDEX(Resources!$D$2:$D$64,MATCH($D745,Resources!$A$2:$A$64,0))),"")</f>
        <v/>
      </c>
      <c r="L745" s="28" t="str">
        <f aca="false">IF(K745="","",J745*INDEX(Resources!$E$2:$E$64,MATCH($D745,Resources!$A$2:$A$64,0)))</f>
        <v/>
      </c>
      <c r="M745" s="6" t="str">
        <f aca="false">B745&amp;"|"&amp;D745&amp;"|"&amp;C745</f>
        <v>Wood Chipper|Storage space|Input</v>
      </c>
    </row>
    <row r="746" customFormat="false" ht="15" hidden="false" customHeight="true" outlineLevel="0" collapsed="false">
      <c r="A746" s="6" t="s">
        <v>1728</v>
      </c>
      <c r="B746" s="6" t="s">
        <v>821</v>
      </c>
      <c r="C746" s="6" t="s">
        <v>943</v>
      </c>
      <c r="D746" s="6" t="s">
        <v>962</v>
      </c>
      <c r="E746" s="26" t="n">
        <v>100</v>
      </c>
      <c r="F746" s="6" t="str">
        <f aca="false">IFERROR(INDEX(Resources!$B$2:$B$64,MATCH($D746,Resources!$A$2:$A$64,0)),"?")</f>
        <v>lbs</v>
      </c>
      <c r="G746" s="6" t="s">
        <v>939</v>
      </c>
      <c r="H746" s="27" t="n">
        <f aca="false">E746*INDEX(Assumptions!$D$17:$D$23,MATCH(G746,Assumptions!$B$17:$B$23,0))</f>
        <v>100</v>
      </c>
      <c r="I746" s="6" t="n">
        <f aca="false">IFERROR(INDEX(Systems!$R$2:$R$179,MATCH($B746,Systems!$B$2:$B$179,0)),0)</f>
        <v>0</v>
      </c>
      <c r="J746" s="27" t="n">
        <f aca="false">H746*I746</f>
        <v>0</v>
      </c>
      <c r="K746" s="6" t="str">
        <f aca="false">IFERROR(IF(INDEX(Resources!$D$2:$D$64,MATCH($D746,Resources!$A$2:$A$64,0))="","",INDEX(Resources!$D$2:$D$64,MATCH($D746,Resources!$A$2:$A$64,0))),"")</f>
        <v/>
      </c>
      <c r="L746" s="28" t="str">
        <f aca="false">IF(K746="","",J746*INDEX(Resources!$E$2:$E$64,MATCH($D746,Resources!$A$2:$A$64,0)))</f>
        <v/>
      </c>
      <c r="M746" s="6" t="str">
        <f aca="false">B746&amp;"|"&amp;D746&amp;"|"&amp;C746</f>
        <v>Wood Chipper|Wood chips|Output</v>
      </c>
    </row>
    <row r="747" customFormat="false" ht="15" hidden="false" customHeight="true" outlineLevel="0" collapsed="false">
      <c r="A747" s="6" t="s">
        <v>1729</v>
      </c>
      <c r="B747" s="6" t="s">
        <v>824</v>
      </c>
      <c r="C747" s="6" t="s">
        <v>938</v>
      </c>
      <c r="D747" s="6" t="s">
        <v>71</v>
      </c>
      <c r="E747" s="26" t="n">
        <v>1.1</v>
      </c>
      <c r="F747" s="6" t="str">
        <f aca="false">IFERROR(INDEX(Resources!$B$2:$B$64,MATCH($D747,Resources!$A$2:$A$64,0)),"?")</f>
        <v>hours</v>
      </c>
      <c r="G747" s="6" t="s">
        <v>939</v>
      </c>
      <c r="H747" s="27" t="n">
        <f aca="false">E747*INDEX(Assumptions!$D$17:$D$23,MATCH(G747,Assumptions!$B$17:$B$23,0))</f>
        <v>1.1</v>
      </c>
      <c r="I747" s="6" t="n">
        <f aca="false">IFERROR(INDEX(Systems!$R$2:$R$179,MATCH($B747,Systems!$B$2:$B$179,0)),0)</f>
        <v>0</v>
      </c>
      <c r="J747" s="27" t="n">
        <f aca="false">H747*I747</f>
        <v>0</v>
      </c>
      <c r="K747" s="6" t="str">
        <f aca="false">IFERROR(IF(INDEX(Resources!$D$2:$D$64,MATCH($D747,Resources!$A$2:$A$64,0))="","",INDEX(Resources!$D$2:$D$64,MATCH($D747,Resources!$A$2:$A$64,0))),"")</f>
        <v>Est. Required Labor</v>
      </c>
      <c r="L747" s="28" t="n">
        <f aca="false">IF(K747="","",J747*INDEX(Resources!$E$2:$E$64,MATCH($D747,Resources!$A$2:$A$64,0)))</f>
        <v>0</v>
      </c>
      <c r="M747" s="6" t="str">
        <f aca="false">B747&amp;"|"&amp;D747&amp;"|"&amp;C747</f>
        <v>Grain Mill|Labor|Input</v>
      </c>
      <c r="N747" s="6" t="s">
        <v>1060</v>
      </c>
    </row>
    <row r="748" customFormat="false" ht="15" hidden="false" customHeight="true" outlineLevel="0" collapsed="false">
      <c r="A748" s="6" t="s">
        <v>1730</v>
      </c>
      <c r="B748" s="6" t="s">
        <v>824</v>
      </c>
      <c r="C748" s="6" t="s">
        <v>938</v>
      </c>
      <c r="D748" s="6" t="s">
        <v>1561</v>
      </c>
      <c r="E748" s="26" t="n">
        <v>5</v>
      </c>
      <c r="F748" s="6" t="str">
        <f aca="false">IFERROR(INDEX(Resources!$B$2:$B$64,MATCH($D748,Resources!$A$2:$A$64,0)),"?")</f>
        <v>lbs</v>
      </c>
      <c r="G748" s="6" t="s">
        <v>939</v>
      </c>
      <c r="H748" s="27" t="n">
        <f aca="false">E748*INDEX(Assumptions!$D$17:$D$23,MATCH(G748,Assumptions!$B$17:$B$23,0))</f>
        <v>5</v>
      </c>
      <c r="I748" s="6" t="n">
        <f aca="false">IFERROR(INDEX(Systems!$R$2:$R$179,MATCH($B748,Systems!$B$2:$B$179,0)),0)</f>
        <v>0</v>
      </c>
      <c r="J748" s="27" t="n">
        <f aca="false">H748*I748</f>
        <v>0</v>
      </c>
      <c r="K748" s="6" t="str">
        <f aca="false">IFERROR(IF(INDEX(Resources!$D$2:$D$64,MATCH($D748,Resources!$A$2:$A$64,0))="","",INDEX(Resources!$D$2:$D$64,MATCH($D748,Resources!$A$2:$A$64,0))),"")</f>
        <v>Food</v>
      </c>
      <c r="L748" s="28" t="n">
        <f aca="false">IF(K748="","",J748*INDEX(Resources!$E$2:$E$64,MATCH($D748,Resources!$A$2:$A$64,0)))</f>
        <v>0</v>
      </c>
      <c r="M748" s="6" t="str">
        <f aca="false">B748&amp;"|"&amp;D748&amp;"|"&amp;C748</f>
        <v>Grain Mill|Grain|Input</v>
      </c>
    </row>
    <row r="749" customFormat="false" ht="15" hidden="false" customHeight="true" outlineLevel="0" collapsed="false">
      <c r="A749" s="6" t="s">
        <v>1731</v>
      </c>
      <c r="B749" s="6" t="s">
        <v>824</v>
      </c>
      <c r="C749" s="6" t="s">
        <v>943</v>
      </c>
      <c r="D749" s="6" t="s">
        <v>52</v>
      </c>
      <c r="E749" s="26" t="n">
        <v>7500</v>
      </c>
      <c r="F749" s="6" t="str">
        <f aca="false">IFERROR(INDEX(Resources!$B$2:$B$64,MATCH($D749,Resources!$A$2:$A$64,0)),"?")</f>
        <v>kcal</v>
      </c>
      <c r="G749" s="6" t="s">
        <v>939</v>
      </c>
      <c r="H749" s="27" t="n">
        <f aca="false">E749*INDEX(Assumptions!$D$17:$D$23,MATCH(G749,Assumptions!$B$17:$B$23,0))</f>
        <v>7500</v>
      </c>
      <c r="I749" s="6" t="n">
        <f aca="false">IFERROR(INDEX(Systems!$R$2:$R$179,MATCH($B749,Systems!$B$2:$B$179,0)),0)</f>
        <v>0</v>
      </c>
      <c r="J749" s="27" t="n">
        <f aca="false">H749*I749</f>
        <v>0</v>
      </c>
      <c r="K749" s="6" t="str">
        <f aca="false">IFERROR(IF(INDEX(Resources!$D$2:$D$64,MATCH($D749,Resources!$A$2:$A$64,0))="","",INDEX(Resources!$D$2:$D$64,MATCH($D749,Resources!$A$2:$A$64,0))),"")</f>
        <v>Food</v>
      </c>
      <c r="L749" s="28" t="n">
        <f aca="false">IF(K749="","",J749*INDEX(Resources!$E$2:$E$64,MATCH($D749,Resources!$A$2:$A$64,0)))</f>
        <v>0</v>
      </c>
      <c r="M749" s="6" t="str">
        <f aca="false">B749&amp;"|"&amp;D749&amp;"|"&amp;C749</f>
        <v>Grain Mill|Food|Output</v>
      </c>
    </row>
    <row r="750" customFormat="false" ht="15" hidden="false" customHeight="true" outlineLevel="0" collapsed="false">
      <c r="A750" s="6" t="s">
        <v>1732</v>
      </c>
      <c r="B750" s="6" t="s">
        <v>828</v>
      </c>
      <c r="C750" s="6" t="s">
        <v>938</v>
      </c>
      <c r="D750" s="6" t="s">
        <v>71</v>
      </c>
      <c r="E750" s="26" t="n">
        <v>0.1</v>
      </c>
      <c r="F750" s="6" t="str">
        <f aca="false">IFERROR(INDEX(Resources!$B$2:$B$64,MATCH($D750,Resources!$A$2:$A$64,0)),"?")</f>
        <v>hours</v>
      </c>
      <c r="G750" s="6" t="s">
        <v>939</v>
      </c>
      <c r="H750" s="27" t="n">
        <f aca="false">E750*INDEX(Assumptions!$D$17:$D$23,MATCH(G750,Assumptions!$B$17:$B$23,0))</f>
        <v>0.1</v>
      </c>
      <c r="I750" s="6" t="n">
        <f aca="false">IFERROR(INDEX(Systems!$R$2:$R$179,MATCH($B750,Systems!$B$2:$B$179,0)),0)</f>
        <v>0</v>
      </c>
      <c r="J750" s="27" t="n">
        <f aca="false">H750*I750</f>
        <v>0</v>
      </c>
      <c r="K750" s="6" t="str">
        <f aca="false">IFERROR(IF(INDEX(Resources!$D$2:$D$64,MATCH($D750,Resources!$A$2:$A$64,0))="","",INDEX(Resources!$D$2:$D$64,MATCH($D750,Resources!$A$2:$A$64,0))),"")</f>
        <v>Est. Required Labor</v>
      </c>
      <c r="L750" s="28" t="n">
        <f aca="false">IF(K750="","",J750*INDEX(Resources!$E$2:$E$64,MATCH($D750,Resources!$A$2:$A$64,0)))</f>
        <v>0</v>
      </c>
      <c r="M750" s="6" t="str">
        <f aca="false">B750&amp;"|"&amp;D750&amp;"|"&amp;C750</f>
        <v>Rocket Stove|Labor|Input</v>
      </c>
      <c r="N750" s="6" t="s">
        <v>940</v>
      </c>
    </row>
    <row r="751" customFormat="false" ht="15" hidden="false" customHeight="true" outlineLevel="0" collapsed="false">
      <c r="A751" s="6" t="s">
        <v>1733</v>
      </c>
      <c r="B751" s="6" t="s">
        <v>828</v>
      </c>
      <c r="C751" s="6" t="s">
        <v>938</v>
      </c>
      <c r="D751" s="6" t="s">
        <v>177</v>
      </c>
      <c r="E751" s="26" t="n">
        <v>10</v>
      </c>
      <c r="F751" s="6" t="str">
        <f aca="false">IFERROR(INDEX(Resources!$B$2:$B$64,MATCH($D751,Resources!$A$2:$A$64,0)),"?")</f>
        <v>lbs</v>
      </c>
      <c r="G751" s="6" t="s">
        <v>939</v>
      </c>
      <c r="H751" s="27" t="n">
        <f aca="false">E751*INDEX(Assumptions!$D$17:$D$23,MATCH(G751,Assumptions!$B$17:$B$23,0))</f>
        <v>10</v>
      </c>
      <c r="I751" s="6" t="n">
        <f aca="false">IFERROR(INDEX(Systems!$R$2:$R$179,MATCH($B751,Systems!$B$2:$B$179,0)),0)</f>
        <v>0</v>
      </c>
      <c r="J751" s="27" t="n">
        <f aca="false">H751*I751</f>
        <v>0</v>
      </c>
      <c r="K751" s="6" t="str">
        <f aca="false">IFERROR(IF(INDEX(Resources!$D$2:$D$64,MATCH($D751,Resources!$A$2:$A$64,0))="","",INDEX(Resources!$D$2:$D$64,MATCH($D751,Resources!$A$2:$A$64,0))),"")</f>
        <v/>
      </c>
      <c r="L751" s="28" t="str">
        <f aca="false">IF(K751="","",J751*INDEX(Resources!$E$2:$E$64,MATCH($D751,Resources!$A$2:$A$64,0)))</f>
        <v/>
      </c>
      <c r="M751" s="6" t="str">
        <f aca="false">B751&amp;"|"&amp;D751&amp;"|"&amp;C751</f>
        <v>Rocket Stove|Woody biomass|Input</v>
      </c>
    </row>
    <row r="752" customFormat="false" ht="15" hidden="false" customHeight="true" outlineLevel="0" collapsed="false">
      <c r="A752" s="6" t="s">
        <v>1734</v>
      </c>
      <c r="B752" s="6" t="s">
        <v>828</v>
      </c>
      <c r="C752" s="6" t="s">
        <v>943</v>
      </c>
      <c r="D752" s="6" t="s">
        <v>63</v>
      </c>
      <c r="E752" s="26" t="n">
        <v>7</v>
      </c>
      <c r="F752" s="6" t="str">
        <f aca="false">IFERROR(INDEX(Resources!$B$2:$B$64,MATCH($D752,Resources!$A$2:$A$64,0)),"?")</f>
        <v>hours</v>
      </c>
      <c r="G752" s="6" t="s">
        <v>939</v>
      </c>
      <c r="H752" s="27" t="n">
        <f aca="false">E752*INDEX(Assumptions!$D$17:$D$23,MATCH(G752,Assumptions!$B$17:$B$23,0))</f>
        <v>7</v>
      </c>
      <c r="I752" s="6" t="n">
        <f aca="false">IFERROR(INDEX(Systems!$R$2:$R$179,MATCH($B752,Systems!$B$2:$B$179,0)),0)</f>
        <v>0</v>
      </c>
      <c r="J752" s="27" t="n">
        <f aca="false">H752*I752</f>
        <v>0</v>
      </c>
      <c r="K752" s="6" t="str">
        <f aca="false">IFERROR(IF(INDEX(Resources!$D$2:$D$64,MATCH($D752,Resources!$A$2:$A$64,0))="","",INDEX(Resources!$D$2:$D$64,MATCH($D752,Resources!$A$2:$A$64,0))),"")</f>
        <v>Cooking fuel</v>
      </c>
      <c r="L752" s="28" t="n">
        <f aca="false">IF(K752="","",J752*INDEX(Resources!$E$2:$E$64,MATCH($D752,Resources!$A$2:$A$64,0)))</f>
        <v>0</v>
      </c>
      <c r="M752" s="6" t="str">
        <f aca="false">B752&amp;"|"&amp;D752&amp;"|"&amp;C752</f>
        <v>Rocket Stove|Cooking fuel|Output</v>
      </c>
    </row>
    <row r="753" customFormat="false" ht="15" hidden="false" customHeight="true" outlineLevel="0" collapsed="false">
      <c r="A753" s="6" t="s">
        <v>1735</v>
      </c>
      <c r="B753" s="6" t="s">
        <v>832</v>
      </c>
      <c r="C753" s="6" t="s">
        <v>938</v>
      </c>
      <c r="D753" s="6" t="s">
        <v>71</v>
      </c>
      <c r="E753" s="26" t="n">
        <v>0.05</v>
      </c>
      <c r="F753" s="6" t="str">
        <f aca="false">IFERROR(INDEX(Resources!$B$2:$B$64,MATCH($D753,Resources!$A$2:$A$64,0)),"?")</f>
        <v>hours</v>
      </c>
      <c r="G753" s="6" t="s">
        <v>939</v>
      </c>
      <c r="H753" s="27" t="n">
        <f aca="false">E753*INDEX(Assumptions!$D$17:$D$23,MATCH(G753,Assumptions!$B$17:$B$23,0))</f>
        <v>0.05</v>
      </c>
      <c r="I753" s="6" t="n">
        <f aca="false">IFERROR(INDEX(Systems!$R$2:$R$179,MATCH($B753,Systems!$B$2:$B$179,0)),0)</f>
        <v>0</v>
      </c>
      <c r="J753" s="27" t="n">
        <f aca="false">H753*I753</f>
        <v>0</v>
      </c>
      <c r="K753" s="6" t="str">
        <f aca="false">IFERROR(IF(INDEX(Resources!$D$2:$D$64,MATCH($D753,Resources!$A$2:$A$64,0))="","",INDEX(Resources!$D$2:$D$64,MATCH($D753,Resources!$A$2:$A$64,0))),"")</f>
        <v>Est. Required Labor</v>
      </c>
      <c r="L753" s="28" t="n">
        <f aca="false">IF(K753="","",J753*INDEX(Resources!$E$2:$E$64,MATCH($D753,Resources!$A$2:$A$64,0)))</f>
        <v>0</v>
      </c>
      <c r="M753" s="6" t="str">
        <f aca="false">B753&amp;"|"&amp;D753&amp;"|"&amp;C753</f>
        <v>Propane Range|Labor|Input</v>
      </c>
      <c r="N753" s="6" t="s">
        <v>940</v>
      </c>
    </row>
    <row r="754" customFormat="false" ht="15" hidden="false" customHeight="true" outlineLevel="0" collapsed="false">
      <c r="A754" s="6" t="s">
        <v>1736</v>
      </c>
      <c r="B754" s="6" t="s">
        <v>832</v>
      </c>
      <c r="C754" s="6" t="s">
        <v>938</v>
      </c>
      <c r="D754" s="6" t="s">
        <v>1453</v>
      </c>
      <c r="E754" s="26" t="n">
        <v>1.5</v>
      </c>
      <c r="F754" s="6" t="str">
        <f aca="false">IFERROR(INDEX(Resources!$B$2:$B$64,MATCH($D754,Resources!$A$2:$A$64,0)),"?")</f>
        <v>gal</v>
      </c>
      <c r="G754" s="6" t="s">
        <v>939</v>
      </c>
      <c r="H754" s="27" t="n">
        <f aca="false">E754*INDEX(Assumptions!$D$17:$D$23,MATCH(G754,Assumptions!$B$17:$B$23,0))</f>
        <v>1.5</v>
      </c>
      <c r="I754" s="6" t="n">
        <f aca="false">IFERROR(INDEX(Systems!$R$2:$R$179,MATCH($B754,Systems!$B$2:$B$179,0)),0)</f>
        <v>0</v>
      </c>
      <c r="J754" s="27" t="n">
        <f aca="false">H754*I754</f>
        <v>0</v>
      </c>
      <c r="K754" s="6" t="str">
        <f aca="false">IFERROR(IF(INDEX(Resources!$D$2:$D$64,MATCH($D754,Resources!$A$2:$A$64,0))="","",INDEX(Resources!$D$2:$D$64,MATCH($D754,Resources!$A$2:$A$64,0))),"")</f>
        <v/>
      </c>
      <c r="L754" s="28" t="str">
        <f aca="false">IF(K754="","",J754*INDEX(Resources!$E$2:$E$64,MATCH($D754,Resources!$A$2:$A$64,0)))</f>
        <v/>
      </c>
      <c r="M754" s="6" t="str">
        <f aca="false">B754&amp;"|"&amp;D754&amp;"|"&amp;C754</f>
        <v>Propane Range|Propane|Input</v>
      </c>
    </row>
    <row r="755" customFormat="false" ht="15" hidden="false" customHeight="true" outlineLevel="0" collapsed="false">
      <c r="A755" s="6" t="s">
        <v>1737</v>
      </c>
      <c r="B755" s="6" t="s">
        <v>832</v>
      </c>
      <c r="C755" s="6" t="s">
        <v>943</v>
      </c>
      <c r="D755" s="6" t="s">
        <v>63</v>
      </c>
      <c r="E755" s="26" t="n">
        <v>7</v>
      </c>
      <c r="F755" s="6" t="str">
        <f aca="false">IFERROR(INDEX(Resources!$B$2:$B$64,MATCH($D755,Resources!$A$2:$A$64,0)),"?")</f>
        <v>hours</v>
      </c>
      <c r="G755" s="6" t="s">
        <v>939</v>
      </c>
      <c r="H755" s="27" t="n">
        <f aca="false">E755*INDEX(Assumptions!$D$17:$D$23,MATCH(G755,Assumptions!$B$17:$B$23,0))</f>
        <v>7</v>
      </c>
      <c r="I755" s="6" t="n">
        <f aca="false">IFERROR(INDEX(Systems!$R$2:$R$179,MATCH($B755,Systems!$B$2:$B$179,0)),0)</f>
        <v>0</v>
      </c>
      <c r="J755" s="27" t="n">
        <f aca="false">H755*I755</f>
        <v>0</v>
      </c>
      <c r="K755" s="6" t="str">
        <f aca="false">IFERROR(IF(INDEX(Resources!$D$2:$D$64,MATCH($D755,Resources!$A$2:$A$64,0))="","",INDEX(Resources!$D$2:$D$64,MATCH($D755,Resources!$A$2:$A$64,0))),"")</f>
        <v>Cooking fuel</v>
      </c>
      <c r="L755" s="28" t="n">
        <f aca="false">IF(K755="","",J755*INDEX(Resources!$E$2:$E$64,MATCH($D755,Resources!$A$2:$A$64,0)))</f>
        <v>0</v>
      </c>
      <c r="M755" s="6" t="str">
        <f aca="false">B755&amp;"|"&amp;D755&amp;"|"&amp;C755</f>
        <v>Propane Range|Cooking fuel|Output</v>
      </c>
    </row>
    <row r="756" customFormat="false" ht="15" hidden="false" customHeight="true" outlineLevel="0" collapsed="false">
      <c r="A756" s="6" t="s">
        <v>1738</v>
      </c>
      <c r="B756" s="6" t="s">
        <v>835</v>
      </c>
      <c r="C756" s="6" t="s">
        <v>938</v>
      </c>
      <c r="D756" s="6" t="s">
        <v>59</v>
      </c>
      <c r="E756" s="26" t="n">
        <v>10</v>
      </c>
      <c r="F756" s="6" t="str">
        <f aca="false">IFERROR(INDEX(Resources!$B$2:$B$64,MATCH($D756,Resources!$A$2:$A$64,0)),"?")</f>
        <v>kWh</v>
      </c>
      <c r="G756" s="6" t="s">
        <v>939</v>
      </c>
      <c r="H756" s="27" t="n">
        <f aca="false">E756*INDEX(Assumptions!$D$17:$D$23,MATCH(G756,Assumptions!$B$17:$B$23,0))</f>
        <v>10</v>
      </c>
      <c r="I756" s="6" t="n">
        <f aca="false">IFERROR(INDEX(Systems!$R$2:$R$179,MATCH($B756,Systems!$B$2:$B$179,0)),0)</f>
        <v>0</v>
      </c>
      <c r="J756" s="27" t="n">
        <f aca="false">H756*I756</f>
        <v>0</v>
      </c>
      <c r="K756" s="6" t="str">
        <f aca="false">IFERROR(IF(INDEX(Resources!$D$2:$D$64,MATCH($D756,Resources!$A$2:$A$64,0))="","",INDEX(Resources!$D$2:$D$64,MATCH($D756,Resources!$A$2:$A$64,0))),"")</f>
        <v>Electricity</v>
      </c>
      <c r="L756" s="28" t="n">
        <f aca="false">IF(K756="","",J756*INDEX(Resources!$E$2:$E$64,MATCH($D756,Resources!$A$2:$A$64,0)))</f>
        <v>0</v>
      </c>
      <c r="M756" s="6" t="str">
        <f aca="false">B756&amp;"|"&amp;D756&amp;"|"&amp;C756</f>
        <v>Induction Cooktop|Electricity|Input</v>
      </c>
    </row>
    <row r="757" customFormat="false" ht="15" hidden="false" customHeight="true" outlineLevel="0" collapsed="false">
      <c r="A757" s="6" t="s">
        <v>1739</v>
      </c>
      <c r="B757" s="6" t="s">
        <v>835</v>
      </c>
      <c r="C757" s="6" t="s">
        <v>943</v>
      </c>
      <c r="D757" s="6" t="s">
        <v>63</v>
      </c>
      <c r="E757" s="26" t="n">
        <v>7</v>
      </c>
      <c r="F757" s="6" t="str">
        <f aca="false">IFERROR(INDEX(Resources!$B$2:$B$64,MATCH($D757,Resources!$A$2:$A$64,0)),"?")</f>
        <v>hours</v>
      </c>
      <c r="G757" s="6" t="s">
        <v>939</v>
      </c>
      <c r="H757" s="27" t="n">
        <f aca="false">E757*INDEX(Assumptions!$D$17:$D$23,MATCH(G757,Assumptions!$B$17:$B$23,0))</f>
        <v>7</v>
      </c>
      <c r="I757" s="6" t="n">
        <f aca="false">IFERROR(INDEX(Systems!$R$2:$R$179,MATCH($B757,Systems!$B$2:$B$179,0)),0)</f>
        <v>0</v>
      </c>
      <c r="J757" s="27" t="n">
        <f aca="false">H757*I757</f>
        <v>0</v>
      </c>
      <c r="K757" s="6" t="str">
        <f aca="false">IFERROR(IF(INDEX(Resources!$D$2:$D$64,MATCH($D757,Resources!$A$2:$A$64,0))="","",INDEX(Resources!$D$2:$D$64,MATCH($D757,Resources!$A$2:$A$64,0))),"")</f>
        <v>Cooking fuel</v>
      </c>
      <c r="L757" s="28" t="n">
        <f aca="false">IF(K757="","",J757*INDEX(Resources!$E$2:$E$64,MATCH($D757,Resources!$A$2:$A$64,0)))</f>
        <v>0</v>
      </c>
      <c r="M757" s="6" t="str">
        <f aca="false">B757&amp;"|"&amp;D757&amp;"|"&amp;C757</f>
        <v>Induction Cooktop|Cooking fuel|Output</v>
      </c>
    </row>
    <row r="758" customFormat="false" ht="15" hidden="false" customHeight="true" outlineLevel="0" collapsed="false">
      <c r="A758" s="6" t="s">
        <v>1740</v>
      </c>
      <c r="B758" s="6" t="s">
        <v>838</v>
      </c>
      <c r="C758" s="6" t="s">
        <v>938</v>
      </c>
      <c r="D758" s="6" t="s">
        <v>71</v>
      </c>
      <c r="E758" s="26" t="n">
        <v>0.25</v>
      </c>
      <c r="F758" s="6" t="str">
        <f aca="false">IFERROR(INDEX(Resources!$B$2:$B$64,MATCH($D758,Resources!$A$2:$A$64,0)),"?")</f>
        <v>hours</v>
      </c>
      <c r="G758" s="6" t="s">
        <v>939</v>
      </c>
      <c r="H758" s="27" t="n">
        <f aca="false">E758*INDEX(Assumptions!$D$17:$D$23,MATCH(G758,Assumptions!$B$17:$B$23,0))</f>
        <v>0.25</v>
      </c>
      <c r="I758" s="6" t="n">
        <f aca="false">IFERROR(INDEX(Systems!$R$2:$R$179,MATCH($B758,Systems!$B$2:$B$179,0)),0)</f>
        <v>0</v>
      </c>
      <c r="J758" s="27" t="n">
        <f aca="false">H758*I758</f>
        <v>0</v>
      </c>
      <c r="K758" s="6" t="str">
        <f aca="false">IFERROR(IF(INDEX(Resources!$D$2:$D$64,MATCH($D758,Resources!$A$2:$A$64,0))="","",INDEX(Resources!$D$2:$D$64,MATCH($D758,Resources!$A$2:$A$64,0))),"")</f>
        <v>Est. Required Labor</v>
      </c>
      <c r="L758" s="28" t="n">
        <f aca="false">IF(K758="","",J758*INDEX(Resources!$E$2:$E$64,MATCH($D758,Resources!$A$2:$A$64,0)))</f>
        <v>0</v>
      </c>
      <c r="M758" s="6" t="str">
        <f aca="false">B758&amp;"|"&amp;D758&amp;"|"&amp;C758</f>
        <v>Cob Pizza Oven|Labor|Input</v>
      </c>
      <c r="N758" s="6" t="s">
        <v>940</v>
      </c>
    </row>
    <row r="759" customFormat="false" ht="15" hidden="false" customHeight="true" outlineLevel="0" collapsed="false">
      <c r="A759" s="6" t="s">
        <v>1741</v>
      </c>
      <c r="B759" s="6" t="s">
        <v>838</v>
      </c>
      <c r="C759" s="6" t="s">
        <v>938</v>
      </c>
      <c r="D759" s="6" t="s">
        <v>177</v>
      </c>
      <c r="E759" s="26" t="n">
        <v>20</v>
      </c>
      <c r="F759" s="6" t="str">
        <f aca="false">IFERROR(INDEX(Resources!$B$2:$B$64,MATCH($D759,Resources!$A$2:$A$64,0)),"?")</f>
        <v>lbs</v>
      </c>
      <c r="G759" s="6" t="s">
        <v>939</v>
      </c>
      <c r="H759" s="27" t="n">
        <f aca="false">E759*INDEX(Assumptions!$D$17:$D$23,MATCH(G759,Assumptions!$B$17:$B$23,0))</f>
        <v>20</v>
      </c>
      <c r="I759" s="6" t="n">
        <f aca="false">IFERROR(INDEX(Systems!$R$2:$R$179,MATCH($B759,Systems!$B$2:$B$179,0)),0)</f>
        <v>0</v>
      </c>
      <c r="J759" s="27" t="n">
        <f aca="false">H759*I759</f>
        <v>0</v>
      </c>
      <c r="K759" s="6" t="str">
        <f aca="false">IFERROR(IF(INDEX(Resources!$D$2:$D$64,MATCH($D759,Resources!$A$2:$A$64,0))="","",INDEX(Resources!$D$2:$D$64,MATCH($D759,Resources!$A$2:$A$64,0))),"")</f>
        <v/>
      </c>
      <c r="L759" s="28" t="str">
        <f aca="false">IF(K759="","",J759*INDEX(Resources!$E$2:$E$64,MATCH($D759,Resources!$A$2:$A$64,0)))</f>
        <v/>
      </c>
      <c r="M759" s="6" t="str">
        <f aca="false">B759&amp;"|"&amp;D759&amp;"|"&amp;C759</f>
        <v>Cob Pizza Oven|Woody biomass|Input</v>
      </c>
    </row>
    <row r="760" customFormat="false" ht="15" hidden="false" customHeight="true" outlineLevel="0" collapsed="false">
      <c r="A760" s="6" t="s">
        <v>1742</v>
      </c>
      <c r="B760" s="6" t="s">
        <v>838</v>
      </c>
      <c r="C760" s="6" t="s">
        <v>938</v>
      </c>
      <c r="D760" s="6" t="s">
        <v>900</v>
      </c>
      <c r="E760" s="26" t="n">
        <v>20</v>
      </c>
      <c r="F760" s="6" t="str">
        <f aca="false">IFERROR(INDEX(Resources!$B$2:$B$64,MATCH($D760,Resources!$A$2:$A$64,0)),"?")</f>
        <v>cu ft</v>
      </c>
      <c r="G760" s="6" t="s">
        <v>1115</v>
      </c>
      <c r="H760" s="27" t="n">
        <f aca="false">E760*INDEX(Assumptions!$D$17:$D$23,MATCH(G760,Assumptions!$B$17:$B$23,0))</f>
        <v>0</v>
      </c>
      <c r="I760" s="6" t="n">
        <f aca="false">IFERROR(INDEX(Systems!$R$2:$R$179,MATCH($B760,Systems!$B$2:$B$179,0)),0)</f>
        <v>0</v>
      </c>
      <c r="J760" s="27" t="n">
        <f aca="false">H760*I760</f>
        <v>0</v>
      </c>
      <c r="K760" s="6" t="str">
        <f aca="false">IFERROR(IF(INDEX(Resources!$D$2:$D$64,MATCH($D760,Resources!$A$2:$A$64,0))="","",INDEX(Resources!$D$2:$D$64,MATCH($D760,Resources!$A$2:$A$64,0))),"")</f>
        <v/>
      </c>
      <c r="L760" s="28" t="str">
        <f aca="false">IF(K760="","",J760*INDEX(Resources!$E$2:$E$64,MATCH($D760,Resources!$A$2:$A$64,0)))</f>
        <v/>
      </c>
      <c r="M760" s="6" t="str">
        <f aca="false">B760&amp;"|"&amp;D760&amp;"|"&amp;C760</f>
        <v>Cob Pizza Oven|Soil|Input</v>
      </c>
    </row>
    <row r="761" customFormat="false" ht="15" hidden="false" customHeight="true" outlineLevel="0" collapsed="false">
      <c r="A761" s="6" t="s">
        <v>1743</v>
      </c>
      <c r="B761" s="6" t="s">
        <v>838</v>
      </c>
      <c r="C761" s="6" t="s">
        <v>943</v>
      </c>
      <c r="D761" s="6" t="s">
        <v>63</v>
      </c>
      <c r="E761" s="26" t="n">
        <v>2</v>
      </c>
      <c r="F761" s="6" t="str">
        <f aca="false">IFERROR(INDEX(Resources!$B$2:$B$64,MATCH($D761,Resources!$A$2:$A$64,0)),"?")</f>
        <v>hours</v>
      </c>
      <c r="G761" s="6" t="s">
        <v>939</v>
      </c>
      <c r="H761" s="27" t="n">
        <f aca="false">E761*INDEX(Assumptions!$D$17:$D$23,MATCH(G761,Assumptions!$B$17:$B$23,0))</f>
        <v>2</v>
      </c>
      <c r="I761" s="6" t="n">
        <f aca="false">IFERROR(INDEX(Systems!$R$2:$R$179,MATCH($B761,Systems!$B$2:$B$179,0)),0)</f>
        <v>0</v>
      </c>
      <c r="J761" s="27" t="n">
        <f aca="false">H761*I761</f>
        <v>0</v>
      </c>
      <c r="K761" s="6" t="str">
        <f aca="false">IFERROR(IF(INDEX(Resources!$D$2:$D$64,MATCH($D761,Resources!$A$2:$A$64,0))="","",INDEX(Resources!$D$2:$D$64,MATCH($D761,Resources!$A$2:$A$64,0))),"")</f>
        <v>Cooking fuel</v>
      </c>
      <c r="L761" s="28" t="n">
        <f aca="false">IF(K761="","",J761*INDEX(Resources!$E$2:$E$64,MATCH($D761,Resources!$A$2:$A$64,0)))</f>
        <v>0</v>
      </c>
      <c r="M761" s="6" t="str">
        <f aca="false">B761&amp;"|"&amp;D761&amp;"|"&amp;C761</f>
        <v>Cob Pizza Oven|Cooking fuel|Output</v>
      </c>
    </row>
    <row r="762" customFormat="false" ht="15" hidden="false" customHeight="true" outlineLevel="0" collapsed="false">
      <c r="A762" s="6" t="s">
        <v>1744</v>
      </c>
      <c r="B762" s="6" t="s">
        <v>838</v>
      </c>
      <c r="C762" s="6" t="s">
        <v>943</v>
      </c>
      <c r="D762" s="6" t="s">
        <v>462</v>
      </c>
      <c r="E762" s="26" t="n">
        <v>5</v>
      </c>
      <c r="F762" s="6" t="str">
        <f aca="false">IFERROR(INDEX(Resources!$B$2:$B$64,MATCH($D762,Resources!$A$2:$A$64,0)),"?")</f>
        <v>points</v>
      </c>
      <c r="G762" s="6" t="s">
        <v>939</v>
      </c>
      <c r="H762" s="27" t="n">
        <f aca="false">E762*INDEX(Assumptions!$D$17:$D$23,MATCH(G762,Assumptions!$B$17:$B$23,0))</f>
        <v>5</v>
      </c>
      <c r="I762" s="6" t="n">
        <f aca="false">IFERROR(INDEX(Systems!$R$2:$R$179,MATCH($B762,Systems!$B$2:$B$179,0)),0)</f>
        <v>0</v>
      </c>
      <c r="J762" s="27" t="n">
        <f aca="false">H762*I762</f>
        <v>0</v>
      </c>
      <c r="K762" s="6" t="str">
        <f aca="false">IFERROR(IF(INDEX(Resources!$D$2:$D$64,MATCH($D762,Resources!$A$2:$A$64,0))="","",INDEX(Resources!$D$2:$D$64,MATCH($D762,Resources!$A$2:$A$64,0))),"")</f>
        <v/>
      </c>
      <c r="L762" s="28" t="str">
        <f aca="false">IF(K762="","",J762*INDEX(Resources!$E$2:$E$64,MATCH($D762,Resources!$A$2:$A$64,0)))</f>
        <v/>
      </c>
      <c r="M762" s="6" t="str">
        <f aca="false">B762&amp;"|"&amp;D762&amp;"|"&amp;C762</f>
        <v>Cob Pizza Oven|Wellbeing|Output</v>
      </c>
    </row>
    <row r="763" customFormat="false" ht="15" hidden="false" customHeight="true" outlineLevel="0" collapsed="false">
      <c r="A763" s="6" t="s">
        <v>1745</v>
      </c>
      <c r="B763" s="6" t="s">
        <v>841</v>
      </c>
      <c r="C763" s="6" t="s">
        <v>938</v>
      </c>
      <c r="D763" s="6" t="s">
        <v>71</v>
      </c>
      <c r="E763" s="26" t="n">
        <v>0.25</v>
      </c>
      <c r="F763" s="6" t="str">
        <f aca="false">IFERROR(INDEX(Resources!$B$2:$B$64,MATCH($D763,Resources!$A$2:$A$64,0)),"?")</f>
        <v>hours</v>
      </c>
      <c r="G763" s="6" t="s">
        <v>939</v>
      </c>
      <c r="H763" s="27" t="n">
        <f aca="false">E763*INDEX(Assumptions!$D$17:$D$23,MATCH(G763,Assumptions!$B$17:$B$23,0))</f>
        <v>0.25</v>
      </c>
      <c r="I763" s="6" t="n">
        <f aca="false">IFERROR(INDEX(Systems!$R$2:$R$179,MATCH($B763,Systems!$B$2:$B$179,0)),0)</f>
        <v>0</v>
      </c>
      <c r="J763" s="27" t="n">
        <f aca="false">H763*I763</f>
        <v>0</v>
      </c>
      <c r="K763" s="6" t="str">
        <f aca="false">IFERROR(IF(INDEX(Resources!$D$2:$D$64,MATCH($D763,Resources!$A$2:$A$64,0))="","",INDEX(Resources!$D$2:$D$64,MATCH($D763,Resources!$A$2:$A$64,0))),"")</f>
        <v>Est. Required Labor</v>
      </c>
      <c r="L763" s="28" t="n">
        <f aca="false">IF(K763="","",J763*INDEX(Resources!$E$2:$E$64,MATCH($D763,Resources!$A$2:$A$64,0)))</f>
        <v>0</v>
      </c>
      <c r="M763" s="6" t="str">
        <f aca="false">B763&amp;"|"&amp;D763&amp;"|"&amp;C763</f>
        <v>Evaporative (Swamp) Cooler|Labor|Input</v>
      </c>
      <c r="N763" s="6" t="s">
        <v>940</v>
      </c>
    </row>
    <row r="764" customFormat="false" ht="15" hidden="false" customHeight="true" outlineLevel="0" collapsed="false">
      <c r="A764" s="6" t="s">
        <v>1746</v>
      </c>
      <c r="B764" s="6" t="s">
        <v>841</v>
      </c>
      <c r="C764" s="6" t="s">
        <v>938</v>
      </c>
      <c r="D764" s="6" t="s">
        <v>49</v>
      </c>
      <c r="E764" s="26" t="n">
        <v>40</v>
      </c>
      <c r="F764" s="6" t="str">
        <f aca="false">IFERROR(INDEX(Resources!$B$2:$B$64,MATCH($D764,Resources!$A$2:$A$64,0)),"?")</f>
        <v>gal</v>
      </c>
      <c r="G764" s="6" t="s">
        <v>939</v>
      </c>
      <c r="H764" s="27" t="n">
        <f aca="false">E764*INDEX(Assumptions!$D$17:$D$23,MATCH(G764,Assumptions!$B$17:$B$23,0))</f>
        <v>40</v>
      </c>
      <c r="I764" s="6" t="n">
        <f aca="false">IFERROR(INDEX(Systems!$R$2:$R$179,MATCH($B764,Systems!$B$2:$B$179,0)),0)</f>
        <v>0</v>
      </c>
      <c r="J764" s="27" t="n">
        <f aca="false">H764*I764</f>
        <v>0</v>
      </c>
      <c r="K764" s="6" t="str">
        <f aca="false">IFERROR(IF(INDEX(Resources!$D$2:$D$64,MATCH($D764,Resources!$A$2:$A$64,0))="","",INDEX(Resources!$D$2:$D$64,MATCH($D764,Resources!$A$2:$A$64,0))),"")</f>
        <v>Water</v>
      </c>
      <c r="L764" s="28" t="n">
        <f aca="false">IF(K764="","",J764*INDEX(Resources!$E$2:$E$64,MATCH($D764,Resources!$A$2:$A$64,0)))</f>
        <v>0</v>
      </c>
      <c r="M764" s="6" t="str">
        <f aca="false">B764&amp;"|"&amp;D764&amp;"|"&amp;C764</f>
        <v>Evaporative (Swamp) Cooler|Water|Input</v>
      </c>
    </row>
    <row r="765" customFormat="false" ht="15" hidden="false" customHeight="true" outlineLevel="0" collapsed="false">
      <c r="A765" s="6" t="s">
        <v>1747</v>
      </c>
      <c r="B765" s="6" t="s">
        <v>841</v>
      </c>
      <c r="C765" s="6" t="s">
        <v>938</v>
      </c>
      <c r="D765" s="6" t="s">
        <v>59</v>
      </c>
      <c r="E765" s="26" t="n">
        <v>8</v>
      </c>
      <c r="F765" s="6" t="str">
        <f aca="false">IFERROR(INDEX(Resources!$B$2:$B$64,MATCH($D765,Resources!$A$2:$A$64,0)),"?")</f>
        <v>kWh</v>
      </c>
      <c r="G765" s="6" t="s">
        <v>939</v>
      </c>
      <c r="H765" s="27" t="n">
        <f aca="false">E765*INDEX(Assumptions!$D$17:$D$23,MATCH(G765,Assumptions!$B$17:$B$23,0))</f>
        <v>8</v>
      </c>
      <c r="I765" s="6" t="n">
        <f aca="false">IFERROR(INDEX(Systems!$R$2:$R$179,MATCH($B765,Systems!$B$2:$B$179,0)),0)</f>
        <v>0</v>
      </c>
      <c r="J765" s="27" t="n">
        <f aca="false">H765*I765</f>
        <v>0</v>
      </c>
      <c r="K765" s="6" t="str">
        <f aca="false">IFERROR(IF(INDEX(Resources!$D$2:$D$64,MATCH($D765,Resources!$A$2:$A$64,0))="","",INDEX(Resources!$D$2:$D$64,MATCH($D765,Resources!$A$2:$A$64,0))),"")</f>
        <v>Electricity</v>
      </c>
      <c r="L765" s="28" t="n">
        <f aca="false">IF(K765="","",J765*INDEX(Resources!$E$2:$E$64,MATCH($D765,Resources!$A$2:$A$64,0)))</f>
        <v>0</v>
      </c>
      <c r="M765" s="6" t="str">
        <f aca="false">B765&amp;"|"&amp;D765&amp;"|"&amp;C765</f>
        <v>Evaporative (Swamp) Cooler|Electricity|Input</v>
      </c>
    </row>
    <row r="766" customFormat="false" ht="15" hidden="false" customHeight="true" outlineLevel="0" collapsed="false">
      <c r="A766" s="6" t="s">
        <v>1748</v>
      </c>
      <c r="B766" s="6" t="s">
        <v>841</v>
      </c>
      <c r="C766" s="6" t="s">
        <v>943</v>
      </c>
      <c r="D766" s="6" t="s">
        <v>69</v>
      </c>
      <c r="E766" s="26" t="n">
        <v>250000</v>
      </c>
      <c r="F766" s="6" t="str">
        <f aca="false">IFERROR(INDEX(Resources!$B$2:$B$64,MATCH($D766,Resources!$A$2:$A$64,0)),"?")</f>
        <v>BTU</v>
      </c>
      <c r="G766" s="6" t="s">
        <v>939</v>
      </c>
      <c r="H766" s="27" t="n">
        <f aca="false">E766*INDEX(Assumptions!$D$17:$D$23,MATCH(G766,Assumptions!$B$17:$B$23,0))</f>
        <v>250000</v>
      </c>
      <c r="I766" s="6" t="n">
        <f aca="false">IFERROR(INDEX(Systems!$R$2:$R$179,MATCH($B766,Systems!$B$2:$B$179,0)),0)</f>
        <v>0</v>
      </c>
      <c r="J766" s="27" t="n">
        <f aca="false">H766*I766</f>
        <v>0</v>
      </c>
      <c r="K766" s="6" t="str">
        <f aca="false">IFERROR(IF(INDEX(Resources!$D$2:$D$64,MATCH($D766,Resources!$A$2:$A$64,0))="","",INDEX(Resources!$D$2:$D$64,MATCH($D766,Resources!$A$2:$A$64,0))),"")</f>
        <v>Cooled shelter</v>
      </c>
      <c r="L766" s="28" t="n">
        <f aca="false">IF(K766="","",J766*INDEX(Resources!$E$2:$E$64,MATCH($D766,Resources!$A$2:$A$64,0)))</f>
        <v>0</v>
      </c>
      <c r="M766" s="6" t="str">
        <f aca="false">B766&amp;"|"&amp;D766&amp;"|"&amp;C766</f>
        <v>Evaporative (Swamp) Cooler|Cooling|Output</v>
      </c>
    </row>
    <row r="767" customFormat="false" ht="15" hidden="false" customHeight="true" outlineLevel="0" collapsed="false">
      <c r="A767" s="6" t="s">
        <v>1749</v>
      </c>
      <c r="B767" s="6" t="s">
        <v>844</v>
      </c>
      <c r="C767" s="6" t="s">
        <v>938</v>
      </c>
      <c r="D767" s="6" t="s">
        <v>71</v>
      </c>
      <c r="E767" s="26" t="n">
        <v>0.05</v>
      </c>
      <c r="F767" s="6" t="str">
        <f aca="false">IFERROR(INDEX(Resources!$B$2:$B$64,MATCH($D767,Resources!$A$2:$A$64,0)),"?")</f>
        <v>hours</v>
      </c>
      <c r="G767" s="6" t="s">
        <v>939</v>
      </c>
      <c r="H767" s="27" t="n">
        <f aca="false">E767*INDEX(Assumptions!$D$17:$D$23,MATCH(G767,Assumptions!$B$17:$B$23,0))</f>
        <v>0.05</v>
      </c>
      <c r="I767" s="6" t="n">
        <f aca="false">IFERROR(INDEX(Systems!$R$2:$R$179,MATCH($B767,Systems!$B$2:$B$179,0)),0)</f>
        <v>0</v>
      </c>
      <c r="J767" s="27" t="n">
        <f aca="false">H767*I767</f>
        <v>0</v>
      </c>
      <c r="K767" s="6" t="str">
        <f aca="false">IFERROR(IF(INDEX(Resources!$D$2:$D$64,MATCH($D767,Resources!$A$2:$A$64,0))="","",INDEX(Resources!$D$2:$D$64,MATCH($D767,Resources!$A$2:$A$64,0))),"")</f>
        <v>Est. Required Labor</v>
      </c>
      <c r="L767" s="28" t="n">
        <f aca="false">IF(K767="","",J767*INDEX(Resources!$E$2:$E$64,MATCH($D767,Resources!$A$2:$A$64,0)))</f>
        <v>0</v>
      </c>
      <c r="M767" s="6" t="str">
        <f aca="false">B767&amp;"|"&amp;D767&amp;"|"&amp;C767</f>
        <v>Earth Tubes|Labor|Input</v>
      </c>
      <c r="N767" s="6" t="s">
        <v>940</v>
      </c>
    </row>
    <row r="768" customFormat="false" ht="15" hidden="false" customHeight="true" outlineLevel="0" collapsed="false">
      <c r="A768" s="6" t="s">
        <v>1750</v>
      </c>
      <c r="B768" s="6" t="s">
        <v>844</v>
      </c>
      <c r="C768" s="6" t="s">
        <v>938</v>
      </c>
      <c r="D768" s="6" t="s">
        <v>59</v>
      </c>
      <c r="E768" s="26" t="n">
        <v>3</v>
      </c>
      <c r="F768" s="6" t="str">
        <f aca="false">IFERROR(INDEX(Resources!$B$2:$B$64,MATCH($D768,Resources!$A$2:$A$64,0)),"?")</f>
        <v>kWh</v>
      </c>
      <c r="G768" s="6" t="s">
        <v>939</v>
      </c>
      <c r="H768" s="27" t="n">
        <f aca="false">E768*INDEX(Assumptions!$D$17:$D$23,MATCH(G768,Assumptions!$B$17:$B$23,0))</f>
        <v>3</v>
      </c>
      <c r="I768" s="6" t="n">
        <f aca="false">IFERROR(INDEX(Systems!$R$2:$R$179,MATCH($B768,Systems!$B$2:$B$179,0)),0)</f>
        <v>0</v>
      </c>
      <c r="J768" s="27" t="n">
        <f aca="false">H768*I768</f>
        <v>0</v>
      </c>
      <c r="K768" s="6" t="str">
        <f aca="false">IFERROR(IF(INDEX(Resources!$D$2:$D$64,MATCH($D768,Resources!$A$2:$A$64,0))="","",INDEX(Resources!$D$2:$D$64,MATCH($D768,Resources!$A$2:$A$64,0))),"")</f>
        <v>Electricity</v>
      </c>
      <c r="L768" s="28" t="n">
        <f aca="false">IF(K768="","",J768*INDEX(Resources!$E$2:$E$64,MATCH($D768,Resources!$A$2:$A$64,0)))</f>
        <v>0</v>
      </c>
      <c r="M768" s="6" t="str">
        <f aca="false">B768&amp;"|"&amp;D768&amp;"|"&amp;C768</f>
        <v>Earth Tubes|Electricity|Input</v>
      </c>
    </row>
    <row r="769" customFormat="false" ht="15" hidden="false" customHeight="true" outlineLevel="0" collapsed="false">
      <c r="A769" s="6" t="s">
        <v>1751</v>
      </c>
      <c r="B769" s="6" t="s">
        <v>844</v>
      </c>
      <c r="C769" s="6" t="s">
        <v>943</v>
      </c>
      <c r="D769" s="6" t="s">
        <v>69</v>
      </c>
      <c r="E769" s="26" t="n">
        <v>60000</v>
      </c>
      <c r="F769" s="6" t="str">
        <f aca="false">IFERROR(INDEX(Resources!$B$2:$B$64,MATCH($D769,Resources!$A$2:$A$64,0)),"?")</f>
        <v>BTU</v>
      </c>
      <c r="G769" s="6" t="s">
        <v>939</v>
      </c>
      <c r="H769" s="27" t="n">
        <f aca="false">E769*INDEX(Assumptions!$D$17:$D$23,MATCH(G769,Assumptions!$B$17:$B$23,0))</f>
        <v>60000</v>
      </c>
      <c r="I769" s="6" t="n">
        <f aca="false">IFERROR(INDEX(Systems!$R$2:$R$179,MATCH($B769,Systems!$B$2:$B$179,0)),0)</f>
        <v>0</v>
      </c>
      <c r="J769" s="27" t="n">
        <f aca="false">H769*I769</f>
        <v>0</v>
      </c>
      <c r="K769" s="6" t="str">
        <f aca="false">IFERROR(IF(INDEX(Resources!$D$2:$D$64,MATCH($D769,Resources!$A$2:$A$64,0))="","",INDEX(Resources!$D$2:$D$64,MATCH($D769,Resources!$A$2:$A$64,0))),"")</f>
        <v>Cooled shelter</v>
      </c>
      <c r="L769" s="28" t="n">
        <f aca="false">IF(K769="","",J769*INDEX(Resources!$E$2:$E$64,MATCH($D769,Resources!$A$2:$A$64,0)))</f>
        <v>0</v>
      </c>
      <c r="M769" s="6" t="str">
        <f aca="false">B769&amp;"|"&amp;D769&amp;"|"&amp;C769</f>
        <v>Earth Tubes|Cooling|Output</v>
      </c>
    </row>
    <row r="770" customFormat="false" ht="15" hidden="false" customHeight="true" outlineLevel="0" collapsed="false">
      <c r="A770" s="6" t="s">
        <v>1752</v>
      </c>
      <c r="B770" s="6" t="s">
        <v>844</v>
      </c>
      <c r="C770" s="6" t="s">
        <v>943</v>
      </c>
      <c r="D770" s="6" t="s">
        <v>67</v>
      </c>
      <c r="E770" s="26" t="n">
        <v>40000</v>
      </c>
      <c r="F770" s="6" t="str">
        <f aca="false">IFERROR(INDEX(Resources!$B$2:$B$64,MATCH($D770,Resources!$A$2:$A$64,0)),"?")</f>
        <v>BTU</v>
      </c>
      <c r="G770" s="6" t="s">
        <v>939</v>
      </c>
      <c r="H770" s="27" t="n">
        <f aca="false">E770*INDEX(Assumptions!$D$17:$D$23,MATCH(G770,Assumptions!$B$17:$B$23,0))</f>
        <v>40000</v>
      </c>
      <c r="I770" s="6" t="n">
        <f aca="false">IFERROR(INDEX(Systems!$R$2:$R$179,MATCH($B770,Systems!$B$2:$B$179,0)),0)</f>
        <v>0</v>
      </c>
      <c r="J770" s="27" t="n">
        <f aca="false">H770*I770</f>
        <v>0</v>
      </c>
      <c r="K770" s="6" t="str">
        <f aca="false">IFERROR(IF(INDEX(Resources!$D$2:$D$64,MATCH($D770,Resources!$A$2:$A$64,0))="","",INDEX(Resources!$D$2:$D$64,MATCH($D770,Resources!$A$2:$A$64,0))),"")</f>
        <v>Heated shelter</v>
      </c>
      <c r="L770" s="28" t="n">
        <f aca="false">IF(K770="","",J770*INDEX(Resources!$E$2:$E$64,MATCH($D770,Resources!$A$2:$A$64,0)))</f>
        <v>0</v>
      </c>
      <c r="M770" s="6" t="str">
        <f aca="false">B770&amp;"|"&amp;D770&amp;"|"&amp;C770</f>
        <v>Earth Tubes|Heat|Output</v>
      </c>
    </row>
    <row r="771" customFormat="false" ht="15" hidden="false" customHeight="true" outlineLevel="0" collapsed="false">
      <c r="A771" s="6" t="s">
        <v>1753</v>
      </c>
      <c r="B771" s="6" t="s">
        <v>848</v>
      </c>
      <c r="C771" s="6" t="s">
        <v>938</v>
      </c>
      <c r="D771" s="6" t="s">
        <v>71</v>
      </c>
      <c r="E771" s="26" t="n">
        <v>0.25</v>
      </c>
      <c r="F771" s="6" t="str">
        <f aca="false">IFERROR(INDEX(Resources!$B$2:$B$64,MATCH($D771,Resources!$A$2:$A$64,0)),"?")</f>
        <v>hours</v>
      </c>
      <c r="G771" s="6" t="s">
        <v>939</v>
      </c>
      <c r="H771" s="27" t="n">
        <f aca="false">E771*INDEX(Assumptions!$D$17:$D$23,MATCH(G771,Assumptions!$B$17:$B$23,0))</f>
        <v>0.25</v>
      </c>
      <c r="I771" s="6" t="n">
        <f aca="false">IFERROR(INDEX(Systems!$R$2:$R$179,MATCH($B771,Systems!$B$2:$B$179,0)),0)</f>
        <v>0</v>
      </c>
      <c r="J771" s="27" t="n">
        <f aca="false">H771*I771</f>
        <v>0</v>
      </c>
      <c r="K771" s="6" t="str">
        <f aca="false">IFERROR(IF(INDEX(Resources!$D$2:$D$64,MATCH($D771,Resources!$A$2:$A$64,0))="","",INDEX(Resources!$D$2:$D$64,MATCH($D771,Resources!$A$2:$A$64,0))),"")</f>
        <v>Est. Required Labor</v>
      </c>
      <c r="L771" s="28" t="n">
        <f aca="false">IF(K771="","",J771*INDEX(Resources!$E$2:$E$64,MATCH($D771,Resources!$A$2:$A$64,0)))</f>
        <v>0</v>
      </c>
      <c r="M771" s="6" t="str">
        <f aca="false">B771&amp;"|"&amp;D771&amp;"|"&amp;C771</f>
        <v>Masonry Heater|Labor|Input</v>
      </c>
      <c r="N771" s="6" t="s">
        <v>940</v>
      </c>
    </row>
    <row r="772" customFormat="false" ht="15" hidden="false" customHeight="true" outlineLevel="0" collapsed="false">
      <c r="A772" s="6" t="s">
        <v>1754</v>
      </c>
      <c r="B772" s="6" t="s">
        <v>848</v>
      </c>
      <c r="C772" s="6" t="s">
        <v>938</v>
      </c>
      <c r="D772" s="6" t="s">
        <v>177</v>
      </c>
      <c r="E772" s="26" t="n">
        <v>70</v>
      </c>
      <c r="F772" s="6" t="str">
        <f aca="false">IFERROR(INDEX(Resources!$B$2:$B$64,MATCH($D772,Resources!$A$2:$A$64,0)),"?")</f>
        <v>lbs</v>
      </c>
      <c r="G772" s="6" t="s">
        <v>939</v>
      </c>
      <c r="H772" s="27" t="n">
        <f aca="false">E772*INDEX(Assumptions!$D$17:$D$23,MATCH(G772,Assumptions!$B$17:$B$23,0))</f>
        <v>70</v>
      </c>
      <c r="I772" s="6" t="n">
        <f aca="false">IFERROR(INDEX(Systems!$R$2:$R$179,MATCH($B772,Systems!$B$2:$B$179,0)),0)</f>
        <v>0</v>
      </c>
      <c r="J772" s="27" t="n">
        <f aca="false">H772*I772</f>
        <v>0</v>
      </c>
      <c r="K772" s="6" t="str">
        <f aca="false">IFERROR(IF(INDEX(Resources!$D$2:$D$64,MATCH($D772,Resources!$A$2:$A$64,0))="","",INDEX(Resources!$D$2:$D$64,MATCH($D772,Resources!$A$2:$A$64,0))),"")</f>
        <v/>
      </c>
      <c r="L772" s="28" t="str">
        <f aca="false">IF(K772="","",J772*INDEX(Resources!$E$2:$E$64,MATCH($D772,Resources!$A$2:$A$64,0)))</f>
        <v/>
      </c>
      <c r="M772" s="6" t="str">
        <f aca="false">B772&amp;"|"&amp;D772&amp;"|"&amp;C772</f>
        <v>Masonry Heater|Woody biomass|Input</v>
      </c>
    </row>
    <row r="773" customFormat="false" ht="15" hidden="false" customHeight="true" outlineLevel="0" collapsed="false">
      <c r="A773" s="6" t="s">
        <v>1755</v>
      </c>
      <c r="B773" s="6" t="s">
        <v>848</v>
      </c>
      <c r="C773" s="6" t="s">
        <v>943</v>
      </c>
      <c r="D773" s="6" t="s">
        <v>67</v>
      </c>
      <c r="E773" s="26" t="n">
        <v>340000</v>
      </c>
      <c r="F773" s="6" t="str">
        <f aca="false">IFERROR(INDEX(Resources!$B$2:$B$64,MATCH($D773,Resources!$A$2:$A$64,0)),"?")</f>
        <v>BTU</v>
      </c>
      <c r="G773" s="6" t="s">
        <v>939</v>
      </c>
      <c r="H773" s="27" t="n">
        <f aca="false">E773*INDEX(Assumptions!$D$17:$D$23,MATCH(G773,Assumptions!$B$17:$B$23,0))</f>
        <v>340000</v>
      </c>
      <c r="I773" s="6" t="n">
        <f aca="false">IFERROR(INDEX(Systems!$R$2:$R$179,MATCH($B773,Systems!$B$2:$B$179,0)),0)</f>
        <v>0</v>
      </c>
      <c r="J773" s="27" t="n">
        <f aca="false">H773*I773</f>
        <v>0</v>
      </c>
      <c r="K773" s="6" t="str">
        <f aca="false">IFERROR(IF(INDEX(Resources!$D$2:$D$64,MATCH($D773,Resources!$A$2:$A$64,0))="","",INDEX(Resources!$D$2:$D$64,MATCH($D773,Resources!$A$2:$A$64,0))),"")</f>
        <v>Heated shelter</v>
      </c>
      <c r="L773" s="28" t="n">
        <f aca="false">IF(K773="","",J773*INDEX(Resources!$E$2:$E$64,MATCH($D773,Resources!$A$2:$A$64,0)))</f>
        <v>0</v>
      </c>
      <c r="M773" s="6" t="str">
        <f aca="false">B773&amp;"|"&amp;D773&amp;"|"&amp;C773</f>
        <v>Masonry Heater|Heat|Output</v>
      </c>
    </row>
    <row r="774" customFormat="false" ht="15" hidden="false" customHeight="true" outlineLevel="0" collapsed="false">
      <c r="A774" s="6" t="s">
        <v>1756</v>
      </c>
      <c r="B774" s="6" t="s">
        <v>851</v>
      </c>
      <c r="C774" s="6" t="s">
        <v>938</v>
      </c>
      <c r="D774" s="6" t="s">
        <v>71</v>
      </c>
      <c r="E774" s="26" t="n">
        <v>0.5</v>
      </c>
      <c r="F774" s="6" t="str">
        <f aca="false">IFERROR(INDEX(Resources!$B$2:$B$64,MATCH($D774,Resources!$A$2:$A$64,0)),"?")</f>
        <v>hours</v>
      </c>
      <c r="G774" s="6" t="s">
        <v>939</v>
      </c>
      <c r="H774" s="27" t="n">
        <f aca="false">E774*INDEX(Assumptions!$D$17:$D$23,MATCH(G774,Assumptions!$B$17:$B$23,0))</f>
        <v>0.5</v>
      </c>
      <c r="I774" s="6" t="n">
        <f aca="false">IFERROR(INDEX(Systems!$R$2:$R$179,MATCH($B774,Systems!$B$2:$B$179,0)),0)</f>
        <v>0</v>
      </c>
      <c r="J774" s="27" t="n">
        <f aca="false">H774*I774</f>
        <v>0</v>
      </c>
      <c r="K774" s="6" t="str">
        <f aca="false">IFERROR(IF(INDEX(Resources!$D$2:$D$64,MATCH($D774,Resources!$A$2:$A$64,0))="","",INDEX(Resources!$D$2:$D$64,MATCH($D774,Resources!$A$2:$A$64,0))),"")</f>
        <v>Est. Required Labor</v>
      </c>
      <c r="L774" s="28" t="n">
        <f aca="false">IF(K774="","",J774*INDEX(Resources!$E$2:$E$64,MATCH($D774,Resources!$A$2:$A$64,0)))</f>
        <v>0</v>
      </c>
      <c r="M774" s="6" t="str">
        <f aca="false">B774&amp;"|"&amp;D774&amp;"|"&amp;C774</f>
        <v>Pellet Stove|Labor|Input</v>
      </c>
      <c r="N774" s="6" t="s">
        <v>940</v>
      </c>
    </row>
    <row r="775" customFormat="false" ht="15" hidden="false" customHeight="true" outlineLevel="0" collapsed="false">
      <c r="A775" s="6" t="s">
        <v>1757</v>
      </c>
      <c r="B775" s="6" t="s">
        <v>851</v>
      </c>
      <c r="C775" s="6" t="s">
        <v>938</v>
      </c>
      <c r="D775" s="6" t="s">
        <v>170</v>
      </c>
      <c r="E775" s="26" t="n">
        <v>100</v>
      </c>
      <c r="F775" s="6" t="str">
        <f aca="false">IFERROR(INDEX(Resources!$B$2:$B$64,MATCH($D775,Resources!$A$2:$A$64,0)),"?")</f>
        <v>lbs</v>
      </c>
      <c r="G775" s="6" t="s">
        <v>939</v>
      </c>
      <c r="H775" s="27" t="n">
        <f aca="false">E775*INDEX(Assumptions!$D$17:$D$23,MATCH(G775,Assumptions!$B$17:$B$23,0))</f>
        <v>100</v>
      </c>
      <c r="I775" s="6" t="n">
        <f aca="false">IFERROR(INDEX(Systems!$R$2:$R$179,MATCH($B775,Systems!$B$2:$B$179,0)),0)</f>
        <v>0</v>
      </c>
      <c r="J775" s="27" t="n">
        <f aca="false">H775*I775</f>
        <v>0</v>
      </c>
      <c r="K775" s="6" t="str">
        <f aca="false">IFERROR(IF(INDEX(Resources!$D$2:$D$64,MATCH($D775,Resources!$A$2:$A$64,0))="","",INDEX(Resources!$D$2:$D$64,MATCH($D775,Resources!$A$2:$A$64,0))),"")</f>
        <v/>
      </c>
      <c r="L775" s="28" t="str">
        <f aca="false">IF(K775="","",J775*INDEX(Resources!$E$2:$E$64,MATCH($D775,Resources!$A$2:$A$64,0)))</f>
        <v/>
      </c>
      <c r="M775" s="6" t="str">
        <f aca="false">B775&amp;"|"&amp;D775&amp;"|"&amp;C775</f>
        <v>Pellet Stove|Wood pellets|Input</v>
      </c>
    </row>
    <row r="776" customFormat="false" ht="15" hidden="false" customHeight="true" outlineLevel="0" collapsed="false">
      <c r="A776" s="6" t="s">
        <v>1758</v>
      </c>
      <c r="B776" s="6" t="s">
        <v>851</v>
      </c>
      <c r="C776" s="6" t="s">
        <v>938</v>
      </c>
      <c r="D776" s="6" t="s">
        <v>59</v>
      </c>
      <c r="E776" s="26" t="n">
        <v>2</v>
      </c>
      <c r="F776" s="6" t="str">
        <f aca="false">IFERROR(INDEX(Resources!$B$2:$B$64,MATCH($D776,Resources!$A$2:$A$64,0)),"?")</f>
        <v>kWh</v>
      </c>
      <c r="G776" s="6" t="s">
        <v>939</v>
      </c>
      <c r="H776" s="27" t="n">
        <f aca="false">E776*INDEX(Assumptions!$D$17:$D$23,MATCH(G776,Assumptions!$B$17:$B$23,0))</f>
        <v>2</v>
      </c>
      <c r="I776" s="6" t="n">
        <f aca="false">IFERROR(INDEX(Systems!$R$2:$R$179,MATCH($B776,Systems!$B$2:$B$179,0)),0)</f>
        <v>0</v>
      </c>
      <c r="J776" s="27" t="n">
        <f aca="false">H776*I776</f>
        <v>0</v>
      </c>
      <c r="K776" s="6" t="str">
        <f aca="false">IFERROR(IF(INDEX(Resources!$D$2:$D$64,MATCH($D776,Resources!$A$2:$A$64,0))="","",INDEX(Resources!$D$2:$D$64,MATCH($D776,Resources!$A$2:$A$64,0))),"")</f>
        <v>Electricity</v>
      </c>
      <c r="L776" s="28" t="n">
        <f aca="false">IF(K776="","",J776*INDEX(Resources!$E$2:$E$64,MATCH($D776,Resources!$A$2:$A$64,0)))</f>
        <v>0</v>
      </c>
      <c r="M776" s="6" t="str">
        <f aca="false">B776&amp;"|"&amp;D776&amp;"|"&amp;C776</f>
        <v>Pellet Stove|Electricity|Input</v>
      </c>
    </row>
    <row r="777" customFormat="false" ht="15" hidden="false" customHeight="true" outlineLevel="0" collapsed="false">
      <c r="A777" s="6" t="s">
        <v>1759</v>
      </c>
      <c r="B777" s="6" t="s">
        <v>851</v>
      </c>
      <c r="C777" s="6" t="s">
        <v>943</v>
      </c>
      <c r="D777" s="6" t="s">
        <v>67</v>
      </c>
      <c r="E777" s="26" t="n">
        <v>640000</v>
      </c>
      <c r="F777" s="6" t="str">
        <f aca="false">IFERROR(INDEX(Resources!$B$2:$B$64,MATCH($D777,Resources!$A$2:$A$64,0)),"?")</f>
        <v>BTU</v>
      </c>
      <c r="G777" s="6" t="s">
        <v>939</v>
      </c>
      <c r="H777" s="27" t="n">
        <f aca="false">E777*INDEX(Assumptions!$D$17:$D$23,MATCH(G777,Assumptions!$B$17:$B$23,0))</f>
        <v>640000</v>
      </c>
      <c r="I777" s="6" t="n">
        <f aca="false">IFERROR(INDEX(Systems!$R$2:$R$179,MATCH($B777,Systems!$B$2:$B$179,0)),0)</f>
        <v>0</v>
      </c>
      <c r="J777" s="27" t="n">
        <f aca="false">H777*I777</f>
        <v>0</v>
      </c>
      <c r="K777" s="6" t="str">
        <f aca="false">IFERROR(IF(INDEX(Resources!$D$2:$D$64,MATCH($D777,Resources!$A$2:$A$64,0))="","",INDEX(Resources!$D$2:$D$64,MATCH($D777,Resources!$A$2:$A$64,0))),"")</f>
        <v>Heated shelter</v>
      </c>
      <c r="L777" s="28" t="n">
        <f aca="false">IF(K777="","",J777*INDEX(Resources!$E$2:$E$64,MATCH($D777,Resources!$A$2:$A$64,0)))</f>
        <v>0</v>
      </c>
      <c r="M777" s="6" t="str">
        <f aca="false">B777&amp;"|"&amp;D777&amp;"|"&amp;C777</f>
        <v>Pellet Stove|Heat|Output</v>
      </c>
    </row>
    <row r="778" customFormat="false" ht="15" hidden="false" customHeight="true" outlineLevel="0" collapsed="false">
      <c r="A778" s="6" t="s">
        <v>1760</v>
      </c>
      <c r="B778" s="6" t="s">
        <v>854</v>
      </c>
      <c r="C778" s="6" t="s">
        <v>938</v>
      </c>
      <c r="D778" s="6" t="s">
        <v>71</v>
      </c>
      <c r="E778" s="26" t="n">
        <v>0.05</v>
      </c>
      <c r="F778" s="6" t="str">
        <f aca="false">IFERROR(INDEX(Resources!$B$2:$B$64,MATCH($D778,Resources!$A$2:$A$64,0)),"?")</f>
        <v>hours</v>
      </c>
      <c r="G778" s="6" t="s">
        <v>939</v>
      </c>
      <c r="H778" s="27" t="n">
        <f aca="false">E778*INDEX(Assumptions!$D$17:$D$23,MATCH(G778,Assumptions!$B$17:$B$23,0))</f>
        <v>0.05</v>
      </c>
      <c r="I778" s="6" t="n">
        <f aca="false">IFERROR(INDEX(Systems!$R$2:$R$179,MATCH($B778,Systems!$B$2:$B$179,0)),0)</f>
        <v>0</v>
      </c>
      <c r="J778" s="27" t="n">
        <f aca="false">H778*I778</f>
        <v>0</v>
      </c>
      <c r="K778" s="6" t="str">
        <f aca="false">IFERROR(IF(INDEX(Resources!$D$2:$D$64,MATCH($D778,Resources!$A$2:$A$64,0))="","",INDEX(Resources!$D$2:$D$64,MATCH($D778,Resources!$A$2:$A$64,0))),"")</f>
        <v>Est. Required Labor</v>
      </c>
      <c r="L778" s="28" t="n">
        <f aca="false">IF(K778="","",J778*INDEX(Resources!$E$2:$E$64,MATCH($D778,Resources!$A$2:$A$64,0)))</f>
        <v>0</v>
      </c>
      <c r="M778" s="6" t="str">
        <f aca="false">B778&amp;"|"&amp;D778&amp;"|"&amp;C778</f>
        <v>Solar Air Heater (window box)|Labor|Input</v>
      </c>
      <c r="N778" s="6" t="s">
        <v>940</v>
      </c>
    </row>
    <row r="779" customFormat="false" ht="15" hidden="false" customHeight="true" outlineLevel="0" collapsed="false">
      <c r="A779" s="6" t="s">
        <v>1761</v>
      </c>
      <c r="B779" s="6" t="s">
        <v>854</v>
      </c>
      <c r="C779" s="6" t="s">
        <v>938</v>
      </c>
      <c r="D779" s="6" t="s">
        <v>165</v>
      </c>
      <c r="E779" s="29" t="n">
        <f aca="false">Assumptions!$C$6*7</f>
        <v>35</v>
      </c>
      <c r="F779" s="6" t="str">
        <f aca="false">IFERROR(INDEX(Resources!$B$2:$B$64,MATCH($D779,Resources!$A$2:$A$64,0)),"?")</f>
        <v>sun-hours</v>
      </c>
      <c r="G779" s="6" t="s">
        <v>939</v>
      </c>
      <c r="H779" s="27" t="n">
        <f aca="false">E779*INDEX(Assumptions!$D$17:$D$23,MATCH(G779,Assumptions!$B$17:$B$23,0))</f>
        <v>35</v>
      </c>
      <c r="I779" s="6" t="n">
        <f aca="false">IFERROR(INDEX(Systems!$R$2:$R$179,MATCH($B779,Systems!$B$2:$B$179,0)),0)</f>
        <v>0</v>
      </c>
      <c r="J779" s="27" t="n">
        <f aca="false">H779*I779</f>
        <v>0</v>
      </c>
      <c r="K779" s="6" t="str">
        <f aca="false">IFERROR(IF(INDEX(Resources!$D$2:$D$64,MATCH($D779,Resources!$A$2:$A$64,0))="","",INDEX(Resources!$D$2:$D$64,MATCH($D779,Resources!$A$2:$A$64,0))),"")</f>
        <v/>
      </c>
      <c r="L779" s="28" t="str">
        <f aca="false">IF(K779="","",J779*INDEX(Resources!$E$2:$E$64,MATCH($D779,Resources!$A$2:$A$64,0)))</f>
        <v/>
      </c>
      <c r="M779" s="6" t="str">
        <f aca="false">B779&amp;"|"&amp;D779&amp;"|"&amp;C779</f>
        <v>Solar Air Heater (window box)|Sunlight|Input</v>
      </c>
      <c r="N779" s="6" t="s">
        <v>948</v>
      </c>
    </row>
    <row r="780" customFormat="false" ht="15" hidden="false" customHeight="true" outlineLevel="0" collapsed="false">
      <c r="A780" s="6" t="s">
        <v>1762</v>
      </c>
      <c r="B780" s="6" t="s">
        <v>854</v>
      </c>
      <c r="C780" s="6" t="s">
        <v>943</v>
      </c>
      <c r="D780" s="6" t="s">
        <v>67</v>
      </c>
      <c r="E780" s="26" t="n">
        <v>60000</v>
      </c>
      <c r="F780" s="6" t="str">
        <f aca="false">IFERROR(INDEX(Resources!$B$2:$B$64,MATCH($D780,Resources!$A$2:$A$64,0)),"?")</f>
        <v>BTU</v>
      </c>
      <c r="G780" s="6" t="s">
        <v>939</v>
      </c>
      <c r="H780" s="27" t="n">
        <f aca="false">E780*INDEX(Assumptions!$D$17:$D$23,MATCH(G780,Assumptions!$B$17:$B$23,0))</f>
        <v>60000</v>
      </c>
      <c r="I780" s="6" t="n">
        <f aca="false">IFERROR(INDEX(Systems!$R$2:$R$179,MATCH($B780,Systems!$B$2:$B$179,0)),0)</f>
        <v>0</v>
      </c>
      <c r="J780" s="27" t="n">
        <f aca="false">H780*I780</f>
        <v>0</v>
      </c>
      <c r="K780" s="6" t="str">
        <f aca="false">IFERROR(IF(INDEX(Resources!$D$2:$D$64,MATCH($D780,Resources!$A$2:$A$64,0))="","",INDEX(Resources!$D$2:$D$64,MATCH($D780,Resources!$A$2:$A$64,0))),"")</f>
        <v>Heated shelter</v>
      </c>
      <c r="L780" s="28" t="n">
        <f aca="false">IF(K780="","",J780*INDEX(Resources!$E$2:$E$64,MATCH($D780,Resources!$A$2:$A$64,0)))</f>
        <v>0</v>
      </c>
      <c r="M780" s="6" t="str">
        <f aca="false">B780&amp;"|"&amp;D780&amp;"|"&amp;C780</f>
        <v>Solar Air Heater (window box)|Heat|Output</v>
      </c>
    </row>
    <row r="781" customFormat="false" ht="15" hidden="false" customHeight="true" outlineLevel="0" collapsed="false">
      <c r="A781" s="6" t="s">
        <v>1763</v>
      </c>
      <c r="B781" s="6" t="s">
        <v>858</v>
      </c>
      <c r="C781" s="6" t="s">
        <v>938</v>
      </c>
      <c r="D781" s="6" t="s">
        <v>71</v>
      </c>
      <c r="E781" s="26" t="n">
        <v>0.05</v>
      </c>
      <c r="F781" s="6" t="str">
        <f aca="false">IFERROR(INDEX(Resources!$B$2:$B$64,MATCH($D781,Resources!$A$2:$A$64,0)),"?")</f>
        <v>hours</v>
      </c>
      <c r="G781" s="6" t="s">
        <v>939</v>
      </c>
      <c r="H781" s="27" t="n">
        <f aca="false">E781*INDEX(Assumptions!$D$17:$D$23,MATCH(G781,Assumptions!$B$17:$B$23,0))</f>
        <v>0.05</v>
      </c>
      <c r="I781" s="6" t="n">
        <f aca="false">IFERROR(INDEX(Systems!$R$2:$R$179,MATCH($B781,Systems!$B$2:$B$179,0)),0)</f>
        <v>0</v>
      </c>
      <c r="J781" s="27" t="n">
        <f aca="false">H781*I781</f>
        <v>0</v>
      </c>
      <c r="K781" s="6" t="str">
        <f aca="false">IFERROR(IF(INDEX(Resources!$D$2:$D$64,MATCH($D781,Resources!$A$2:$A$64,0))="","",INDEX(Resources!$D$2:$D$64,MATCH($D781,Resources!$A$2:$A$64,0))),"")</f>
        <v>Est. Required Labor</v>
      </c>
      <c r="L781" s="28" t="n">
        <f aca="false">IF(K781="","",J781*INDEX(Resources!$E$2:$E$64,MATCH($D781,Resources!$A$2:$A$64,0)))</f>
        <v>0</v>
      </c>
      <c r="M781" s="6" t="str">
        <f aca="false">B781&amp;"|"&amp;D781&amp;"|"&amp;C781</f>
        <v>Propane Tankless Water Heater|Labor|Input</v>
      </c>
      <c r="N781" s="6" t="s">
        <v>940</v>
      </c>
    </row>
    <row r="782" customFormat="false" ht="15" hidden="false" customHeight="true" outlineLevel="0" collapsed="false">
      <c r="A782" s="6" t="s">
        <v>1764</v>
      </c>
      <c r="B782" s="6" t="s">
        <v>858</v>
      </c>
      <c r="C782" s="6" t="s">
        <v>938</v>
      </c>
      <c r="D782" s="6" t="s">
        <v>1453</v>
      </c>
      <c r="E782" s="26" t="n">
        <v>0.6</v>
      </c>
      <c r="F782" s="6" t="str">
        <f aca="false">IFERROR(INDEX(Resources!$B$2:$B$64,MATCH($D782,Resources!$A$2:$A$64,0)),"?")</f>
        <v>gal</v>
      </c>
      <c r="G782" s="6" t="s">
        <v>939</v>
      </c>
      <c r="H782" s="27" t="n">
        <f aca="false">E782*INDEX(Assumptions!$D$17:$D$23,MATCH(G782,Assumptions!$B$17:$B$23,0))</f>
        <v>0.6</v>
      </c>
      <c r="I782" s="6" t="n">
        <f aca="false">IFERROR(INDEX(Systems!$R$2:$R$179,MATCH($B782,Systems!$B$2:$B$179,0)),0)</f>
        <v>0</v>
      </c>
      <c r="J782" s="27" t="n">
        <f aca="false">H782*I782</f>
        <v>0</v>
      </c>
      <c r="K782" s="6" t="str">
        <f aca="false">IFERROR(IF(INDEX(Resources!$D$2:$D$64,MATCH($D782,Resources!$A$2:$A$64,0))="","",INDEX(Resources!$D$2:$D$64,MATCH($D782,Resources!$A$2:$A$64,0))),"")</f>
        <v/>
      </c>
      <c r="L782" s="28" t="str">
        <f aca="false">IF(K782="","",J782*INDEX(Resources!$E$2:$E$64,MATCH($D782,Resources!$A$2:$A$64,0)))</f>
        <v/>
      </c>
      <c r="M782" s="6" t="str">
        <f aca="false">B782&amp;"|"&amp;D782&amp;"|"&amp;C782</f>
        <v>Propane Tankless Water Heater|Propane|Input</v>
      </c>
    </row>
    <row r="783" customFormat="false" ht="15" hidden="false" customHeight="true" outlineLevel="0" collapsed="false">
      <c r="A783" s="6" t="s">
        <v>1765</v>
      </c>
      <c r="B783" s="6" t="s">
        <v>858</v>
      </c>
      <c r="C783" s="6" t="s">
        <v>943</v>
      </c>
      <c r="D783" s="6" t="s">
        <v>982</v>
      </c>
      <c r="E783" s="26" t="n">
        <v>80</v>
      </c>
      <c r="F783" s="6" t="str">
        <f aca="false">IFERROR(INDEX(Resources!$B$2:$B$64,MATCH($D783,Resources!$A$2:$A$64,0)),"?")</f>
        <v>gal</v>
      </c>
      <c r="G783" s="6" t="s">
        <v>939</v>
      </c>
      <c r="H783" s="27" t="n">
        <f aca="false">E783*INDEX(Assumptions!$D$17:$D$23,MATCH(G783,Assumptions!$B$17:$B$23,0))</f>
        <v>80</v>
      </c>
      <c r="I783" s="6" t="n">
        <f aca="false">IFERROR(INDEX(Systems!$R$2:$R$179,MATCH($B783,Systems!$B$2:$B$179,0)),0)</f>
        <v>0</v>
      </c>
      <c r="J783" s="27" t="n">
        <f aca="false">H783*I783</f>
        <v>0</v>
      </c>
      <c r="K783" s="6" t="str">
        <f aca="false">IFERROR(IF(INDEX(Resources!$D$2:$D$64,MATCH($D783,Resources!$A$2:$A$64,0))="","",INDEX(Resources!$D$2:$D$64,MATCH($D783,Resources!$A$2:$A$64,0))),"")</f>
        <v/>
      </c>
      <c r="L783" s="28" t="str">
        <f aca="false">IF(K783="","",J783*INDEX(Resources!$E$2:$E$64,MATCH($D783,Resources!$A$2:$A$64,0)))</f>
        <v/>
      </c>
      <c r="M783" s="6" t="str">
        <f aca="false">B783&amp;"|"&amp;D783&amp;"|"&amp;C783</f>
        <v>Propane Tankless Water Heater|Hot water|Output</v>
      </c>
    </row>
    <row r="784" customFormat="false" ht="15" hidden="false" customHeight="true" outlineLevel="0" collapsed="false">
      <c r="A784" s="6" t="s">
        <v>1766</v>
      </c>
      <c r="B784" s="6" t="s">
        <v>861</v>
      </c>
      <c r="C784" s="6" t="s">
        <v>938</v>
      </c>
      <c r="D784" s="6" t="s">
        <v>71</v>
      </c>
      <c r="E784" s="26" t="n">
        <v>0.5</v>
      </c>
      <c r="F784" s="6" t="str">
        <f aca="false">IFERROR(INDEX(Resources!$B$2:$B$64,MATCH($D784,Resources!$A$2:$A$64,0)),"?")</f>
        <v>hours</v>
      </c>
      <c r="G784" s="6" t="s">
        <v>939</v>
      </c>
      <c r="H784" s="27" t="n">
        <f aca="false">E784*INDEX(Assumptions!$D$17:$D$23,MATCH(G784,Assumptions!$B$17:$B$23,0))</f>
        <v>0.5</v>
      </c>
      <c r="I784" s="6" t="n">
        <f aca="false">IFERROR(INDEX(Systems!$R$2:$R$179,MATCH($B784,Systems!$B$2:$B$179,0)),0)</f>
        <v>0</v>
      </c>
      <c r="J784" s="27" t="n">
        <f aca="false">H784*I784</f>
        <v>0</v>
      </c>
      <c r="K784" s="6" t="str">
        <f aca="false">IFERROR(IF(INDEX(Resources!$D$2:$D$64,MATCH($D784,Resources!$A$2:$A$64,0))="","",INDEX(Resources!$D$2:$D$64,MATCH($D784,Resources!$A$2:$A$64,0))),"")</f>
        <v>Est. Required Labor</v>
      </c>
      <c r="L784" s="28" t="n">
        <f aca="false">IF(K784="","",J784*INDEX(Resources!$E$2:$E$64,MATCH($D784,Resources!$A$2:$A$64,0)))</f>
        <v>0</v>
      </c>
      <c r="M784" s="6" t="str">
        <f aca="false">B784&amp;"|"&amp;D784&amp;"|"&amp;C784</f>
        <v>Coppice Woodlot (1/4 acre)|Labor|Input</v>
      </c>
      <c r="N784" s="6" t="s">
        <v>940</v>
      </c>
    </row>
    <row r="785" customFormat="false" ht="15" hidden="false" customHeight="true" outlineLevel="0" collapsed="false">
      <c r="A785" s="6" t="s">
        <v>1767</v>
      </c>
      <c r="B785" s="6" t="s">
        <v>861</v>
      </c>
      <c r="C785" s="6" t="s">
        <v>938</v>
      </c>
      <c r="D785" s="6" t="s">
        <v>1114</v>
      </c>
      <c r="E785" s="26" t="n">
        <v>100</v>
      </c>
      <c r="F785" s="6" t="str">
        <f aca="false">IFERROR(INDEX(Resources!$B$2:$B$64,MATCH($D785,Resources!$A$2:$A$64,0)),"?")</f>
        <v>plants</v>
      </c>
      <c r="G785" s="6" t="s">
        <v>1115</v>
      </c>
      <c r="H785" s="27" t="n">
        <f aca="false">E785*INDEX(Assumptions!$D$17:$D$23,MATCH(G785,Assumptions!$B$17:$B$23,0))</f>
        <v>0</v>
      </c>
      <c r="I785" s="6" t="n">
        <f aca="false">IFERROR(INDEX(Systems!$R$2:$R$179,MATCH($B785,Systems!$B$2:$B$179,0)),0)</f>
        <v>0</v>
      </c>
      <c r="J785" s="27" t="n">
        <f aca="false">H785*I785</f>
        <v>0</v>
      </c>
      <c r="K785" s="6" t="str">
        <f aca="false">IFERROR(IF(INDEX(Resources!$D$2:$D$64,MATCH($D785,Resources!$A$2:$A$64,0))="","",INDEX(Resources!$D$2:$D$64,MATCH($D785,Resources!$A$2:$A$64,0))),"")</f>
        <v/>
      </c>
      <c r="L785" s="28" t="str">
        <f aca="false">IF(K785="","",J785*INDEX(Resources!$E$2:$E$64,MATCH($D785,Resources!$A$2:$A$64,0)))</f>
        <v/>
      </c>
      <c r="M785" s="6" t="str">
        <f aca="false">B785&amp;"|"&amp;D785&amp;"|"&amp;C785</f>
        <v>Coppice Woodlot (1/4 acre)|Seedlings|Input</v>
      </c>
    </row>
    <row r="786" customFormat="false" ht="15" hidden="false" customHeight="true" outlineLevel="0" collapsed="false">
      <c r="A786" s="6" t="s">
        <v>1768</v>
      </c>
      <c r="B786" s="6" t="s">
        <v>861</v>
      </c>
      <c r="C786" s="6" t="s">
        <v>943</v>
      </c>
      <c r="D786" s="6" t="s">
        <v>177</v>
      </c>
      <c r="E786" s="26" t="n">
        <v>1500</v>
      </c>
      <c r="F786" s="6" t="str">
        <f aca="false">IFERROR(INDEX(Resources!$B$2:$B$64,MATCH($D786,Resources!$A$2:$A$64,0)),"?")</f>
        <v>lbs</v>
      </c>
      <c r="G786" s="6" t="s">
        <v>1032</v>
      </c>
      <c r="H786" s="27" t="n">
        <f aca="false">E786*INDEX(Assumptions!$D$17:$D$23,MATCH(G786,Assumptions!$B$17:$B$23,0))</f>
        <v>28.8461538461538</v>
      </c>
      <c r="I786" s="6" t="n">
        <f aca="false">IFERROR(INDEX(Systems!$R$2:$R$179,MATCH($B786,Systems!$B$2:$B$179,0)),0)</f>
        <v>0</v>
      </c>
      <c r="J786" s="27" t="n">
        <f aca="false">H786*I786</f>
        <v>0</v>
      </c>
      <c r="K786" s="6" t="str">
        <f aca="false">IFERROR(IF(INDEX(Resources!$D$2:$D$64,MATCH($D786,Resources!$A$2:$A$64,0))="","",INDEX(Resources!$D$2:$D$64,MATCH($D786,Resources!$A$2:$A$64,0))),"")</f>
        <v/>
      </c>
      <c r="L786" s="28" t="str">
        <f aca="false">IF(K786="","",J786*INDEX(Resources!$E$2:$E$64,MATCH($D786,Resources!$A$2:$A$64,0)))</f>
        <v/>
      </c>
      <c r="M786" s="6" t="str">
        <f aca="false">B786&amp;"|"&amp;D786&amp;"|"&amp;C786</f>
        <v>Coppice Woodlot (1/4 acre)|Woody biomass|Output</v>
      </c>
    </row>
    <row r="787" customFormat="false" ht="15" hidden="false" customHeight="true" outlineLevel="0" collapsed="false">
      <c r="A787" s="6" t="s">
        <v>1769</v>
      </c>
      <c r="B787" s="6" t="s">
        <v>861</v>
      </c>
      <c r="C787" s="6" t="s">
        <v>943</v>
      </c>
      <c r="D787" s="6" t="s">
        <v>1127</v>
      </c>
      <c r="E787" s="26" t="n">
        <v>100</v>
      </c>
      <c r="F787" s="6" t="str">
        <f aca="false">IFERROR(INDEX(Resources!$B$2:$B$64,MATCH($D787,Resources!$A$2:$A$64,0)),"?")</f>
        <v>lbs</v>
      </c>
      <c r="G787" s="6" t="s">
        <v>1032</v>
      </c>
      <c r="H787" s="27" t="n">
        <f aca="false">E787*INDEX(Assumptions!$D$17:$D$23,MATCH(G787,Assumptions!$B$17:$B$23,0))</f>
        <v>1.92307692307692</v>
      </c>
      <c r="I787" s="6" t="n">
        <f aca="false">IFERROR(INDEX(Systems!$R$2:$R$179,MATCH($B787,Systems!$B$2:$B$179,0)),0)</f>
        <v>0</v>
      </c>
      <c r="J787" s="27" t="n">
        <f aca="false">H787*I787</f>
        <v>0</v>
      </c>
      <c r="K787" s="6" t="str">
        <f aca="false">IFERROR(IF(INDEX(Resources!$D$2:$D$64,MATCH($D787,Resources!$A$2:$A$64,0))="","",INDEX(Resources!$D$2:$D$64,MATCH($D787,Resources!$A$2:$A$64,0))),"")</f>
        <v/>
      </c>
      <c r="L787" s="28" t="str">
        <f aca="false">IF(K787="","",J787*INDEX(Resources!$E$2:$E$64,MATCH($D787,Resources!$A$2:$A$64,0)))</f>
        <v/>
      </c>
      <c r="M787" s="6" t="str">
        <f aca="false">B787&amp;"|"&amp;D787&amp;"|"&amp;C787</f>
        <v>Coppice Woodlot (1/4 acre)|Carbon|Output</v>
      </c>
    </row>
    <row r="788" customFormat="false" ht="15" hidden="false" customHeight="true" outlineLevel="0" collapsed="false">
      <c r="A788" s="6" t="s">
        <v>1770</v>
      </c>
      <c r="B788" s="6" t="s">
        <v>861</v>
      </c>
      <c r="C788" s="6" t="s">
        <v>943</v>
      </c>
      <c r="D788" s="6" t="s">
        <v>462</v>
      </c>
      <c r="E788" s="26" t="n">
        <v>2</v>
      </c>
      <c r="F788" s="6" t="str">
        <f aca="false">IFERROR(INDEX(Resources!$B$2:$B$64,MATCH($D788,Resources!$A$2:$A$64,0)),"?")</f>
        <v>points</v>
      </c>
      <c r="G788" s="6" t="s">
        <v>939</v>
      </c>
      <c r="H788" s="27" t="n">
        <f aca="false">E788*INDEX(Assumptions!$D$17:$D$23,MATCH(G788,Assumptions!$B$17:$B$23,0))</f>
        <v>2</v>
      </c>
      <c r="I788" s="6" t="n">
        <f aca="false">IFERROR(INDEX(Systems!$R$2:$R$179,MATCH($B788,Systems!$B$2:$B$179,0)),0)</f>
        <v>0</v>
      </c>
      <c r="J788" s="27" t="n">
        <f aca="false">H788*I788</f>
        <v>0</v>
      </c>
      <c r="K788" s="6" t="str">
        <f aca="false">IFERROR(IF(INDEX(Resources!$D$2:$D$64,MATCH($D788,Resources!$A$2:$A$64,0))="","",INDEX(Resources!$D$2:$D$64,MATCH($D788,Resources!$A$2:$A$64,0))),"")</f>
        <v/>
      </c>
      <c r="L788" s="28" t="str">
        <f aca="false">IF(K788="","",J788*INDEX(Resources!$E$2:$E$64,MATCH($D788,Resources!$A$2:$A$64,0)))</f>
        <v/>
      </c>
      <c r="M788" s="6" t="str">
        <f aca="false">B788&amp;"|"&amp;D788&amp;"|"&amp;C788</f>
        <v>Coppice Woodlot (1/4 acre)|Wellbeing|Output</v>
      </c>
    </row>
    <row r="789" customFormat="false" ht="15" hidden="false" customHeight="true" outlineLevel="0" collapsed="false">
      <c r="A789" s="6" t="s">
        <v>1771</v>
      </c>
      <c r="B789" s="6" t="s">
        <v>864</v>
      </c>
      <c r="C789" s="6" t="s">
        <v>943</v>
      </c>
      <c r="D789" s="6" t="s">
        <v>864</v>
      </c>
      <c r="E789" s="29" t="n">
        <f aca="false">Assumptions!$C$8/52</f>
        <v>0.288461538461538</v>
      </c>
      <c r="F789" s="6" t="str">
        <f aca="false">IFERROR(INDEX(Resources!$B$2:$B$64,MATCH($D789,Resources!$A$2:$A$64,0)),"?")</f>
        <v>inches</v>
      </c>
      <c r="G789" s="6" t="s">
        <v>939</v>
      </c>
      <c r="H789" s="27" t="n">
        <f aca="false">E789*INDEX(Assumptions!$D$17:$D$23,MATCH(G789,Assumptions!$B$17:$B$23,0))</f>
        <v>0.288461538461538</v>
      </c>
      <c r="I789" s="6" t="n">
        <f aca="false">IFERROR(INDEX(Systems!$R$2:$R$179,MATCH($B789,Systems!$B$2:$B$179,0)),0)</f>
        <v>1</v>
      </c>
      <c r="J789" s="27" t="n">
        <f aca="false">H789*I789</f>
        <v>0.288461538461538</v>
      </c>
      <c r="K789" s="6" t="str">
        <f aca="false">IFERROR(IF(INDEX(Resources!$D$2:$D$64,MATCH($D789,Resources!$A$2:$A$64,0))="","",INDEX(Resources!$D$2:$D$64,MATCH($D789,Resources!$A$2:$A$64,0))),"")</f>
        <v/>
      </c>
      <c r="L789" s="28" t="str">
        <f aca="false">IF(K789="","",J789*INDEX(Resources!$E$2:$E$64,MATCH($D789,Resources!$A$2:$A$64,0)))</f>
        <v/>
      </c>
      <c r="M789" s="6" t="str">
        <f aca="false">B789&amp;"|"&amp;D789&amp;"|"&amp;C789</f>
        <v>Rainfall|Rainfall|Output</v>
      </c>
      <c r="N789" s="6" t="s">
        <v>1076</v>
      </c>
    </row>
    <row r="790" customFormat="false" ht="15" hidden="false" customHeight="true" outlineLevel="0" collapsed="false">
      <c r="A790" s="6" t="s">
        <v>1772</v>
      </c>
      <c r="B790" s="6" t="s">
        <v>868</v>
      </c>
      <c r="C790" s="6" t="s">
        <v>943</v>
      </c>
      <c r="D790" s="6" t="s">
        <v>1440</v>
      </c>
      <c r="E790" s="26" t="n">
        <v>168</v>
      </c>
      <c r="F790" s="6" t="str">
        <f aca="false">IFERROR(INDEX(Resources!$B$2:$B$64,MATCH($D790,Resources!$A$2:$A$64,0)),"?")</f>
        <v>hours</v>
      </c>
      <c r="G790" s="6" t="s">
        <v>939</v>
      </c>
      <c r="H790" s="27" t="n">
        <f aca="false">E790*INDEX(Assumptions!$D$17:$D$23,MATCH(G790,Assumptions!$B$17:$B$23,0))</f>
        <v>168</v>
      </c>
      <c r="I790" s="6" t="n">
        <f aca="false">IFERROR(INDEX(Systems!$R$2:$R$179,MATCH($B790,Systems!$B$2:$B$179,0)),0)</f>
        <v>0</v>
      </c>
      <c r="J790" s="27" t="n">
        <f aca="false">H790*I790</f>
        <v>0</v>
      </c>
      <c r="K790" s="6" t="str">
        <f aca="false">IFERROR(IF(INDEX(Resources!$D$2:$D$64,MATCH($D790,Resources!$A$2:$A$64,0))="","",INDEX(Resources!$D$2:$D$64,MATCH($D790,Resources!$A$2:$A$64,0))),"")</f>
        <v/>
      </c>
      <c r="L790" s="28" t="str">
        <f aca="false">IF(K790="","",J790*INDEX(Resources!$E$2:$E$64,MATCH($D790,Resources!$A$2:$A$64,0)))</f>
        <v/>
      </c>
      <c r="M790" s="6" t="str">
        <f aca="false">B790&amp;"|"&amp;D790&amp;"|"&amp;C790</f>
        <v>Prevailing Wind|Wind|Output</v>
      </c>
    </row>
    <row r="791" customFormat="false" ht="15" hidden="false" customHeight="true" outlineLevel="0" collapsed="false">
      <c r="A791" s="6" t="s">
        <v>1773</v>
      </c>
      <c r="B791" s="6" t="s">
        <v>871</v>
      </c>
      <c r="C791" s="6" t="s">
        <v>943</v>
      </c>
      <c r="D791" s="6" t="s">
        <v>1445</v>
      </c>
      <c r="E791" s="26" t="n">
        <v>168</v>
      </c>
      <c r="F791" s="6" t="str">
        <f aca="false">IFERROR(INDEX(Resources!$B$2:$B$64,MATCH($D791,Resources!$A$2:$A$64,0)),"?")</f>
        <v>hours</v>
      </c>
      <c r="G791" s="6" t="s">
        <v>939</v>
      </c>
      <c r="H791" s="27" t="n">
        <f aca="false">E791*INDEX(Assumptions!$D$17:$D$23,MATCH(G791,Assumptions!$B$17:$B$23,0))</f>
        <v>168</v>
      </c>
      <c r="I791" s="6" t="n">
        <f aca="false">IFERROR(INDEX(Systems!$R$2:$R$179,MATCH($B791,Systems!$B$2:$B$179,0)),0)</f>
        <v>0</v>
      </c>
      <c r="J791" s="27" t="n">
        <f aca="false">H791*I791</f>
        <v>0</v>
      </c>
      <c r="K791" s="6" t="str">
        <f aca="false">IFERROR(IF(INDEX(Resources!$D$2:$D$64,MATCH($D791,Resources!$A$2:$A$64,0))="","",INDEX(Resources!$D$2:$D$64,MATCH($D791,Resources!$A$2:$A$64,0))),"")</f>
        <v/>
      </c>
      <c r="L791" s="28" t="str">
        <f aca="false">IF(K791="","",J791*INDEX(Resources!$E$2:$E$64,MATCH($D791,Resources!$A$2:$A$64,0)))</f>
        <v/>
      </c>
      <c r="M791" s="6" t="str">
        <f aca="false">B791&amp;"|"&amp;D791&amp;"|"&amp;C791</f>
        <v>Stream Frontage|Stream flow|Output</v>
      </c>
    </row>
    <row r="792" customFormat="false" ht="15" hidden="false" customHeight="true" outlineLevel="0" collapsed="false">
      <c r="A792" s="6" t="s">
        <v>1774</v>
      </c>
      <c r="B792" s="6" t="s">
        <v>871</v>
      </c>
      <c r="C792" s="6" t="s">
        <v>943</v>
      </c>
      <c r="D792" s="6" t="s">
        <v>462</v>
      </c>
      <c r="E792" s="26" t="n">
        <v>5</v>
      </c>
      <c r="F792" s="6" t="str">
        <f aca="false">IFERROR(INDEX(Resources!$B$2:$B$64,MATCH($D792,Resources!$A$2:$A$64,0)),"?")</f>
        <v>points</v>
      </c>
      <c r="G792" s="6" t="s">
        <v>939</v>
      </c>
      <c r="H792" s="27" t="n">
        <f aca="false">E792*INDEX(Assumptions!$D$17:$D$23,MATCH(G792,Assumptions!$B$17:$B$23,0))</f>
        <v>5</v>
      </c>
      <c r="I792" s="6" t="n">
        <f aca="false">IFERROR(INDEX(Systems!$R$2:$R$179,MATCH($B792,Systems!$B$2:$B$179,0)),0)</f>
        <v>0</v>
      </c>
      <c r="J792" s="27" t="n">
        <f aca="false">H792*I792</f>
        <v>0</v>
      </c>
      <c r="K792" s="6" t="str">
        <f aca="false">IFERROR(IF(INDEX(Resources!$D$2:$D$64,MATCH($D792,Resources!$A$2:$A$64,0))="","",INDEX(Resources!$D$2:$D$64,MATCH($D792,Resources!$A$2:$A$64,0))),"")</f>
        <v/>
      </c>
      <c r="L792" s="28" t="str">
        <f aca="false">IF(K792="","",J792*INDEX(Resources!$E$2:$E$64,MATCH($D792,Resources!$A$2:$A$64,0)))</f>
        <v/>
      </c>
      <c r="M792" s="6" t="str">
        <f aca="false">B792&amp;"|"&amp;D792&amp;"|"&amp;C792</f>
        <v>Stream Frontage|Wellbeing|Output</v>
      </c>
    </row>
    <row r="793" customFormat="false" ht="15" hidden="false" customHeight="true" outlineLevel="0" collapsed="false">
      <c r="A793" s="6" t="s">
        <v>1775</v>
      </c>
      <c r="B793" s="6" t="s">
        <v>874</v>
      </c>
      <c r="C793" s="6" t="s">
        <v>938</v>
      </c>
      <c r="D793" s="6" t="s">
        <v>71</v>
      </c>
      <c r="E793" s="26" t="n">
        <v>0.5</v>
      </c>
      <c r="F793" s="6" t="str">
        <f aca="false">IFERROR(INDEX(Resources!$B$2:$B$64,MATCH($D793,Resources!$A$2:$A$64,0)),"?")</f>
        <v>hours</v>
      </c>
      <c r="G793" s="6" t="s">
        <v>939</v>
      </c>
      <c r="H793" s="27" t="n">
        <f aca="false">E793*INDEX(Assumptions!$D$17:$D$23,MATCH(G793,Assumptions!$B$17:$B$23,0))</f>
        <v>0.5</v>
      </c>
      <c r="I793" s="6" t="n">
        <f aca="false">IFERROR(INDEX(Systems!$R$2:$R$179,MATCH($B793,Systems!$B$2:$B$179,0)),0)</f>
        <v>0</v>
      </c>
      <c r="J793" s="27" t="n">
        <f aca="false">H793*I793</f>
        <v>0</v>
      </c>
      <c r="K793" s="6" t="str">
        <f aca="false">IFERROR(IF(INDEX(Resources!$D$2:$D$64,MATCH($D793,Resources!$A$2:$A$64,0))="","",INDEX(Resources!$D$2:$D$64,MATCH($D793,Resources!$A$2:$A$64,0))),"")</f>
        <v>Est. Required Labor</v>
      </c>
      <c r="L793" s="28" t="n">
        <f aca="false">IF(K793="","",J793*INDEX(Resources!$E$2:$E$64,MATCH($D793,Resources!$A$2:$A$64,0)))</f>
        <v>0</v>
      </c>
      <c r="M793" s="6" t="str">
        <f aca="false">B793&amp;"|"&amp;D793&amp;"|"&amp;C793</f>
        <v>Pasture (1 acre)|Labor|Input</v>
      </c>
      <c r="N793" s="6" t="s">
        <v>940</v>
      </c>
    </row>
    <row r="794" customFormat="false" ht="15" hidden="false" customHeight="true" outlineLevel="0" collapsed="false">
      <c r="A794" s="6" t="s">
        <v>1776</v>
      </c>
      <c r="B794" s="6" t="s">
        <v>874</v>
      </c>
      <c r="C794" s="6" t="s">
        <v>938</v>
      </c>
      <c r="D794" s="6" t="s">
        <v>1183</v>
      </c>
      <c r="E794" s="26" t="n">
        <v>320</v>
      </c>
      <c r="F794" s="6" t="str">
        <f aca="false">IFERROR(INDEX(Resources!$B$2:$B$64,MATCH($D794,Resources!$A$2:$A$64,0)),"?")</f>
        <v>oz</v>
      </c>
      <c r="G794" s="6" t="s">
        <v>1115</v>
      </c>
      <c r="H794" s="27" t="n">
        <f aca="false">E794*INDEX(Assumptions!$D$17:$D$23,MATCH(G794,Assumptions!$B$17:$B$23,0))</f>
        <v>0</v>
      </c>
      <c r="I794" s="6" t="n">
        <f aca="false">IFERROR(INDEX(Systems!$R$2:$R$179,MATCH($B794,Systems!$B$2:$B$179,0)),0)</f>
        <v>0</v>
      </c>
      <c r="J794" s="27" t="n">
        <f aca="false">H794*I794</f>
        <v>0</v>
      </c>
      <c r="K794" s="6" t="str">
        <f aca="false">IFERROR(IF(INDEX(Resources!$D$2:$D$64,MATCH($D794,Resources!$A$2:$A$64,0))="","",INDEX(Resources!$D$2:$D$64,MATCH($D794,Resources!$A$2:$A$64,0))),"")</f>
        <v/>
      </c>
      <c r="L794" s="28" t="str">
        <f aca="false">IF(K794="","",J794*INDEX(Resources!$E$2:$E$64,MATCH($D794,Resources!$A$2:$A$64,0)))</f>
        <v/>
      </c>
      <c r="M794" s="6" t="str">
        <f aca="false">B794&amp;"|"&amp;D794&amp;"|"&amp;C794</f>
        <v>Pasture (1 acre)|Seeds|Input</v>
      </c>
    </row>
    <row r="795" customFormat="false" ht="15" hidden="false" customHeight="true" outlineLevel="0" collapsed="false">
      <c r="A795" s="6" t="s">
        <v>1777</v>
      </c>
      <c r="B795" s="6" t="s">
        <v>874</v>
      </c>
      <c r="C795" s="6" t="s">
        <v>938</v>
      </c>
      <c r="D795" s="6" t="s">
        <v>864</v>
      </c>
      <c r="E795" s="29" t="n">
        <f aca="false">Assumptions!$C$8/52</f>
        <v>0.288461538461538</v>
      </c>
      <c r="F795" s="6" t="str">
        <f aca="false">IFERROR(INDEX(Resources!$B$2:$B$64,MATCH($D795,Resources!$A$2:$A$64,0)),"?")</f>
        <v>inches</v>
      </c>
      <c r="G795" s="6" t="s">
        <v>939</v>
      </c>
      <c r="H795" s="27" t="n">
        <f aca="false">E795*INDEX(Assumptions!$D$17:$D$23,MATCH(G795,Assumptions!$B$17:$B$23,0))</f>
        <v>0.288461538461538</v>
      </c>
      <c r="I795" s="6" t="n">
        <f aca="false">IFERROR(INDEX(Systems!$R$2:$R$179,MATCH($B795,Systems!$B$2:$B$179,0)),0)</f>
        <v>0</v>
      </c>
      <c r="J795" s="27" t="n">
        <f aca="false">H795*I795</f>
        <v>0</v>
      </c>
      <c r="K795" s="6" t="str">
        <f aca="false">IFERROR(IF(INDEX(Resources!$D$2:$D$64,MATCH($D795,Resources!$A$2:$A$64,0))="","",INDEX(Resources!$D$2:$D$64,MATCH($D795,Resources!$A$2:$A$64,0))),"")</f>
        <v/>
      </c>
      <c r="L795" s="28" t="str">
        <f aca="false">IF(K795="","",J795*INDEX(Resources!$E$2:$E$64,MATCH($D795,Resources!$A$2:$A$64,0)))</f>
        <v/>
      </c>
      <c r="M795" s="6" t="str">
        <f aca="false">B795&amp;"|"&amp;D795&amp;"|"&amp;C795</f>
        <v>Pasture (1 acre)|Rainfall|Input</v>
      </c>
      <c r="N795" s="6" t="s">
        <v>1076</v>
      </c>
    </row>
    <row r="796" customFormat="false" ht="15" hidden="false" customHeight="true" outlineLevel="0" collapsed="false">
      <c r="A796" s="6" t="s">
        <v>1778</v>
      </c>
      <c r="B796" s="6" t="s">
        <v>874</v>
      </c>
      <c r="C796" s="6" t="s">
        <v>943</v>
      </c>
      <c r="D796" s="6" t="s">
        <v>1523</v>
      </c>
      <c r="E796" s="26" t="n">
        <v>30</v>
      </c>
      <c r="F796" s="6" t="str">
        <f aca="false">IFERROR(INDEX(Resources!$B$2:$B$64,MATCH($D796,Resources!$A$2:$A$64,0)),"?")</f>
        <v>lbs</v>
      </c>
      <c r="G796" s="6" t="s">
        <v>939</v>
      </c>
      <c r="H796" s="27" t="n">
        <f aca="false">E796*INDEX(Assumptions!$D$17:$D$23,MATCH(G796,Assumptions!$B$17:$B$23,0))</f>
        <v>30</v>
      </c>
      <c r="I796" s="6" t="n">
        <f aca="false">IFERROR(INDEX(Systems!$R$2:$R$179,MATCH($B796,Systems!$B$2:$B$179,0)),0)</f>
        <v>0</v>
      </c>
      <c r="J796" s="27" t="n">
        <f aca="false">H796*I796</f>
        <v>0</v>
      </c>
      <c r="K796" s="6" t="str">
        <f aca="false">IFERROR(IF(INDEX(Resources!$D$2:$D$64,MATCH($D796,Resources!$A$2:$A$64,0))="","",INDEX(Resources!$D$2:$D$64,MATCH($D796,Resources!$A$2:$A$64,0))),"")</f>
        <v/>
      </c>
      <c r="L796" s="28" t="str">
        <f aca="false">IF(K796="","",J796*INDEX(Resources!$E$2:$E$64,MATCH($D796,Resources!$A$2:$A$64,0)))</f>
        <v/>
      </c>
      <c r="M796" s="6" t="str">
        <f aca="false">B796&amp;"|"&amp;D796&amp;"|"&amp;C796</f>
        <v>Pasture (1 acre)|Hay|Output</v>
      </c>
    </row>
    <row r="797" customFormat="false" ht="15" hidden="false" customHeight="true" outlineLevel="0" collapsed="false">
      <c r="A797" s="6" t="s">
        <v>1779</v>
      </c>
      <c r="B797" s="6" t="s">
        <v>874</v>
      </c>
      <c r="C797" s="6" t="s">
        <v>943</v>
      </c>
      <c r="D797" s="6" t="s">
        <v>216</v>
      </c>
      <c r="E797" s="26" t="n">
        <v>20</v>
      </c>
      <c r="F797" s="6" t="str">
        <f aca="false">IFERROR(INDEX(Resources!$B$2:$B$64,MATCH($D797,Resources!$A$2:$A$64,0)),"?")</f>
        <v>lbs</v>
      </c>
      <c r="G797" s="6" t="s">
        <v>939</v>
      </c>
      <c r="H797" s="27" t="n">
        <f aca="false">E797*INDEX(Assumptions!$D$17:$D$23,MATCH(G797,Assumptions!$B$17:$B$23,0))</f>
        <v>20</v>
      </c>
      <c r="I797" s="6" t="n">
        <f aca="false">IFERROR(INDEX(Systems!$R$2:$R$179,MATCH($B797,Systems!$B$2:$B$179,0)),0)</f>
        <v>0</v>
      </c>
      <c r="J797" s="27" t="n">
        <f aca="false">H797*I797</f>
        <v>0</v>
      </c>
      <c r="K797" s="6" t="str">
        <f aca="false">IFERROR(IF(INDEX(Resources!$D$2:$D$64,MATCH($D797,Resources!$A$2:$A$64,0))="","",INDEX(Resources!$D$2:$D$64,MATCH($D797,Resources!$A$2:$A$64,0))),"")</f>
        <v/>
      </c>
      <c r="L797" s="28" t="str">
        <f aca="false">IF(K797="","",J797*INDEX(Resources!$E$2:$E$64,MATCH($D797,Resources!$A$2:$A$64,0)))</f>
        <v/>
      </c>
      <c r="M797" s="6" t="str">
        <f aca="false">B797&amp;"|"&amp;D797&amp;"|"&amp;C797</f>
        <v>Pasture (1 acre)|Green biomass|Output</v>
      </c>
    </row>
    <row r="798" customFormat="false" ht="15" hidden="false" customHeight="true" outlineLevel="0" collapsed="false">
      <c r="A798" s="6" t="s">
        <v>1780</v>
      </c>
      <c r="B798" s="6" t="s">
        <v>874</v>
      </c>
      <c r="C798" s="6" t="s">
        <v>943</v>
      </c>
      <c r="D798" s="6" t="s">
        <v>436</v>
      </c>
      <c r="E798" s="26" t="n">
        <v>2000</v>
      </c>
      <c r="F798" s="6" t="str">
        <f aca="false">IFERROR(INDEX(Resources!$B$2:$B$64,MATCH($D798,Resources!$A$2:$A$64,0)),"?")</f>
        <v>sq ft</v>
      </c>
      <c r="G798" s="6" t="s">
        <v>945</v>
      </c>
      <c r="H798" s="27" t="n">
        <f aca="false">E798*INDEX(Assumptions!$D$17:$D$23,MATCH(G798,Assumptions!$B$17:$B$23,0))</f>
        <v>2000</v>
      </c>
      <c r="I798" s="6" t="n">
        <f aca="false">IFERROR(INDEX(Systems!$R$2:$R$179,MATCH($B798,Systems!$B$2:$B$179,0)),0)</f>
        <v>0</v>
      </c>
      <c r="J798" s="27" t="n">
        <f aca="false">H798*I798</f>
        <v>0</v>
      </c>
      <c r="K798" s="6" t="str">
        <f aca="false">IFERROR(IF(INDEX(Resources!$D$2:$D$64,MATCH($D798,Resources!$A$2:$A$64,0))="","",INDEX(Resources!$D$2:$D$64,MATCH($D798,Resources!$A$2:$A$64,0))),"")</f>
        <v/>
      </c>
      <c r="L798" s="28" t="str">
        <f aca="false">IF(K798="","",J798*INDEX(Resources!$E$2:$E$64,MATCH($D798,Resources!$A$2:$A$64,0)))</f>
        <v/>
      </c>
      <c r="M798" s="6" t="str">
        <f aca="false">B798&amp;"|"&amp;D798&amp;"|"&amp;C798</f>
        <v>Pasture (1 acre)|Pollinator flowers|Output</v>
      </c>
    </row>
    <row r="799" customFormat="false" ht="15" hidden="false" customHeight="true" outlineLevel="0" collapsed="false">
      <c r="A799" s="6" t="s">
        <v>1781</v>
      </c>
      <c r="B799" s="6" t="s">
        <v>877</v>
      </c>
      <c r="C799" s="6" t="s">
        <v>938</v>
      </c>
      <c r="D799" s="6" t="s">
        <v>71</v>
      </c>
      <c r="E799" s="26" t="n">
        <v>0.1</v>
      </c>
      <c r="F799" s="6" t="str">
        <f aca="false">IFERROR(INDEX(Resources!$B$2:$B$64,MATCH($D799,Resources!$A$2:$A$64,0)),"?")</f>
        <v>hours</v>
      </c>
      <c r="G799" s="6" t="s">
        <v>939</v>
      </c>
      <c r="H799" s="27" t="n">
        <f aca="false">E799*INDEX(Assumptions!$D$17:$D$23,MATCH(G799,Assumptions!$B$17:$B$23,0))</f>
        <v>0.1</v>
      </c>
      <c r="I799" s="6" t="n">
        <f aca="false">IFERROR(INDEX(Systems!$R$2:$R$179,MATCH($B799,Systems!$B$2:$B$179,0)),0)</f>
        <v>0</v>
      </c>
      <c r="J799" s="27" t="n">
        <f aca="false">H799*I799</f>
        <v>0</v>
      </c>
      <c r="K799" s="6" t="str">
        <f aca="false">IFERROR(IF(INDEX(Resources!$D$2:$D$64,MATCH($D799,Resources!$A$2:$A$64,0))="","",INDEX(Resources!$D$2:$D$64,MATCH($D799,Resources!$A$2:$A$64,0))),"")</f>
        <v>Est. Required Labor</v>
      </c>
      <c r="L799" s="28" t="n">
        <f aca="false">IF(K799="","",J799*INDEX(Resources!$E$2:$E$64,MATCH($D799,Resources!$A$2:$A$64,0)))</f>
        <v>0</v>
      </c>
      <c r="M799" s="6" t="str">
        <f aca="false">B799&amp;"|"&amp;D799&amp;"|"&amp;C799</f>
        <v>Rain Barrel (55 gal)|Labor|Input</v>
      </c>
      <c r="N799" s="1" t="s">
        <v>940</v>
      </c>
    </row>
    <row r="800" customFormat="false" ht="15" hidden="false" customHeight="true" outlineLevel="0" collapsed="false">
      <c r="A800" s="6" t="s">
        <v>1782</v>
      </c>
      <c r="B800" s="6" t="s">
        <v>877</v>
      </c>
      <c r="C800" s="6" t="s">
        <v>938</v>
      </c>
      <c r="D800" s="6" t="s">
        <v>864</v>
      </c>
      <c r="E800" s="26" t="n">
        <f aca="false">Assumptions!$C$8/52</f>
        <v>0.288461538461538</v>
      </c>
      <c r="F800" s="6" t="str">
        <f aca="false">IFERROR(INDEX(Resources!$B$2:$B$64,MATCH($D800,Resources!$A$2:$A$64,0)),"?")</f>
        <v>inches</v>
      </c>
      <c r="G800" s="6" t="s">
        <v>939</v>
      </c>
      <c r="H800" s="27" t="n">
        <f aca="false">E800*INDEX(Assumptions!$D$17:$D$23,MATCH(G800,Assumptions!$B$17:$B$23,0))</f>
        <v>0.288461538461538</v>
      </c>
      <c r="I800" s="6" t="n">
        <f aca="false">IFERROR(INDEX(Systems!$R$2:$R$179,MATCH($B800,Systems!$B$2:$B$179,0)),0)</f>
        <v>0</v>
      </c>
      <c r="J800" s="27" t="n">
        <f aca="false">H800*I800</f>
        <v>0</v>
      </c>
      <c r="K800" s="6" t="str">
        <f aca="false">IFERROR(IF(INDEX(Resources!$D$2:$D$64,MATCH($D800,Resources!$A$2:$A$64,0))="","",INDEX(Resources!$D$2:$D$64,MATCH($D800,Resources!$A$2:$A$64,0))),"")</f>
        <v/>
      </c>
      <c r="L800" s="28" t="str">
        <f aca="false">IF(K800="","",J800*INDEX(Resources!$E$2:$E$64,MATCH($D800,Resources!$A$2:$A$64,0)))</f>
        <v/>
      </c>
      <c r="M800" s="6" t="str">
        <f aca="false">B800&amp;"|"&amp;D800&amp;"|"&amp;C800</f>
        <v>Rain Barrel (55 gal)|Rainfall|Input</v>
      </c>
    </row>
    <row r="801" customFormat="false" ht="15" hidden="false" customHeight="true" outlineLevel="0" collapsed="false">
      <c r="A801" s="6" t="s">
        <v>1783</v>
      </c>
      <c r="B801" s="6" t="s">
        <v>877</v>
      </c>
      <c r="C801" s="6" t="s">
        <v>943</v>
      </c>
      <c r="D801" s="6" t="s">
        <v>49</v>
      </c>
      <c r="E801" s="26" t="n">
        <f aca="false">INDEX(Systems!$P$2:$P$179,MATCH($B801,Systems!$B$2:$B$179,0))*Assumptions!$C$8/52*Assumptions!$C$9*INDEX(Systems!$Q$2:$Q$179,MATCH($B801,Systems!$B$2:$B$179,0))</f>
        <v>14.3769230769231</v>
      </c>
      <c r="F801" s="6" t="str">
        <f aca="false">IFERROR(INDEX(Resources!$B$2:$B$64,MATCH($D801,Resources!$A$2:$A$64,0)),"?")</f>
        <v>gal</v>
      </c>
      <c r="G801" s="6" t="s">
        <v>939</v>
      </c>
      <c r="H801" s="27" t="n">
        <f aca="false">E801*INDEX(Assumptions!$D$17:$D$23,MATCH(G801,Assumptions!$B$17:$B$23,0))</f>
        <v>14.3769230769231</v>
      </c>
      <c r="I801" s="6" t="n">
        <f aca="false">IFERROR(INDEX(Systems!$R$2:$R$179,MATCH($B801,Systems!$B$2:$B$179,0)),0)</f>
        <v>0</v>
      </c>
      <c r="J801" s="27" t="n">
        <f aca="false">H801*I801</f>
        <v>0</v>
      </c>
      <c r="K801" s="6" t="str">
        <f aca="false">IFERROR(IF(INDEX(Resources!$D$2:$D$64,MATCH($D801,Resources!$A$2:$A$64,0))="","",INDEX(Resources!$D$2:$D$64,MATCH($D801,Resources!$A$2:$A$64,0))),"")</f>
        <v>Water</v>
      </c>
      <c r="L801" s="28" t="n">
        <f aca="false">IF(K801="","",J801*INDEX(Resources!$E$2:$E$64,MATCH($D801,Resources!$A$2:$A$64,0)))</f>
        <v>0</v>
      </c>
      <c r="M801" s="6" t="str">
        <f aca="false">B801&amp;"|"&amp;D801&amp;"|"&amp;C801</f>
        <v>Rain Barrel (55 gal)|Water|Output</v>
      </c>
    </row>
    <row r="802" customFormat="false" ht="15" hidden="false" customHeight="true" outlineLevel="0" collapsed="false">
      <c r="A802" s="6" t="s">
        <v>1784</v>
      </c>
      <c r="B802" s="6" t="s">
        <v>877</v>
      </c>
      <c r="C802" s="6" t="s">
        <v>943</v>
      </c>
      <c r="D802" s="6" t="s">
        <v>104</v>
      </c>
      <c r="E802" s="26" t="n">
        <v>55</v>
      </c>
      <c r="F802" s="6" t="str">
        <f aca="false">IFERROR(INDEX(Resources!$B$2:$B$64,MATCH($D802,Resources!$A$2:$A$64,0)),"?")</f>
        <v>gal</v>
      </c>
      <c r="G802" s="6" t="s">
        <v>945</v>
      </c>
      <c r="H802" s="27" t="n">
        <f aca="false">E802*INDEX(Assumptions!$D$17:$D$23,MATCH(G802,Assumptions!$B$17:$B$23,0))</f>
        <v>55</v>
      </c>
      <c r="I802" s="6" t="n">
        <f aca="false">IFERROR(INDEX(Systems!$R$2:$R$179,MATCH($B802,Systems!$B$2:$B$179,0)),0)</f>
        <v>0</v>
      </c>
      <c r="J802" s="27" t="n">
        <f aca="false">H802*I802</f>
        <v>0</v>
      </c>
      <c r="K802" s="6" t="str">
        <f aca="false">IFERROR(IF(INDEX(Resources!$D$2:$D$64,MATCH($D802,Resources!$A$2:$A$64,0))="","",INDEX(Resources!$D$2:$D$64,MATCH($D802,Resources!$A$2:$A$64,0))),"")</f>
        <v/>
      </c>
      <c r="L802" s="28" t="str">
        <f aca="false">IF(K802="","",J802*INDEX(Resources!$E$2:$E$64,MATCH($D802,Resources!$A$2:$A$64,0)))</f>
        <v/>
      </c>
      <c r="M802" s="6" t="str">
        <f aca="false">B802&amp;"|"&amp;D802&amp;"|"&amp;C802</f>
        <v>Rain Barrel (55 gal)|Water storage|Output</v>
      </c>
    </row>
    <row r="803" customFormat="false" ht="15" hidden="false" customHeight="true" outlineLevel="0" collapsed="false">
      <c r="A803" s="6" t="s">
        <v>1785</v>
      </c>
      <c r="B803" s="6" t="s">
        <v>882</v>
      </c>
      <c r="C803" s="6" t="s">
        <v>938</v>
      </c>
      <c r="D803" s="6" t="s">
        <v>71</v>
      </c>
      <c r="E803" s="26" t="n">
        <v>2</v>
      </c>
      <c r="F803" s="6" t="str">
        <f aca="false">IFERROR(INDEX(Resources!$B$2:$B$64,MATCH($D803,Resources!$A$2:$A$64,0)),"?")</f>
        <v>hours</v>
      </c>
      <c r="G803" s="6" t="s">
        <v>939</v>
      </c>
      <c r="H803" s="27" t="n">
        <f aca="false">E803*INDEX(Assumptions!$D$17:$D$23,MATCH(G803,Assumptions!$B$17:$B$23,0))</f>
        <v>2</v>
      </c>
      <c r="I803" s="6" t="n">
        <f aca="false">IFERROR(INDEX(Systems!$R$2:$R$179,MATCH($B803,Systems!$B$2:$B$179,0)),0)</f>
        <v>0</v>
      </c>
      <c r="J803" s="27" t="n">
        <f aca="false">H803*I803</f>
        <v>0</v>
      </c>
      <c r="K803" s="6" t="str">
        <f aca="false">IFERROR(IF(INDEX(Resources!$D$2:$D$64,MATCH($D803,Resources!$A$2:$A$64,0))="","",INDEX(Resources!$D$2:$D$64,MATCH($D803,Resources!$A$2:$A$64,0))),"")</f>
        <v>Est. Required Labor</v>
      </c>
      <c r="L803" s="28" t="n">
        <f aca="false">IF(K803="","",J803*INDEX(Resources!$E$2:$E$64,MATCH($D803,Resources!$A$2:$A$64,0)))</f>
        <v>0</v>
      </c>
      <c r="M803" s="6" t="str">
        <f aca="false">B803&amp;"|"&amp;D803&amp;"|"&amp;C803</f>
        <v>Pellet Mill (small)|Labor|Input</v>
      </c>
      <c r="N803" s="1" t="s">
        <v>940</v>
      </c>
    </row>
    <row r="804" customFormat="false" ht="15" hidden="false" customHeight="true" outlineLevel="0" collapsed="false">
      <c r="A804" s="6" t="s">
        <v>1786</v>
      </c>
      <c r="B804" s="6" t="s">
        <v>882</v>
      </c>
      <c r="C804" s="6" t="s">
        <v>938</v>
      </c>
      <c r="D804" s="6" t="s">
        <v>962</v>
      </c>
      <c r="E804" s="26" t="n">
        <v>120</v>
      </c>
      <c r="F804" s="6" t="str">
        <f aca="false">IFERROR(INDEX(Resources!$B$2:$B$64,MATCH($D804,Resources!$A$2:$A$64,0)),"?")</f>
        <v>lbs</v>
      </c>
      <c r="G804" s="6" t="s">
        <v>939</v>
      </c>
      <c r="H804" s="27" t="n">
        <f aca="false">E804*INDEX(Assumptions!$D$17:$D$23,MATCH(G804,Assumptions!$B$17:$B$23,0))</f>
        <v>120</v>
      </c>
      <c r="I804" s="6" t="n">
        <f aca="false">IFERROR(INDEX(Systems!$R$2:$R$179,MATCH($B804,Systems!$B$2:$B$179,0)),0)</f>
        <v>0</v>
      </c>
      <c r="J804" s="27" t="n">
        <f aca="false">H804*I804</f>
        <v>0</v>
      </c>
      <c r="K804" s="6" t="str">
        <f aca="false">IFERROR(IF(INDEX(Resources!$D$2:$D$64,MATCH($D804,Resources!$A$2:$A$64,0))="","",INDEX(Resources!$D$2:$D$64,MATCH($D804,Resources!$A$2:$A$64,0))),"")</f>
        <v/>
      </c>
      <c r="L804" s="28" t="str">
        <f aca="false">IF(K804="","",J804*INDEX(Resources!$E$2:$E$64,MATCH($D804,Resources!$A$2:$A$64,0)))</f>
        <v/>
      </c>
      <c r="M804" s="6" t="str">
        <f aca="false">B804&amp;"|"&amp;D804&amp;"|"&amp;C804</f>
        <v>Pellet Mill (small)|Wood chips|Input</v>
      </c>
    </row>
    <row r="805" customFormat="false" ht="15" hidden="false" customHeight="true" outlineLevel="0" collapsed="false">
      <c r="A805" s="6" t="s">
        <v>1787</v>
      </c>
      <c r="B805" s="6" t="s">
        <v>882</v>
      </c>
      <c r="C805" s="6" t="s">
        <v>938</v>
      </c>
      <c r="D805" s="6" t="s">
        <v>59</v>
      </c>
      <c r="E805" s="26" t="n">
        <v>15</v>
      </c>
      <c r="F805" s="6" t="str">
        <f aca="false">IFERROR(INDEX(Resources!$B$2:$B$64,MATCH($D805,Resources!$A$2:$A$64,0)),"?")</f>
        <v>kWh</v>
      </c>
      <c r="G805" s="6" t="s">
        <v>939</v>
      </c>
      <c r="H805" s="27" t="n">
        <f aca="false">E805*INDEX(Assumptions!$D$17:$D$23,MATCH(G805,Assumptions!$B$17:$B$23,0))</f>
        <v>15</v>
      </c>
      <c r="I805" s="6" t="n">
        <f aca="false">IFERROR(INDEX(Systems!$R$2:$R$179,MATCH($B805,Systems!$B$2:$B$179,0)),0)</f>
        <v>0</v>
      </c>
      <c r="J805" s="27" t="n">
        <f aca="false">H805*I805</f>
        <v>0</v>
      </c>
      <c r="K805" s="6" t="str">
        <f aca="false">IFERROR(IF(INDEX(Resources!$D$2:$D$64,MATCH($D805,Resources!$A$2:$A$64,0))="","",INDEX(Resources!$D$2:$D$64,MATCH($D805,Resources!$A$2:$A$64,0))),"")</f>
        <v>Electricity</v>
      </c>
      <c r="L805" s="28" t="n">
        <f aca="false">IF(K805="","",J805*INDEX(Resources!$E$2:$E$64,MATCH($D805,Resources!$A$2:$A$64,0)))</f>
        <v>0</v>
      </c>
      <c r="M805" s="6" t="str">
        <f aca="false">B805&amp;"|"&amp;D805&amp;"|"&amp;C805</f>
        <v>Pellet Mill (small)|Electricity|Input</v>
      </c>
    </row>
    <row r="806" customFormat="false" ht="15" hidden="false" customHeight="true" outlineLevel="0" collapsed="false">
      <c r="A806" s="6" t="s">
        <v>1788</v>
      </c>
      <c r="B806" s="6" t="s">
        <v>882</v>
      </c>
      <c r="C806" s="6" t="s">
        <v>943</v>
      </c>
      <c r="D806" s="6" t="s">
        <v>170</v>
      </c>
      <c r="E806" s="26" t="n">
        <v>100</v>
      </c>
      <c r="F806" s="6" t="str">
        <f aca="false">IFERROR(INDEX(Resources!$B$2:$B$64,MATCH($D806,Resources!$A$2:$A$64,0)),"?")</f>
        <v>lbs</v>
      </c>
      <c r="G806" s="6" t="s">
        <v>939</v>
      </c>
      <c r="H806" s="27" t="n">
        <f aca="false">E806*INDEX(Assumptions!$D$17:$D$23,MATCH(G806,Assumptions!$B$17:$B$23,0))</f>
        <v>100</v>
      </c>
      <c r="I806" s="6" t="n">
        <f aca="false">IFERROR(INDEX(Systems!$R$2:$R$179,MATCH($B806,Systems!$B$2:$B$179,0)),0)</f>
        <v>0</v>
      </c>
      <c r="J806" s="27" t="n">
        <f aca="false">H806*I806</f>
        <v>0</v>
      </c>
      <c r="K806" s="6" t="str">
        <f aca="false">IFERROR(IF(INDEX(Resources!$D$2:$D$64,MATCH($D806,Resources!$A$2:$A$64,0))="","",INDEX(Resources!$D$2:$D$64,MATCH($D806,Resources!$A$2:$A$64,0))),"")</f>
        <v/>
      </c>
      <c r="L806" s="28" t="str">
        <f aca="false">IF(K806="","",J806*INDEX(Resources!$E$2:$E$64,MATCH($D806,Resources!$A$2:$A$64,0)))</f>
        <v/>
      </c>
      <c r="M806" s="6" t="str">
        <f aca="false">B806&amp;"|"&amp;D806&amp;"|"&amp;C806</f>
        <v>Pellet Mill (small)|Wood pellets|Output</v>
      </c>
    </row>
    <row r="807" customFormat="false" ht="15" hidden="false" customHeight="true" outlineLevel="0" collapsed="false">
      <c r="A807" s="6" t="s">
        <v>1789</v>
      </c>
      <c r="B807" s="6" t="s">
        <v>888</v>
      </c>
      <c r="C807" s="6" t="s">
        <v>938</v>
      </c>
      <c r="D807" s="6" t="s">
        <v>71</v>
      </c>
      <c r="E807" s="26" t="n">
        <v>20</v>
      </c>
      <c r="F807" s="6" t="str">
        <f aca="false">IFERROR(INDEX(Resources!$B$2:$B$64,MATCH($D807,Resources!$A$2:$A$64,0)),"?")</f>
        <v>hours</v>
      </c>
      <c r="G807" s="6" t="s">
        <v>939</v>
      </c>
      <c r="H807" s="27" t="n">
        <f aca="false">E807*INDEX(Assumptions!$D$17:$D$23,MATCH(G807,Assumptions!$B$17:$B$23,0))</f>
        <v>20</v>
      </c>
      <c r="I807" s="6" t="n">
        <f aca="false">IFERROR(INDEX(Systems!$R$2:$R$179,MATCH($B807,Systems!$B$2:$B$179,0)),0)</f>
        <v>0</v>
      </c>
      <c r="J807" s="27" t="n">
        <f aca="false">H807*I807</f>
        <v>0</v>
      </c>
      <c r="K807" s="6" t="str">
        <f aca="false">IFERROR(IF(INDEX(Resources!$D$2:$D$64,MATCH($D807,Resources!$A$2:$A$64,0))="","",INDEX(Resources!$D$2:$D$64,MATCH($D807,Resources!$A$2:$A$64,0))),"")</f>
        <v>Est. Required Labor</v>
      </c>
      <c r="L807" s="28" t="n">
        <f aca="false">IF(K807="","",J807*INDEX(Resources!$E$2:$E$64,MATCH($D807,Resources!$A$2:$A$64,0)))</f>
        <v>0</v>
      </c>
      <c r="M807" s="6" t="str">
        <f aca="false">B807&amp;"|"&amp;D807&amp;"|"&amp;C807</f>
        <v>Part-Time Job (20 hrs)|Labor|Input</v>
      </c>
    </row>
    <row r="808" customFormat="false" ht="15" hidden="false" customHeight="true" outlineLevel="0" collapsed="false">
      <c r="A808" s="6" t="s">
        <v>1790</v>
      </c>
      <c r="B808" s="6" t="s">
        <v>888</v>
      </c>
      <c r="C808" s="6" t="s">
        <v>938</v>
      </c>
      <c r="D808" s="6" t="s">
        <v>61</v>
      </c>
      <c r="E808" s="26" t="n">
        <v>75</v>
      </c>
      <c r="F808" s="6" t="str">
        <f aca="false">IFERROR(INDEX(Resources!$B$2:$B$64,MATCH($D808,Resources!$A$2:$A$64,0)),"?")</f>
        <v>miles</v>
      </c>
      <c r="G808" s="6" t="s">
        <v>939</v>
      </c>
      <c r="H808" s="27" t="n">
        <f aca="false">E808*INDEX(Assumptions!$D$17:$D$23,MATCH(G808,Assumptions!$B$17:$B$23,0))</f>
        <v>75</v>
      </c>
      <c r="I808" s="6" t="n">
        <f aca="false">IFERROR(INDEX(Systems!$R$2:$R$179,MATCH($B808,Systems!$B$2:$B$179,0)),0)</f>
        <v>0</v>
      </c>
      <c r="J808" s="27" t="n">
        <f aca="false">H808*I808</f>
        <v>0</v>
      </c>
      <c r="K808" s="6" t="str">
        <f aca="false">IFERROR(IF(INDEX(Resources!$D$2:$D$64,MATCH($D808,Resources!$A$2:$A$64,0))="","",INDEX(Resources!$D$2:$D$64,MATCH($D808,Resources!$A$2:$A$64,0))),"")</f>
        <v>Transportation</v>
      </c>
      <c r="L808" s="28" t="n">
        <f aca="false">IF(K808="","",J808*INDEX(Resources!$E$2:$E$64,MATCH($D808,Resources!$A$2:$A$64,0)))</f>
        <v>0</v>
      </c>
      <c r="M808" s="6" t="str">
        <f aca="false">B808&amp;"|"&amp;D808&amp;"|"&amp;C808</f>
        <v>Part-Time Job (20 hrs)|Transportation|Input</v>
      </c>
    </row>
    <row r="809" customFormat="false" ht="15" hidden="false" customHeight="true" outlineLevel="0" collapsed="false">
      <c r="A809" s="6" t="s">
        <v>1791</v>
      </c>
      <c r="B809" s="6" t="s">
        <v>888</v>
      </c>
      <c r="C809" s="6" t="s">
        <v>943</v>
      </c>
      <c r="D809" s="6" t="s">
        <v>269</v>
      </c>
      <c r="E809" s="26" t="n">
        <v>575</v>
      </c>
      <c r="F809" s="6" t="str">
        <f aca="false">IFERROR(INDEX(Resources!$B$2:$B$64,MATCH($D809,Resources!$A$2:$A$64,0)),"?")</f>
        <v>$</v>
      </c>
      <c r="G809" s="6" t="s">
        <v>939</v>
      </c>
      <c r="H809" s="27" t="n">
        <f aca="false">E809*INDEX(Assumptions!$D$17:$D$23,MATCH(G809,Assumptions!$B$17:$B$23,0))</f>
        <v>575</v>
      </c>
      <c r="I809" s="6" t="n">
        <f aca="false">IFERROR(INDEX(Systems!$R$2:$R$179,MATCH($B809,Systems!$B$2:$B$179,0)),0)</f>
        <v>0</v>
      </c>
      <c r="J809" s="27" t="n">
        <f aca="false">H809*I809</f>
        <v>0</v>
      </c>
      <c r="K809" s="6" t="str">
        <f aca="false">IFERROR(IF(INDEX(Resources!$D$2:$D$64,MATCH($D809,Resources!$A$2:$A$64,0))="","",INDEX(Resources!$D$2:$D$64,MATCH($D809,Resources!$A$2:$A$64,0))),"")</f>
        <v/>
      </c>
      <c r="L809" s="28" t="str">
        <f aca="false">IF(K809="","",J809*INDEX(Resources!$E$2:$E$64,MATCH($D809,Resources!$A$2:$A$64,0)))</f>
        <v/>
      </c>
      <c r="M809" s="6" t="str">
        <f aca="false">B809&amp;"|"&amp;D809&amp;"|"&amp;C809</f>
        <v>Part-Time Job (20 hrs)|Capital|Output</v>
      </c>
    </row>
    <row r="810" customFormat="false" ht="15" hidden="false" customHeight="true" outlineLevel="0" collapsed="false">
      <c r="A810" s="6" t="s">
        <v>1792</v>
      </c>
      <c r="B810" s="6" t="s">
        <v>893</v>
      </c>
      <c r="C810" s="6" t="s">
        <v>938</v>
      </c>
      <c r="D810" s="6" t="s">
        <v>71</v>
      </c>
      <c r="E810" s="26" t="n">
        <v>40</v>
      </c>
      <c r="F810" s="6" t="str">
        <f aca="false">IFERROR(INDEX(Resources!$B$2:$B$64,MATCH($D810,Resources!$A$2:$A$64,0)),"?")</f>
        <v>hours</v>
      </c>
      <c r="G810" s="6" t="s">
        <v>939</v>
      </c>
      <c r="H810" s="27" t="n">
        <f aca="false">E810*INDEX(Assumptions!$D$17:$D$23,MATCH(G810,Assumptions!$B$17:$B$23,0))</f>
        <v>40</v>
      </c>
      <c r="I810" s="6" t="n">
        <f aca="false">IFERROR(INDEX(Systems!$R$2:$R$179,MATCH($B810,Systems!$B$2:$B$179,0)),0)</f>
        <v>0</v>
      </c>
      <c r="J810" s="27" t="n">
        <f aca="false">H810*I810</f>
        <v>0</v>
      </c>
      <c r="K810" s="6" t="str">
        <f aca="false">IFERROR(IF(INDEX(Resources!$D$2:$D$64,MATCH($D810,Resources!$A$2:$A$64,0))="","",INDEX(Resources!$D$2:$D$64,MATCH($D810,Resources!$A$2:$A$64,0))),"")</f>
        <v>Est. Required Labor</v>
      </c>
      <c r="L810" s="28" t="n">
        <f aca="false">IF(K810="","",J810*INDEX(Resources!$E$2:$E$64,MATCH($D810,Resources!$A$2:$A$64,0)))</f>
        <v>0</v>
      </c>
      <c r="M810" s="6" t="str">
        <f aca="false">B810&amp;"|"&amp;D810&amp;"|"&amp;C810</f>
        <v>Remote Job (40 hrs)|Labor|Input</v>
      </c>
    </row>
    <row r="811" customFormat="false" ht="15" hidden="false" customHeight="true" outlineLevel="0" collapsed="false">
      <c r="A811" s="6" t="s">
        <v>1793</v>
      </c>
      <c r="B811" s="6" t="s">
        <v>893</v>
      </c>
      <c r="C811" s="6" t="s">
        <v>943</v>
      </c>
      <c r="D811" s="6" t="s">
        <v>269</v>
      </c>
      <c r="E811" s="26" t="n">
        <v>1000</v>
      </c>
      <c r="F811" s="6" t="str">
        <f aca="false">IFERROR(INDEX(Resources!$B$2:$B$64,MATCH($D811,Resources!$A$2:$A$64,0)),"?")</f>
        <v>$</v>
      </c>
      <c r="G811" s="6" t="s">
        <v>939</v>
      </c>
      <c r="H811" s="27" t="n">
        <f aca="false">E811*INDEX(Assumptions!$D$17:$D$23,MATCH(G811,Assumptions!$B$17:$B$23,0))</f>
        <v>1000</v>
      </c>
      <c r="I811" s="6" t="n">
        <f aca="false">IFERROR(INDEX(Systems!$R$2:$R$179,MATCH($B811,Systems!$B$2:$B$179,0)),0)</f>
        <v>0</v>
      </c>
      <c r="J811" s="27" t="n">
        <f aca="false">H811*I811</f>
        <v>0</v>
      </c>
      <c r="K811" s="6" t="str">
        <f aca="false">IFERROR(IF(INDEX(Resources!$D$2:$D$64,MATCH($D811,Resources!$A$2:$A$64,0))="","",INDEX(Resources!$D$2:$D$64,MATCH($D811,Resources!$A$2:$A$64,0))),"")</f>
        <v/>
      </c>
      <c r="L811" s="28" t="str">
        <f aca="false">IF(K811="","",J811*INDEX(Resources!$E$2:$E$64,MATCH($D811,Resources!$A$2:$A$64,0)))</f>
        <v/>
      </c>
      <c r="M811" s="6" t="str">
        <f aca="false">B811&amp;"|"&amp;D811&amp;"|"&amp;C811</f>
        <v>Remote Job (40 hrs)|Capital|Output</v>
      </c>
    </row>
    <row r="812" customFormat="false" ht="15" hidden="false" customHeight="true" outlineLevel="0" collapsed="false">
      <c r="A812" s="6" t="s">
        <v>1794</v>
      </c>
      <c r="B812" s="6" t="s">
        <v>897</v>
      </c>
      <c r="C812" s="6" t="s">
        <v>938</v>
      </c>
      <c r="D812" s="6" t="s">
        <v>71</v>
      </c>
      <c r="E812" s="26" t="n">
        <v>0.25</v>
      </c>
      <c r="F812" s="6" t="str">
        <f aca="false">IFERROR(INDEX(Resources!$B$2:$B$64,MATCH($D812,Resources!$A$2:$A$64,0)),"?")</f>
        <v>hours</v>
      </c>
      <c r="G812" s="6" t="s">
        <v>939</v>
      </c>
      <c r="H812" s="27" t="n">
        <f aca="false">E812*INDEX(Assumptions!$D$17:$D$23,MATCH(G812,Assumptions!$B$17:$B$23,0))</f>
        <v>0.25</v>
      </c>
      <c r="I812" s="6" t="n">
        <f aca="false">IFERROR(INDEX(Systems!$R$2:$R$179,MATCH($B812,Systems!$B$2:$B$179,0)),0)</f>
        <v>0</v>
      </c>
      <c r="J812" s="27" t="n">
        <f aca="false">H812*I812</f>
        <v>0</v>
      </c>
      <c r="K812" s="6" t="str">
        <f aca="false">IFERROR(IF(INDEX(Resources!$D$2:$D$64,MATCH($D812,Resources!$A$2:$A$64,0))="","",INDEX(Resources!$D$2:$D$64,MATCH($D812,Resources!$A$2:$A$64,0))),"")</f>
        <v>Est. Required Labor</v>
      </c>
      <c r="L812" s="28" t="n">
        <f aca="false">IF(K812="","",J812*INDEX(Resources!$E$2:$E$64,MATCH($D812,Resources!$A$2:$A$64,0)))</f>
        <v>0</v>
      </c>
      <c r="M812" s="6" t="str">
        <f aca="false">B812&amp;"|"&amp;D812&amp;"|"&amp;C812</f>
        <v>Sheet-Mulch Lawn Conversion (500 sq ft)|Labor|Input</v>
      </c>
      <c r="N812" s="1" t="s">
        <v>940</v>
      </c>
    </row>
    <row r="813" customFormat="false" ht="15" hidden="false" customHeight="true" outlineLevel="0" collapsed="false">
      <c r="A813" s="6" t="s">
        <v>1795</v>
      </c>
      <c r="B813" s="6" t="s">
        <v>897</v>
      </c>
      <c r="C813" s="6" t="s">
        <v>938</v>
      </c>
      <c r="D813" s="6" t="s">
        <v>1127</v>
      </c>
      <c r="E813" s="26" t="n">
        <v>100</v>
      </c>
      <c r="F813" s="6" t="str">
        <f aca="false">IFERROR(INDEX(Resources!$B$2:$B$64,MATCH($D813,Resources!$A$2:$A$64,0)),"?")</f>
        <v>lbs</v>
      </c>
      <c r="G813" s="6" t="s">
        <v>1115</v>
      </c>
      <c r="H813" s="27" t="n">
        <f aca="false">E813*INDEX(Assumptions!$D$17:$D$23,MATCH(G813,Assumptions!$B$17:$B$23,0))</f>
        <v>0</v>
      </c>
      <c r="I813" s="6" t="n">
        <f aca="false">IFERROR(INDEX(Systems!$R$2:$R$179,MATCH($B813,Systems!$B$2:$B$179,0)),0)</f>
        <v>0</v>
      </c>
      <c r="J813" s="27" t="n">
        <f aca="false">H813*I813</f>
        <v>0</v>
      </c>
      <c r="K813" s="6" t="str">
        <f aca="false">IFERROR(IF(INDEX(Resources!$D$2:$D$64,MATCH($D813,Resources!$A$2:$A$64,0))="","",INDEX(Resources!$D$2:$D$64,MATCH($D813,Resources!$A$2:$A$64,0))),"")</f>
        <v/>
      </c>
      <c r="L813" s="28" t="str">
        <f aca="false">IF(K813="","",J813*INDEX(Resources!$E$2:$E$64,MATCH($D813,Resources!$A$2:$A$64,0)))</f>
        <v/>
      </c>
      <c r="M813" s="6" t="str">
        <f aca="false">B813&amp;"|"&amp;D813&amp;"|"&amp;C813</f>
        <v>Sheet-Mulch Lawn Conversion (500 sq ft)|Carbon|Input</v>
      </c>
    </row>
    <row r="814" customFormat="false" ht="15" hidden="false" customHeight="true" outlineLevel="0" collapsed="false">
      <c r="A814" s="6" t="s">
        <v>1796</v>
      </c>
      <c r="B814" s="6" t="s">
        <v>897</v>
      </c>
      <c r="C814" s="6" t="s">
        <v>938</v>
      </c>
      <c r="D814" s="6" t="s">
        <v>322</v>
      </c>
      <c r="E814" s="26" t="n">
        <v>200</v>
      </c>
      <c r="F814" s="6" t="str">
        <f aca="false">IFERROR(INDEX(Resources!$B$2:$B$64,MATCH($D814,Resources!$A$2:$A$64,0)),"?")</f>
        <v>lbs</v>
      </c>
      <c r="G814" s="6" t="s">
        <v>1115</v>
      </c>
      <c r="H814" s="27" t="n">
        <f aca="false">E814*INDEX(Assumptions!$D$17:$D$23,MATCH(G814,Assumptions!$B$17:$B$23,0))</f>
        <v>0</v>
      </c>
      <c r="I814" s="6" t="n">
        <f aca="false">IFERROR(INDEX(Systems!$R$2:$R$179,MATCH($B814,Systems!$B$2:$B$179,0)),0)</f>
        <v>0</v>
      </c>
      <c r="J814" s="27" t="n">
        <f aca="false">H814*I814</f>
        <v>0</v>
      </c>
      <c r="K814" s="6" t="str">
        <f aca="false">IFERROR(IF(INDEX(Resources!$D$2:$D$64,MATCH($D814,Resources!$A$2:$A$64,0))="","",INDEX(Resources!$D$2:$D$64,MATCH($D814,Resources!$A$2:$A$64,0))),"")</f>
        <v/>
      </c>
      <c r="L814" s="28" t="str">
        <f aca="false">IF(K814="","",J814*INDEX(Resources!$E$2:$E$64,MATCH($D814,Resources!$A$2:$A$64,0)))</f>
        <v/>
      </c>
      <c r="M814" s="6" t="str">
        <f aca="false">B814&amp;"|"&amp;D814&amp;"|"&amp;C814</f>
        <v>Sheet-Mulch Lawn Conversion (500 sq ft)|Compost|Input</v>
      </c>
    </row>
    <row r="815" customFormat="false" ht="15" hidden="false" customHeight="true" outlineLevel="0" collapsed="false">
      <c r="A815" s="6" t="s">
        <v>1797</v>
      </c>
      <c r="B815" s="6" t="s">
        <v>897</v>
      </c>
      <c r="C815" s="6" t="s">
        <v>943</v>
      </c>
      <c r="D815" s="6" t="s">
        <v>900</v>
      </c>
      <c r="E815" s="26" t="n">
        <v>40</v>
      </c>
      <c r="F815" s="6" t="str">
        <f aca="false">IFERROR(INDEX(Resources!$B$2:$B$64,MATCH($D815,Resources!$A$2:$A$64,0)),"?")</f>
        <v>cu ft</v>
      </c>
      <c r="G815" s="6" t="s">
        <v>1184</v>
      </c>
      <c r="H815" s="27" t="n">
        <f aca="false">E815*INDEX(Assumptions!$D$17:$D$23,MATCH(G815,Assumptions!$B$17:$B$23,0))</f>
        <v>0.769230769230769</v>
      </c>
      <c r="I815" s="6" t="n">
        <f aca="false">IFERROR(INDEX(Systems!$R$2:$R$179,MATCH($B815,Systems!$B$2:$B$179,0)),0)</f>
        <v>0</v>
      </c>
      <c r="J815" s="27" t="n">
        <f aca="false">H815*I815</f>
        <v>0</v>
      </c>
      <c r="K815" s="6" t="str">
        <f aca="false">IFERROR(IF(INDEX(Resources!$D$2:$D$64,MATCH($D815,Resources!$A$2:$A$64,0))="","",INDEX(Resources!$D$2:$D$64,MATCH($D815,Resources!$A$2:$A$64,0))),"")</f>
        <v/>
      </c>
      <c r="L815" s="28" t="str">
        <f aca="false">IF(K815="","",J815*INDEX(Resources!$E$2:$E$64,MATCH($D815,Resources!$A$2:$A$64,0)))</f>
        <v/>
      </c>
      <c r="M815" s="6" t="str">
        <f aca="false">B815&amp;"|"&amp;D815&amp;"|"&amp;C815</f>
        <v>Sheet-Mulch Lawn Conversion (500 sq ft)|Soil|Output</v>
      </c>
    </row>
    <row r="816" customFormat="false" ht="15" hidden="false" customHeight="true" outlineLevel="0" collapsed="false">
      <c r="A816" s="6" t="s">
        <v>1798</v>
      </c>
      <c r="B816" s="6" t="s">
        <v>903</v>
      </c>
      <c r="C816" s="6" t="s">
        <v>938</v>
      </c>
      <c r="D816" s="6" t="s">
        <v>71</v>
      </c>
      <c r="E816" s="26" t="n">
        <v>0.05</v>
      </c>
      <c r="F816" s="6" t="str">
        <f aca="false">IFERROR(INDEX(Resources!$B$2:$B$64,MATCH($D816,Resources!$A$2:$A$64,0)),"?")</f>
        <v>hours</v>
      </c>
      <c r="G816" s="6" t="s">
        <v>939</v>
      </c>
      <c r="H816" s="27" t="n">
        <f aca="false">E816*INDEX(Assumptions!$D$17:$D$23,MATCH(G816,Assumptions!$B$17:$B$23,0))</f>
        <v>0.05</v>
      </c>
      <c r="I816" s="6" t="n">
        <f aca="false">IFERROR(INDEX(Systems!$R$2:$R$179,MATCH($B816,Systems!$B$2:$B$179,0)),0)</f>
        <v>0</v>
      </c>
      <c r="J816" s="27" t="n">
        <f aca="false">H816*I816</f>
        <v>0</v>
      </c>
      <c r="K816" s="6" t="str">
        <f aca="false">IFERROR(IF(INDEX(Resources!$D$2:$D$64,MATCH($D816,Resources!$A$2:$A$64,0))="","",INDEX(Resources!$D$2:$D$64,MATCH($D816,Resources!$A$2:$A$64,0))),"")</f>
        <v>Est. Required Labor</v>
      </c>
      <c r="L816" s="28" t="n">
        <f aca="false">IF(K816="","",J816*INDEX(Resources!$E$2:$E$64,MATCH($D816,Resources!$A$2:$A$64,0)))</f>
        <v>0</v>
      </c>
      <c r="M816" s="6" t="str">
        <f aca="false">B816&amp;"|"&amp;D816&amp;"|"&amp;C816</f>
        <v>Home Weatherization Retrofit|Labor|Input</v>
      </c>
      <c r="N816" s="1" t="s">
        <v>1799</v>
      </c>
    </row>
    <row r="817" customFormat="false" ht="15" hidden="false" customHeight="true" outlineLevel="0" collapsed="false">
      <c r="A817" s="6" t="s">
        <v>1800</v>
      </c>
      <c r="B817" s="6" t="s">
        <v>908</v>
      </c>
      <c r="C817" s="6" t="s">
        <v>943</v>
      </c>
      <c r="D817" s="6" t="s">
        <v>910</v>
      </c>
      <c r="E817" s="26" t="n">
        <v>10890</v>
      </c>
      <c r="F817" s="6" t="str">
        <f aca="false">IFERROR(INDEX(Resources!$B$2:$B$64,MATCH($D817,Resources!$A$2:$A$64,0)),"?")</f>
        <v>sq ft</v>
      </c>
      <c r="G817" s="6" t="s">
        <v>945</v>
      </c>
      <c r="H817" s="27" t="n">
        <f aca="false">E817*INDEX(Assumptions!$D$17:$D$23,MATCH(G817,Assumptions!$B$17:$B$23,0))</f>
        <v>10890</v>
      </c>
      <c r="I817" s="6" t="n">
        <f aca="false">IFERROR(INDEX(Systems!$R$2:$R$179,MATCH($B817,Systems!$B$2:$B$179,0)),0)</f>
        <v>0</v>
      </c>
      <c r="J817" s="27" t="n">
        <f aca="false">H817*I817</f>
        <v>0</v>
      </c>
      <c r="K817" s="6" t="str">
        <f aca="false">IFERROR(IF(INDEX(Resources!$D$2:$D$64,MATCH($D817,Resources!$A$2:$A$64,0))="","",INDEX(Resources!$D$2:$D$64,MATCH($D817,Resources!$A$2:$A$64,0))),"")</f>
        <v/>
      </c>
      <c r="L817" s="28" t="str">
        <f aca="false">IF(K817="","",J817*INDEX(Resources!$E$2:$E$64,MATCH($D817,Resources!$A$2:$A$64,0)))</f>
        <v/>
      </c>
      <c r="M817" s="6" t="str">
        <f aca="false">B817&amp;"|"&amp;D817&amp;"|"&amp;C817</f>
        <v>Suburban Lot (1/4 acre)|Land area|Output</v>
      </c>
    </row>
    <row r="818" customFormat="false" ht="15" hidden="false" customHeight="true" outlineLevel="0" collapsed="false">
      <c r="A818" s="6" t="s">
        <v>1801</v>
      </c>
      <c r="B818" s="6" t="s">
        <v>913</v>
      </c>
      <c r="C818" s="6" t="s">
        <v>938</v>
      </c>
      <c r="D818" s="6" t="s">
        <v>71</v>
      </c>
      <c r="E818" s="26" t="n">
        <v>0.5</v>
      </c>
      <c r="F818" s="6" t="str">
        <f aca="false">IFERROR(INDEX(Resources!$B$2:$B$64,MATCH($D818,Resources!$A$2:$A$64,0)),"?")</f>
        <v>hours</v>
      </c>
      <c r="G818" s="6" t="s">
        <v>939</v>
      </c>
      <c r="H818" s="27" t="n">
        <f aca="false">E818*INDEX(Assumptions!$D$17:$D$23,MATCH(G818,Assumptions!$B$17:$B$23,0))</f>
        <v>0.5</v>
      </c>
      <c r="I818" s="6" t="n">
        <f aca="false">IFERROR(INDEX(Systems!$R$2:$R$179,MATCH($B818,Systems!$B$2:$B$179,0)),0)</f>
        <v>0</v>
      </c>
      <c r="J818" s="27" t="n">
        <f aca="false">H818*I818</f>
        <v>0</v>
      </c>
      <c r="K818" s="6" t="str">
        <f aca="false">IFERROR(IF(INDEX(Resources!$D$2:$D$64,MATCH($D818,Resources!$A$2:$A$64,0))="","",INDEX(Resources!$D$2:$D$64,MATCH($D818,Resources!$A$2:$A$64,0))),"")</f>
        <v>Est. Required Labor</v>
      </c>
      <c r="L818" s="28" t="n">
        <f aca="false">IF(K818="","",J818*INDEX(Resources!$E$2:$E$64,MATCH($D818,Resources!$A$2:$A$64,0)))</f>
        <v>0</v>
      </c>
      <c r="M818" s="6" t="str">
        <f aca="false">B818&amp;"|"&amp;D818&amp;"|"&amp;C818</f>
        <v>Clothesline|Labor|Input</v>
      </c>
      <c r="N818" s="1" t="s">
        <v>1802</v>
      </c>
    </row>
    <row r="819" customFormat="false" ht="15" hidden="false" customHeight="true" outlineLevel="0" collapsed="false">
      <c r="A819" s="6" t="s">
        <v>1803</v>
      </c>
      <c r="B819" s="6" t="s">
        <v>913</v>
      </c>
      <c r="C819" s="6" t="s">
        <v>943</v>
      </c>
      <c r="D819" s="6" t="s">
        <v>462</v>
      </c>
      <c r="E819" s="26" t="n">
        <v>2</v>
      </c>
      <c r="F819" s="6" t="str">
        <f aca="false">IFERROR(INDEX(Resources!$B$2:$B$64,MATCH($D819,Resources!$A$2:$A$64,0)),"?")</f>
        <v>points</v>
      </c>
      <c r="G819" s="6" t="s">
        <v>939</v>
      </c>
      <c r="H819" s="27" t="n">
        <f aca="false">E819*INDEX(Assumptions!$D$17:$D$23,MATCH(G819,Assumptions!$B$17:$B$23,0))</f>
        <v>2</v>
      </c>
      <c r="I819" s="6" t="n">
        <f aca="false">IFERROR(INDEX(Systems!$R$2:$R$179,MATCH($B819,Systems!$B$2:$B$179,0)),0)</f>
        <v>0</v>
      </c>
      <c r="J819" s="27" t="n">
        <f aca="false">H819*I819</f>
        <v>0</v>
      </c>
      <c r="K819" s="6" t="str">
        <f aca="false">IFERROR(IF(INDEX(Resources!$D$2:$D$64,MATCH($D819,Resources!$A$2:$A$64,0))="","",INDEX(Resources!$D$2:$D$64,MATCH($D819,Resources!$A$2:$A$64,0))),"")</f>
        <v/>
      </c>
      <c r="L819" s="28" t="str">
        <f aca="false">IF(K819="","",J819*INDEX(Resources!$E$2:$E$64,MATCH($D819,Resources!$A$2:$A$64,0)))</f>
        <v/>
      </c>
      <c r="M819" s="6" t="str">
        <f aca="false">B819&amp;"|"&amp;D819&amp;"|"&amp;C819</f>
        <v>Clothesline|Wellbeing|Output</v>
      </c>
    </row>
    <row r="820" customFormat="false" ht="15" hidden="false" customHeight="true" outlineLevel="0" collapsed="false">
      <c r="A820" s="6" t="s">
        <v>1804</v>
      </c>
      <c r="B820" s="6" t="s">
        <v>917</v>
      </c>
      <c r="C820" s="6" t="s">
        <v>938</v>
      </c>
      <c r="D820" s="6" t="s">
        <v>71</v>
      </c>
      <c r="E820" s="26" t="n">
        <v>0.1</v>
      </c>
      <c r="F820" s="6" t="str">
        <f aca="false">IFERROR(INDEX(Resources!$B$2:$B$64,MATCH($D820,Resources!$A$2:$A$64,0)),"?")</f>
        <v>hours</v>
      </c>
      <c r="G820" s="6" t="s">
        <v>939</v>
      </c>
      <c r="H820" s="27" t="n">
        <f aca="false">E820*INDEX(Assumptions!$D$17:$D$23,MATCH(G820,Assumptions!$B$17:$B$23,0))</f>
        <v>0.1</v>
      </c>
      <c r="I820" s="6" t="n">
        <f aca="false">IFERROR(INDEX(Systems!$R$2:$R$179,MATCH($B820,Systems!$B$2:$B$179,0)),0)</f>
        <v>0</v>
      </c>
      <c r="J820" s="27" t="n">
        <f aca="false">H820*I820</f>
        <v>0</v>
      </c>
      <c r="K820" s="6" t="str">
        <f aca="false">IFERROR(IF(INDEX(Resources!$D$2:$D$64,MATCH($D820,Resources!$A$2:$A$64,0))="","",INDEX(Resources!$D$2:$D$64,MATCH($D820,Resources!$A$2:$A$64,0))),"")</f>
        <v>Est. Required Labor</v>
      </c>
      <c r="L820" s="28" t="n">
        <f aca="false">IF(K820="","",J820*INDEX(Resources!$E$2:$E$64,MATCH($D820,Resources!$A$2:$A$64,0)))</f>
        <v>0</v>
      </c>
      <c r="M820" s="6" t="str">
        <f aca="false">B820&amp;"|"&amp;D820&amp;"|"&amp;C820</f>
        <v>Wool Blankets &amp; Sleeping Bags|Labor|Input</v>
      </c>
      <c r="N820" s="1" t="s">
        <v>1805</v>
      </c>
    </row>
    <row r="821" customFormat="false" ht="15" hidden="false" customHeight="true" outlineLevel="0" collapsed="false">
      <c r="A821" s="6" t="s">
        <v>1806</v>
      </c>
      <c r="B821" s="6" t="s">
        <v>922</v>
      </c>
      <c r="C821" s="6" t="s">
        <v>938</v>
      </c>
      <c r="D821" s="6" t="s">
        <v>71</v>
      </c>
      <c r="E821" s="26" t="n">
        <v>2</v>
      </c>
      <c r="F821" s="6" t="str">
        <f aca="false">IFERROR(INDEX(Resources!$B$2:$B$64,MATCH($D821,Resources!$A$2:$A$64,0)),"?")</f>
        <v>hours</v>
      </c>
      <c r="G821" s="6" t="s">
        <v>939</v>
      </c>
      <c r="H821" s="27" t="n">
        <f aca="false">E821*INDEX(Assumptions!$D$17:$D$23,MATCH(G821,Assumptions!$B$17:$B$23,0))</f>
        <v>2</v>
      </c>
      <c r="I821" s="6" t="n">
        <f aca="false">IFERROR(INDEX(Systems!$R$2:$R$179,MATCH($B821,Systems!$B$2:$B$179,0)),0)</f>
        <v>0</v>
      </c>
      <c r="J821" s="27" t="n">
        <f aca="false">H821*I821</f>
        <v>0</v>
      </c>
      <c r="K821" s="6" t="str">
        <f aca="false">IFERROR(IF(INDEX(Resources!$D$2:$D$64,MATCH($D821,Resources!$A$2:$A$64,0))="","",INDEX(Resources!$D$2:$D$64,MATCH($D821,Resources!$A$2:$A$64,0))),"")</f>
        <v>Est. Required Labor</v>
      </c>
      <c r="L821" s="28" t="n">
        <f aca="false">IF(K821="","",J821*INDEX(Resources!$E$2:$E$64,MATCH($D821,Resources!$A$2:$A$64,0)))</f>
        <v>0</v>
      </c>
      <c r="M821" s="6" t="str">
        <f aca="false">B821&amp;"|"&amp;D821&amp;"|"&amp;C821</f>
        <v>Farm Stand|Labor|Input</v>
      </c>
      <c r="N821" s="1" t="s">
        <v>1807</v>
      </c>
    </row>
    <row r="822" customFormat="false" ht="15" hidden="false" customHeight="true" outlineLevel="0" collapsed="false">
      <c r="A822" s="6" t="s">
        <v>1808</v>
      </c>
      <c r="B822" s="6" t="s">
        <v>922</v>
      </c>
      <c r="C822" s="6" t="s">
        <v>938</v>
      </c>
      <c r="D822" s="6" t="s">
        <v>61</v>
      </c>
      <c r="E822" s="26" t="n">
        <v>10</v>
      </c>
      <c r="F822" s="6" t="str">
        <f aca="false">IFERROR(INDEX(Resources!$B$2:$B$64,MATCH($D822,Resources!$A$2:$A$64,0)),"?")</f>
        <v>miles</v>
      </c>
      <c r="G822" s="6" t="s">
        <v>939</v>
      </c>
      <c r="H822" s="27" t="n">
        <f aca="false">E822*INDEX(Assumptions!$D$17:$D$23,MATCH(G822,Assumptions!$B$17:$B$23,0))</f>
        <v>10</v>
      </c>
      <c r="I822" s="6" t="n">
        <f aca="false">IFERROR(INDEX(Systems!$R$2:$R$179,MATCH($B822,Systems!$B$2:$B$179,0)),0)</f>
        <v>0</v>
      </c>
      <c r="J822" s="27" t="n">
        <f aca="false">H822*I822</f>
        <v>0</v>
      </c>
      <c r="K822" s="6" t="str">
        <f aca="false">IFERROR(IF(INDEX(Resources!$D$2:$D$64,MATCH($D822,Resources!$A$2:$A$64,0))="","",INDEX(Resources!$D$2:$D$64,MATCH($D822,Resources!$A$2:$A$64,0))),"")</f>
        <v>Transportation</v>
      </c>
      <c r="L822" s="28" t="n">
        <f aca="false">IF(K822="","",J822*INDEX(Resources!$E$2:$E$64,MATCH($D822,Resources!$A$2:$A$64,0)))</f>
        <v>0</v>
      </c>
      <c r="M822" s="6" t="str">
        <f aca="false">B822&amp;"|"&amp;D822&amp;"|"&amp;C822</f>
        <v>Farm Stand|Transportation|Input</v>
      </c>
      <c r="N822" s="1" t="s">
        <v>1809</v>
      </c>
    </row>
  </sheetData>
  <conditionalFormatting sqref="F2:F1500">
    <cfRule type="cellIs" priority="2" operator="equal" aboveAverage="0" equalAverage="0" bottom="0" percent="0" rank="0" text="" dxfId="0">
      <formula>"?"</formula>
    </cfRule>
  </conditionalFormatting>
  <dataValidations count="2">
    <dataValidation allowBlank="false" errorStyle="stop" operator="between" showDropDown="false" showErrorMessage="false" showInputMessage="false" sqref="G2:G1500" type="list">
      <formula1>"Daily,Weekly,Monthly,Per season,Yearly,One-time,Capacity"</formula1>
      <formula2>0</formula2>
    </dataValidation>
    <dataValidation allowBlank="false" errorStyle="stop" operator="between" showDropDown="false" showErrorMessage="false" showInputMessage="false" sqref="C2:C1500" type="list">
      <formula1>"Input,Output"</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6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1" width="28"/>
    <col collapsed="false" customWidth="true" hidden="false" outlineLevel="0" max="3" min="2" style="1" width="10"/>
    <col collapsed="false" customWidth="true" hidden="false" outlineLevel="0" max="4" min="4" style="1" width="20"/>
    <col collapsed="false" customWidth="true" hidden="false" outlineLevel="0" max="5" min="5" style="1" width="12"/>
    <col collapsed="false" customWidth="true" hidden="false" outlineLevel="0" max="7" min="6" style="1" width="10"/>
    <col collapsed="false" customWidth="true" hidden="false" outlineLevel="0" max="8" min="8" style="1" width="30"/>
    <col collapsed="false" customWidth="true" hidden="false" outlineLevel="0" max="11" min="9" style="1" width="14"/>
    <col collapsed="false" customWidth="true" hidden="false" outlineLevel="0" max="12" min="12" style="1" width="16"/>
    <col collapsed="false" customWidth="true" hidden="false" outlineLevel="0" max="13" min="13" style="1" width="60"/>
  </cols>
  <sheetData>
    <row r="1" customFormat="false" ht="51.75" hidden="false" customHeight="true" outlineLevel="0" collapsed="false">
      <c r="A1" s="8" t="s">
        <v>929</v>
      </c>
      <c r="B1" s="8" t="s">
        <v>44</v>
      </c>
      <c r="C1" s="8" t="s">
        <v>1810</v>
      </c>
      <c r="D1" s="8" t="s">
        <v>934</v>
      </c>
      <c r="E1" s="8" t="s">
        <v>1811</v>
      </c>
      <c r="F1" s="8" t="s">
        <v>1812</v>
      </c>
      <c r="G1" s="8" t="s">
        <v>1813</v>
      </c>
      <c r="H1" s="8" t="s">
        <v>1814</v>
      </c>
      <c r="I1" s="8" t="s">
        <v>1815</v>
      </c>
      <c r="J1" s="8" t="s">
        <v>1816</v>
      </c>
      <c r="K1" s="8" t="s">
        <v>1817</v>
      </c>
      <c r="L1" s="8" t="s">
        <v>1818</v>
      </c>
      <c r="M1" s="8" t="s">
        <v>152</v>
      </c>
    </row>
    <row r="2" customFormat="false" ht="15" hidden="false" customHeight="true" outlineLevel="0" collapsed="false">
      <c r="A2" s="6" t="s">
        <v>49</v>
      </c>
      <c r="B2" s="6" t="s">
        <v>50</v>
      </c>
      <c r="C2" s="6" t="s">
        <v>1819</v>
      </c>
      <c r="D2" s="6" t="s">
        <v>49</v>
      </c>
      <c r="E2" s="23" t="n">
        <v>1</v>
      </c>
      <c r="F2" s="6" t="n">
        <f aca="false">COUNTIFS(Flows!$D$2:$D$1500,$A2,Flows!$C$2:$C$1500,"Output")</f>
        <v>10</v>
      </c>
      <c r="G2" s="6" t="n">
        <f aca="false">COUNTIFS(Flows!$D$2:$D$1500,$A2,Flows!$C$2:$C$1500,"Input")</f>
        <v>54</v>
      </c>
      <c r="H2" s="6" t="str">
        <f aca="false">IF(C2="Ambient","Site-supplied",IF(AND(F2=0,G2=0),"Unused",IF(F2=0,"External source (no producer)",IF(G2=0,IF(D2&lt;&gt;"","Meets a human need","End product (no consumer)"),"Intermediate (made and used)"))))</f>
        <v>Intermediate (made and used)</v>
      </c>
      <c r="I2" s="30" t="n">
        <f aca="false">SUMIFS(Flows!$J$2:$J$1500,Flows!$D$2:$D$1500,$A2,Flows!$C$2:$C$1500,"Output")</f>
        <v>1000</v>
      </c>
      <c r="J2" s="30" t="n">
        <f aca="false">SUMIFS(Flows!$J$2:$J$1500,Flows!$D$2:$D$1500,$A2,Flows!$C$2:$C$1500,"Input")</f>
        <v>151</v>
      </c>
      <c r="K2" s="30" t="n">
        <f aca="false">I2-J2</f>
        <v>849</v>
      </c>
      <c r="L2" s="6" t="str">
        <f aca="false">IF(C2="Ambient","Site-supplied",IF(AND(I2=0,J2=0),"Not in design",IF(K2&lt;-0.0001*MAX(J2,1),"Deficit",IF(K2&gt;0.0001*MAX(I2,1),"Surplus","Balanced"))))</f>
        <v>Surplus</v>
      </c>
      <c r="M2" s="5" t="s">
        <v>1820</v>
      </c>
    </row>
    <row r="3" customFormat="false" ht="15" hidden="false" customHeight="true" outlineLevel="0" collapsed="false">
      <c r="A3" s="6" t="s">
        <v>51</v>
      </c>
      <c r="B3" s="6" t="s">
        <v>50</v>
      </c>
      <c r="C3" s="6" t="s">
        <v>1819</v>
      </c>
      <c r="D3" s="6" t="s">
        <v>51</v>
      </c>
      <c r="E3" s="23" t="n">
        <v>1</v>
      </c>
      <c r="F3" s="6" t="n">
        <f aca="false">COUNTIFS(Flows!$D$2:$D$1500,$A3,Flows!$C$2:$C$1500,"Output")</f>
        <v>8</v>
      </c>
      <c r="G3" s="6" t="n">
        <f aca="false">COUNTIFS(Flows!$D$2:$D$1500,$A3,Flows!$C$2:$C$1500,"Input")</f>
        <v>1</v>
      </c>
      <c r="H3" s="6" t="str">
        <f aca="false">IF(C3="Ambient","Site-supplied",IF(AND(F3=0,G3=0),"Unused",IF(F3=0,"External source (no producer)",IF(G3=0,IF(D3&lt;&gt;"","Meets a human need","End product (no consumer)"),"Intermediate (made and used)"))))</f>
        <v>Intermediate (made and used)</v>
      </c>
      <c r="I3" s="30" t="n">
        <f aca="false">SUMIFS(Flows!$J$2:$J$1500,Flows!$D$2:$D$1500,$A3,Flows!$C$2:$C$1500,"Output")</f>
        <v>0</v>
      </c>
      <c r="J3" s="30" t="n">
        <f aca="false">SUMIFS(Flows!$J$2:$J$1500,Flows!$D$2:$D$1500,$A3,Flows!$C$2:$C$1500,"Input")</f>
        <v>5</v>
      </c>
      <c r="K3" s="30" t="n">
        <f aca="false">I3-J3</f>
        <v>-5</v>
      </c>
      <c r="L3" s="6" t="str">
        <f aca="false">IF(C3="Ambient","Site-supplied",IF(AND(I3=0,J3=0),"Not in design",IF(K3&lt;-0.0001*MAX(J3,1),"Deficit",IF(K3&gt;0.0001*MAX(I3,1),"Surplus","Balanced"))))</f>
        <v>Deficit</v>
      </c>
      <c r="M3" s="5" t="s">
        <v>1821</v>
      </c>
    </row>
    <row r="4" customFormat="false" ht="15" hidden="false" customHeight="true" outlineLevel="0" collapsed="false">
      <c r="A4" s="6" t="s">
        <v>982</v>
      </c>
      <c r="B4" s="6" t="s">
        <v>50</v>
      </c>
      <c r="C4" s="6" t="s">
        <v>1819</v>
      </c>
      <c r="E4" s="23"/>
      <c r="F4" s="6" t="n">
        <f aca="false">COUNTIFS(Flows!$D$2:$D$1500,$A4,Flows!$C$2:$C$1500,"Output")</f>
        <v>3</v>
      </c>
      <c r="G4" s="6" t="n">
        <f aca="false">COUNTIFS(Flows!$D$2:$D$1500,$A4,Flows!$C$2:$C$1500,"Input")</f>
        <v>1</v>
      </c>
      <c r="H4" s="6" t="str">
        <f aca="false">IF(C4="Ambient","Site-supplied",IF(AND(F4=0,G4=0),"Unused",IF(F4=0,"External source (no producer)",IF(G4=0,IF(D4&lt;&gt;"","Meets a human need","End product (no consumer)"),"Intermediate (made and used)"))))</f>
        <v>Intermediate (made and used)</v>
      </c>
      <c r="I4" s="30" t="n">
        <f aca="false">SUMIFS(Flows!$J$2:$J$1500,Flows!$D$2:$D$1500,$A4,Flows!$C$2:$C$1500,"Output")</f>
        <v>0</v>
      </c>
      <c r="J4" s="30" t="n">
        <f aca="false">SUMIFS(Flows!$J$2:$J$1500,Flows!$D$2:$D$1500,$A4,Flows!$C$2:$C$1500,"Input")</f>
        <v>40</v>
      </c>
      <c r="K4" s="30" t="n">
        <f aca="false">I4-J4</f>
        <v>-40</v>
      </c>
      <c r="L4" s="6" t="str">
        <f aca="false">IF(C4="Ambient","Site-supplied",IF(AND(I4=0,J4=0),"Not in design",IF(K4&lt;-0.0001*MAX(J4,1),"Deficit",IF(K4&gt;0.0001*MAX(I4,1),"Surplus","Balanced"))))</f>
        <v>Deficit</v>
      </c>
      <c r="M4" s="5" t="s">
        <v>1822</v>
      </c>
    </row>
    <row r="5" customFormat="false" ht="15" hidden="false" customHeight="true" outlineLevel="0" collapsed="false">
      <c r="A5" s="6" t="s">
        <v>1089</v>
      </c>
      <c r="B5" s="6" t="s">
        <v>50</v>
      </c>
      <c r="C5" s="6" t="s">
        <v>1819</v>
      </c>
      <c r="E5" s="23"/>
      <c r="F5" s="6" t="n">
        <f aca="false">COUNTIFS(Flows!$D$2:$D$1500,$A5,Flows!$C$2:$C$1500,"Output")</f>
        <v>2</v>
      </c>
      <c r="G5" s="6" t="n">
        <f aca="false">COUNTIFS(Flows!$D$2:$D$1500,$A5,Flows!$C$2:$C$1500,"Input")</f>
        <v>3</v>
      </c>
      <c r="H5" s="6" t="str">
        <f aca="false">IF(C5="Ambient","Site-supplied",IF(AND(F5=0,G5=0),"Unused",IF(F5=0,"External source (no producer)",IF(G5=0,IF(D5&lt;&gt;"","Meets a human need","End product (no consumer)"),"Intermediate (made and used)"))))</f>
        <v>Intermediate (made and used)</v>
      </c>
      <c r="I5" s="30" t="n">
        <f aca="false">SUMIFS(Flows!$J$2:$J$1500,Flows!$D$2:$D$1500,$A5,Flows!$C$2:$C$1500,"Output")</f>
        <v>100</v>
      </c>
      <c r="J5" s="30" t="n">
        <f aca="false">SUMIFS(Flows!$J$2:$J$1500,Flows!$D$2:$D$1500,$A5,Flows!$C$2:$C$1500,"Input")</f>
        <v>0</v>
      </c>
      <c r="K5" s="30" t="n">
        <f aca="false">I5-J5</f>
        <v>100</v>
      </c>
      <c r="L5" s="6" t="str">
        <f aca="false">IF(C5="Ambient","Site-supplied",IF(AND(I5=0,J5=0),"Not in design",IF(K5&lt;-0.0001*MAX(J5,1),"Deficit",IF(K5&gt;0.0001*MAX(I5,1),"Surplus","Balanced"))))</f>
        <v>Surplus</v>
      </c>
      <c r="M5" s="5" t="s">
        <v>1823</v>
      </c>
    </row>
    <row r="6" customFormat="false" ht="15" hidden="false" customHeight="true" outlineLevel="0" collapsed="false">
      <c r="A6" s="6" t="s">
        <v>52</v>
      </c>
      <c r="B6" s="6" t="s">
        <v>53</v>
      </c>
      <c r="C6" s="6" t="s">
        <v>1819</v>
      </c>
      <c r="D6" s="6" t="s">
        <v>52</v>
      </c>
      <c r="E6" s="23" t="n">
        <v>1</v>
      </c>
      <c r="F6" s="6" t="n">
        <f aca="false">COUNTIFS(Flows!$D$2:$D$1500,$A6,Flows!$C$2:$C$1500,"Output")</f>
        <v>3</v>
      </c>
      <c r="G6" s="6" t="n">
        <f aca="false">COUNTIFS(Flows!$D$2:$D$1500,$A6,Flows!$C$2:$C$1500,"Input")</f>
        <v>6</v>
      </c>
      <c r="H6" s="6" t="str">
        <f aca="false">IF(C6="Ambient","Site-supplied",IF(AND(F6=0,G6=0),"Unused",IF(F6=0,"External source (no producer)",IF(G6=0,IF(D6&lt;&gt;"","Meets a human need","End product (no consumer)"),"Intermediate (made and used)"))))</f>
        <v>Intermediate (made and used)</v>
      </c>
      <c r="I6" s="30" t="n">
        <f aca="false">SUMIFS(Flows!$J$2:$J$1500,Flows!$D$2:$D$1500,$A6,Flows!$C$2:$C$1500,"Output")</f>
        <v>0</v>
      </c>
      <c r="J6" s="30" t="n">
        <f aca="false">SUMIFS(Flows!$J$2:$J$1500,Flows!$D$2:$D$1500,$A6,Flows!$C$2:$C$1500,"Input")</f>
        <v>16000</v>
      </c>
      <c r="K6" s="30" t="n">
        <f aca="false">I6-J6</f>
        <v>-16000</v>
      </c>
      <c r="L6" s="6" t="str">
        <f aca="false">IF(C6="Ambient","Site-supplied",IF(AND(I6=0,J6=0),"Not in design",IF(K6&lt;-0.0001*MAX(J6,1),"Deficit",IF(K6&gt;0.0001*MAX(I6,1),"Surplus","Balanced"))))</f>
        <v>Deficit</v>
      </c>
      <c r="M6" s="5" t="s">
        <v>1824</v>
      </c>
    </row>
    <row r="7" customFormat="false" ht="26.25" hidden="false" customHeight="true" outlineLevel="0" collapsed="false">
      <c r="A7" s="6" t="s">
        <v>561</v>
      </c>
      <c r="B7" s="6" t="s">
        <v>58</v>
      </c>
      <c r="C7" s="6" t="s">
        <v>1819</v>
      </c>
      <c r="D7" s="6" t="s">
        <v>52</v>
      </c>
      <c r="E7" s="23" t="n">
        <v>150</v>
      </c>
      <c r="F7" s="6" t="n">
        <f aca="false">COUNTIFS(Flows!$D$2:$D$1500,$A7,Flows!$C$2:$C$1500,"Output")</f>
        <v>12</v>
      </c>
      <c r="G7" s="6" t="n">
        <f aca="false">COUNTIFS(Flows!$D$2:$D$1500,$A7,Flows!$C$2:$C$1500,"Input")</f>
        <v>0</v>
      </c>
      <c r="H7" s="6" t="str">
        <f aca="false">IF(C7="Ambient","Site-supplied",IF(AND(F7=0,G7=0),"Unused",IF(F7=0,"External source (no producer)",IF(G7=0,IF(D7&lt;&gt;"","Meets a human need","End product (no consumer)"),"Intermediate (made and used)"))))</f>
        <v>Meets a human need</v>
      </c>
      <c r="I7" s="30" t="n">
        <f aca="false">SUMIFS(Flows!$J$2:$J$1500,Flows!$D$2:$D$1500,$A7,Flows!$C$2:$C$1500,"Output")</f>
        <v>0.346153846153846</v>
      </c>
      <c r="J7" s="30" t="n">
        <f aca="false">SUMIFS(Flows!$J$2:$J$1500,Flows!$D$2:$D$1500,$A7,Flows!$C$2:$C$1500,"Input")</f>
        <v>0</v>
      </c>
      <c r="K7" s="30" t="n">
        <f aca="false">I7-J7</f>
        <v>0.346153846153846</v>
      </c>
      <c r="L7" s="6" t="str">
        <f aca="false">IF(C7="Ambient","Site-supplied",IF(AND(I7=0,J7=0),"Not in design",IF(K7&lt;-0.0001*MAX(J7,1),"Deficit",IF(K7&gt;0.0001*MAX(I7,1),"Surplus","Balanced"))))</f>
        <v>Surplus</v>
      </c>
      <c r="M7" s="5" t="s">
        <v>1825</v>
      </c>
    </row>
    <row r="8" customFormat="false" ht="15" hidden="false" customHeight="true" outlineLevel="0" collapsed="false">
      <c r="A8" s="6" t="s">
        <v>1568</v>
      </c>
      <c r="B8" s="6" t="s">
        <v>58</v>
      </c>
      <c r="C8" s="6" t="s">
        <v>1819</v>
      </c>
      <c r="D8" s="6" t="s">
        <v>52</v>
      </c>
      <c r="E8" s="23" t="n">
        <v>350</v>
      </c>
      <c r="F8" s="6" t="n">
        <f aca="false">COUNTIFS(Flows!$D$2:$D$1500,$A8,Flows!$C$2:$C$1500,"Output")</f>
        <v>1</v>
      </c>
      <c r="G8" s="6" t="n">
        <f aca="false">COUNTIFS(Flows!$D$2:$D$1500,$A8,Flows!$C$2:$C$1500,"Input")</f>
        <v>1</v>
      </c>
      <c r="H8" s="6" t="str">
        <f aca="false">IF(C8="Ambient","Site-supplied",IF(AND(F8=0,G8=0),"Unused",IF(F8=0,"External source (no producer)",IF(G8=0,IF(D8&lt;&gt;"","Meets a human need","End product (no consumer)"),"Intermediate (made and used)"))))</f>
        <v>Intermediate (made and used)</v>
      </c>
      <c r="I8" s="30" t="n">
        <f aca="false">SUMIFS(Flows!$J$2:$J$1500,Flows!$D$2:$D$1500,$A8,Flows!$C$2:$C$1500,"Output")</f>
        <v>0</v>
      </c>
      <c r="J8" s="30" t="n">
        <f aca="false">SUMIFS(Flows!$J$2:$J$1500,Flows!$D$2:$D$1500,$A8,Flows!$C$2:$C$1500,"Input")</f>
        <v>0</v>
      </c>
      <c r="K8" s="30" t="n">
        <f aca="false">I8-J8</f>
        <v>0</v>
      </c>
      <c r="L8" s="6" t="str">
        <f aca="false">IF(C8="Ambient","Site-supplied",IF(AND(I8=0,J8=0),"Not in design",IF(K8&lt;-0.0001*MAX(J8,1),"Deficit",IF(K8&gt;0.0001*MAX(I8,1),"Surplus","Balanced"))))</f>
        <v>Not in design</v>
      </c>
      <c r="M8" s="5" t="s">
        <v>1826</v>
      </c>
    </row>
    <row r="9" customFormat="false" ht="15" hidden="false" customHeight="true" outlineLevel="0" collapsed="false">
      <c r="A9" s="6" t="s">
        <v>1561</v>
      </c>
      <c r="B9" s="6" t="s">
        <v>58</v>
      </c>
      <c r="C9" s="6" t="s">
        <v>1819</v>
      </c>
      <c r="D9" s="6" t="s">
        <v>52</v>
      </c>
      <c r="E9" s="23" t="n">
        <v>1500</v>
      </c>
      <c r="F9" s="6" t="n">
        <f aca="false">COUNTIFS(Flows!$D$2:$D$1500,$A9,Flows!$C$2:$C$1500,"Output")</f>
        <v>1</v>
      </c>
      <c r="G9" s="6" t="n">
        <f aca="false">COUNTIFS(Flows!$D$2:$D$1500,$A9,Flows!$C$2:$C$1500,"Input")</f>
        <v>2</v>
      </c>
      <c r="H9" s="6" t="str">
        <f aca="false">IF(C9="Ambient","Site-supplied",IF(AND(F9=0,G9=0),"Unused",IF(F9=0,"External source (no producer)",IF(G9=0,IF(D9&lt;&gt;"","Meets a human need","End product (no consumer)"),"Intermediate (made and used)"))))</f>
        <v>Intermediate (made and used)</v>
      </c>
      <c r="I9" s="30" t="n">
        <f aca="false">SUMIFS(Flows!$J$2:$J$1500,Flows!$D$2:$D$1500,$A9,Flows!$C$2:$C$1500,"Output")</f>
        <v>0</v>
      </c>
      <c r="J9" s="30" t="n">
        <f aca="false">SUMIFS(Flows!$J$2:$J$1500,Flows!$D$2:$D$1500,$A9,Flows!$C$2:$C$1500,"Input")</f>
        <v>0</v>
      </c>
      <c r="K9" s="30" t="n">
        <f aca="false">I9-J9</f>
        <v>0</v>
      </c>
      <c r="L9" s="6" t="str">
        <f aca="false">IF(C9="Ambient","Site-supplied",IF(AND(I9=0,J9=0),"Not in design",IF(K9&lt;-0.0001*MAX(J9,1),"Deficit",IF(K9&gt;0.0001*MAX(I9,1),"Surplus","Balanced"))))</f>
        <v>Not in design</v>
      </c>
      <c r="M9" s="5" t="s">
        <v>1827</v>
      </c>
    </row>
    <row r="10" customFormat="false" ht="26.25" hidden="false" customHeight="true" outlineLevel="0" collapsed="false">
      <c r="A10" s="6" t="s">
        <v>1049</v>
      </c>
      <c r="B10" s="6" t="s">
        <v>1828</v>
      </c>
      <c r="C10" s="6" t="s">
        <v>1819</v>
      </c>
      <c r="D10" s="6" t="s">
        <v>52</v>
      </c>
      <c r="E10" s="23" t="n">
        <v>70</v>
      </c>
      <c r="F10" s="6" t="n">
        <f aca="false">COUNTIFS(Flows!$D$2:$D$1500,$A10,Flows!$C$2:$C$1500,"Output")</f>
        <v>4</v>
      </c>
      <c r="G10" s="6" t="n">
        <f aca="false">COUNTIFS(Flows!$D$2:$D$1500,$A10,Flows!$C$2:$C$1500,"Input")</f>
        <v>0</v>
      </c>
      <c r="H10" s="6" t="str">
        <f aca="false">IF(C10="Ambient","Site-supplied",IF(AND(F10=0,G10=0),"Unused",IF(F10=0,"External source (no producer)",IF(G10=0,IF(D10&lt;&gt;"","Meets a human need","End product (no consumer)"),"Intermediate (made and used)"))))</f>
        <v>Meets a human need</v>
      </c>
      <c r="I10" s="30" t="n">
        <f aca="false">SUMIFS(Flows!$J$2:$J$1500,Flows!$D$2:$D$1500,$A10,Flows!$C$2:$C$1500,"Output")</f>
        <v>55</v>
      </c>
      <c r="J10" s="30" t="n">
        <f aca="false">SUMIFS(Flows!$J$2:$J$1500,Flows!$D$2:$D$1500,$A10,Flows!$C$2:$C$1500,"Input")</f>
        <v>0</v>
      </c>
      <c r="K10" s="30" t="n">
        <f aca="false">I10-J10</f>
        <v>55</v>
      </c>
      <c r="L10" s="6" t="str">
        <f aca="false">IF(C10="Ambient","Site-supplied",IF(AND(I10=0,J10=0),"Not in design",IF(K10&lt;-0.0001*MAX(J10,1),"Deficit",IF(K10&gt;0.0001*MAX(I10,1),"Surplus","Balanced"))))</f>
        <v>Surplus</v>
      </c>
      <c r="M10" s="5" t="s">
        <v>1829</v>
      </c>
    </row>
    <row r="11" customFormat="false" ht="15" hidden="false" customHeight="true" outlineLevel="0" collapsed="false">
      <c r="A11" s="6" t="s">
        <v>1031</v>
      </c>
      <c r="B11" s="6" t="s">
        <v>58</v>
      </c>
      <c r="C11" s="6" t="s">
        <v>1819</v>
      </c>
      <c r="D11" s="6" t="s">
        <v>52</v>
      </c>
      <c r="E11" s="23" t="n">
        <v>1380</v>
      </c>
      <c r="F11" s="6" t="n">
        <f aca="false">COUNTIFS(Flows!$D$2:$D$1500,$A11,Flows!$C$2:$C$1500,"Output")</f>
        <v>1</v>
      </c>
      <c r="G11" s="6" t="n">
        <f aca="false">COUNTIFS(Flows!$D$2:$D$1500,$A11,Flows!$C$2:$C$1500,"Input")</f>
        <v>0</v>
      </c>
      <c r="H11" s="6" t="str">
        <f aca="false">IF(C11="Ambient","Site-supplied",IF(AND(F11=0,G11=0),"Unused",IF(F11=0,"External source (no producer)",IF(G11=0,IF(D11&lt;&gt;"","Meets a human need","End product (no consumer)"),"Intermediate (made and used)"))))</f>
        <v>Meets a human need</v>
      </c>
      <c r="I11" s="30" t="n">
        <f aca="false">SUMIFS(Flows!$J$2:$J$1500,Flows!$D$2:$D$1500,$A11,Flows!$C$2:$C$1500,"Output")</f>
        <v>0</v>
      </c>
      <c r="J11" s="30" t="n">
        <f aca="false">SUMIFS(Flows!$J$2:$J$1500,Flows!$D$2:$D$1500,$A11,Flows!$C$2:$C$1500,"Input")</f>
        <v>0</v>
      </c>
      <c r="K11" s="30" t="n">
        <f aca="false">I11-J11</f>
        <v>0</v>
      </c>
      <c r="L11" s="6" t="str">
        <f aca="false">IF(C11="Ambient","Site-supplied",IF(AND(I11=0,J11=0),"Not in design",IF(K11&lt;-0.0001*MAX(J11,1),"Deficit",IF(K11&gt;0.0001*MAX(I11,1),"Surplus","Balanced"))))</f>
        <v>Not in design</v>
      </c>
      <c r="M11" s="5" t="s">
        <v>1830</v>
      </c>
    </row>
    <row r="12" customFormat="false" ht="15" hidden="false" customHeight="true" outlineLevel="0" collapsed="false">
      <c r="A12" s="6" t="s">
        <v>1230</v>
      </c>
      <c r="B12" s="6" t="s">
        <v>58</v>
      </c>
      <c r="C12" s="6" t="s">
        <v>1819</v>
      </c>
      <c r="D12" s="6" t="s">
        <v>52</v>
      </c>
      <c r="E12" s="23" t="n">
        <v>900</v>
      </c>
      <c r="F12" s="6" t="n">
        <f aca="false">COUNTIFS(Flows!$D$2:$D$1500,$A12,Flows!$C$2:$C$1500,"Output")</f>
        <v>4</v>
      </c>
      <c r="G12" s="6" t="n">
        <f aca="false">COUNTIFS(Flows!$D$2:$D$1500,$A12,Flows!$C$2:$C$1500,"Input")</f>
        <v>0</v>
      </c>
      <c r="H12" s="6" t="str">
        <f aca="false">IF(C12="Ambient","Site-supplied",IF(AND(F12=0,G12=0),"Unused",IF(F12=0,"External source (no producer)",IF(G12=0,IF(D12&lt;&gt;"","Meets a human need","End product (no consumer)"),"Intermediate (made and used)"))))</f>
        <v>Meets a human need</v>
      </c>
      <c r="I12" s="30" t="n">
        <f aca="false">SUMIFS(Flows!$J$2:$J$1500,Flows!$D$2:$D$1500,$A12,Flows!$C$2:$C$1500,"Output")</f>
        <v>0</v>
      </c>
      <c r="J12" s="30" t="n">
        <f aca="false">SUMIFS(Flows!$J$2:$J$1500,Flows!$D$2:$D$1500,$A12,Flows!$C$2:$C$1500,"Input")</f>
        <v>0</v>
      </c>
      <c r="K12" s="30" t="n">
        <f aca="false">I12-J12</f>
        <v>0</v>
      </c>
      <c r="L12" s="6" t="str">
        <f aca="false">IF(C12="Ambient","Site-supplied",IF(AND(I12=0,J12=0),"Not in design",IF(K12&lt;-0.0001*MAX(J12,1),"Deficit",IF(K12&gt;0.0001*MAX(I12,1),"Surplus","Balanced"))))</f>
        <v>Not in design</v>
      </c>
      <c r="M12" s="5" t="s">
        <v>1831</v>
      </c>
    </row>
    <row r="13" customFormat="false" ht="15" hidden="false" customHeight="true" outlineLevel="0" collapsed="false">
      <c r="A13" s="6" t="s">
        <v>1655</v>
      </c>
      <c r="B13" s="6" t="s">
        <v>50</v>
      </c>
      <c r="C13" s="6" t="s">
        <v>1819</v>
      </c>
      <c r="D13" s="6" t="s">
        <v>52</v>
      </c>
      <c r="E13" s="23" t="n">
        <v>2700</v>
      </c>
      <c r="F13" s="6" t="n">
        <f aca="false">COUNTIFS(Flows!$D$2:$D$1500,$A13,Flows!$C$2:$C$1500,"Output")</f>
        <v>1</v>
      </c>
      <c r="G13" s="6" t="n">
        <f aca="false">COUNTIFS(Flows!$D$2:$D$1500,$A13,Flows!$C$2:$C$1500,"Input")</f>
        <v>0</v>
      </c>
      <c r="H13" s="6" t="str">
        <f aca="false">IF(C13="Ambient","Site-supplied",IF(AND(F13=0,G13=0),"Unused",IF(F13=0,"External source (no producer)",IF(G13=0,IF(D13&lt;&gt;"","Meets a human need","End product (no consumer)"),"Intermediate (made and used)"))))</f>
        <v>Meets a human need</v>
      </c>
      <c r="I13" s="30" t="n">
        <f aca="false">SUMIFS(Flows!$J$2:$J$1500,Flows!$D$2:$D$1500,$A13,Flows!$C$2:$C$1500,"Output")</f>
        <v>0</v>
      </c>
      <c r="J13" s="30" t="n">
        <f aca="false">SUMIFS(Flows!$J$2:$J$1500,Flows!$D$2:$D$1500,$A13,Flows!$C$2:$C$1500,"Input")</f>
        <v>0</v>
      </c>
      <c r="K13" s="30" t="n">
        <f aca="false">I13-J13</f>
        <v>0</v>
      </c>
      <c r="L13" s="6" t="str">
        <f aca="false">IF(C13="Ambient","Site-supplied",IF(AND(I13=0,J13=0),"Not in design",IF(K13&lt;-0.0001*MAX(J13,1),"Deficit",IF(K13&gt;0.0001*MAX(I13,1),"Surplus","Balanced"))))</f>
        <v>Not in design</v>
      </c>
      <c r="M13" s="5" t="s">
        <v>1832</v>
      </c>
    </row>
    <row r="14" customFormat="false" ht="15" hidden="false" customHeight="true" outlineLevel="0" collapsed="false">
      <c r="A14" s="6" t="s">
        <v>1486</v>
      </c>
      <c r="B14" s="6" t="s">
        <v>58</v>
      </c>
      <c r="C14" s="6" t="s">
        <v>1819</v>
      </c>
      <c r="D14" s="6" t="s">
        <v>52</v>
      </c>
      <c r="E14" s="23" t="n">
        <v>550</v>
      </c>
      <c r="F14" s="6" t="n">
        <f aca="false">COUNTIFS(Flows!$D$2:$D$1500,$A14,Flows!$C$2:$C$1500,"Output")</f>
        <v>2</v>
      </c>
      <c r="G14" s="6" t="n">
        <f aca="false">COUNTIFS(Flows!$D$2:$D$1500,$A14,Flows!$C$2:$C$1500,"Input")</f>
        <v>0</v>
      </c>
      <c r="H14" s="6" t="str">
        <f aca="false">IF(C14="Ambient","Site-supplied",IF(AND(F14=0,G14=0),"Unused",IF(F14=0,"External source (no producer)",IF(G14=0,IF(D14&lt;&gt;"","Meets a human need","End product (no consumer)"),"Intermediate (made and used)"))))</f>
        <v>Meets a human need</v>
      </c>
      <c r="I14" s="30" t="n">
        <f aca="false">SUMIFS(Flows!$J$2:$J$1500,Flows!$D$2:$D$1500,$A14,Flows!$C$2:$C$1500,"Output")</f>
        <v>0</v>
      </c>
      <c r="J14" s="30" t="n">
        <f aca="false">SUMIFS(Flows!$J$2:$J$1500,Flows!$D$2:$D$1500,$A14,Flows!$C$2:$C$1500,"Input")</f>
        <v>0</v>
      </c>
      <c r="K14" s="30" t="n">
        <f aca="false">I14-J14</f>
        <v>0</v>
      </c>
      <c r="L14" s="6" t="str">
        <f aca="false">IF(C14="Ambient","Site-supplied",IF(AND(I14=0,J14=0),"Not in design",IF(K14&lt;-0.0001*MAX(J14,1),"Deficit",IF(K14&gt;0.0001*MAX(I14,1),"Surplus","Balanced"))))</f>
        <v>Not in design</v>
      </c>
      <c r="M14" s="5" t="s">
        <v>1833</v>
      </c>
    </row>
    <row r="15" customFormat="false" ht="15" hidden="false" customHeight="true" outlineLevel="0" collapsed="false">
      <c r="A15" s="6" t="s">
        <v>1121</v>
      </c>
      <c r="B15" s="6" t="s">
        <v>58</v>
      </c>
      <c r="C15" s="6" t="s">
        <v>1819</v>
      </c>
      <c r="D15" s="6" t="s">
        <v>52</v>
      </c>
      <c r="E15" s="23" t="n">
        <v>2800</v>
      </c>
      <c r="F15" s="6" t="n">
        <f aca="false">COUNTIFS(Flows!$D$2:$D$1500,$A15,Flows!$C$2:$C$1500,"Output")</f>
        <v>3</v>
      </c>
      <c r="G15" s="6" t="n">
        <f aca="false">COUNTIFS(Flows!$D$2:$D$1500,$A15,Flows!$C$2:$C$1500,"Input")</f>
        <v>0</v>
      </c>
      <c r="H15" s="6" t="str">
        <f aca="false">IF(C15="Ambient","Site-supplied",IF(AND(F15=0,G15=0),"Unused",IF(F15=0,"External source (no producer)",IF(G15=0,IF(D15&lt;&gt;"","Meets a human need","End product (no consumer)"),"Intermediate (made and used)"))))</f>
        <v>Meets a human need</v>
      </c>
      <c r="I15" s="30" t="n">
        <f aca="false">SUMIFS(Flows!$J$2:$J$1500,Flows!$D$2:$D$1500,$A15,Flows!$C$2:$C$1500,"Output")</f>
        <v>0.384615384615385</v>
      </c>
      <c r="J15" s="30" t="n">
        <f aca="false">SUMIFS(Flows!$J$2:$J$1500,Flows!$D$2:$D$1500,$A15,Flows!$C$2:$C$1500,"Input")</f>
        <v>0</v>
      </c>
      <c r="K15" s="30" t="n">
        <f aca="false">I15-J15</f>
        <v>0.384615384615385</v>
      </c>
      <c r="L15" s="6" t="str">
        <f aca="false">IF(C15="Ambient","Site-supplied",IF(AND(I15=0,J15=0),"Not in design",IF(K15&lt;-0.0001*MAX(J15,1),"Deficit",IF(K15&gt;0.0001*MAX(I15,1),"Surplus","Balanced"))))</f>
        <v>Surplus</v>
      </c>
      <c r="M15" s="5" t="s">
        <v>1834</v>
      </c>
    </row>
    <row r="16" customFormat="false" ht="15" hidden="false" customHeight="true" outlineLevel="0" collapsed="false">
      <c r="A16" s="6" t="s">
        <v>1547</v>
      </c>
      <c r="B16" s="6" t="s">
        <v>58</v>
      </c>
      <c r="C16" s="6" t="s">
        <v>1819</v>
      </c>
      <c r="D16" s="6" t="s">
        <v>52</v>
      </c>
      <c r="E16" s="23" t="n">
        <v>150</v>
      </c>
      <c r="F16" s="6" t="n">
        <f aca="false">COUNTIFS(Flows!$D$2:$D$1500,$A16,Flows!$C$2:$C$1500,"Output")</f>
        <v>1</v>
      </c>
      <c r="G16" s="6" t="n">
        <f aca="false">COUNTIFS(Flows!$D$2:$D$1500,$A16,Flows!$C$2:$C$1500,"Input")</f>
        <v>0</v>
      </c>
      <c r="H16" s="6" t="str">
        <f aca="false">IF(C16="Ambient","Site-supplied",IF(AND(F16=0,G16=0),"Unused",IF(F16=0,"External source (no producer)",IF(G16=0,IF(D16&lt;&gt;"","Meets a human need","End product (no consumer)"),"Intermediate (made and used)"))))</f>
        <v>Meets a human need</v>
      </c>
      <c r="I16" s="30" t="n">
        <f aca="false">SUMIFS(Flows!$J$2:$J$1500,Flows!$D$2:$D$1500,$A16,Flows!$C$2:$C$1500,"Output")</f>
        <v>0</v>
      </c>
      <c r="J16" s="30" t="n">
        <f aca="false">SUMIFS(Flows!$J$2:$J$1500,Flows!$D$2:$D$1500,$A16,Flows!$C$2:$C$1500,"Input")</f>
        <v>0</v>
      </c>
      <c r="K16" s="30" t="n">
        <f aca="false">I16-J16</f>
        <v>0</v>
      </c>
      <c r="L16" s="6" t="str">
        <f aca="false">IF(C16="Ambient","Site-supplied",IF(AND(I16=0,J16=0),"Not in design",IF(K16&lt;-0.0001*MAX(J16,1),"Deficit",IF(K16&gt;0.0001*MAX(I16,1),"Surplus","Balanced"))))</f>
        <v>Not in design</v>
      </c>
      <c r="M16" s="5" t="s">
        <v>1835</v>
      </c>
    </row>
    <row r="17" customFormat="false" ht="15" hidden="false" customHeight="true" outlineLevel="0" collapsed="false">
      <c r="A17" s="6" t="s">
        <v>55</v>
      </c>
      <c r="B17" s="6" t="s">
        <v>56</v>
      </c>
      <c r="C17" s="6" t="s">
        <v>945</v>
      </c>
      <c r="D17" s="6" t="s">
        <v>55</v>
      </c>
      <c r="E17" s="23" t="n">
        <v>1</v>
      </c>
      <c r="F17" s="6" t="n">
        <f aca="false">COUNTIFS(Flows!$D$2:$D$1500,$A17,Flows!$C$2:$C$1500,"Output")</f>
        <v>20</v>
      </c>
      <c r="G17" s="6" t="n">
        <f aca="false">COUNTIFS(Flows!$D$2:$D$1500,$A17,Flows!$C$2:$C$1500,"Input")</f>
        <v>1</v>
      </c>
      <c r="H17" s="6" t="str">
        <f aca="false">IF(C17="Ambient","Site-supplied",IF(AND(F17=0,G17=0),"Unused",IF(F17=0,"External source (no producer)",IF(G17=0,IF(D17&lt;&gt;"","Meets a human need","End product (no consumer)"),"Intermediate (made and used)"))))</f>
        <v>Intermediate (made and used)</v>
      </c>
      <c r="I17" s="30" t="n">
        <f aca="false">SUMIFS(Flows!$J$2:$J$1500,Flows!$D$2:$D$1500,$A17,Flows!$C$2:$C$1500,"Output")</f>
        <v>210</v>
      </c>
      <c r="J17" s="30" t="n">
        <f aca="false">SUMIFS(Flows!$J$2:$J$1500,Flows!$D$2:$D$1500,$A17,Flows!$C$2:$C$1500,"Input")</f>
        <v>200</v>
      </c>
      <c r="K17" s="30" t="n">
        <f aca="false">I17-J17</f>
        <v>10</v>
      </c>
      <c r="L17" s="6" t="str">
        <f aca="false">IF(C17="Ambient","Site-supplied",IF(AND(I17=0,J17=0),"Not in design",IF(K17&lt;-0.0001*MAX(J17,1),"Deficit",IF(K17&gt;0.0001*MAX(I17,1),"Surplus","Balanced"))))</f>
        <v>Surplus</v>
      </c>
      <c r="M17" s="5" t="s">
        <v>1836</v>
      </c>
    </row>
    <row r="18" customFormat="false" ht="15" hidden="false" customHeight="true" outlineLevel="0" collapsed="false">
      <c r="A18" s="6" t="s">
        <v>57</v>
      </c>
      <c r="B18" s="6" t="s">
        <v>58</v>
      </c>
      <c r="C18" s="6" t="s">
        <v>1819</v>
      </c>
      <c r="D18" s="6" t="s">
        <v>57</v>
      </c>
      <c r="E18" s="23" t="n">
        <v>1</v>
      </c>
      <c r="F18" s="6" t="n">
        <f aca="false">COUNTIFS(Flows!$D$2:$D$1500,$A18,Flows!$C$2:$C$1500,"Output")</f>
        <v>7</v>
      </c>
      <c r="G18" s="6" t="n">
        <f aca="false">COUNTIFS(Flows!$D$2:$D$1500,$A18,Flows!$C$2:$C$1500,"Input")</f>
        <v>1</v>
      </c>
      <c r="H18" s="6" t="str">
        <f aca="false">IF(C18="Ambient","Site-supplied",IF(AND(F18=0,G18=0),"Unused",IF(F18=0,"External source (no producer)",IF(G18=0,IF(D18&lt;&gt;"","Meets a human need","End product (no consumer)"),"Intermediate (made and used)"))))</f>
        <v>Intermediate (made and used)</v>
      </c>
      <c r="I18" s="30" t="n">
        <f aca="false">SUMIFS(Flows!$J$2:$J$1500,Flows!$D$2:$D$1500,$A18,Flows!$C$2:$C$1500,"Output")</f>
        <v>35</v>
      </c>
      <c r="J18" s="30" t="n">
        <f aca="false">SUMIFS(Flows!$J$2:$J$1500,Flows!$D$2:$D$1500,$A18,Flows!$C$2:$C$1500,"Input")</f>
        <v>17.5</v>
      </c>
      <c r="K18" s="30" t="n">
        <f aca="false">I18-J18</f>
        <v>17.5</v>
      </c>
      <c r="L18" s="6" t="str">
        <f aca="false">IF(C18="Ambient","Site-supplied",IF(AND(I18=0,J18=0),"Not in design",IF(K18&lt;-0.0001*MAX(J18,1),"Deficit",IF(K18&gt;0.0001*MAX(I18,1),"Surplus","Balanced"))))</f>
        <v>Surplus</v>
      </c>
      <c r="M18" s="5" t="s">
        <v>1837</v>
      </c>
    </row>
    <row r="19" customFormat="false" ht="15" hidden="false" customHeight="true" outlineLevel="0" collapsed="false">
      <c r="A19" s="6" t="s">
        <v>59</v>
      </c>
      <c r="B19" s="6" t="s">
        <v>60</v>
      </c>
      <c r="C19" s="6" t="s">
        <v>1819</v>
      </c>
      <c r="D19" s="6" t="s">
        <v>59</v>
      </c>
      <c r="E19" s="23" t="n">
        <v>1</v>
      </c>
      <c r="F19" s="6" t="n">
        <f aca="false">COUNTIFS(Flows!$D$2:$D$1500,$A19,Flows!$C$2:$C$1500,"Output")</f>
        <v>14</v>
      </c>
      <c r="G19" s="6" t="n">
        <f aca="false">COUNTIFS(Flows!$D$2:$D$1500,$A19,Flows!$C$2:$C$1500,"Input")</f>
        <v>27</v>
      </c>
      <c r="H19" s="6" t="str">
        <f aca="false">IF(C19="Ambient","Site-supplied",IF(AND(F19=0,G19=0),"Unused",IF(F19=0,"External source (no producer)",IF(G19=0,IF(D19&lt;&gt;"","Meets a human need","End product (no consumer)"),"Intermediate (made and used)"))))</f>
        <v>Intermediate (made and used)</v>
      </c>
      <c r="I19" s="30" t="n">
        <f aca="false">SUMIFS(Flows!$J$2:$J$1500,Flows!$D$2:$D$1500,$A19,Flows!$C$2:$C$1500,"Output")</f>
        <v>14</v>
      </c>
      <c r="J19" s="30" t="n">
        <f aca="false">SUMIFS(Flows!$J$2:$J$1500,Flows!$D$2:$D$1500,$A19,Flows!$C$2:$C$1500,"Input")</f>
        <v>24</v>
      </c>
      <c r="K19" s="30" t="n">
        <f aca="false">I19-J19</f>
        <v>-10</v>
      </c>
      <c r="L19" s="6" t="str">
        <f aca="false">IF(C19="Ambient","Site-supplied",IF(AND(I19=0,J19=0),"Not in design",IF(K19&lt;-0.0001*MAX(J19,1),"Deficit",IF(K19&gt;0.0001*MAX(I19,1),"Surplus","Balanced"))))</f>
        <v>Deficit</v>
      </c>
      <c r="M19" s="5" t="s">
        <v>1838</v>
      </c>
    </row>
    <row r="20" customFormat="false" ht="15" hidden="false" customHeight="true" outlineLevel="0" collapsed="false">
      <c r="A20" s="6" t="s">
        <v>61</v>
      </c>
      <c r="B20" s="6" t="s">
        <v>62</v>
      </c>
      <c r="C20" s="6" t="s">
        <v>1819</v>
      </c>
      <c r="D20" s="6" t="s">
        <v>61</v>
      </c>
      <c r="E20" s="23" t="n">
        <v>1</v>
      </c>
      <c r="F20" s="6" t="n">
        <f aca="false">COUNTIFS(Flows!$D$2:$D$1500,$A20,Flows!$C$2:$C$1500,"Output")</f>
        <v>9</v>
      </c>
      <c r="G20" s="6" t="n">
        <f aca="false">COUNTIFS(Flows!$D$2:$D$1500,$A20,Flows!$C$2:$C$1500,"Input")</f>
        <v>8</v>
      </c>
      <c r="H20" s="6" t="str">
        <f aca="false">IF(C20="Ambient","Site-supplied",IF(AND(F20=0,G20=0),"Unused",IF(F20=0,"External source (no producer)",IF(G20=0,IF(D20&lt;&gt;"","Meets a human need","End product (no consumer)"),"Intermediate (made and used)"))))</f>
        <v>Intermediate (made and used)</v>
      </c>
      <c r="I20" s="30" t="n">
        <f aca="false">SUMIFS(Flows!$J$2:$J$1500,Flows!$D$2:$D$1500,$A20,Flows!$C$2:$C$1500,"Output")</f>
        <v>50</v>
      </c>
      <c r="J20" s="30" t="n">
        <f aca="false">SUMIFS(Flows!$J$2:$J$1500,Flows!$D$2:$D$1500,$A20,Flows!$C$2:$C$1500,"Input")</f>
        <v>150</v>
      </c>
      <c r="K20" s="30" t="n">
        <f aca="false">I20-J20</f>
        <v>-100</v>
      </c>
      <c r="L20" s="6" t="str">
        <f aca="false">IF(C20="Ambient","Site-supplied",IF(AND(I20=0,J20=0),"Not in design",IF(K20&lt;-0.0001*MAX(J20,1),"Deficit",IF(K20&gt;0.0001*MAX(I20,1),"Surplus","Balanced"))))</f>
        <v>Deficit</v>
      </c>
      <c r="M20" s="5" t="s">
        <v>1839</v>
      </c>
    </row>
    <row r="21" customFormat="false" ht="15" hidden="false" customHeight="true" outlineLevel="0" collapsed="false">
      <c r="A21" s="6" t="s">
        <v>63</v>
      </c>
      <c r="B21" s="6" t="s">
        <v>64</v>
      </c>
      <c r="C21" s="6" t="s">
        <v>1819</v>
      </c>
      <c r="D21" s="6" t="s">
        <v>63</v>
      </c>
      <c r="E21" s="23" t="n">
        <v>1</v>
      </c>
      <c r="F21" s="6" t="n">
        <f aca="false">COUNTIFS(Flows!$D$2:$D$1500,$A21,Flows!$C$2:$C$1500,"Output")</f>
        <v>10</v>
      </c>
      <c r="G21" s="6" t="n">
        <f aca="false">COUNTIFS(Flows!$D$2:$D$1500,$A21,Flows!$C$2:$C$1500,"Input")</f>
        <v>2</v>
      </c>
      <c r="H21" s="6" t="str">
        <f aca="false">IF(C21="Ambient","Site-supplied",IF(AND(F21=0,G21=0),"Unused",IF(F21=0,"External source (no producer)",IF(G21=0,IF(D21&lt;&gt;"","Meets a human need","End product (no consumer)"),"Intermediate (made and used)"))))</f>
        <v>Intermediate (made and used)</v>
      </c>
      <c r="I21" s="30" t="n">
        <f aca="false">SUMIFS(Flows!$J$2:$J$1500,Flows!$D$2:$D$1500,$A21,Flows!$C$2:$C$1500,"Output")</f>
        <v>0</v>
      </c>
      <c r="J21" s="30" t="n">
        <f aca="false">SUMIFS(Flows!$J$2:$J$1500,Flows!$D$2:$D$1500,$A21,Flows!$C$2:$C$1500,"Input")</f>
        <v>5</v>
      </c>
      <c r="K21" s="30" t="n">
        <f aca="false">I21-J21</f>
        <v>-5</v>
      </c>
      <c r="L21" s="6" t="str">
        <f aca="false">IF(C21="Ambient","Site-supplied",IF(AND(I21=0,J21=0),"Not in design",IF(K21&lt;-0.0001*MAX(J21,1),"Deficit",IF(K21&gt;0.0001*MAX(I21,1),"Surplus","Balanced"))))</f>
        <v>Deficit</v>
      </c>
      <c r="M21" s="5" t="s">
        <v>1840</v>
      </c>
    </row>
    <row r="22" customFormat="false" ht="15" hidden="false" customHeight="true" outlineLevel="0" collapsed="false">
      <c r="A22" s="6" t="s">
        <v>67</v>
      </c>
      <c r="B22" s="6" t="s">
        <v>66</v>
      </c>
      <c r="C22" s="6" t="s">
        <v>1819</v>
      </c>
      <c r="D22" s="6" t="s">
        <v>65</v>
      </c>
      <c r="E22" s="23" t="n">
        <v>1</v>
      </c>
      <c r="F22" s="6" t="n">
        <f aca="false">COUNTIFS(Flows!$D$2:$D$1500,$A22,Flows!$C$2:$C$1500,"Output")</f>
        <v>14</v>
      </c>
      <c r="G22" s="6" t="n">
        <f aca="false">COUNTIFS(Flows!$D$2:$D$1500,$A22,Flows!$C$2:$C$1500,"Input")</f>
        <v>20</v>
      </c>
      <c r="H22" s="6" t="str">
        <f aca="false">IF(C22="Ambient","Site-supplied",IF(AND(F22=0,G22=0),"Unused",IF(F22=0,"External source (no producer)",IF(G22=0,IF(D22&lt;&gt;"","Meets a human need","End product (no consumer)"),"Intermediate (made and used)"))))</f>
        <v>Intermediate (made and used)</v>
      </c>
      <c r="I22" s="30" t="n">
        <f aca="false">SUMIFS(Flows!$J$2:$J$1500,Flows!$D$2:$D$1500,$A22,Flows!$C$2:$C$1500,"Output")</f>
        <v>0</v>
      </c>
      <c r="J22" s="30" t="n">
        <f aca="false">SUMIFS(Flows!$J$2:$J$1500,Flows!$D$2:$D$1500,$A22,Flows!$C$2:$C$1500,"Input")</f>
        <v>697846.153846154</v>
      </c>
      <c r="K22" s="30" t="n">
        <f aca="false">I22-J22</f>
        <v>-697846.153846154</v>
      </c>
      <c r="L22" s="6" t="str">
        <f aca="false">IF(C22="Ambient","Site-supplied",IF(AND(I22=0,J22=0),"Not in design",IF(K22&lt;-0.0001*MAX(J22,1),"Deficit",IF(K22&gt;0.0001*MAX(I22,1),"Surplus","Balanced"))))</f>
        <v>Deficit</v>
      </c>
      <c r="M22" s="5" t="s">
        <v>1841</v>
      </c>
    </row>
    <row r="23" customFormat="false" ht="26.25" hidden="false" customHeight="true" outlineLevel="0" collapsed="false">
      <c r="A23" s="6" t="s">
        <v>69</v>
      </c>
      <c r="B23" s="6" t="s">
        <v>66</v>
      </c>
      <c r="C23" s="6" t="s">
        <v>1819</v>
      </c>
      <c r="D23" s="6" t="s">
        <v>68</v>
      </c>
      <c r="E23" s="23" t="n">
        <v>1</v>
      </c>
      <c r="F23" s="6" t="n">
        <f aca="false">COUNTIFS(Flows!$D$2:$D$1500,$A23,Flows!$C$2:$C$1500,"Output")</f>
        <v>9</v>
      </c>
      <c r="G23" s="6" t="n">
        <f aca="false">COUNTIFS(Flows!$D$2:$D$1500,$A23,Flows!$C$2:$C$1500,"Input")</f>
        <v>20</v>
      </c>
      <c r="H23" s="6" t="str">
        <f aca="false">IF(C23="Ambient","Site-supplied",IF(AND(F23=0,G23=0),"Unused",IF(F23=0,"External source (no producer)",IF(G23=0,IF(D23&lt;&gt;"","Meets a human need","End product (no consumer)"),"Intermediate (made and used)"))))</f>
        <v>Intermediate (made and used)</v>
      </c>
      <c r="I23" s="30" t="n">
        <f aca="false">SUMIFS(Flows!$J$2:$J$1500,Flows!$D$2:$D$1500,$A23,Flows!$C$2:$C$1500,"Output")</f>
        <v>10000</v>
      </c>
      <c r="J23" s="30" t="n">
        <f aca="false">SUMIFS(Flows!$J$2:$J$1500,Flows!$D$2:$D$1500,$A23,Flows!$C$2:$C$1500,"Input")</f>
        <v>93046.1538461538</v>
      </c>
      <c r="K23" s="30" t="n">
        <f aca="false">I23-J23</f>
        <v>-83046.1538461538</v>
      </c>
      <c r="L23" s="6" t="str">
        <f aca="false">IF(C23="Ambient","Site-supplied",IF(AND(I23=0,J23=0),"Not in design",IF(K23&lt;-0.0001*MAX(J23,1),"Deficit",IF(K23&gt;0.0001*MAX(I23,1),"Surplus","Balanced"))))</f>
        <v>Deficit</v>
      </c>
      <c r="M23" s="5" t="s">
        <v>1842</v>
      </c>
    </row>
    <row r="24" customFormat="false" ht="26.25" hidden="false" customHeight="true" outlineLevel="0" collapsed="false">
      <c r="A24" s="6" t="s">
        <v>71</v>
      </c>
      <c r="B24" s="6" t="s">
        <v>64</v>
      </c>
      <c r="C24" s="6" t="s">
        <v>1819</v>
      </c>
      <c r="D24" s="6" t="s">
        <v>70</v>
      </c>
      <c r="E24" s="23" t="n">
        <v>1</v>
      </c>
      <c r="F24" s="6" t="n">
        <f aca="false">COUNTIFS(Flows!$D$2:$D$1500,$A24,Flows!$C$2:$C$1500,"Output")</f>
        <v>1</v>
      </c>
      <c r="G24" s="6" t="n">
        <f aca="false">COUNTIFS(Flows!$D$2:$D$1500,$A24,Flows!$C$2:$C$1500,"Input")</f>
        <v>156</v>
      </c>
      <c r="H24" s="6" t="str">
        <f aca="false">IF(C24="Ambient","Site-supplied",IF(AND(F24=0,G24=0),"Unused",IF(F24=0,"External source (no producer)",IF(G24=0,IF(D24&lt;&gt;"","Meets a human need","End product (no consumer)"),"Intermediate (made and used)"))))</f>
        <v>Intermediate (made and used)</v>
      </c>
      <c r="I24" s="30" t="n">
        <f aca="false">SUMIFS(Flows!$J$2:$J$1500,Flows!$D$2:$D$1500,$A24,Flows!$C$2:$C$1500,"Output")</f>
        <v>50</v>
      </c>
      <c r="J24" s="30" t="n">
        <f aca="false">SUMIFS(Flows!$J$2:$J$1500,Flows!$D$2:$D$1500,$A24,Flows!$C$2:$C$1500,"Input")</f>
        <v>9.67</v>
      </c>
      <c r="K24" s="30" t="n">
        <f aca="false">I24-J24</f>
        <v>40.33</v>
      </c>
      <c r="L24" s="6" t="str">
        <f aca="false">IF(C24="Ambient","Site-supplied",IF(AND(I24=0,J24=0),"Not in design",IF(K24&lt;-0.0001*MAX(J24,1),"Deficit",IF(K24&gt;0.0001*MAX(I24,1),"Surplus","Balanced"))))</f>
        <v>Surplus</v>
      </c>
      <c r="M24" s="5" t="s">
        <v>1843</v>
      </c>
    </row>
    <row r="25" customFormat="false" ht="26.25" hidden="false" customHeight="true" outlineLevel="0" collapsed="false">
      <c r="A25" s="6" t="s">
        <v>269</v>
      </c>
      <c r="B25" s="6" t="s">
        <v>87</v>
      </c>
      <c r="C25" s="6" t="s">
        <v>1844</v>
      </c>
      <c r="E25" s="23"/>
      <c r="F25" s="6" t="n">
        <f aca="false">COUNTIFS(Flows!$D$2:$D$1500,$A25,Flows!$C$2:$C$1500,"Output")</f>
        <v>3</v>
      </c>
      <c r="G25" s="6" t="n">
        <f aca="false">COUNTIFS(Flows!$D$2:$D$1500,$A25,Flows!$C$2:$C$1500,"Input")</f>
        <v>20</v>
      </c>
      <c r="H25" s="6" t="str">
        <f aca="false">IF(C25="Ambient","Site-supplied",IF(AND(F25=0,G25=0),"Unused",IF(F25=0,"External source (no producer)",IF(G25=0,IF(D25&lt;&gt;"","Meets a human need","End product (no consumer)"),"Intermediate (made and used)"))))</f>
        <v>Intermediate (made and used)</v>
      </c>
      <c r="I25" s="30" t="n">
        <f aca="false">SUMIFS(Flows!$J$2:$J$1500,Flows!$D$2:$D$1500,$A25,Flows!$C$2:$C$1500,"Output")</f>
        <v>0</v>
      </c>
      <c r="J25" s="30" t="n">
        <f aca="false">SUMIFS(Flows!$J$2:$J$1500,Flows!$D$2:$D$1500,$A25,Flows!$C$2:$C$1500,"Input")</f>
        <v>0</v>
      </c>
      <c r="K25" s="30" t="n">
        <f aca="false">I25-J25</f>
        <v>0</v>
      </c>
      <c r="L25" s="6" t="str">
        <f aca="false">IF(C25="Ambient","Site-supplied",IF(AND(I25=0,J25=0),"Not in design",IF(K25&lt;-0.0001*MAX(J25,1),"Deficit",IF(K25&gt;0.0001*MAX(I25,1),"Surplus","Balanced"))))</f>
        <v>Not in design</v>
      </c>
      <c r="M25" s="5" t="s">
        <v>1845</v>
      </c>
    </row>
    <row r="26" customFormat="false" ht="26.25" hidden="false" customHeight="true" outlineLevel="0" collapsed="false">
      <c r="A26" s="6" t="s">
        <v>165</v>
      </c>
      <c r="B26" s="6" t="s">
        <v>1846</v>
      </c>
      <c r="C26" s="6" t="s">
        <v>1847</v>
      </c>
      <c r="E26" s="23"/>
      <c r="F26" s="6" t="n">
        <f aca="false">COUNTIFS(Flows!$D$2:$D$1500,$A26,Flows!$C$2:$C$1500,"Output")</f>
        <v>1</v>
      </c>
      <c r="G26" s="6" t="n">
        <f aca="false">COUNTIFS(Flows!$D$2:$D$1500,$A26,Flows!$C$2:$C$1500,"Input")</f>
        <v>15</v>
      </c>
      <c r="H26" s="6" t="str">
        <f aca="false">IF(C26="Ambient","Site-supplied",IF(AND(F26=0,G26=0),"Unused",IF(F26=0,"External source (no producer)",IF(G26=0,IF(D26&lt;&gt;"","Meets a human need","End product (no consumer)"),"Intermediate (made and used)"))))</f>
        <v>Site-supplied</v>
      </c>
      <c r="I26" s="30" t="n">
        <f aca="false">SUMIFS(Flows!$J$2:$J$1500,Flows!$D$2:$D$1500,$A26,Flows!$C$2:$C$1500,"Output")</f>
        <v>35</v>
      </c>
      <c r="J26" s="30" t="n">
        <f aca="false">SUMIFS(Flows!$J$2:$J$1500,Flows!$D$2:$D$1500,$A26,Flows!$C$2:$C$1500,"Input")</f>
        <v>35</v>
      </c>
      <c r="K26" s="30" t="n">
        <f aca="false">I26-J26</f>
        <v>0</v>
      </c>
      <c r="L26" s="6" t="str">
        <f aca="false">IF(C26="Ambient","Site-supplied",IF(AND(I26=0,J26=0),"Not in design",IF(K26&lt;-0.0001*MAX(J26,1),"Deficit",IF(K26&gt;0.0001*MAX(I26,1),"Surplus","Balanced"))))</f>
        <v>Site-supplied</v>
      </c>
      <c r="M26" s="5" t="s">
        <v>1848</v>
      </c>
    </row>
    <row r="27" customFormat="false" ht="15" hidden="false" customHeight="true" outlineLevel="0" collapsed="false">
      <c r="A27" s="6" t="s">
        <v>864</v>
      </c>
      <c r="B27" s="6" t="s">
        <v>1849</v>
      </c>
      <c r="C27" s="6" t="s">
        <v>1847</v>
      </c>
      <c r="E27" s="23"/>
      <c r="F27" s="6" t="n">
        <f aca="false">COUNTIFS(Flows!$D$2:$D$1500,$A27,Flows!$C$2:$C$1500,"Output")</f>
        <v>1</v>
      </c>
      <c r="G27" s="6" t="n">
        <f aca="false">COUNTIFS(Flows!$D$2:$D$1500,$A27,Flows!$C$2:$C$1500,"Input")</f>
        <v>5</v>
      </c>
      <c r="H27" s="6" t="str">
        <f aca="false">IF(C27="Ambient","Site-supplied",IF(AND(F27=0,G27=0),"Unused",IF(F27=0,"External source (no producer)",IF(G27=0,IF(D27&lt;&gt;"","Meets a human need","End product (no consumer)"),"Intermediate (made and used)"))))</f>
        <v>Site-supplied</v>
      </c>
      <c r="I27" s="30" t="n">
        <f aca="false">SUMIFS(Flows!$J$2:$J$1500,Flows!$D$2:$D$1500,$A27,Flows!$C$2:$C$1500,"Output")</f>
        <v>0.288461538461538</v>
      </c>
      <c r="J27" s="30" t="n">
        <f aca="false">SUMIFS(Flows!$J$2:$J$1500,Flows!$D$2:$D$1500,$A27,Flows!$C$2:$C$1500,"Input")</f>
        <v>0</v>
      </c>
      <c r="K27" s="30" t="n">
        <f aca="false">I27-J27</f>
        <v>0.288461538461538</v>
      </c>
      <c r="L27" s="6" t="str">
        <f aca="false">IF(C27="Ambient","Site-supplied",IF(AND(I27=0,J27=0),"Not in design",IF(K27&lt;-0.0001*MAX(J27,1),"Deficit",IF(K27&gt;0.0001*MAX(I27,1),"Surplus","Balanced"))))</f>
        <v>Site-supplied</v>
      </c>
      <c r="M27" s="5" t="s">
        <v>1850</v>
      </c>
    </row>
    <row r="28" customFormat="false" ht="26.25" hidden="false" customHeight="true" outlineLevel="0" collapsed="false">
      <c r="A28" s="6" t="s">
        <v>1440</v>
      </c>
      <c r="B28" s="6" t="s">
        <v>64</v>
      </c>
      <c r="C28" s="6" t="s">
        <v>1847</v>
      </c>
      <c r="E28" s="23"/>
      <c r="F28" s="6" t="n">
        <f aca="false">COUNTIFS(Flows!$D$2:$D$1500,$A28,Flows!$C$2:$C$1500,"Output")</f>
        <v>1</v>
      </c>
      <c r="G28" s="6" t="n">
        <f aca="false">COUNTIFS(Flows!$D$2:$D$1500,$A28,Flows!$C$2:$C$1500,"Input")</f>
        <v>1</v>
      </c>
      <c r="H28" s="6" t="str">
        <f aca="false">IF(C28="Ambient","Site-supplied",IF(AND(F28=0,G28=0),"Unused",IF(F28=0,"External source (no producer)",IF(G28=0,IF(D28&lt;&gt;"","Meets a human need","End product (no consumer)"),"Intermediate (made and used)"))))</f>
        <v>Site-supplied</v>
      </c>
      <c r="I28" s="30" t="n">
        <f aca="false">SUMIFS(Flows!$J$2:$J$1500,Flows!$D$2:$D$1500,$A28,Flows!$C$2:$C$1500,"Output")</f>
        <v>0</v>
      </c>
      <c r="J28" s="30" t="n">
        <f aca="false">SUMIFS(Flows!$J$2:$J$1500,Flows!$D$2:$D$1500,$A28,Flows!$C$2:$C$1500,"Input")</f>
        <v>0</v>
      </c>
      <c r="K28" s="30" t="n">
        <f aca="false">I28-J28</f>
        <v>0</v>
      </c>
      <c r="L28" s="6" t="str">
        <f aca="false">IF(C28="Ambient","Site-supplied",IF(AND(I28=0,J28=0),"Not in design",IF(K28&lt;-0.0001*MAX(J28,1),"Deficit",IF(K28&gt;0.0001*MAX(I28,1),"Surplus","Balanced"))))</f>
        <v>Site-supplied</v>
      </c>
      <c r="M28" s="5" t="s">
        <v>1851</v>
      </c>
    </row>
    <row r="29" customFormat="false" ht="15" hidden="false" customHeight="true" outlineLevel="0" collapsed="false">
      <c r="A29" s="6" t="s">
        <v>1445</v>
      </c>
      <c r="B29" s="6" t="s">
        <v>64</v>
      </c>
      <c r="C29" s="6" t="s">
        <v>1847</v>
      </c>
      <c r="E29" s="23"/>
      <c r="F29" s="6" t="n">
        <f aca="false">COUNTIFS(Flows!$D$2:$D$1500,$A29,Flows!$C$2:$C$1500,"Output")</f>
        <v>1</v>
      </c>
      <c r="G29" s="6" t="n">
        <f aca="false">COUNTIFS(Flows!$D$2:$D$1500,$A29,Flows!$C$2:$C$1500,"Input")</f>
        <v>1</v>
      </c>
      <c r="H29" s="6" t="str">
        <f aca="false">IF(C29="Ambient","Site-supplied",IF(AND(F29=0,G29=0),"Unused",IF(F29=0,"External source (no producer)",IF(G29=0,IF(D29&lt;&gt;"","Meets a human need","End product (no consumer)"),"Intermediate (made and used)"))))</f>
        <v>Site-supplied</v>
      </c>
      <c r="I29" s="30" t="n">
        <f aca="false">SUMIFS(Flows!$J$2:$J$1500,Flows!$D$2:$D$1500,$A29,Flows!$C$2:$C$1500,"Output")</f>
        <v>0</v>
      </c>
      <c r="J29" s="30" t="n">
        <f aca="false">SUMIFS(Flows!$J$2:$J$1500,Flows!$D$2:$D$1500,$A29,Flows!$C$2:$C$1500,"Input")</f>
        <v>0</v>
      </c>
      <c r="K29" s="30" t="n">
        <f aca="false">I29-J29</f>
        <v>0</v>
      </c>
      <c r="L29" s="6" t="str">
        <f aca="false">IF(C29="Ambient","Site-supplied",IF(AND(I29=0,J29=0),"Not in design",IF(K29&lt;-0.0001*MAX(J29,1),"Deficit",IF(K29&gt;0.0001*MAX(I29,1),"Surplus","Balanced"))))</f>
        <v>Site-supplied</v>
      </c>
      <c r="M29" s="5" t="s">
        <v>1852</v>
      </c>
    </row>
    <row r="30" customFormat="false" ht="15" hidden="false" customHeight="true" outlineLevel="0" collapsed="false">
      <c r="A30" s="6" t="s">
        <v>288</v>
      </c>
      <c r="B30" s="6" t="s">
        <v>56</v>
      </c>
      <c r="C30" s="6" t="s">
        <v>945</v>
      </c>
      <c r="E30" s="23"/>
      <c r="F30" s="6" t="n">
        <f aca="false">COUNTIFS(Flows!$D$2:$D$1500,$A30,Flows!$C$2:$C$1500,"Output")</f>
        <v>16</v>
      </c>
      <c r="G30" s="6" t="n">
        <f aca="false">COUNTIFS(Flows!$D$2:$D$1500,$A30,Flows!$C$2:$C$1500,"Input")</f>
        <v>1</v>
      </c>
      <c r="H30" s="6" t="str">
        <f aca="false">IF(C30="Ambient","Site-supplied",IF(AND(F30=0,G30=0),"Unused",IF(F30=0,"External source (no producer)",IF(G30=0,IF(D30&lt;&gt;"","Meets a human need","End product (no consumer)"),"Intermediate (made and used)"))))</f>
        <v>Intermediate (made and used)</v>
      </c>
      <c r="I30" s="30" t="n">
        <f aca="false">SUMIFS(Flows!$J$2:$J$1500,Flows!$D$2:$D$1500,$A30,Flows!$C$2:$C$1500,"Output")</f>
        <v>0</v>
      </c>
      <c r="J30" s="30" t="n">
        <f aca="false">SUMIFS(Flows!$J$2:$J$1500,Flows!$D$2:$D$1500,$A30,Flows!$C$2:$C$1500,"Input")</f>
        <v>0</v>
      </c>
      <c r="K30" s="30" t="n">
        <f aca="false">I30-J30</f>
        <v>0</v>
      </c>
      <c r="L30" s="6" t="str">
        <f aca="false">IF(C30="Ambient","Site-supplied",IF(AND(I30=0,J30=0),"Not in design",IF(K30&lt;-0.0001*MAX(J30,1),"Deficit",IF(K30&gt;0.0001*MAX(I30,1),"Surplus","Balanced"))))</f>
        <v>Not in design</v>
      </c>
      <c r="M30" s="5" t="s">
        <v>1853</v>
      </c>
    </row>
    <row r="31" customFormat="false" ht="26.25" hidden="false" customHeight="true" outlineLevel="0" collapsed="false">
      <c r="A31" s="6" t="s">
        <v>104</v>
      </c>
      <c r="B31" s="6" t="s">
        <v>50</v>
      </c>
      <c r="C31" s="6" t="s">
        <v>945</v>
      </c>
      <c r="E31" s="23"/>
      <c r="F31" s="6" t="n">
        <f aca="false">COUNTIFS(Flows!$D$2:$D$1500,$A31,Flows!$C$2:$C$1500,"Output")</f>
        <v>6</v>
      </c>
      <c r="G31" s="6" t="n">
        <f aca="false">COUNTIFS(Flows!$D$2:$D$1500,$A31,Flows!$C$2:$C$1500,"Input")</f>
        <v>0</v>
      </c>
      <c r="H31" s="6" t="str">
        <f aca="false">IF(C31="Ambient","Site-supplied",IF(AND(F31=0,G31=0),"Unused",IF(F31=0,"External source (no producer)",IF(G31=0,IF(D31&lt;&gt;"","Meets a human need","End product (no consumer)"),"Intermediate (made and used)"))))</f>
        <v>End product (no consumer)</v>
      </c>
      <c r="I31" s="30" t="n">
        <f aca="false">SUMIFS(Flows!$J$2:$J$1500,Flows!$D$2:$D$1500,$A31,Flows!$C$2:$C$1500,"Output")</f>
        <v>0</v>
      </c>
      <c r="J31" s="30" t="n">
        <f aca="false">SUMIFS(Flows!$J$2:$J$1500,Flows!$D$2:$D$1500,$A31,Flows!$C$2:$C$1500,"Input")</f>
        <v>0</v>
      </c>
      <c r="K31" s="30" t="n">
        <f aca="false">I31-J31</f>
        <v>0</v>
      </c>
      <c r="L31" s="6" t="str">
        <f aca="false">IF(C31="Ambient","Site-supplied",IF(AND(I31=0,J31=0),"Not in design",IF(K31&lt;-0.0001*MAX(J31,1),"Deficit",IF(K31&gt;0.0001*MAX(I31,1),"Surplus","Balanced"))))</f>
        <v>Not in design</v>
      </c>
      <c r="M31" s="5" t="s">
        <v>1854</v>
      </c>
    </row>
    <row r="32" customFormat="false" ht="26.25" hidden="false" customHeight="true" outlineLevel="0" collapsed="false">
      <c r="A32" s="6" t="s">
        <v>109</v>
      </c>
      <c r="B32" s="6" t="s">
        <v>60</v>
      </c>
      <c r="C32" s="6" t="s">
        <v>945</v>
      </c>
      <c r="E32" s="23"/>
      <c r="F32" s="6" t="n">
        <f aca="false">COUNTIFS(Flows!$D$2:$D$1500,$A32,Flows!$C$2:$C$1500,"Output")</f>
        <v>3</v>
      </c>
      <c r="G32" s="6" t="n">
        <f aca="false">COUNTIFS(Flows!$D$2:$D$1500,$A32,Flows!$C$2:$C$1500,"Input")</f>
        <v>0</v>
      </c>
      <c r="H32" s="6" t="str">
        <f aca="false">IF(C32="Ambient","Site-supplied",IF(AND(F32=0,G32=0),"Unused",IF(F32=0,"External source (no producer)",IF(G32=0,IF(D32&lt;&gt;"","Meets a human need","End product (no consumer)"),"Intermediate (made and used)"))))</f>
        <v>End product (no consumer)</v>
      </c>
      <c r="I32" s="30" t="n">
        <f aca="false">SUMIFS(Flows!$J$2:$J$1500,Flows!$D$2:$D$1500,$A32,Flows!$C$2:$C$1500,"Output")</f>
        <v>0</v>
      </c>
      <c r="J32" s="30" t="n">
        <f aca="false">SUMIFS(Flows!$J$2:$J$1500,Flows!$D$2:$D$1500,$A32,Flows!$C$2:$C$1500,"Input")</f>
        <v>0</v>
      </c>
      <c r="K32" s="30" t="n">
        <f aca="false">I32-J32</f>
        <v>0</v>
      </c>
      <c r="L32" s="6" t="str">
        <f aca="false">IF(C32="Ambient","Site-supplied",IF(AND(I32=0,J32=0),"Not in design",IF(K32&lt;-0.0001*MAX(J32,1),"Deficit",IF(K32&gt;0.0001*MAX(I32,1),"Surplus","Balanced"))))</f>
        <v>Not in design</v>
      </c>
      <c r="M32" s="5" t="s">
        <v>1855</v>
      </c>
    </row>
    <row r="33" customFormat="false" ht="15" hidden="false" customHeight="true" outlineLevel="0" collapsed="false">
      <c r="A33" s="6" t="s">
        <v>113</v>
      </c>
      <c r="B33" s="6" t="s">
        <v>114</v>
      </c>
      <c r="C33" s="6" t="s">
        <v>945</v>
      </c>
      <c r="E33" s="23"/>
      <c r="F33" s="6" t="n">
        <f aca="false">COUNTIFS(Flows!$D$2:$D$1500,$A33,Flows!$C$2:$C$1500,"Output")</f>
        <v>5</v>
      </c>
      <c r="G33" s="6" t="n">
        <f aca="false">COUNTIFS(Flows!$D$2:$D$1500,$A33,Flows!$C$2:$C$1500,"Input")</f>
        <v>0</v>
      </c>
      <c r="H33" s="6" t="str">
        <f aca="false">IF(C33="Ambient","Site-supplied",IF(AND(F33=0,G33=0),"Unused",IF(F33=0,"External source (no producer)",IF(G33=0,IF(D33&lt;&gt;"","Meets a human need","End product (no consumer)"),"Intermediate (made and used)"))))</f>
        <v>End product (no consumer)</v>
      </c>
      <c r="I33" s="30" t="n">
        <f aca="false">SUMIFS(Flows!$J$2:$J$1500,Flows!$D$2:$D$1500,$A33,Flows!$C$2:$C$1500,"Output")</f>
        <v>0</v>
      </c>
      <c r="J33" s="30" t="n">
        <f aca="false">SUMIFS(Flows!$J$2:$J$1500,Flows!$D$2:$D$1500,$A33,Flows!$C$2:$C$1500,"Input")</f>
        <v>0</v>
      </c>
      <c r="K33" s="30" t="n">
        <f aca="false">I33-J33</f>
        <v>0</v>
      </c>
      <c r="L33" s="6" t="str">
        <f aca="false">IF(C33="Ambient","Site-supplied",IF(AND(I33=0,J33=0),"Not in design",IF(K33&lt;-0.0001*MAX(J33,1),"Deficit",IF(K33&gt;0.0001*MAX(I33,1),"Surplus","Balanced"))))</f>
        <v>Not in design</v>
      </c>
      <c r="M33" s="5" t="s">
        <v>1856</v>
      </c>
    </row>
    <row r="34" customFormat="false" ht="15" hidden="false" customHeight="true" outlineLevel="0" collapsed="false">
      <c r="A34" s="6" t="s">
        <v>329</v>
      </c>
      <c r="B34" s="6" t="s">
        <v>114</v>
      </c>
      <c r="C34" s="6" t="s">
        <v>945</v>
      </c>
      <c r="E34" s="23"/>
      <c r="F34" s="6" t="n">
        <f aca="false">COUNTIFS(Flows!$D$2:$D$1500,$A34,Flows!$C$2:$C$1500,"Output")</f>
        <v>1</v>
      </c>
      <c r="G34" s="6" t="n">
        <f aca="false">COUNTIFS(Flows!$D$2:$D$1500,$A34,Flows!$C$2:$C$1500,"Input")</f>
        <v>7</v>
      </c>
      <c r="H34" s="6" t="str">
        <f aca="false">IF(C34="Ambient","Site-supplied",IF(AND(F34=0,G34=0),"Unused",IF(F34=0,"External source (no producer)",IF(G34=0,IF(D34&lt;&gt;"","Meets a human need","End product (no consumer)"),"Intermediate (made and used)"))))</f>
        <v>Intermediate (made and used)</v>
      </c>
      <c r="I34" s="30" t="n">
        <f aca="false">SUMIFS(Flows!$J$2:$J$1500,Flows!$D$2:$D$1500,$A34,Flows!$C$2:$C$1500,"Output")</f>
        <v>0</v>
      </c>
      <c r="J34" s="30" t="n">
        <f aca="false">SUMIFS(Flows!$J$2:$J$1500,Flows!$D$2:$D$1500,$A34,Flows!$C$2:$C$1500,"Input")</f>
        <v>15</v>
      </c>
      <c r="K34" s="30" t="n">
        <f aca="false">I34-J34</f>
        <v>-15</v>
      </c>
      <c r="L34" s="6" t="str">
        <f aca="false">IF(C34="Ambient","Site-supplied",IF(AND(I34=0,J34=0),"Not in design",IF(K34&lt;-0.0001*MAX(J34,1),"Deficit",IF(K34&gt;0.0001*MAX(I34,1),"Surplus","Balanced"))))</f>
        <v>Deficit</v>
      </c>
      <c r="M34" s="5" t="s">
        <v>1857</v>
      </c>
    </row>
    <row r="35" customFormat="false" ht="15" hidden="false" customHeight="true" outlineLevel="0" collapsed="false">
      <c r="A35" s="6" t="s">
        <v>910</v>
      </c>
      <c r="B35" s="6" t="s">
        <v>56</v>
      </c>
      <c r="C35" s="6" t="s">
        <v>945</v>
      </c>
      <c r="E35" s="23"/>
      <c r="F35" s="6" t="n">
        <f aca="false">COUNTIFS(Flows!$D$2:$D$1500,$A35,Flows!$C$2:$C$1500,"Output")</f>
        <v>3</v>
      </c>
      <c r="G35" s="6" t="n">
        <f aca="false">COUNTIFS(Flows!$D$2:$D$1500,$A35,Flows!$C$2:$C$1500,"Input")</f>
        <v>0</v>
      </c>
      <c r="H35" s="6" t="str">
        <f aca="false">IF(C35="Ambient","Site-supplied",IF(AND(F35=0,G35=0),"Unused",IF(F35=0,"External source (no producer)",IF(G35=0,IF(D35&lt;&gt;"","Meets a human need","End product (no consumer)"),"Intermediate (made and used)"))))</f>
        <v>End product (no consumer)</v>
      </c>
      <c r="I35" s="30" t="n">
        <f aca="false">SUMIFS(Flows!$J$2:$J$1500,Flows!$D$2:$D$1500,$A35,Flows!$C$2:$C$1500,"Output")</f>
        <v>43560</v>
      </c>
      <c r="J35" s="30" t="n">
        <f aca="false">SUMIFS(Flows!$J$2:$J$1500,Flows!$D$2:$D$1500,$A35,Flows!$C$2:$C$1500,"Input")</f>
        <v>0</v>
      </c>
      <c r="K35" s="30" t="n">
        <f aca="false">I35-J35</f>
        <v>43560</v>
      </c>
      <c r="L35" s="6" t="str">
        <f aca="false">IF(C35="Ambient","Site-supplied",IF(AND(I35=0,J35=0),"Not in design",IF(K35&lt;-0.0001*MAX(J35,1),"Deficit",IF(K35&gt;0.0001*MAX(I35,1),"Surplus","Balanced"))))</f>
        <v>Surplus</v>
      </c>
      <c r="M35" s="5" t="s">
        <v>1858</v>
      </c>
    </row>
    <row r="36" customFormat="false" ht="15" hidden="false" customHeight="true" outlineLevel="0" collapsed="false">
      <c r="A36" s="6" t="s">
        <v>1169</v>
      </c>
      <c r="B36" s="6" t="s">
        <v>56</v>
      </c>
      <c r="C36" s="6" t="s">
        <v>945</v>
      </c>
      <c r="E36" s="23"/>
      <c r="F36" s="6" t="n">
        <f aca="false">COUNTIFS(Flows!$D$2:$D$1500,$A36,Flows!$C$2:$C$1500,"Output")</f>
        <v>1</v>
      </c>
      <c r="G36" s="6" t="n">
        <f aca="false">COUNTIFS(Flows!$D$2:$D$1500,$A36,Flows!$C$2:$C$1500,"Input")</f>
        <v>3</v>
      </c>
      <c r="H36" s="6" t="str">
        <f aca="false">IF(C36="Ambient","Site-supplied",IF(AND(F36=0,G36=0),"Unused",IF(F36=0,"External source (no producer)",IF(G36=0,IF(D36&lt;&gt;"","Meets a human need","End product (no consumer)"),"Intermediate (made and used)"))))</f>
        <v>Intermediate (made and used)</v>
      </c>
      <c r="I36" s="30" t="n">
        <f aca="false">SUMIFS(Flows!$J$2:$J$1500,Flows!$D$2:$D$1500,$A36,Flows!$C$2:$C$1500,"Output")</f>
        <v>0</v>
      </c>
      <c r="J36" s="30" t="n">
        <f aca="false">SUMIFS(Flows!$J$2:$J$1500,Flows!$D$2:$D$1500,$A36,Flows!$C$2:$C$1500,"Input")</f>
        <v>0</v>
      </c>
      <c r="K36" s="30" t="n">
        <f aca="false">I36-J36</f>
        <v>0</v>
      </c>
      <c r="L36" s="6" t="str">
        <f aca="false">IF(C36="Ambient","Site-supplied",IF(AND(I36=0,J36=0),"Not in design",IF(K36&lt;-0.0001*MAX(J36,1),"Deficit",IF(K36&gt;0.0001*MAX(I36,1),"Surplus","Balanced"))))</f>
        <v>Not in design</v>
      </c>
      <c r="M36" s="5" t="s">
        <v>1859</v>
      </c>
    </row>
    <row r="37" customFormat="false" ht="15" hidden="false" customHeight="true" outlineLevel="0" collapsed="false">
      <c r="A37" s="6" t="s">
        <v>1312</v>
      </c>
      <c r="B37" s="6" t="s">
        <v>1860</v>
      </c>
      <c r="C37" s="6" t="s">
        <v>945</v>
      </c>
      <c r="E37" s="23"/>
      <c r="F37" s="6" t="n">
        <f aca="false">COUNTIFS(Flows!$D$2:$D$1500,$A37,Flows!$C$2:$C$1500,"Output")</f>
        <v>1</v>
      </c>
      <c r="G37" s="6" t="n">
        <f aca="false">COUNTIFS(Flows!$D$2:$D$1500,$A37,Flows!$C$2:$C$1500,"Input")</f>
        <v>1</v>
      </c>
      <c r="H37" s="6" t="str">
        <f aca="false">IF(C37="Ambient","Site-supplied",IF(AND(F37=0,G37=0),"Unused",IF(F37=0,"External source (no producer)",IF(G37=0,IF(D37&lt;&gt;"","Meets a human need","End product (no consumer)"),"Intermediate (made and used)"))))</f>
        <v>Intermediate (made and used)</v>
      </c>
      <c r="I37" s="30" t="n">
        <f aca="false">SUMIFS(Flows!$J$2:$J$1500,Flows!$D$2:$D$1500,$A37,Flows!$C$2:$C$1500,"Output")</f>
        <v>0</v>
      </c>
      <c r="J37" s="30" t="n">
        <f aca="false">SUMIFS(Flows!$J$2:$J$1500,Flows!$D$2:$D$1500,$A37,Flows!$C$2:$C$1500,"Input")</f>
        <v>0</v>
      </c>
      <c r="K37" s="30" t="n">
        <f aca="false">I37-J37</f>
        <v>0</v>
      </c>
      <c r="L37" s="6" t="str">
        <f aca="false">IF(C37="Ambient","Site-supplied",IF(AND(I37=0,J37=0),"Not in design",IF(K37&lt;-0.0001*MAX(J37,1),"Deficit",IF(K37&gt;0.0001*MAX(I37,1),"Surplus","Balanced"))))</f>
        <v>Not in design</v>
      </c>
      <c r="M37" s="5" t="s">
        <v>1861</v>
      </c>
    </row>
    <row r="38" customFormat="false" ht="15" hidden="false" customHeight="true" outlineLevel="0" collapsed="false">
      <c r="A38" s="6" t="s">
        <v>177</v>
      </c>
      <c r="B38" s="6" t="s">
        <v>58</v>
      </c>
      <c r="C38" s="6" t="s">
        <v>1819</v>
      </c>
      <c r="E38" s="23"/>
      <c r="F38" s="6" t="n">
        <f aca="false">COUNTIFS(Flows!$D$2:$D$1500,$A38,Flows!$C$2:$C$1500,"Output")</f>
        <v>6</v>
      </c>
      <c r="G38" s="6" t="n">
        <f aca="false">COUNTIFS(Flows!$D$2:$D$1500,$A38,Flows!$C$2:$C$1500,"Input")</f>
        <v>13</v>
      </c>
      <c r="H38" s="6" t="str">
        <f aca="false">IF(C38="Ambient","Site-supplied",IF(AND(F38=0,G38=0),"Unused",IF(F38=0,"External source (no producer)",IF(G38=0,IF(D38&lt;&gt;"","Meets a human need","End product (no consumer)"),"Intermediate (made and used)"))))</f>
        <v>Intermediate (made and used)</v>
      </c>
      <c r="I38" s="30" t="n">
        <f aca="false">SUMIFS(Flows!$J$2:$J$1500,Flows!$D$2:$D$1500,$A38,Flows!$C$2:$C$1500,"Output")</f>
        <v>12.5</v>
      </c>
      <c r="J38" s="30" t="n">
        <f aca="false">SUMIFS(Flows!$J$2:$J$1500,Flows!$D$2:$D$1500,$A38,Flows!$C$2:$C$1500,"Input")</f>
        <v>0</v>
      </c>
      <c r="K38" s="30" t="n">
        <f aca="false">I38-J38</f>
        <v>12.5</v>
      </c>
      <c r="L38" s="6" t="str">
        <f aca="false">IF(C38="Ambient","Site-supplied",IF(AND(I38=0,J38=0),"Not in design",IF(K38&lt;-0.0001*MAX(J38,1),"Deficit",IF(K38&gt;0.0001*MAX(I38,1),"Surplus","Balanced"))))</f>
        <v>Surplus</v>
      </c>
      <c r="M38" s="5" t="s">
        <v>1862</v>
      </c>
    </row>
    <row r="39" customFormat="false" ht="26.25" hidden="false" customHeight="true" outlineLevel="0" collapsed="false">
      <c r="A39" s="6" t="s">
        <v>962</v>
      </c>
      <c r="B39" s="6" t="s">
        <v>58</v>
      </c>
      <c r="C39" s="6" t="s">
        <v>1819</v>
      </c>
      <c r="E39" s="23"/>
      <c r="F39" s="6" t="n">
        <f aca="false">COUNTIFS(Flows!$D$2:$D$1500,$A39,Flows!$C$2:$C$1500,"Output")</f>
        <v>1</v>
      </c>
      <c r="G39" s="6" t="n">
        <f aca="false">COUNTIFS(Flows!$D$2:$D$1500,$A39,Flows!$C$2:$C$1500,"Input")</f>
        <v>2</v>
      </c>
      <c r="H39" s="6" t="str">
        <f aca="false">IF(C39="Ambient","Site-supplied",IF(AND(F39=0,G39=0),"Unused",IF(F39=0,"External source (no producer)",IF(G39=0,IF(D39&lt;&gt;"","Meets a human need","End product (no consumer)"),"Intermediate (made and used)"))))</f>
        <v>Intermediate (made and used)</v>
      </c>
      <c r="I39" s="30" t="n">
        <f aca="false">SUMIFS(Flows!$J$2:$J$1500,Flows!$D$2:$D$1500,$A39,Flows!$C$2:$C$1500,"Output")</f>
        <v>0</v>
      </c>
      <c r="J39" s="30" t="n">
        <f aca="false">SUMIFS(Flows!$J$2:$J$1500,Flows!$D$2:$D$1500,$A39,Flows!$C$2:$C$1500,"Input")</f>
        <v>0</v>
      </c>
      <c r="K39" s="30" t="n">
        <f aca="false">I39-J39</f>
        <v>0</v>
      </c>
      <c r="L39" s="6" t="str">
        <f aca="false">IF(C39="Ambient","Site-supplied",IF(AND(I39=0,J39=0),"Not in design",IF(K39&lt;-0.0001*MAX(J39,1),"Deficit",IF(K39&gt;0.0001*MAX(I39,1),"Surplus","Balanced"))))</f>
        <v>Not in design</v>
      </c>
      <c r="M39" s="5" t="s">
        <v>1863</v>
      </c>
    </row>
    <row r="40" customFormat="false" ht="15" hidden="false" customHeight="true" outlineLevel="0" collapsed="false">
      <c r="A40" s="6" t="s">
        <v>170</v>
      </c>
      <c r="B40" s="6" t="s">
        <v>58</v>
      </c>
      <c r="C40" s="6" t="s">
        <v>1819</v>
      </c>
      <c r="E40" s="23"/>
      <c r="F40" s="6" t="n">
        <f aca="false">COUNTIFS(Flows!$D$2:$D$1500,$A40,Flows!$C$2:$C$1500,"Output")</f>
        <v>2</v>
      </c>
      <c r="G40" s="6" t="n">
        <f aca="false">COUNTIFS(Flows!$D$2:$D$1500,$A40,Flows!$C$2:$C$1500,"Input")</f>
        <v>2</v>
      </c>
      <c r="H40" s="6" t="str">
        <f aca="false">IF(C40="Ambient","Site-supplied",IF(AND(F40=0,G40=0),"Unused",IF(F40=0,"External source (no producer)",IF(G40=0,IF(D40&lt;&gt;"","Meets a human need","End product (no consumer)"),"Intermediate (made and used)"))))</f>
        <v>Intermediate (made and used)</v>
      </c>
      <c r="I40" s="30" t="n">
        <f aca="false">SUMIFS(Flows!$J$2:$J$1500,Flows!$D$2:$D$1500,$A40,Flows!$C$2:$C$1500,"Output")</f>
        <v>0</v>
      </c>
      <c r="J40" s="30" t="n">
        <f aca="false">SUMIFS(Flows!$J$2:$J$1500,Flows!$D$2:$D$1500,$A40,Flows!$C$2:$C$1500,"Input")</f>
        <v>0</v>
      </c>
      <c r="K40" s="30" t="n">
        <f aca="false">I40-J40</f>
        <v>0</v>
      </c>
      <c r="L40" s="6" t="str">
        <f aca="false">IF(C40="Ambient","Site-supplied",IF(AND(I40=0,J40=0),"Not in design",IF(K40&lt;-0.0001*MAX(J40,1),"Deficit",IF(K40&gt;0.0001*MAX(I40,1),"Surplus","Balanced"))))</f>
        <v>Not in design</v>
      </c>
      <c r="M40" s="5" t="s">
        <v>1864</v>
      </c>
    </row>
    <row r="41" customFormat="false" ht="26.25" hidden="false" customHeight="true" outlineLevel="0" collapsed="false">
      <c r="A41" s="6" t="s">
        <v>415</v>
      </c>
      <c r="B41" s="6" t="s">
        <v>58</v>
      </c>
      <c r="C41" s="6" t="s">
        <v>1819</v>
      </c>
      <c r="E41" s="23"/>
      <c r="F41" s="6" t="n">
        <f aca="false">COUNTIFS(Flows!$D$2:$D$1500,$A41,Flows!$C$2:$C$1500,"Output")</f>
        <v>0</v>
      </c>
      <c r="G41" s="6" t="n">
        <f aca="false">COUNTIFS(Flows!$D$2:$D$1500,$A41,Flows!$C$2:$C$1500,"Input")</f>
        <v>4</v>
      </c>
      <c r="H41" s="6" t="str">
        <f aca="false">IF(C41="Ambient","Site-supplied",IF(AND(F41=0,G41=0),"Unused",IF(F41=0,"External source (no producer)",IF(G41=0,IF(D41&lt;&gt;"","Meets a human need","End product (no consumer)"),"Intermediate (made and used)"))))</f>
        <v>External source (no producer)</v>
      </c>
      <c r="I41" s="30" t="n">
        <f aca="false">SUMIFS(Flows!$J$2:$J$1500,Flows!$D$2:$D$1500,$A41,Flows!$C$2:$C$1500,"Output")</f>
        <v>0</v>
      </c>
      <c r="J41" s="30" t="n">
        <f aca="false">SUMIFS(Flows!$J$2:$J$1500,Flows!$D$2:$D$1500,$A41,Flows!$C$2:$C$1500,"Input")</f>
        <v>0</v>
      </c>
      <c r="K41" s="30" t="n">
        <f aca="false">I41-J41</f>
        <v>0</v>
      </c>
      <c r="L41" s="6" t="str">
        <f aca="false">IF(C41="Ambient","Site-supplied",IF(AND(I41=0,J41=0),"Not in design",IF(K41&lt;-0.0001*MAX(J41,1),"Deficit",IF(K41&gt;0.0001*MAX(I41,1),"Surplus","Balanced"))))</f>
        <v>Not in design</v>
      </c>
      <c r="M41" s="5" t="s">
        <v>1865</v>
      </c>
    </row>
    <row r="42" customFormat="false" ht="15" hidden="false" customHeight="true" outlineLevel="0" collapsed="false">
      <c r="A42" s="6" t="s">
        <v>216</v>
      </c>
      <c r="B42" s="6" t="s">
        <v>58</v>
      </c>
      <c r="C42" s="6" t="s">
        <v>1819</v>
      </c>
      <c r="E42" s="23"/>
      <c r="F42" s="6" t="n">
        <f aca="false">COUNTIFS(Flows!$D$2:$D$1500,$A42,Flows!$C$2:$C$1500,"Output")</f>
        <v>5</v>
      </c>
      <c r="G42" s="6" t="n">
        <f aca="false">COUNTIFS(Flows!$D$2:$D$1500,$A42,Flows!$C$2:$C$1500,"Input")</f>
        <v>11</v>
      </c>
      <c r="H42" s="6" t="str">
        <f aca="false">IF(C42="Ambient","Site-supplied",IF(AND(F42=0,G42=0),"Unused",IF(F42=0,"External source (no producer)",IF(G42=0,IF(D42&lt;&gt;"","Meets a human need","End product (no consumer)"),"Intermediate (made and used)"))))</f>
        <v>Intermediate (made and used)</v>
      </c>
      <c r="I42" s="30" t="n">
        <f aca="false">SUMIFS(Flows!$J$2:$J$1500,Flows!$D$2:$D$1500,$A42,Flows!$C$2:$C$1500,"Output")</f>
        <v>0</v>
      </c>
      <c r="J42" s="30" t="n">
        <f aca="false">SUMIFS(Flows!$J$2:$J$1500,Flows!$D$2:$D$1500,$A42,Flows!$C$2:$C$1500,"Input")</f>
        <v>25</v>
      </c>
      <c r="K42" s="30" t="n">
        <f aca="false">I42-J42</f>
        <v>-25</v>
      </c>
      <c r="L42" s="6" t="str">
        <f aca="false">IF(C42="Ambient","Site-supplied",IF(AND(I42=0,J42=0),"Not in design",IF(K42&lt;-0.0001*MAX(J42,1),"Deficit",IF(K42&gt;0.0001*MAX(I42,1),"Surplus","Balanced"))))</f>
        <v>Deficit</v>
      </c>
      <c r="M42" s="5" t="s">
        <v>1866</v>
      </c>
    </row>
    <row r="43" customFormat="false" ht="15" hidden="false" customHeight="true" outlineLevel="0" collapsed="false">
      <c r="A43" s="6" t="s">
        <v>1523</v>
      </c>
      <c r="B43" s="6" t="s">
        <v>58</v>
      </c>
      <c r="C43" s="6" t="s">
        <v>1819</v>
      </c>
      <c r="E43" s="23"/>
      <c r="F43" s="6" t="n">
        <f aca="false">COUNTIFS(Flows!$D$2:$D$1500,$A43,Flows!$C$2:$C$1500,"Output")</f>
        <v>2</v>
      </c>
      <c r="G43" s="6" t="n">
        <f aca="false">COUNTIFS(Flows!$D$2:$D$1500,$A43,Flows!$C$2:$C$1500,"Input")</f>
        <v>4</v>
      </c>
      <c r="H43" s="6" t="str">
        <f aca="false">IF(C43="Ambient","Site-supplied",IF(AND(F43=0,G43=0),"Unused",IF(F43=0,"External source (no producer)",IF(G43=0,IF(D43&lt;&gt;"","Meets a human need","End product (no consumer)"),"Intermediate (made and used)"))))</f>
        <v>Intermediate (made and used)</v>
      </c>
      <c r="I43" s="30" t="n">
        <f aca="false">SUMIFS(Flows!$J$2:$J$1500,Flows!$D$2:$D$1500,$A43,Flows!$C$2:$C$1500,"Output")</f>
        <v>0</v>
      </c>
      <c r="J43" s="30" t="n">
        <f aca="false">SUMIFS(Flows!$J$2:$J$1500,Flows!$D$2:$D$1500,$A43,Flows!$C$2:$C$1500,"Input")</f>
        <v>0</v>
      </c>
      <c r="K43" s="30" t="n">
        <f aca="false">I43-J43</f>
        <v>0</v>
      </c>
      <c r="L43" s="6" t="str">
        <f aca="false">IF(C43="Ambient","Site-supplied",IF(AND(I43=0,J43=0),"Not in design",IF(K43&lt;-0.0001*MAX(J43,1),"Deficit",IF(K43&gt;0.0001*MAX(I43,1),"Surplus","Balanced"))))</f>
        <v>Not in design</v>
      </c>
      <c r="M43" s="5" t="s">
        <v>1867</v>
      </c>
    </row>
    <row r="44" customFormat="false" ht="15" hidden="false" customHeight="true" outlineLevel="0" collapsed="false">
      <c r="A44" s="6" t="s">
        <v>1127</v>
      </c>
      <c r="B44" s="6" t="s">
        <v>58</v>
      </c>
      <c r="C44" s="6" t="s">
        <v>1819</v>
      </c>
      <c r="E44" s="23"/>
      <c r="F44" s="6" t="n">
        <f aca="false">COUNTIFS(Flows!$D$2:$D$1500,$A44,Flows!$C$2:$C$1500,"Output")</f>
        <v>10</v>
      </c>
      <c r="G44" s="6" t="n">
        <f aca="false">COUNTIFS(Flows!$D$2:$D$1500,$A44,Flows!$C$2:$C$1500,"Input")</f>
        <v>11</v>
      </c>
      <c r="H44" s="6" t="str">
        <f aca="false">IF(C44="Ambient","Site-supplied",IF(AND(F44=0,G44=0),"Unused",IF(F44=0,"External source (no producer)",IF(G44=0,IF(D44&lt;&gt;"","Meets a human need","End product (no consumer)"),"Intermediate (made and used)"))))</f>
        <v>Intermediate (made and used)</v>
      </c>
      <c r="I44" s="30" t="n">
        <f aca="false">SUMIFS(Flows!$J$2:$J$1500,Flows!$D$2:$D$1500,$A44,Flows!$C$2:$C$1500,"Output")</f>
        <v>1.34615384615385</v>
      </c>
      <c r="J44" s="30" t="n">
        <f aca="false">SUMIFS(Flows!$J$2:$J$1500,Flows!$D$2:$D$1500,$A44,Flows!$C$2:$C$1500,"Input")</f>
        <v>40</v>
      </c>
      <c r="K44" s="30" t="n">
        <f aca="false">I44-J44</f>
        <v>-38.6538461538462</v>
      </c>
      <c r="L44" s="6" t="str">
        <f aca="false">IF(C44="Ambient","Site-supplied",IF(AND(I44=0,J44=0),"Not in design",IF(K44&lt;-0.0001*MAX(J44,1),"Deficit",IF(K44&gt;0.0001*MAX(I44,1),"Surplus","Balanced"))))</f>
        <v>Deficit</v>
      </c>
      <c r="M44" s="5" t="s">
        <v>1868</v>
      </c>
    </row>
    <row r="45" customFormat="false" ht="15" hidden="false" customHeight="true" outlineLevel="0" collapsed="false">
      <c r="A45" s="6" t="s">
        <v>322</v>
      </c>
      <c r="B45" s="6" t="s">
        <v>58</v>
      </c>
      <c r="C45" s="6" t="s">
        <v>1819</v>
      </c>
      <c r="E45" s="23"/>
      <c r="F45" s="6" t="n">
        <f aca="false">COUNTIFS(Flows!$D$2:$D$1500,$A45,Flows!$C$2:$C$1500,"Output")</f>
        <v>8</v>
      </c>
      <c r="G45" s="6" t="n">
        <f aca="false">COUNTIFS(Flows!$D$2:$D$1500,$A45,Flows!$C$2:$C$1500,"Input")</f>
        <v>8</v>
      </c>
      <c r="H45" s="6" t="str">
        <f aca="false">IF(C45="Ambient","Site-supplied",IF(AND(F45=0,G45=0),"Unused",IF(F45=0,"External source (no producer)",IF(G45=0,IF(D45&lt;&gt;"","Meets a human need","End product (no consumer)"),"Intermediate (made and used)"))))</f>
        <v>Intermediate (made and used)</v>
      </c>
      <c r="I45" s="30" t="n">
        <f aca="false">SUMIFS(Flows!$J$2:$J$1500,Flows!$D$2:$D$1500,$A45,Flows!$C$2:$C$1500,"Output")</f>
        <v>30</v>
      </c>
      <c r="J45" s="30" t="n">
        <f aca="false">SUMIFS(Flows!$J$2:$J$1500,Flows!$D$2:$D$1500,$A45,Flows!$C$2:$C$1500,"Input")</f>
        <v>0.480769230769231</v>
      </c>
      <c r="K45" s="30" t="n">
        <f aca="false">I45-J45</f>
        <v>29.5192307692308</v>
      </c>
      <c r="L45" s="6" t="str">
        <f aca="false">IF(C45="Ambient","Site-supplied",IF(AND(I45=0,J45=0),"Not in design",IF(K45&lt;-0.0001*MAX(J45,1),"Deficit",IF(K45&gt;0.0001*MAX(I45,1),"Surplus","Balanced"))))</f>
        <v>Surplus</v>
      </c>
      <c r="M45" s="5"/>
    </row>
    <row r="46" customFormat="false" ht="15" hidden="false" customHeight="true" outlineLevel="0" collapsed="false">
      <c r="A46" s="6" t="s">
        <v>240</v>
      </c>
      <c r="B46" s="6" t="s">
        <v>58</v>
      </c>
      <c r="C46" s="6" t="s">
        <v>1819</v>
      </c>
      <c r="E46" s="23"/>
      <c r="F46" s="6" t="n">
        <f aca="false">COUNTIFS(Flows!$D$2:$D$1500,$A46,Flows!$C$2:$C$1500,"Output")</f>
        <v>12</v>
      </c>
      <c r="G46" s="6" t="n">
        <f aca="false">COUNTIFS(Flows!$D$2:$D$1500,$A46,Flows!$C$2:$C$1500,"Input")</f>
        <v>2</v>
      </c>
      <c r="H46" s="6" t="str">
        <f aca="false">IF(C46="Ambient","Site-supplied",IF(AND(F46=0,G46=0),"Unused",IF(F46=0,"External source (no producer)",IF(G46=0,IF(D46&lt;&gt;"","Meets a human need","End product (no consumer)"),"Intermediate (made and used)"))))</f>
        <v>Intermediate (made and used)</v>
      </c>
      <c r="I46" s="30" t="n">
        <f aca="false">SUMIFS(Flows!$J$2:$J$1500,Flows!$D$2:$D$1500,$A46,Flows!$C$2:$C$1500,"Output")</f>
        <v>18</v>
      </c>
      <c r="J46" s="30" t="n">
        <f aca="false">SUMIFS(Flows!$J$2:$J$1500,Flows!$D$2:$D$1500,$A46,Flows!$C$2:$C$1500,"Input")</f>
        <v>0</v>
      </c>
      <c r="K46" s="30" t="n">
        <f aca="false">I46-J46</f>
        <v>18</v>
      </c>
      <c r="L46" s="6" t="str">
        <f aca="false">IF(C46="Ambient","Site-supplied",IF(AND(I46=0,J46=0),"Not in design",IF(K46&lt;-0.0001*MAX(J46,1),"Deficit",IF(K46&gt;0.0001*MAX(I46,1),"Surplus","Balanced"))))</f>
        <v>Surplus</v>
      </c>
      <c r="M46" s="5" t="s">
        <v>1869</v>
      </c>
    </row>
    <row r="47" customFormat="false" ht="15" hidden="false" customHeight="true" outlineLevel="0" collapsed="false">
      <c r="A47" s="6" t="s">
        <v>410</v>
      </c>
      <c r="B47" s="6" t="s">
        <v>50</v>
      </c>
      <c r="C47" s="6" t="s">
        <v>1819</v>
      </c>
      <c r="E47" s="23"/>
      <c r="F47" s="6" t="n">
        <f aca="false">COUNTIFS(Flows!$D$2:$D$1500,$A47,Flows!$C$2:$C$1500,"Output")</f>
        <v>6</v>
      </c>
      <c r="G47" s="6" t="n">
        <f aca="false">COUNTIFS(Flows!$D$2:$D$1500,$A47,Flows!$C$2:$C$1500,"Input")</f>
        <v>2</v>
      </c>
      <c r="H47" s="6" t="str">
        <f aca="false">IF(C47="Ambient","Site-supplied",IF(AND(F47=0,G47=0),"Unused",IF(F47=0,"External source (no producer)",IF(G47=0,IF(D47&lt;&gt;"","Meets a human need","End product (no consumer)"),"Intermediate (made and used)"))))</f>
        <v>Intermediate (made and used)</v>
      </c>
      <c r="I47" s="30" t="n">
        <f aca="false">SUMIFS(Flows!$J$2:$J$1500,Flows!$D$2:$D$1500,$A47,Flows!$C$2:$C$1500,"Output")</f>
        <v>0</v>
      </c>
      <c r="J47" s="30" t="n">
        <f aca="false">SUMIFS(Flows!$J$2:$J$1500,Flows!$D$2:$D$1500,$A47,Flows!$C$2:$C$1500,"Input")</f>
        <v>0.25</v>
      </c>
      <c r="K47" s="30" t="n">
        <f aca="false">I47-J47</f>
        <v>-0.25</v>
      </c>
      <c r="L47" s="6" t="str">
        <f aca="false">IF(C47="Ambient","Site-supplied",IF(AND(I47=0,J47=0),"Not in design",IF(K47&lt;-0.0001*MAX(J47,1),"Deficit",IF(K47&gt;0.0001*MAX(I47,1),"Surplus","Balanced"))))</f>
        <v>Deficit</v>
      </c>
      <c r="M47" s="5" t="s">
        <v>1870</v>
      </c>
    </row>
    <row r="48" customFormat="false" ht="15" hidden="false" customHeight="true" outlineLevel="0" collapsed="false">
      <c r="A48" s="6" t="s">
        <v>174</v>
      </c>
      <c r="B48" s="6" t="s">
        <v>58</v>
      </c>
      <c r="C48" s="6" t="s">
        <v>1819</v>
      </c>
      <c r="E48" s="23"/>
      <c r="F48" s="6" t="n">
        <f aca="false">COUNTIFS(Flows!$D$2:$D$1500,$A48,Flows!$C$2:$C$1500,"Output")</f>
        <v>4</v>
      </c>
      <c r="G48" s="6" t="n">
        <f aca="false">COUNTIFS(Flows!$D$2:$D$1500,$A48,Flows!$C$2:$C$1500,"Input")</f>
        <v>1</v>
      </c>
      <c r="H48" s="6" t="str">
        <f aca="false">IF(C48="Ambient","Site-supplied",IF(AND(F48=0,G48=0),"Unused",IF(F48=0,"External source (no producer)",IF(G48=0,IF(D48&lt;&gt;"","Meets a human need","End product (no consumer)"),"Intermediate (made and used)"))))</f>
        <v>Intermediate (made and used)</v>
      </c>
      <c r="I48" s="30" t="n">
        <f aca="false">SUMIFS(Flows!$J$2:$J$1500,Flows!$D$2:$D$1500,$A48,Flows!$C$2:$C$1500,"Output")</f>
        <v>0</v>
      </c>
      <c r="J48" s="30" t="n">
        <f aca="false">SUMIFS(Flows!$J$2:$J$1500,Flows!$D$2:$D$1500,$A48,Flows!$C$2:$C$1500,"Input")</f>
        <v>2</v>
      </c>
      <c r="K48" s="30" t="n">
        <f aca="false">I48-J48</f>
        <v>-2</v>
      </c>
      <c r="L48" s="6" t="str">
        <f aca="false">IF(C48="Ambient","Site-supplied",IF(AND(I48=0,J48=0),"Not in design",IF(K48&lt;-0.0001*MAX(J48,1),"Deficit",IF(K48&gt;0.0001*MAX(I48,1),"Surplus","Balanced"))))</f>
        <v>Deficit</v>
      </c>
      <c r="M48" s="5"/>
    </row>
    <row r="49" customFormat="false" ht="15" hidden="false" customHeight="true" outlineLevel="0" collapsed="false">
      <c r="A49" s="6" t="s">
        <v>341</v>
      </c>
      <c r="B49" s="6" t="s">
        <v>58</v>
      </c>
      <c r="C49" s="6" t="s">
        <v>1819</v>
      </c>
      <c r="E49" s="23"/>
      <c r="F49" s="6" t="n">
        <f aca="false">COUNTIFS(Flows!$D$2:$D$1500,$A49,Flows!$C$2:$C$1500,"Output")</f>
        <v>2</v>
      </c>
      <c r="G49" s="6" t="n">
        <f aca="false">COUNTIFS(Flows!$D$2:$D$1500,$A49,Flows!$C$2:$C$1500,"Input")</f>
        <v>6</v>
      </c>
      <c r="H49" s="6" t="str">
        <f aca="false">IF(C49="Ambient","Site-supplied",IF(AND(F49=0,G49=0),"Unused",IF(F49=0,"External source (no producer)",IF(G49=0,IF(D49&lt;&gt;"","Meets a human need","End product (no consumer)"),"Intermediate (made and used)"))))</f>
        <v>Intermediate (made and used)</v>
      </c>
      <c r="I49" s="30" t="n">
        <f aca="false">SUMIFS(Flows!$J$2:$J$1500,Flows!$D$2:$D$1500,$A49,Flows!$C$2:$C$1500,"Output")</f>
        <v>17.5</v>
      </c>
      <c r="J49" s="30" t="n">
        <f aca="false">SUMIFS(Flows!$J$2:$J$1500,Flows!$D$2:$D$1500,$A49,Flows!$C$2:$C$1500,"Input")</f>
        <v>35</v>
      </c>
      <c r="K49" s="30" t="n">
        <f aca="false">I49-J49</f>
        <v>-17.5</v>
      </c>
      <c r="L49" s="6" t="str">
        <f aca="false">IF(C49="Ambient","Site-supplied",IF(AND(I49=0,J49=0),"Not in design",IF(K49&lt;-0.0001*MAX(J49,1),"Deficit",IF(K49&gt;0.0001*MAX(I49,1),"Surplus","Balanced"))))</f>
        <v>Deficit</v>
      </c>
      <c r="M49" s="5" t="s">
        <v>1871</v>
      </c>
    </row>
    <row r="50" customFormat="false" ht="15" hidden="false" customHeight="true" outlineLevel="0" collapsed="false">
      <c r="A50" s="6" t="s">
        <v>325</v>
      </c>
      <c r="B50" s="6" t="s">
        <v>58</v>
      </c>
      <c r="C50" s="6" t="s">
        <v>1819</v>
      </c>
      <c r="E50" s="23"/>
      <c r="F50" s="6" t="n">
        <f aca="false">COUNTIFS(Flows!$D$2:$D$1500,$A50,Flows!$C$2:$C$1500,"Output")</f>
        <v>4</v>
      </c>
      <c r="G50" s="6" t="n">
        <f aca="false">COUNTIFS(Flows!$D$2:$D$1500,$A50,Flows!$C$2:$C$1500,"Input")</f>
        <v>9</v>
      </c>
      <c r="H50" s="6" t="str">
        <f aca="false">IF(C50="Ambient","Site-supplied",IF(AND(F50=0,G50=0),"Unused",IF(F50=0,"External source (no producer)",IF(G50=0,IF(D50&lt;&gt;"","Meets a human need","End product (no consumer)"),"Intermediate (made and used)"))))</f>
        <v>Intermediate (made and used)</v>
      </c>
      <c r="I50" s="30" t="n">
        <f aca="false">SUMIFS(Flows!$J$2:$J$1500,Flows!$D$2:$D$1500,$A50,Flows!$C$2:$C$1500,"Output")</f>
        <v>3</v>
      </c>
      <c r="J50" s="30" t="n">
        <f aca="false">SUMIFS(Flows!$J$2:$J$1500,Flows!$D$2:$D$1500,$A50,Flows!$C$2:$C$1500,"Input")</f>
        <v>3</v>
      </c>
      <c r="K50" s="30" t="n">
        <f aca="false">I50-J50</f>
        <v>0</v>
      </c>
      <c r="L50" s="6" t="str">
        <f aca="false">IF(C50="Ambient","Site-supplied",IF(AND(I50=0,J50=0),"Not in design",IF(K50&lt;-0.0001*MAX(J50,1),"Deficit",IF(K50&gt;0.0001*MAX(I50,1),"Surplus","Balanced"))))</f>
        <v>Balanced</v>
      </c>
      <c r="M50" s="5" t="s">
        <v>1872</v>
      </c>
    </row>
    <row r="51" customFormat="false" ht="15" hidden="false" customHeight="true" outlineLevel="0" collapsed="false">
      <c r="A51" s="6" t="s">
        <v>1036</v>
      </c>
      <c r="B51" s="6" t="s">
        <v>58</v>
      </c>
      <c r="C51" s="6" t="s">
        <v>1819</v>
      </c>
      <c r="E51" s="23"/>
      <c r="F51" s="6" t="n">
        <f aca="false">COUNTIFS(Flows!$D$2:$D$1500,$A51,Flows!$C$2:$C$1500,"Output")</f>
        <v>1</v>
      </c>
      <c r="G51" s="6" t="n">
        <f aca="false">COUNTIFS(Flows!$D$2:$D$1500,$A51,Flows!$C$2:$C$1500,"Input")</f>
        <v>2</v>
      </c>
      <c r="H51" s="6" t="str">
        <f aca="false">IF(C51="Ambient","Site-supplied",IF(AND(F51=0,G51=0),"Unused",IF(F51=0,"External source (no producer)",IF(G51=0,IF(D51&lt;&gt;"","Meets a human need","End product (no consumer)"),"Intermediate (made and used)"))))</f>
        <v>Intermediate (made and used)</v>
      </c>
      <c r="I51" s="30" t="n">
        <f aca="false">SUMIFS(Flows!$J$2:$J$1500,Flows!$D$2:$D$1500,$A51,Flows!$C$2:$C$1500,"Output")</f>
        <v>0</v>
      </c>
      <c r="J51" s="30" t="n">
        <f aca="false">SUMIFS(Flows!$J$2:$J$1500,Flows!$D$2:$D$1500,$A51,Flows!$C$2:$C$1500,"Input")</f>
        <v>0</v>
      </c>
      <c r="K51" s="30" t="n">
        <f aca="false">I51-J51</f>
        <v>0</v>
      </c>
      <c r="L51" s="6" t="str">
        <f aca="false">IF(C51="Ambient","Site-supplied",IF(AND(I51=0,J51=0),"Not in design",IF(K51&lt;-0.0001*MAX(J51,1),"Deficit",IF(K51&gt;0.0001*MAX(I51,1),"Surplus","Balanced"))))</f>
        <v>Not in design</v>
      </c>
      <c r="M51" s="5"/>
    </row>
    <row r="52" customFormat="false" ht="15" hidden="false" customHeight="true" outlineLevel="0" collapsed="false">
      <c r="A52" s="6" t="s">
        <v>1025</v>
      </c>
      <c r="B52" s="6" t="s">
        <v>58</v>
      </c>
      <c r="C52" s="6" t="s">
        <v>1819</v>
      </c>
      <c r="E52" s="23"/>
      <c r="F52" s="6" t="n">
        <f aca="false">COUNTIFS(Flows!$D$2:$D$1500,$A52,Flows!$C$2:$C$1500,"Output")</f>
        <v>1</v>
      </c>
      <c r="G52" s="6" t="n">
        <f aca="false">COUNTIFS(Flows!$D$2:$D$1500,$A52,Flows!$C$2:$C$1500,"Input")</f>
        <v>8</v>
      </c>
      <c r="H52" s="6" t="str">
        <f aca="false">IF(C52="Ambient","Site-supplied",IF(AND(F52=0,G52=0),"Unused",IF(F52=0,"External source (no producer)",IF(G52=0,IF(D52&lt;&gt;"","Meets a human need","End product (no consumer)"),"Intermediate (made and used)"))))</f>
        <v>Intermediate (made and used)</v>
      </c>
      <c r="I52" s="30" t="n">
        <f aca="false">SUMIFS(Flows!$J$2:$J$1500,Flows!$D$2:$D$1500,$A52,Flows!$C$2:$C$1500,"Output")</f>
        <v>0</v>
      </c>
      <c r="J52" s="30" t="n">
        <f aca="false">SUMIFS(Flows!$J$2:$J$1500,Flows!$D$2:$D$1500,$A52,Flows!$C$2:$C$1500,"Input")</f>
        <v>18</v>
      </c>
      <c r="K52" s="30" t="n">
        <f aca="false">I52-J52</f>
        <v>-18</v>
      </c>
      <c r="L52" s="6" t="str">
        <f aca="false">IF(C52="Ambient","Site-supplied",IF(AND(I52=0,J52=0),"Not in design",IF(K52&lt;-0.0001*MAX(J52,1),"Deficit",IF(K52&gt;0.0001*MAX(I52,1),"Surplus","Balanced"))))</f>
        <v>Deficit</v>
      </c>
      <c r="M52" s="5" t="s">
        <v>1873</v>
      </c>
    </row>
    <row r="53" customFormat="false" ht="15" hidden="false" customHeight="true" outlineLevel="0" collapsed="false">
      <c r="A53" s="6" t="s">
        <v>1040</v>
      </c>
      <c r="B53" s="6" t="s">
        <v>58</v>
      </c>
      <c r="C53" s="6" t="s">
        <v>1819</v>
      </c>
      <c r="E53" s="23"/>
      <c r="F53" s="6" t="n">
        <f aca="false">COUNTIFS(Flows!$D$2:$D$1500,$A53,Flows!$C$2:$C$1500,"Output")</f>
        <v>2</v>
      </c>
      <c r="G53" s="6" t="n">
        <f aca="false">COUNTIFS(Flows!$D$2:$D$1500,$A53,Flows!$C$2:$C$1500,"Input")</f>
        <v>4</v>
      </c>
      <c r="H53" s="6" t="str">
        <f aca="false">IF(C53="Ambient","Site-supplied",IF(AND(F53=0,G53=0),"Unused",IF(F53=0,"External source (no producer)",IF(G53=0,IF(D53&lt;&gt;"","Meets a human need","End product (no consumer)"),"Intermediate (made and used)"))))</f>
        <v>Intermediate (made and used)</v>
      </c>
      <c r="I53" s="30" t="n">
        <f aca="false">SUMIFS(Flows!$J$2:$J$1500,Flows!$D$2:$D$1500,$A53,Flows!$C$2:$C$1500,"Output")</f>
        <v>0</v>
      </c>
      <c r="J53" s="30" t="n">
        <f aca="false">SUMIFS(Flows!$J$2:$J$1500,Flows!$D$2:$D$1500,$A53,Flows!$C$2:$C$1500,"Input")</f>
        <v>2</v>
      </c>
      <c r="K53" s="30" t="n">
        <f aca="false">I53-J53</f>
        <v>-2</v>
      </c>
      <c r="L53" s="6" t="str">
        <f aca="false">IF(C53="Ambient","Site-supplied",IF(AND(I53=0,J53=0),"Not in design",IF(K53&lt;-0.0001*MAX(J53,1),"Deficit",IF(K53&gt;0.0001*MAX(I53,1),"Surplus","Balanced"))))</f>
        <v>Deficit</v>
      </c>
      <c r="M53" s="5" t="s">
        <v>1874</v>
      </c>
    </row>
    <row r="54" customFormat="false" ht="15" hidden="false" customHeight="true" outlineLevel="0" collapsed="false">
      <c r="A54" s="6" t="s">
        <v>1183</v>
      </c>
      <c r="B54" s="6" t="s">
        <v>1875</v>
      </c>
      <c r="C54" s="6" t="s">
        <v>1819</v>
      </c>
      <c r="E54" s="23"/>
      <c r="F54" s="6" t="n">
        <f aca="false">COUNTIFS(Flows!$D$2:$D$1500,$A54,Flows!$C$2:$C$1500,"Output")</f>
        <v>2</v>
      </c>
      <c r="G54" s="6" t="n">
        <f aca="false">COUNTIFS(Flows!$D$2:$D$1500,$A54,Flows!$C$2:$C$1500,"Input")</f>
        <v>9</v>
      </c>
      <c r="H54" s="6" t="str">
        <f aca="false">IF(C54="Ambient","Site-supplied",IF(AND(F54=0,G54=0),"Unused",IF(F54=0,"External source (no producer)",IF(G54=0,IF(D54&lt;&gt;"","Meets a human need","End product (no consumer)"),"Intermediate (made and used)"))))</f>
        <v>Intermediate (made and used)</v>
      </c>
      <c r="I54" s="30" t="n">
        <f aca="false">SUMIFS(Flows!$J$2:$J$1500,Flows!$D$2:$D$1500,$A54,Flows!$C$2:$C$1500,"Output")</f>
        <v>0</v>
      </c>
      <c r="J54" s="30" t="n">
        <f aca="false">SUMIFS(Flows!$J$2:$J$1500,Flows!$D$2:$D$1500,$A54,Flows!$C$2:$C$1500,"Input")</f>
        <v>0.00192307692307692</v>
      </c>
      <c r="K54" s="30" t="n">
        <f aca="false">I54-J54</f>
        <v>-0.00192307692307692</v>
      </c>
      <c r="L54" s="6" t="str">
        <f aca="false">IF(C54="Ambient","Site-supplied",IF(AND(I54=0,J54=0),"Not in design",IF(K54&lt;-0.0001*MAX(J54,1),"Deficit",IF(K54&gt;0.0001*MAX(I54,1),"Surplus","Balanced"))))</f>
        <v>Deficit</v>
      </c>
      <c r="M54" s="5"/>
    </row>
    <row r="55" customFormat="false" ht="15" hidden="false" customHeight="true" outlineLevel="0" collapsed="false">
      <c r="A55" s="6" t="s">
        <v>1114</v>
      </c>
      <c r="B55" s="6" t="s">
        <v>1876</v>
      </c>
      <c r="C55" s="6" t="s">
        <v>1819</v>
      </c>
      <c r="E55" s="23"/>
      <c r="F55" s="6" t="n">
        <f aca="false">COUNTIFS(Flows!$D$2:$D$1500,$A55,Flows!$C$2:$C$1500,"Output")</f>
        <v>2</v>
      </c>
      <c r="G55" s="6" t="n">
        <f aca="false">COUNTIFS(Flows!$D$2:$D$1500,$A55,Flows!$C$2:$C$1500,"Input")</f>
        <v>15</v>
      </c>
      <c r="H55" s="6" t="str">
        <f aca="false">IF(C55="Ambient","Site-supplied",IF(AND(F55=0,G55=0),"Unused",IF(F55=0,"External source (no producer)",IF(G55=0,IF(D55&lt;&gt;"","Meets a human need","End product (no consumer)"),"Intermediate (made and used)"))))</f>
        <v>Intermediate (made and used)</v>
      </c>
      <c r="I55" s="30" t="n">
        <f aca="false">SUMIFS(Flows!$J$2:$J$1500,Flows!$D$2:$D$1500,$A55,Flows!$C$2:$C$1500,"Output")</f>
        <v>0</v>
      </c>
      <c r="J55" s="30" t="n">
        <f aca="false">SUMIFS(Flows!$J$2:$J$1500,Flows!$D$2:$D$1500,$A55,Flows!$C$2:$C$1500,"Input")</f>
        <v>0</v>
      </c>
      <c r="K55" s="30" t="n">
        <f aca="false">I55-J55</f>
        <v>0</v>
      </c>
      <c r="L55" s="6" t="str">
        <f aca="false">IF(C55="Ambient","Site-supplied",IF(AND(I55=0,J55=0),"Not in design",IF(K55&lt;-0.0001*MAX(J55,1),"Deficit",IF(K55&gt;0.0001*MAX(I55,1),"Surplus","Balanced"))))</f>
        <v>Not in design</v>
      </c>
      <c r="M55" s="5"/>
    </row>
    <row r="56" customFormat="false" ht="15" hidden="false" customHeight="true" outlineLevel="0" collapsed="false">
      <c r="A56" s="6" t="s">
        <v>900</v>
      </c>
      <c r="B56" s="6" t="s">
        <v>114</v>
      </c>
      <c r="C56" s="6" t="s">
        <v>1819</v>
      </c>
      <c r="E56" s="23"/>
      <c r="F56" s="6" t="n">
        <f aca="false">COUNTIFS(Flows!$D$2:$D$1500,$A56,Flows!$C$2:$C$1500,"Output")</f>
        <v>4</v>
      </c>
      <c r="G56" s="6" t="n">
        <f aca="false">COUNTIFS(Flows!$D$2:$D$1500,$A56,Flows!$C$2:$C$1500,"Input")</f>
        <v>7</v>
      </c>
      <c r="H56" s="6" t="str">
        <f aca="false">IF(C56="Ambient","Site-supplied",IF(AND(F56=0,G56=0),"Unused",IF(F56=0,"External source (no producer)",IF(G56=0,IF(D56&lt;&gt;"","Meets a human need","End product (no consumer)"),"Intermediate (made and used)"))))</f>
        <v>Intermediate (made and used)</v>
      </c>
      <c r="I56" s="30" t="n">
        <f aca="false">SUMIFS(Flows!$J$2:$J$1500,Flows!$D$2:$D$1500,$A56,Flows!$C$2:$C$1500,"Output")</f>
        <v>0</v>
      </c>
      <c r="J56" s="30" t="n">
        <f aca="false">SUMIFS(Flows!$J$2:$J$1500,Flows!$D$2:$D$1500,$A56,Flows!$C$2:$C$1500,"Input")</f>
        <v>0</v>
      </c>
      <c r="K56" s="30" t="n">
        <f aca="false">I56-J56</f>
        <v>0</v>
      </c>
      <c r="L56" s="6" t="str">
        <f aca="false">IF(C56="Ambient","Site-supplied",IF(AND(I56=0,J56=0),"Not in design",IF(K56&lt;-0.0001*MAX(J56,1),"Deficit",IF(K56&gt;0.0001*MAX(I56,1),"Surplus","Balanced"))))</f>
        <v>Not in design</v>
      </c>
      <c r="M56" s="5" t="s">
        <v>1877</v>
      </c>
    </row>
    <row r="57" customFormat="false" ht="15" hidden="false" customHeight="true" outlineLevel="0" collapsed="false">
      <c r="A57" s="6" t="s">
        <v>999</v>
      </c>
      <c r="B57" s="6" t="s">
        <v>50</v>
      </c>
      <c r="C57" s="6" t="s">
        <v>1819</v>
      </c>
      <c r="E57" s="23"/>
      <c r="F57" s="6" t="n">
        <f aca="false">COUNTIFS(Flows!$D$2:$D$1500,$A57,Flows!$C$2:$C$1500,"Output")</f>
        <v>1</v>
      </c>
      <c r="G57" s="6" t="n">
        <f aca="false">COUNTIFS(Flows!$D$2:$D$1500,$A57,Flows!$C$2:$C$1500,"Input")</f>
        <v>5</v>
      </c>
      <c r="H57" s="6" t="str">
        <f aca="false">IF(C57="Ambient","Site-supplied",IF(AND(F57=0,G57=0),"Unused",IF(F57=0,"External source (no producer)",IF(G57=0,IF(D57&lt;&gt;"","Meets a human need","End product (no consumer)"),"Intermediate (made and used)"))))</f>
        <v>Intermediate (made and used)</v>
      </c>
      <c r="I57" s="30" t="n">
        <f aca="false">SUMIFS(Flows!$J$2:$J$1500,Flows!$D$2:$D$1500,$A57,Flows!$C$2:$C$1500,"Output")</f>
        <v>0</v>
      </c>
      <c r="J57" s="30" t="n">
        <f aca="false">SUMIFS(Flows!$J$2:$J$1500,Flows!$D$2:$D$1500,$A57,Flows!$C$2:$C$1500,"Input")</f>
        <v>0</v>
      </c>
      <c r="K57" s="30" t="n">
        <f aca="false">I57-J57</f>
        <v>0</v>
      </c>
      <c r="L57" s="6" t="str">
        <f aca="false">IF(C57="Ambient","Site-supplied",IF(AND(I57=0,J57=0),"Not in design",IF(K57&lt;-0.0001*MAX(J57,1),"Deficit",IF(K57&gt;0.0001*MAX(I57,1),"Surplus","Balanced"))))</f>
        <v>Not in design</v>
      </c>
      <c r="M57" s="5"/>
    </row>
    <row r="58" customFormat="false" ht="15" hidden="false" customHeight="true" outlineLevel="0" collapsed="false">
      <c r="A58" s="6" t="s">
        <v>1453</v>
      </c>
      <c r="B58" s="6" t="s">
        <v>50</v>
      </c>
      <c r="C58" s="6" t="s">
        <v>1819</v>
      </c>
      <c r="E58" s="23"/>
      <c r="F58" s="6" t="n">
        <f aca="false">COUNTIFS(Flows!$D$2:$D$1500,$A58,Flows!$C$2:$C$1500,"Output")</f>
        <v>1</v>
      </c>
      <c r="G58" s="6" t="n">
        <f aca="false">COUNTIFS(Flows!$D$2:$D$1500,$A58,Flows!$C$2:$C$1500,"Input")</f>
        <v>3</v>
      </c>
      <c r="H58" s="6" t="str">
        <f aca="false">IF(C58="Ambient","Site-supplied",IF(AND(F58=0,G58=0),"Unused",IF(F58=0,"External source (no producer)",IF(G58=0,IF(D58&lt;&gt;"","Meets a human need","End product (no consumer)"),"Intermediate (made and used)"))))</f>
        <v>Intermediate (made and used)</v>
      </c>
      <c r="I58" s="30" t="n">
        <f aca="false">SUMIFS(Flows!$J$2:$J$1500,Flows!$D$2:$D$1500,$A58,Flows!$C$2:$C$1500,"Output")</f>
        <v>0</v>
      </c>
      <c r="J58" s="30" t="n">
        <f aca="false">SUMIFS(Flows!$J$2:$J$1500,Flows!$D$2:$D$1500,$A58,Flows!$C$2:$C$1500,"Input")</f>
        <v>0</v>
      </c>
      <c r="K58" s="30" t="n">
        <f aca="false">I58-J58</f>
        <v>0</v>
      </c>
      <c r="L58" s="6" t="str">
        <f aca="false">IF(C58="Ambient","Site-supplied",IF(AND(I58=0,J58=0),"Not in design",IF(K58&lt;-0.0001*MAX(J58,1),"Deficit",IF(K58&gt;0.0001*MAX(I58,1),"Surplus","Balanced"))))</f>
        <v>Not in design</v>
      </c>
      <c r="M58" s="5" t="s">
        <v>1878</v>
      </c>
    </row>
    <row r="59" customFormat="false" ht="15" hidden="false" customHeight="true" outlineLevel="0" collapsed="false">
      <c r="A59" s="6" t="s">
        <v>1670</v>
      </c>
      <c r="B59" s="6" t="s">
        <v>58</v>
      </c>
      <c r="C59" s="6" t="s">
        <v>1819</v>
      </c>
      <c r="E59" s="23"/>
      <c r="F59" s="6" t="n">
        <f aca="false">COUNTIFS(Flows!$D$2:$D$1500,$A59,Flows!$C$2:$C$1500,"Output")</f>
        <v>1</v>
      </c>
      <c r="G59" s="6" t="n">
        <f aca="false">COUNTIFS(Flows!$D$2:$D$1500,$A59,Flows!$C$2:$C$1500,"Input")</f>
        <v>0</v>
      </c>
      <c r="H59" s="6" t="str">
        <f aca="false">IF(C59="Ambient","Site-supplied",IF(AND(F59=0,G59=0),"Unused",IF(F59=0,"External source (no producer)",IF(G59=0,IF(D59&lt;&gt;"","Meets a human need","End product (no consumer)"),"Intermediate (made and used)"))))</f>
        <v>End product (no consumer)</v>
      </c>
      <c r="I59" s="30" t="n">
        <f aca="false">SUMIFS(Flows!$J$2:$J$1500,Flows!$D$2:$D$1500,$A59,Flows!$C$2:$C$1500,"Output")</f>
        <v>0</v>
      </c>
      <c r="J59" s="30" t="n">
        <f aca="false">SUMIFS(Flows!$J$2:$J$1500,Flows!$D$2:$D$1500,$A59,Flows!$C$2:$C$1500,"Input")</f>
        <v>0</v>
      </c>
      <c r="K59" s="30" t="n">
        <f aca="false">I59-J59</f>
        <v>0</v>
      </c>
      <c r="L59" s="6" t="str">
        <f aca="false">IF(C59="Ambient","Site-supplied",IF(AND(I59=0,J59=0),"Not in design",IF(K59&lt;-0.0001*MAX(J59,1),"Deficit",IF(K59&gt;0.0001*MAX(I59,1),"Surplus","Balanced"))))</f>
        <v>Not in design</v>
      </c>
      <c r="M59" s="5" t="s">
        <v>1879</v>
      </c>
    </row>
    <row r="60" customFormat="false" ht="15" hidden="false" customHeight="true" outlineLevel="0" collapsed="false">
      <c r="A60" s="6" t="s">
        <v>437</v>
      </c>
      <c r="B60" s="6" t="s">
        <v>1860</v>
      </c>
      <c r="C60" s="6" t="s">
        <v>1880</v>
      </c>
      <c r="E60" s="23"/>
      <c r="F60" s="6" t="n">
        <f aca="false">COUNTIFS(Flows!$D$2:$D$1500,$A60,Flows!$C$2:$C$1500,"Output")</f>
        <v>3</v>
      </c>
      <c r="G60" s="6" t="n">
        <f aca="false">COUNTIFS(Flows!$D$2:$D$1500,$A60,Flows!$C$2:$C$1500,"Input")</f>
        <v>5</v>
      </c>
      <c r="H60" s="6" t="str">
        <f aca="false">IF(C60="Ambient","Site-supplied",IF(AND(F60=0,G60=0),"Unused",IF(F60=0,"External source (no producer)",IF(G60=0,IF(D60&lt;&gt;"","Meets a human need","End product (no consumer)"),"Intermediate (made and used)"))))</f>
        <v>Intermediate (made and used)</v>
      </c>
      <c r="I60" s="30" t="n">
        <f aca="false">SUMIFS(Flows!$J$2:$J$1500,Flows!$D$2:$D$1500,$A60,Flows!$C$2:$C$1500,"Output")</f>
        <v>0</v>
      </c>
      <c r="J60" s="30" t="n">
        <f aca="false">SUMIFS(Flows!$J$2:$J$1500,Flows!$D$2:$D$1500,$A60,Flows!$C$2:$C$1500,"Input")</f>
        <v>0.1</v>
      </c>
      <c r="K60" s="30" t="n">
        <f aca="false">I60-J60</f>
        <v>-0.1</v>
      </c>
      <c r="L60" s="6" t="str">
        <f aca="false">IF(C60="Ambient","Site-supplied",IF(AND(I60=0,J60=0),"Not in design",IF(K60&lt;-0.0001*MAX(J60,1),"Deficit",IF(K60&gt;0.0001*MAX(I60,1),"Surplus","Balanced"))))</f>
        <v>Deficit</v>
      </c>
      <c r="M60" s="5" t="s">
        <v>1881</v>
      </c>
    </row>
    <row r="61" customFormat="false" ht="15" hidden="false" customHeight="true" outlineLevel="0" collapsed="false">
      <c r="A61" s="6" t="s">
        <v>436</v>
      </c>
      <c r="B61" s="6" t="s">
        <v>56</v>
      </c>
      <c r="C61" s="6" t="s">
        <v>1880</v>
      </c>
      <c r="E61" s="23"/>
      <c r="F61" s="6" t="n">
        <f aca="false">COUNTIFS(Flows!$D$2:$D$1500,$A61,Flows!$C$2:$C$1500,"Output")</f>
        <v>16</v>
      </c>
      <c r="G61" s="6" t="n">
        <f aca="false">COUNTIFS(Flows!$D$2:$D$1500,$A61,Flows!$C$2:$C$1500,"Input")</f>
        <v>4</v>
      </c>
      <c r="H61" s="6" t="str">
        <f aca="false">IF(C61="Ambient","Site-supplied",IF(AND(F61=0,G61=0),"Unused",IF(F61=0,"External source (no producer)",IF(G61=0,IF(D61&lt;&gt;"","Meets a human need","End product (no consumer)"),"Intermediate (made and used)"))))</f>
        <v>Intermediate (made and used)</v>
      </c>
      <c r="I61" s="30" t="n">
        <f aca="false">SUMIFS(Flows!$J$2:$J$1500,Flows!$D$2:$D$1500,$A61,Flows!$C$2:$C$1500,"Output")</f>
        <v>0</v>
      </c>
      <c r="J61" s="30" t="n">
        <f aca="false">SUMIFS(Flows!$J$2:$J$1500,Flows!$D$2:$D$1500,$A61,Flows!$C$2:$C$1500,"Input")</f>
        <v>0</v>
      </c>
      <c r="K61" s="30" t="n">
        <f aca="false">I61-J61</f>
        <v>0</v>
      </c>
      <c r="L61" s="6" t="str">
        <f aca="false">IF(C61="Ambient","Site-supplied",IF(AND(I61=0,J61=0),"Not in design",IF(K61&lt;-0.0001*MAX(J61,1),"Deficit",IF(K61&gt;0.0001*MAX(I61,1),"Surplus","Balanced"))))</f>
        <v>Not in design</v>
      </c>
      <c r="M61" s="5" t="s">
        <v>1882</v>
      </c>
    </row>
    <row r="62" customFormat="false" ht="15" hidden="false" customHeight="true" outlineLevel="0" collapsed="false">
      <c r="A62" s="6" t="s">
        <v>1021</v>
      </c>
      <c r="B62" s="6" t="s">
        <v>1860</v>
      </c>
      <c r="C62" s="6" t="s">
        <v>1880</v>
      </c>
      <c r="E62" s="23"/>
      <c r="F62" s="6" t="n">
        <f aca="false">COUNTIFS(Flows!$D$2:$D$1500,$A62,Flows!$C$2:$C$1500,"Output")</f>
        <v>9</v>
      </c>
      <c r="G62" s="6" t="n">
        <f aca="false">COUNTIFS(Flows!$D$2:$D$1500,$A62,Flows!$C$2:$C$1500,"Input")</f>
        <v>3</v>
      </c>
      <c r="H62" s="6" t="str">
        <f aca="false">IF(C62="Ambient","Site-supplied",IF(AND(F62=0,G62=0),"Unused",IF(F62=0,"External source (no producer)",IF(G62=0,IF(D62&lt;&gt;"","Meets a human need","End product (no consumer)"),"Intermediate (made and used)"))))</f>
        <v>Intermediate (made and used)</v>
      </c>
      <c r="I62" s="30" t="n">
        <f aca="false">SUMIFS(Flows!$J$2:$J$1500,Flows!$D$2:$D$1500,$A62,Flows!$C$2:$C$1500,"Output")</f>
        <v>0.5</v>
      </c>
      <c r="J62" s="30" t="n">
        <f aca="false">SUMIFS(Flows!$J$2:$J$1500,Flows!$D$2:$D$1500,$A62,Flows!$C$2:$C$1500,"Input")</f>
        <v>0.1</v>
      </c>
      <c r="K62" s="30" t="n">
        <f aca="false">I62-J62</f>
        <v>0.4</v>
      </c>
      <c r="L62" s="6" t="str">
        <f aca="false">IF(C62="Ambient","Site-supplied",IF(AND(I62=0,J62=0),"Not in design",IF(K62&lt;-0.0001*MAX(J62,1),"Deficit",IF(K62&gt;0.0001*MAX(I62,1),"Surplus","Balanced"))))</f>
        <v>Surplus</v>
      </c>
      <c r="M62" s="5" t="s">
        <v>1883</v>
      </c>
    </row>
    <row r="63" customFormat="false" ht="15" hidden="false" customHeight="true" outlineLevel="0" collapsed="false">
      <c r="A63" s="6" t="s">
        <v>462</v>
      </c>
      <c r="B63" s="6" t="s">
        <v>124</v>
      </c>
      <c r="C63" s="6" t="s">
        <v>1880</v>
      </c>
      <c r="E63" s="23"/>
      <c r="F63" s="6" t="n">
        <f aca="false">COUNTIFS(Flows!$D$2:$D$1500,$A63,Flows!$C$2:$C$1500,"Output")</f>
        <v>36</v>
      </c>
      <c r="G63" s="6" t="n">
        <f aca="false">COUNTIFS(Flows!$D$2:$D$1500,$A63,Flows!$C$2:$C$1500,"Input")</f>
        <v>0</v>
      </c>
      <c r="H63" s="6" t="str">
        <f aca="false">IF(C63="Ambient","Site-supplied",IF(AND(F63=0,G63=0),"Unused",IF(F63=0,"External source (no producer)",IF(G63=0,IF(D63&lt;&gt;"","Meets a human need","End product (no consumer)"),"Intermediate (made and used)"))))</f>
        <v>End product (no consumer)</v>
      </c>
      <c r="I63" s="30" t="n">
        <f aca="false">SUMIFS(Flows!$J$2:$J$1500,Flows!$D$2:$D$1500,$A63,Flows!$C$2:$C$1500,"Output")</f>
        <v>10</v>
      </c>
      <c r="J63" s="30" t="n">
        <f aca="false">SUMIFS(Flows!$J$2:$J$1500,Flows!$D$2:$D$1500,$A63,Flows!$C$2:$C$1500,"Input")</f>
        <v>0</v>
      </c>
      <c r="K63" s="30" t="n">
        <f aca="false">I63-J63</f>
        <v>10</v>
      </c>
      <c r="L63" s="6" t="str">
        <f aca="false">IF(C63="Ambient","Site-supplied",IF(AND(I63=0,J63=0),"Not in design",IF(K63&lt;-0.0001*MAX(J63,1),"Deficit",IF(K63&gt;0.0001*MAX(I63,1),"Surplus","Balanced"))))</f>
        <v>Surplus</v>
      </c>
      <c r="M63" s="5" t="s">
        <v>1884</v>
      </c>
    </row>
    <row r="64" customFormat="false" ht="39.55" hidden="false" customHeight="false" outlineLevel="0" collapsed="false">
      <c r="A64" s="6" t="s">
        <v>1885</v>
      </c>
      <c r="B64" s="6" t="s">
        <v>53</v>
      </c>
      <c r="C64" s="6" t="s">
        <v>1819</v>
      </c>
      <c r="D64" s="1" t="s">
        <v>52</v>
      </c>
      <c r="E64" s="23" t="n">
        <v>1</v>
      </c>
      <c r="F64" s="6" t="n">
        <f aca="false">COUNTIFS(Flows!$D$2:$D$1500,$A64,Flows!$C$2:$C$1500,"Output")</f>
        <v>0</v>
      </c>
      <c r="G64" s="6" t="n">
        <f aca="false">COUNTIFS(Flows!$D$2:$D$1500,$A64,Flows!$C$2:$C$1500,"Input")</f>
        <v>0</v>
      </c>
      <c r="H64" s="6" t="str">
        <f aca="false">IF(C64="Ambient","Site-supplied",IF(AND(F64=0,G64=0),"Unused",IF(F64=0,"External source (no producer)",IF(G64=0,IF(D64&lt;&gt;"","Meets a human need","End product (no consumer)"),"Intermediate (made and used)"))))</f>
        <v>Unused</v>
      </c>
      <c r="I64" s="30" t="n">
        <f aca="false">SUMIFS(Flows!$J$2:$J$1500,Flows!$D$2:$D$1500,$A64,Flows!$C$2:$C$1500,"Output")</f>
        <v>0</v>
      </c>
      <c r="J64" s="30" t="n">
        <f aca="false">SUMIFS(Flows!$J$2:$J$1500,Flows!$D$2:$D$1500,$A64,Flows!$C$2:$C$1500,"Input")</f>
        <v>0</v>
      </c>
      <c r="K64" s="30" t="n">
        <f aca="false">I64-J64</f>
        <v>0</v>
      </c>
      <c r="L64" s="6" t="str">
        <f aca="false">IF(C64="Ambient","Site-supplied",IF(AND(I64=0,J64=0),"Not in design",IF(K64&lt;-0.0001*MAX(J64,1),"Deficit",IF(K64&gt;0.0001*MAX(I64,1),"Surplus","Balanced"))))</f>
        <v>Not in design</v>
      </c>
      <c r="M64" s="5" t="s">
        <v>1886</v>
      </c>
    </row>
  </sheetData>
  <conditionalFormatting sqref="L2:L63">
    <cfRule type="cellIs" priority="2" operator="equal" aboveAverage="0" equalAverage="0" bottom="0" percent="0" rank="0" text="" dxfId="0">
      <formula>"Deficit"</formula>
    </cfRule>
    <cfRule type="cellIs" priority="3" operator="equal" aboveAverage="0" equalAverage="0" bottom="0" percent="0" rank="0" text="" dxfId="1">
      <formula>"Surplus"</formula>
    </cfRule>
  </conditionalFormatting>
  <conditionalFormatting sqref="H2:H63">
    <cfRule type="cellIs" priority="4" operator="equal" aboveAverage="0" equalAverage="0" bottom="0" percent="0" rank="0" text="" dxfId="2">
      <formula>"External source (no producer)"</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K17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1" width="42"/>
    <col collapsed="false" customWidth="true" hidden="false" outlineLevel="0" max="63" min="2" style="1" width="4.2"/>
  </cols>
  <sheetData>
    <row r="1" customFormat="false" ht="150" hidden="false" customHeight="true" outlineLevel="0" collapsed="false">
      <c r="A1" s="31" t="s">
        <v>130</v>
      </c>
      <c r="B1" s="32" t="s">
        <v>49</v>
      </c>
      <c r="C1" s="32" t="s">
        <v>51</v>
      </c>
      <c r="D1" s="32" t="s">
        <v>982</v>
      </c>
      <c r="E1" s="32" t="s">
        <v>1089</v>
      </c>
      <c r="F1" s="32" t="s">
        <v>52</v>
      </c>
      <c r="G1" s="32" t="s">
        <v>561</v>
      </c>
      <c r="H1" s="32" t="s">
        <v>1568</v>
      </c>
      <c r="I1" s="32" t="s">
        <v>1561</v>
      </c>
      <c r="J1" s="32" t="s">
        <v>1049</v>
      </c>
      <c r="K1" s="32" t="s">
        <v>1031</v>
      </c>
      <c r="L1" s="32" t="s">
        <v>1230</v>
      </c>
      <c r="M1" s="32" t="s">
        <v>1655</v>
      </c>
      <c r="N1" s="32" t="s">
        <v>1486</v>
      </c>
      <c r="O1" s="32" t="s">
        <v>1121</v>
      </c>
      <c r="P1" s="32" t="s">
        <v>1547</v>
      </c>
      <c r="Q1" s="32" t="s">
        <v>55</v>
      </c>
      <c r="R1" s="32" t="s">
        <v>57</v>
      </c>
      <c r="S1" s="32" t="s">
        <v>59</v>
      </c>
      <c r="T1" s="32" t="s">
        <v>61</v>
      </c>
      <c r="U1" s="32" t="s">
        <v>63</v>
      </c>
      <c r="V1" s="32" t="s">
        <v>67</v>
      </c>
      <c r="W1" s="32" t="s">
        <v>69</v>
      </c>
      <c r="X1" s="32" t="s">
        <v>71</v>
      </c>
      <c r="Y1" s="32" t="s">
        <v>269</v>
      </c>
      <c r="Z1" s="32" t="s">
        <v>165</v>
      </c>
      <c r="AA1" s="32" t="s">
        <v>864</v>
      </c>
      <c r="AB1" s="32" t="s">
        <v>1440</v>
      </c>
      <c r="AC1" s="32" t="s">
        <v>1445</v>
      </c>
      <c r="AD1" s="32" t="s">
        <v>288</v>
      </c>
      <c r="AE1" s="32" t="s">
        <v>104</v>
      </c>
      <c r="AF1" s="32" t="s">
        <v>109</v>
      </c>
      <c r="AG1" s="32" t="s">
        <v>113</v>
      </c>
      <c r="AH1" s="32" t="s">
        <v>329</v>
      </c>
      <c r="AI1" s="32" t="s">
        <v>910</v>
      </c>
      <c r="AJ1" s="32" t="s">
        <v>1169</v>
      </c>
      <c r="AK1" s="32" t="s">
        <v>1312</v>
      </c>
      <c r="AL1" s="32" t="s">
        <v>177</v>
      </c>
      <c r="AM1" s="32" t="s">
        <v>962</v>
      </c>
      <c r="AN1" s="32" t="s">
        <v>170</v>
      </c>
      <c r="AO1" s="32" t="s">
        <v>415</v>
      </c>
      <c r="AP1" s="32" t="s">
        <v>216</v>
      </c>
      <c r="AQ1" s="32" t="s">
        <v>1523</v>
      </c>
      <c r="AR1" s="32" t="s">
        <v>1127</v>
      </c>
      <c r="AS1" s="32" t="s">
        <v>322</v>
      </c>
      <c r="AT1" s="32" t="s">
        <v>240</v>
      </c>
      <c r="AU1" s="32" t="s">
        <v>410</v>
      </c>
      <c r="AV1" s="32" t="s">
        <v>174</v>
      </c>
      <c r="AW1" s="32" t="s">
        <v>341</v>
      </c>
      <c r="AX1" s="32" t="s">
        <v>325</v>
      </c>
      <c r="AY1" s="32" t="s">
        <v>1036</v>
      </c>
      <c r="AZ1" s="32" t="s">
        <v>1025</v>
      </c>
      <c r="BA1" s="32" t="s">
        <v>1040</v>
      </c>
      <c r="BB1" s="32" t="s">
        <v>1183</v>
      </c>
      <c r="BC1" s="32" t="s">
        <v>1114</v>
      </c>
      <c r="BD1" s="32" t="s">
        <v>900</v>
      </c>
      <c r="BE1" s="32" t="s">
        <v>999</v>
      </c>
      <c r="BF1" s="32" t="s">
        <v>1453</v>
      </c>
      <c r="BG1" s="32" t="s">
        <v>1670</v>
      </c>
      <c r="BH1" s="32" t="s">
        <v>437</v>
      </c>
      <c r="BI1" s="32" t="s">
        <v>436</v>
      </c>
      <c r="BJ1" s="32" t="s">
        <v>1021</v>
      </c>
      <c r="BK1" s="32" t="s">
        <v>462</v>
      </c>
    </row>
    <row r="2" customFormat="false" ht="15" hidden="false" customHeight="true" outlineLevel="0" collapsed="false">
      <c r="A2" s="6" t="str">
        <f aca="false">Systems!B2</f>
        <v>2kwh Lead Acid Battery</v>
      </c>
      <c r="B2" s="33" t="str">
        <f aca="false">IF(COUNTIF(Flows!$M$2:$M$1500,$A2&amp;"|"&amp;B$1&amp;"|Input"),IF(COUNTIF(Flows!$M$2:$M$1500,$A2&amp;"|"&amp;B$1&amp;"|Output"),"I/O","IN"),IF(COUNTIF(Flows!$M$2:$M$1500,$A2&amp;"|"&amp;B$1&amp;"|Output"),"OUT",""))</f>
        <v/>
      </c>
      <c r="C2" s="33" t="str">
        <f aca="false">IF(COUNTIF(Flows!$M$2:$M$1500,$A2&amp;"|"&amp;C$1&amp;"|Input"),IF(COUNTIF(Flows!$M$2:$M$1500,$A2&amp;"|"&amp;C$1&amp;"|Output"),"I/O","IN"),IF(COUNTIF(Flows!$M$2:$M$1500,$A2&amp;"|"&amp;C$1&amp;"|Output"),"OUT",""))</f>
        <v/>
      </c>
      <c r="D2" s="33" t="str">
        <f aca="false">IF(COUNTIF(Flows!$M$2:$M$1500,$A2&amp;"|"&amp;D$1&amp;"|Input"),IF(COUNTIF(Flows!$M$2:$M$1500,$A2&amp;"|"&amp;D$1&amp;"|Output"),"I/O","IN"),IF(COUNTIF(Flows!$M$2:$M$1500,$A2&amp;"|"&amp;D$1&amp;"|Output"),"OUT",""))</f>
        <v/>
      </c>
      <c r="E2" s="33" t="str">
        <f aca="false">IF(COUNTIF(Flows!$M$2:$M$1500,$A2&amp;"|"&amp;E$1&amp;"|Input"),IF(COUNTIF(Flows!$M$2:$M$1500,$A2&amp;"|"&amp;E$1&amp;"|Output"),"I/O","IN"),IF(COUNTIF(Flows!$M$2:$M$1500,$A2&amp;"|"&amp;E$1&amp;"|Output"),"OUT",""))</f>
        <v/>
      </c>
      <c r="F2" s="33" t="str">
        <f aca="false">IF(COUNTIF(Flows!$M$2:$M$1500,$A2&amp;"|"&amp;F$1&amp;"|Input"),IF(COUNTIF(Flows!$M$2:$M$1500,$A2&amp;"|"&amp;F$1&amp;"|Output"),"I/O","IN"),IF(COUNTIF(Flows!$M$2:$M$1500,$A2&amp;"|"&amp;F$1&amp;"|Output"),"OUT",""))</f>
        <v/>
      </c>
      <c r="G2" s="33" t="str">
        <f aca="false">IF(COUNTIF(Flows!$M$2:$M$1500,$A2&amp;"|"&amp;G$1&amp;"|Input"),IF(COUNTIF(Flows!$M$2:$M$1500,$A2&amp;"|"&amp;G$1&amp;"|Output"),"I/O","IN"),IF(COUNTIF(Flows!$M$2:$M$1500,$A2&amp;"|"&amp;G$1&amp;"|Output"),"OUT",""))</f>
        <v/>
      </c>
      <c r="H2" s="33" t="str">
        <f aca="false">IF(COUNTIF(Flows!$M$2:$M$1500,$A2&amp;"|"&amp;H$1&amp;"|Input"),IF(COUNTIF(Flows!$M$2:$M$1500,$A2&amp;"|"&amp;H$1&amp;"|Output"),"I/O","IN"),IF(COUNTIF(Flows!$M$2:$M$1500,$A2&amp;"|"&amp;H$1&amp;"|Output"),"OUT",""))</f>
        <v/>
      </c>
      <c r="I2" s="33" t="str">
        <f aca="false">IF(COUNTIF(Flows!$M$2:$M$1500,$A2&amp;"|"&amp;I$1&amp;"|Input"),IF(COUNTIF(Flows!$M$2:$M$1500,$A2&amp;"|"&amp;I$1&amp;"|Output"),"I/O","IN"),IF(COUNTIF(Flows!$M$2:$M$1500,$A2&amp;"|"&amp;I$1&amp;"|Output"),"OUT",""))</f>
        <v/>
      </c>
      <c r="J2" s="33" t="str">
        <f aca="false">IF(COUNTIF(Flows!$M$2:$M$1500,$A2&amp;"|"&amp;J$1&amp;"|Input"),IF(COUNTIF(Flows!$M$2:$M$1500,$A2&amp;"|"&amp;J$1&amp;"|Output"),"I/O","IN"),IF(COUNTIF(Flows!$M$2:$M$1500,$A2&amp;"|"&amp;J$1&amp;"|Output"),"OUT",""))</f>
        <v/>
      </c>
      <c r="K2" s="33" t="str">
        <f aca="false">IF(COUNTIF(Flows!$M$2:$M$1500,$A2&amp;"|"&amp;K$1&amp;"|Input"),IF(COUNTIF(Flows!$M$2:$M$1500,$A2&amp;"|"&amp;K$1&amp;"|Output"),"I/O","IN"),IF(COUNTIF(Flows!$M$2:$M$1500,$A2&amp;"|"&amp;K$1&amp;"|Output"),"OUT",""))</f>
        <v/>
      </c>
      <c r="L2" s="33" t="str">
        <f aca="false">IF(COUNTIF(Flows!$M$2:$M$1500,$A2&amp;"|"&amp;L$1&amp;"|Input"),IF(COUNTIF(Flows!$M$2:$M$1500,$A2&amp;"|"&amp;L$1&amp;"|Output"),"I/O","IN"),IF(COUNTIF(Flows!$M$2:$M$1500,$A2&amp;"|"&amp;L$1&amp;"|Output"),"OUT",""))</f>
        <v/>
      </c>
      <c r="M2" s="33" t="str">
        <f aca="false">IF(COUNTIF(Flows!$M$2:$M$1500,$A2&amp;"|"&amp;M$1&amp;"|Input"),IF(COUNTIF(Flows!$M$2:$M$1500,$A2&amp;"|"&amp;M$1&amp;"|Output"),"I/O","IN"),IF(COUNTIF(Flows!$M$2:$M$1500,$A2&amp;"|"&amp;M$1&amp;"|Output"),"OUT",""))</f>
        <v/>
      </c>
      <c r="N2" s="33" t="str">
        <f aca="false">IF(COUNTIF(Flows!$M$2:$M$1500,$A2&amp;"|"&amp;N$1&amp;"|Input"),IF(COUNTIF(Flows!$M$2:$M$1500,$A2&amp;"|"&amp;N$1&amp;"|Output"),"I/O","IN"),IF(COUNTIF(Flows!$M$2:$M$1500,$A2&amp;"|"&amp;N$1&amp;"|Output"),"OUT",""))</f>
        <v/>
      </c>
      <c r="O2" s="33" t="str">
        <f aca="false">IF(COUNTIF(Flows!$M$2:$M$1500,$A2&amp;"|"&amp;O$1&amp;"|Input"),IF(COUNTIF(Flows!$M$2:$M$1500,$A2&amp;"|"&amp;O$1&amp;"|Output"),"I/O","IN"),IF(COUNTIF(Flows!$M$2:$M$1500,$A2&amp;"|"&amp;O$1&amp;"|Output"),"OUT",""))</f>
        <v/>
      </c>
      <c r="P2" s="33" t="str">
        <f aca="false">IF(COUNTIF(Flows!$M$2:$M$1500,$A2&amp;"|"&amp;P$1&amp;"|Input"),IF(COUNTIF(Flows!$M$2:$M$1500,$A2&amp;"|"&amp;P$1&amp;"|Output"),"I/O","IN"),IF(COUNTIF(Flows!$M$2:$M$1500,$A2&amp;"|"&amp;P$1&amp;"|Output"),"OUT",""))</f>
        <v/>
      </c>
      <c r="Q2" s="33" t="str">
        <f aca="false">IF(COUNTIF(Flows!$M$2:$M$1500,$A2&amp;"|"&amp;Q$1&amp;"|Input"),IF(COUNTIF(Flows!$M$2:$M$1500,$A2&amp;"|"&amp;Q$1&amp;"|Output"),"I/O","IN"),IF(COUNTIF(Flows!$M$2:$M$1500,$A2&amp;"|"&amp;Q$1&amp;"|Output"),"OUT",""))</f>
        <v/>
      </c>
      <c r="R2" s="33" t="str">
        <f aca="false">IF(COUNTIF(Flows!$M$2:$M$1500,$A2&amp;"|"&amp;R$1&amp;"|Input"),IF(COUNTIF(Flows!$M$2:$M$1500,$A2&amp;"|"&amp;R$1&amp;"|Output"),"I/O","IN"),IF(COUNTIF(Flows!$M$2:$M$1500,$A2&amp;"|"&amp;R$1&amp;"|Output"),"OUT",""))</f>
        <v/>
      </c>
      <c r="S2" s="33" t="str">
        <f aca="false">IF(COUNTIF(Flows!$M$2:$M$1500,$A2&amp;"|"&amp;S$1&amp;"|Input"),IF(COUNTIF(Flows!$M$2:$M$1500,$A2&amp;"|"&amp;S$1&amp;"|Output"),"I/O","IN"),IF(COUNTIF(Flows!$M$2:$M$1500,$A2&amp;"|"&amp;S$1&amp;"|Output"),"OUT",""))</f>
        <v>I/O</v>
      </c>
      <c r="T2" s="33" t="str">
        <f aca="false">IF(COUNTIF(Flows!$M$2:$M$1500,$A2&amp;"|"&amp;T$1&amp;"|Input"),IF(COUNTIF(Flows!$M$2:$M$1500,$A2&amp;"|"&amp;T$1&amp;"|Output"),"I/O","IN"),IF(COUNTIF(Flows!$M$2:$M$1500,$A2&amp;"|"&amp;T$1&amp;"|Output"),"OUT",""))</f>
        <v/>
      </c>
      <c r="U2" s="33" t="str">
        <f aca="false">IF(COUNTIF(Flows!$M$2:$M$1500,$A2&amp;"|"&amp;U$1&amp;"|Input"),IF(COUNTIF(Flows!$M$2:$M$1500,$A2&amp;"|"&amp;U$1&amp;"|Output"),"I/O","IN"),IF(COUNTIF(Flows!$M$2:$M$1500,$A2&amp;"|"&amp;U$1&amp;"|Output"),"OUT",""))</f>
        <v/>
      </c>
      <c r="V2" s="33" t="str">
        <f aca="false">IF(COUNTIF(Flows!$M$2:$M$1500,$A2&amp;"|"&amp;V$1&amp;"|Input"),IF(COUNTIF(Flows!$M$2:$M$1500,$A2&amp;"|"&amp;V$1&amp;"|Output"),"I/O","IN"),IF(COUNTIF(Flows!$M$2:$M$1500,$A2&amp;"|"&amp;V$1&amp;"|Output"),"OUT",""))</f>
        <v/>
      </c>
      <c r="W2" s="33" t="str">
        <f aca="false">IF(COUNTIF(Flows!$M$2:$M$1500,$A2&amp;"|"&amp;W$1&amp;"|Input"),IF(COUNTIF(Flows!$M$2:$M$1500,$A2&amp;"|"&amp;W$1&amp;"|Output"),"I/O","IN"),IF(COUNTIF(Flows!$M$2:$M$1500,$A2&amp;"|"&amp;W$1&amp;"|Output"),"OUT",""))</f>
        <v/>
      </c>
      <c r="X2" s="33" t="str">
        <f aca="false">IF(COUNTIF(Flows!$M$2:$M$1500,$A2&amp;"|"&amp;X$1&amp;"|Input"),IF(COUNTIF(Flows!$M$2:$M$1500,$A2&amp;"|"&amp;X$1&amp;"|Output"),"I/O","IN"),IF(COUNTIF(Flows!$M$2:$M$1500,$A2&amp;"|"&amp;X$1&amp;"|Output"),"OUT",""))</f>
        <v>IN</v>
      </c>
      <c r="Y2" s="33" t="str">
        <f aca="false">IF(COUNTIF(Flows!$M$2:$M$1500,$A2&amp;"|"&amp;Y$1&amp;"|Input"),IF(COUNTIF(Flows!$M$2:$M$1500,$A2&amp;"|"&amp;Y$1&amp;"|Output"),"I/O","IN"),IF(COUNTIF(Flows!$M$2:$M$1500,$A2&amp;"|"&amp;Y$1&amp;"|Output"),"OUT",""))</f>
        <v/>
      </c>
      <c r="Z2" s="33" t="str">
        <f aca="false">IF(COUNTIF(Flows!$M$2:$M$1500,$A2&amp;"|"&amp;Z$1&amp;"|Input"),IF(COUNTIF(Flows!$M$2:$M$1500,$A2&amp;"|"&amp;Z$1&amp;"|Output"),"I/O","IN"),IF(COUNTIF(Flows!$M$2:$M$1500,$A2&amp;"|"&amp;Z$1&amp;"|Output"),"OUT",""))</f>
        <v/>
      </c>
      <c r="AA2" s="33" t="str">
        <f aca="false">IF(COUNTIF(Flows!$M$2:$M$1500,$A2&amp;"|"&amp;AA$1&amp;"|Input"),IF(COUNTIF(Flows!$M$2:$M$1500,$A2&amp;"|"&amp;AA$1&amp;"|Output"),"I/O","IN"),IF(COUNTIF(Flows!$M$2:$M$1500,$A2&amp;"|"&amp;AA$1&amp;"|Output"),"OUT",""))</f>
        <v/>
      </c>
      <c r="AB2" s="33" t="str">
        <f aca="false">IF(COUNTIF(Flows!$M$2:$M$1500,$A2&amp;"|"&amp;AB$1&amp;"|Input"),IF(COUNTIF(Flows!$M$2:$M$1500,$A2&amp;"|"&amp;AB$1&amp;"|Output"),"I/O","IN"),IF(COUNTIF(Flows!$M$2:$M$1500,$A2&amp;"|"&amp;AB$1&amp;"|Output"),"OUT",""))</f>
        <v/>
      </c>
      <c r="AC2" s="33" t="str">
        <f aca="false">IF(COUNTIF(Flows!$M$2:$M$1500,$A2&amp;"|"&amp;AC$1&amp;"|Input"),IF(COUNTIF(Flows!$M$2:$M$1500,$A2&amp;"|"&amp;AC$1&amp;"|Output"),"I/O","IN"),IF(COUNTIF(Flows!$M$2:$M$1500,$A2&amp;"|"&amp;AC$1&amp;"|Output"),"OUT",""))</f>
        <v/>
      </c>
      <c r="AD2" s="33" t="str">
        <f aca="false">IF(COUNTIF(Flows!$M$2:$M$1500,$A2&amp;"|"&amp;AD$1&amp;"|Input"),IF(COUNTIF(Flows!$M$2:$M$1500,$A2&amp;"|"&amp;AD$1&amp;"|Output"),"I/O","IN"),IF(COUNTIF(Flows!$M$2:$M$1500,$A2&amp;"|"&amp;AD$1&amp;"|Output"),"OUT",""))</f>
        <v/>
      </c>
      <c r="AE2" s="33" t="str">
        <f aca="false">IF(COUNTIF(Flows!$M$2:$M$1500,$A2&amp;"|"&amp;AE$1&amp;"|Input"),IF(COUNTIF(Flows!$M$2:$M$1500,$A2&amp;"|"&amp;AE$1&amp;"|Output"),"I/O","IN"),IF(COUNTIF(Flows!$M$2:$M$1500,$A2&amp;"|"&amp;AE$1&amp;"|Output"),"OUT",""))</f>
        <v/>
      </c>
      <c r="AF2" s="33" t="str">
        <f aca="false">IF(COUNTIF(Flows!$M$2:$M$1500,$A2&amp;"|"&amp;AF$1&amp;"|Input"),IF(COUNTIF(Flows!$M$2:$M$1500,$A2&amp;"|"&amp;AF$1&amp;"|Output"),"I/O","IN"),IF(COUNTIF(Flows!$M$2:$M$1500,$A2&amp;"|"&amp;AF$1&amp;"|Output"),"OUT",""))</f>
        <v>OUT</v>
      </c>
      <c r="AG2" s="33" t="str">
        <f aca="false">IF(COUNTIF(Flows!$M$2:$M$1500,$A2&amp;"|"&amp;AG$1&amp;"|Input"),IF(COUNTIF(Flows!$M$2:$M$1500,$A2&amp;"|"&amp;AG$1&amp;"|Output"),"I/O","IN"),IF(COUNTIF(Flows!$M$2:$M$1500,$A2&amp;"|"&amp;AG$1&amp;"|Output"),"OUT",""))</f>
        <v/>
      </c>
      <c r="AH2" s="33" t="str">
        <f aca="false">IF(COUNTIF(Flows!$M$2:$M$1500,$A2&amp;"|"&amp;AH$1&amp;"|Input"),IF(COUNTIF(Flows!$M$2:$M$1500,$A2&amp;"|"&amp;AH$1&amp;"|Output"),"I/O","IN"),IF(COUNTIF(Flows!$M$2:$M$1500,$A2&amp;"|"&amp;AH$1&amp;"|Output"),"OUT",""))</f>
        <v/>
      </c>
      <c r="AI2" s="33" t="str">
        <f aca="false">IF(COUNTIF(Flows!$M$2:$M$1500,$A2&amp;"|"&amp;AI$1&amp;"|Input"),IF(COUNTIF(Flows!$M$2:$M$1500,$A2&amp;"|"&amp;AI$1&amp;"|Output"),"I/O","IN"),IF(COUNTIF(Flows!$M$2:$M$1500,$A2&amp;"|"&amp;AI$1&amp;"|Output"),"OUT",""))</f>
        <v/>
      </c>
      <c r="AJ2" s="33" t="str">
        <f aca="false">IF(COUNTIF(Flows!$M$2:$M$1500,$A2&amp;"|"&amp;AJ$1&amp;"|Input"),IF(COUNTIF(Flows!$M$2:$M$1500,$A2&amp;"|"&amp;AJ$1&amp;"|Output"),"I/O","IN"),IF(COUNTIF(Flows!$M$2:$M$1500,$A2&amp;"|"&amp;AJ$1&amp;"|Output"),"OUT",""))</f>
        <v/>
      </c>
      <c r="AK2" s="33" t="str">
        <f aca="false">IF(COUNTIF(Flows!$M$2:$M$1500,$A2&amp;"|"&amp;AK$1&amp;"|Input"),IF(COUNTIF(Flows!$M$2:$M$1500,$A2&amp;"|"&amp;AK$1&amp;"|Output"),"I/O","IN"),IF(COUNTIF(Flows!$M$2:$M$1500,$A2&amp;"|"&amp;AK$1&amp;"|Output"),"OUT",""))</f>
        <v/>
      </c>
      <c r="AL2" s="33" t="str">
        <f aca="false">IF(COUNTIF(Flows!$M$2:$M$1500,$A2&amp;"|"&amp;AL$1&amp;"|Input"),IF(COUNTIF(Flows!$M$2:$M$1500,$A2&amp;"|"&amp;AL$1&amp;"|Output"),"I/O","IN"),IF(COUNTIF(Flows!$M$2:$M$1500,$A2&amp;"|"&amp;AL$1&amp;"|Output"),"OUT",""))</f>
        <v/>
      </c>
      <c r="AM2" s="33" t="str">
        <f aca="false">IF(COUNTIF(Flows!$M$2:$M$1500,$A2&amp;"|"&amp;AM$1&amp;"|Input"),IF(COUNTIF(Flows!$M$2:$M$1500,$A2&amp;"|"&amp;AM$1&amp;"|Output"),"I/O","IN"),IF(COUNTIF(Flows!$M$2:$M$1500,$A2&amp;"|"&amp;AM$1&amp;"|Output"),"OUT",""))</f>
        <v/>
      </c>
      <c r="AN2" s="33" t="str">
        <f aca="false">IF(COUNTIF(Flows!$M$2:$M$1500,$A2&amp;"|"&amp;AN$1&amp;"|Input"),IF(COUNTIF(Flows!$M$2:$M$1500,$A2&amp;"|"&amp;AN$1&amp;"|Output"),"I/O","IN"),IF(COUNTIF(Flows!$M$2:$M$1500,$A2&amp;"|"&amp;AN$1&amp;"|Output"),"OUT",""))</f>
        <v/>
      </c>
      <c r="AO2" s="33" t="str">
        <f aca="false">IF(COUNTIF(Flows!$M$2:$M$1500,$A2&amp;"|"&amp;AO$1&amp;"|Input"),IF(COUNTIF(Flows!$M$2:$M$1500,$A2&amp;"|"&amp;AO$1&amp;"|Output"),"I/O","IN"),IF(COUNTIF(Flows!$M$2:$M$1500,$A2&amp;"|"&amp;AO$1&amp;"|Output"),"OUT",""))</f>
        <v/>
      </c>
      <c r="AP2" s="33" t="str">
        <f aca="false">IF(COUNTIF(Flows!$M$2:$M$1500,$A2&amp;"|"&amp;AP$1&amp;"|Input"),IF(COUNTIF(Flows!$M$2:$M$1500,$A2&amp;"|"&amp;AP$1&amp;"|Output"),"I/O","IN"),IF(COUNTIF(Flows!$M$2:$M$1500,$A2&amp;"|"&amp;AP$1&amp;"|Output"),"OUT",""))</f>
        <v/>
      </c>
      <c r="AQ2" s="33" t="str">
        <f aca="false">IF(COUNTIF(Flows!$M$2:$M$1500,$A2&amp;"|"&amp;AQ$1&amp;"|Input"),IF(COUNTIF(Flows!$M$2:$M$1500,$A2&amp;"|"&amp;AQ$1&amp;"|Output"),"I/O","IN"),IF(COUNTIF(Flows!$M$2:$M$1500,$A2&amp;"|"&amp;AQ$1&amp;"|Output"),"OUT",""))</f>
        <v/>
      </c>
      <c r="AR2" s="33" t="str">
        <f aca="false">IF(COUNTIF(Flows!$M$2:$M$1500,$A2&amp;"|"&amp;AR$1&amp;"|Input"),IF(COUNTIF(Flows!$M$2:$M$1500,$A2&amp;"|"&amp;AR$1&amp;"|Output"),"I/O","IN"),IF(COUNTIF(Flows!$M$2:$M$1500,$A2&amp;"|"&amp;AR$1&amp;"|Output"),"OUT",""))</f>
        <v/>
      </c>
      <c r="AS2" s="33" t="str">
        <f aca="false">IF(COUNTIF(Flows!$M$2:$M$1500,$A2&amp;"|"&amp;AS$1&amp;"|Input"),IF(COUNTIF(Flows!$M$2:$M$1500,$A2&amp;"|"&amp;AS$1&amp;"|Output"),"I/O","IN"),IF(COUNTIF(Flows!$M$2:$M$1500,$A2&amp;"|"&amp;AS$1&amp;"|Output"),"OUT",""))</f>
        <v/>
      </c>
      <c r="AT2" s="33" t="str">
        <f aca="false">IF(COUNTIF(Flows!$M$2:$M$1500,$A2&amp;"|"&amp;AT$1&amp;"|Input"),IF(COUNTIF(Flows!$M$2:$M$1500,$A2&amp;"|"&amp;AT$1&amp;"|Output"),"I/O","IN"),IF(COUNTIF(Flows!$M$2:$M$1500,$A2&amp;"|"&amp;AT$1&amp;"|Output"),"OUT",""))</f>
        <v/>
      </c>
      <c r="AU2" s="33" t="str">
        <f aca="false">IF(COUNTIF(Flows!$M$2:$M$1500,$A2&amp;"|"&amp;AU$1&amp;"|Input"),IF(COUNTIF(Flows!$M$2:$M$1500,$A2&amp;"|"&amp;AU$1&amp;"|Output"),"I/O","IN"),IF(COUNTIF(Flows!$M$2:$M$1500,$A2&amp;"|"&amp;AU$1&amp;"|Output"),"OUT",""))</f>
        <v/>
      </c>
      <c r="AV2" s="33" t="str">
        <f aca="false">IF(COUNTIF(Flows!$M$2:$M$1500,$A2&amp;"|"&amp;AV$1&amp;"|Input"),IF(COUNTIF(Flows!$M$2:$M$1500,$A2&amp;"|"&amp;AV$1&amp;"|Output"),"I/O","IN"),IF(COUNTIF(Flows!$M$2:$M$1500,$A2&amp;"|"&amp;AV$1&amp;"|Output"),"OUT",""))</f>
        <v/>
      </c>
      <c r="AW2" s="33" t="str">
        <f aca="false">IF(COUNTIF(Flows!$M$2:$M$1500,$A2&amp;"|"&amp;AW$1&amp;"|Input"),IF(COUNTIF(Flows!$M$2:$M$1500,$A2&amp;"|"&amp;AW$1&amp;"|Output"),"I/O","IN"),IF(COUNTIF(Flows!$M$2:$M$1500,$A2&amp;"|"&amp;AW$1&amp;"|Output"),"OUT",""))</f>
        <v/>
      </c>
      <c r="AX2" s="33" t="str">
        <f aca="false">IF(COUNTIF(Flows!$M$2:$M$1500,$A2&amp;"|"&amp;AX$1&amp;"|Input"),IF(COUNTIF(Flows!$M$2:$M$1500,$A2&amp;"|"&amp;AX$1&amp;"|Output"),"I/O","IN"),IF(COUNTIF(Flows!$M$2:$M$1500,$A2&amp;"|"&amp;AX$1&amp;"|Output"),"OUT",""))</f>
        <v/>
      </c>
      <c r="AY2" s="33" t="str">
        <f aca="false">IF(COUNTIF(Flows!$M$2:$M$1500,$A2&amp;"|"&amp;AY$1&amp;"|Input"),IF(COUNTIF(Flows!$M$2:$M$1500,$A2&amp;"|"&amp;AY$1&amp;"|Output"),"I/O","IN"),IF(COUNTIF(Flows!$M$2:$M$1500,$A2&amp;"|"&amp;AY$1&amp;"|Output"),"OUT",""))</f>
        <v/>
      </c>
      <c r="AZ2" s="33" t="str">
        <f aca="false">IF(COUNTIF(Flows!$M$2:$M$1500,$A2&amp;"|"&amp;AZ$1&amp;"|Input"),IF(COUNTIF(Flows!$M$2:$M$1500,$A2&amp;"|"&amp;AZ$1&amp;"|Output"),"I/O","IN"),IF(COUNTIF(Flows!$M$2:$M$1500,$A2&amp;"|"&amp;AZ$1&amp;"|Output"),"OUT",""))</f>
        <v/>
      </c>
      <c r="BA2" s="33" t="str">
        <f aca="false">IF(COUNTIF(Flows!$M$2:$M$1500,$A2&amp;"|"&amp;BA$1&amp;"|Input"),IF(COUNTIF(Flows!$M$2:$M$1500,$A2&amp;"|"&amp;BA$1&amp;"|Output"),"I/O","IN"),IF(COUNTIF(Flows!$M$2:$M$1500,$A2&amp;"|"&amp;BA$1&amp;"|Output"),"OUT",""))</f>
        <v/>
      </c>
      <c r="BB2" s="33" t="str">
        <f aca="false">IF(COUNTIF(Flows!$M$2:$M$1500,$A2&amp;"|"&amp;BB$1&amp;"|Input"),IF(COUNTIF(Flows!$M$2:$M$1500,$A2&amp;"|"&amp;BB$1&amp;"|Output"),"I/O","IN"),IF(COUNTIF(Flows!$M$2:$M$1500,$A2&amp;"|"&amp;BB$1&amp;"|Output"),"OUT",""))</f>
        <v/>
      </c>
      <c r="BC2" s="33" t="str">
        <f aca="false">IF(COUNTIF(Flows!$M$2:$M$1500,$A2&amp;"|"&amp;BC$1&amp;"|Input"),IF(COUNTIF(Flows!$M$2:$M$1500,$A2&amp;"|"&amp;BC$1&amp;"|Output"),"I/O","IN"),IF(COUNTIF(Flows!$M$2:$M$1500,$A2&amp;"|"&amp;BC$1&amp;"|Output"),"OUT",""))</f>
        <v/>
      </c>
      <c r="BD2" s="33" t="str">
        <f aca="false">IF(COUNTIF(Flows!$M$2:$M$1500,$A2&amp;"|"&amp;BD$1&amp;"|Input"),IF(COUNTIF(Flows!$M$2:$M$1500,$A2&amp;"|"&amp;BD$1&amp;"|Output"),"I/O","IN"),IF(COUNTIF(Flows!$M$2:$M$1500,$A2&amp;"|"&amp;BD$1&amp;"|Output"),"OUT",""))</f>
        <v/>
      </c>
      <c r="BE2" s="33" t="str">
        <f aca="false">IF(COUNTIF(Flows!$M$2:$M$1500,$A2&amp;"|"&amp;BE$1&amp;"|Input"),IF(COUNTIF(Flows!$M$2:$M$1500,$A2&amp;"|"&amp;BE$1&amp;"|Output"),"I/O","IN"),IF(COUNTIF(Flows!$M$2:$M$1500,$A2&amp;"|"&amp;BE$1&amp;"|Output"),"OUT",""))</f>
        <v/>
      </c>
      <c r="BF2" s="33" t="str">
        <f aca="false">IF(COUNTIF(Flows!$M$2:$M$1500,$A2&amp;"|"&amp;BF$1&amp;"|Input"),IF(COUNTIF(Flows!$M$2:$M$1500,$A2&amp;"|"&amp;BF$1&amp;"|Output"),"I/O","IN"),IF(COUNTIF(Flows!$M$2:$M$1500,$A2&amp;"|"&amp;BF$1&amp;"|Output"),"OUT",""))</f>
        <v/>
      </c>
      <c r="BG2" s="33" t="str">
        <f aca="false">IF(COUNTIF(Flows!$M$2:$M$1500,$A2&amp;"|"&amp;BG$1&amp;"|Input"),IF(COUNTIF(Flows!$M$2:$M$1500,$A2&amp;"|"&amp;BG$1&amp;"|Output"),"I/O","IN"),IF(COUNTIF(Flows!$M$2:$M$1500,$A2&amp;"|"&amp;BG$1&amp;"|Output"),"OUT",""))</f>
        <v/>
      </c>
      <c r="BH2" s="33" t="str">
        <f aca="false">IF(COUNTIF(Flows!$M$2:$M$1500,$A2&amp;"|"&amp;BH$1&amp;"|Input"),IF(COUNTIF(Flows!$M$2:$M$1500,$A2&amp;"|"&amp;BH$1&amp;"|Output"),"I/O","IN"),IF(COUNTIF(Flows!$M$2:$M$1500,$A2&amp;"|"&amp;BH$1&amp;"|Output"),"OUT",""))</f>
        <v/>
      </c>
      <c r="BI2" s="33" t="str">
        <f aca="false">IF(COUNTIF(Flows!$M$2:$M$1500,$A2&amp;"|"&amp;BI$1&amp;"|Input"),IF(COUNTIF(Flows!$M$2:$M$1500,$A2&amp;"|"&amp;BI$1&amp;"|Output"),"I/O","IN"),IF(COUNTIF(Flows!$M$2:$M$1500,$A2&amp;"|"&amp;BI$1&amp;"|Output"),"OUT",""))</f>
        <v/>
      </c>
      <c r="BJ2" s="33" t="str">
        <f aca="false">IF(COUNTIF(Flows!$M$2:$M$1500,$A2&amp;"|"&amp;BJ$1&amp;"|Input"),IF(COUNTIF(Flows!$M$2:$M$1500,$A2&amp;"|"&amp;BJ$1&amp;"|Output"),"I/O","IN"),IF(COUNTIF(Flows!$M$2:$M$1500,$A2&amp;"|"&amp;BJ$1&amp;"|Output"),"OUT",""))</f>
        <v/>
      </c>
      <c r="BK2" s="33" t="str">
        <f aca="false">IF(COUNTIF(Flows!$M$2:$M$1500,$A2&amp;"|"&amp;BK$1&amp;"|Input"),IF(COUNTIF(Flows!$M$2:$M$1500,$A2&amp;"|"&amp;BK$1&amp;"|Output"),"I/O","IN"),IF(COUNTIF(Flows!$M$2:$M$1500,$A2&amp;"|"&amp;BK$1&amp;"|Output"),"OUT",""))</f>
        <v/>
      </c>
    </row>
    <row r="3" customFormat="false" ht="15" hidden="false" customHeight="true" outlineLevel="0" collapsed="false">
      <c r="A3" s="6" t="str">
        <f aca="false">Systems!B3</f>
        <v>500W Photovoltaic Panels</v>
      </c>
      <c r="B3" s="33" t="str">
        <f aca="false">IF(COUNTIF(Flows!$M$2:$M$1500,$A3&amp;"|"&amp;B$1&amp;"|Input"),IF(COUNTIF(Flows!$M$2:$M$1500,$A3&amp;"|"&amp;B$1&amp;"|Output"),"I/O","IN"),IF(COUNTIF(Flows!$M$2:$M$1500,$A3&amp;"|"&amp;B$1&amp;"|Output"),"OUT",""))</f>
        <v/>
      </c>
      <c r="C3" s="33" t="str">
        <f aca="false">IF(COUNTIF(Flows!$M$2:$M$1500,$A3&amp;"|"&amp;C$1&amp;"|Input"),IF(COUNTIF(Flows!$M$2:$M$1500,$A3&amp;"|"&amp;C$1&amp;"|Output"),"I/O","IN"),IF(COUNTIF(Flows!$M$2:$M$1500,$A3&amp;"|"&amp;C$1&amp;"|Output"),"OUT",""))</f>
        <v/>
      </c>
      <c r="D3" s="33" t="str">
        <f aca="false">IF(COUNTIF(Flows!$M$2:$M$1500,$A3&amp;"|"&amp;D$1&amp;"|Input"),IF(COUNTIF(Flows!$M$2:$M$1500,$A3&amp;"|"&amp;D$1&amp;"|Output"),"I/O","IN"),IF(COUNTIF(Flows!$M$2:$M$1500,$A3&amp;"|"&amp;D$1&amp;"|Output"),"OUT",""))</f>
        <v/>
      </c>
      <c r="E3" s="33" t="str">
        <f aca="false">IF(COUNTIF(Flows!$M$2:$M$1500,$A3&amp;"|"&amp;E$1&amp;"|Input"),IF(COUNTIF(Flows!$M$2:$M$1500,$A3&amp;"|"&amp;E$1&amp;"|Output"),"I/O","IN"),IF(COUNTIF(Flows!$M$2:$M$1500,$A3&amp;"|"&amp;E$1&amp;"|Output"),"OUT",""))</f>
        <v/>
      </c>
      <c r="F3" s="33" t="str">
        <f aca="false">IF(COUNTIF(Flows!$M$2:$M$1500,$A3&amp;"|"&amp;F$1&amp;"|Input"),IF(COUNTIF(Flows!$M$2:$M$1500,$A3&amp;"|"&amp;F$1&amp;"|Output"),"I/O","IN"),IF(COUNTIF(Flows!$M$2:$M$1500,$A3&amp;"|"&amp;F$1&amp;"|Output"),"OUT",""))</f>
        <v/>
      </c>
      <c r="G3" s="33" t="str">
        <f aca="false">IF(COUNTIF(Flows!$M$2:$M$1500,$A3&amp;"|"&amp;G$1&amp;"|Input"),IF(COUNTIF(Flows!$M$2:$M$1500,$A3&amp;"|"&amp;G$1&amp;"|Output"),"I/O","IN"),IF(COUNTIF(Flows!$M$2:$M$1500,$A3&amp;"|"&amp;G$1&amp;"|Output"),"OUT",""))</f>
        <v/>
      </c>
      <c r="H3" s="33" t="str">
        <f aca="false">IF(COUNTIF(Flows!$M$2:$M$1500,$A3&amp;"|"&amp;H$1&amp;"|Input"),IF(COUNTIF(Flows!$M$2:$M$1500,$A3&amp;"|"&amp;H$1&amp;"|Output"),"I/O","IN"),IF(COUNTIF(Flows!$M$2:$M$1500,$A3&amp;"|"&amp;H$1&amp;"|Output"),"OUT",""))</f>
        <v/>
      </c>
      <c r="I3" s="33" t="str">
        <f aca="false">IF(COUNTIF(Flows!$M$2:$M$1500,$A3&amp;"|"&amp;I$1&amp;"|Input"),IF(COUNTIF(Flows!$M$2:$M$1500,$A3&amp;"|"&amp;I$1&amp;"|Output"),"I/O","IN"),IF(COUNTIF(Flows!$M$2:$M$1500,$A3&amp;"|"&amp;I$1&amp;"|Output"),"OUT",""))</f>
        <v/>
      </c>
      <c r="J3" s="33" t="str">
        <f aca="false">IF(COUNTIF(Flows!$M$2:$M$1500,$A3&amp;"|"&amp;J$1&amp;"|Input"),IF(COUNTIF(Flows!$M$2:$M$1500,$A3&amp;"|"&amp;J$1&amp;"|Output"),"I/O","IN"),IF(COUNTIF(Flows!$M$2:$M$1500,$A3&amp;"|"&amp;J$1&amp;"|Output"),"OUT",""))</f>
        <v/>
      </c>
      <c r="K3" s="33" t="str">
        <f aca="false">IF(COUNTIF(Flows!$M$2:$M$1500,$A3&amp;"|"&amp;K$1&amp;"|Input"),IF(COUNTIF(Flows!$M$2:$M$1500,$A3&amp;"|"&amp;K$1&amp;"|Output"),"I/O","IN"),IF(COUNTIF(Flows!$M$2:$M$1500,$A3&amp;"|"&amp;K$1&amp;"|Output"),"OUT",""))</f>
        <v/>
      </c>
      <c r="L3" s="33" t="str">
        <f aca="false">IF(COUNTIF(Flows!$M$2:$M$1500,$A3&amp;"|"&amp;L$1&amp;"|Input"),IF(COUNTIF(Flows!$M$2:$M$1500,$A3&amp;"|"&amp;L$1&amp;"|Output"),"I/O","IN"),IF(COUNTIF(Flows!$M$2:$M$1500,$A3&amp;"|"&amp;L$1&amp;"|Output"),"OUT",""))</f>
        <v/>
      </c>
      <c r="M3" s="33" t="str">
        <f aca="false">IF(COUNTIF(Flows!$M$2:$M$1500,$A3&amp;"|"&amp;M$1&amp;"|Input"),IF(COUNTIF(Flows!$M$2:$M$1500,$A3&amp;"|"&amp;M$1&amp;"|Output"),"I/O","IN"),IF(COUNTIF(Flows!$M$2:$M$1500,$A3&amp;"|"&amp;M$1&amp;"|Output"),"OUT",""))</f>
        <v/>
      </c>
      <c r="N3" s="33" t="str">
        <f aca="false">IF(COUNTIF(Flows!$M$2:$M$1500,$A3&amp;"|"&amp;N$1&amp;"|Input"),IF(COUNTIF(Flows!$M$2:$M$1500,$A3&amp;"|"&amp;N$1&amp;"|Output"),"I/O","IN"),IF(COUNTIF(Flows!$M$2:$M$1500,$A3&amp;"|"&amp;N$1&amp;"|Output"),"OUT",""))</f>
        <v/>
      </c>
      <c r="O3" s="33" t="str">
        <f aca="false">IF(COUNTIF(Flows!$M$2:$M$1500,$A3&amp;"|"&amp;O$1&amp;"|Input"),IF(COUNTIF(Flows!$M$2:$M$1500,$A3&amp;"|"&amp;O$1&amp;"|Output"),"I/O","IN"),IF(COUNTIF(Flows!$M$2:$M$1500,$A3&amp;"|"&amp;O$1&amp;"|Output"),"OUT",""))</f>
        <v/>
      </c>
      <c r="P3" s="33" t="str">
        <f aca="false">IF(COUNTIF(Flows!$M$2:$M$1500,$A3&amp;"|"&amp;P$1&amp;"|Input"),IF(COUNTIF(Flows!$M$2:$M$1500,$A3&amp;"|"&amp;P$1&amp;"|Output"),"I/O","IN"),IF(COUNTIF(Flows!$M$2:$M$1500,$A3&amp;"|"&amp;P$1&amp;"|Output"),"OUT",""))</f>
        <v/>
      </c>
      <c r="Q3" s="33" t="str">
        <f aca="false">IF(COUNTIF(Flows!$M$2:$M$1500,$A3&amp;"|"&amp;Q$1&amp;"|Input"),IF(COUNTIF(Flows!$M$2:$M$1500,$A3&amp;"|"&amp;Q$1&amp;"|Output"),"I/O","IN"),IF(COUNTIF(Flows!$M$2:$M$1500,$A3&amp;"|"&amp;Q$1&amp;"|Output"),"OUT",""))</f>
        <v/>
      </c>
      <c r="R3" s="33" t="str">
        <f aca="false">IF(COUNTIF(Flows!$M$2:$M$1500,$A3&amp;"|"&amp;R$1&amp;"|Input"),IF(COUNTIF(Flows!$M$2:$M$1500,$A3&amp;"|"&amp;R$1&amp;"|Output"),"I/O","IN"),IF(COUNTIF(Flows!$M$2:$M$1500,$A3&amp;"|"&amp;R$1&amp;"|Output"),"OUT",""))</f>
        <v/>
      </c>
      <c r="S3" s="33" t="str">
        <f aca="false">IF(COUNTIF(Flows!$M$2:$M$1500,$A3&amp;"|"&amp;S$1&amp;"|Input"),IF(COUNTIF(Flows!$M$2:$M$1500,$A3&amp;"|"&amp;S$1&amp;"|Output"),"I/O","IN"),IF(COUNTIF(Flows!$M$2:$M$1500,$A3&amp;"|"&amp;S$1&amp;"|Output"),"OUT",""))</f>
        <v>OUT</v>
      </c>
      <c r="T3" s="33" t="str">
        <f aca="false">IF(COUNTIF(Flows!$M$2:$M$1500,$A3&amp;"|"&amp;T$1&amp;"|Input"),IF(COUNTIF(Flows!$M$2:$M$1500,$A3&amp;"|"&amp;T$1&amp;"|Output"),"I/O","IN"),IF(COUNTIF(Flows!$M$2:$M$1500,$A3&amp;"|"&amp;T$1&amp;"|Output"),"OUT",""))</f>
        <v/>
      </c>
      <c r="U3" s="33" t="str">
        <f aca="false">IF(COUNTIF(Flows!$M$2:$M$1500,$A3&amp;"|"&amp;U$1&amp;"|Input"),IF(COUNTIF(Flows!$M$2:$M$1500,$A3&amp;"|"&amp;U$1&amp;"|Output"),"I/O","IN"),IF(COUNTIF(Flows!$M$2:$M$1500,$A3&amp;"|"&amp;U$1&amp;"|Output"),"OUT",""))</f>
        <v/>
      </c>
      <c r="V3" s="33" t="str">
        <f aca="false">IF(COUNTIF(Flows!$M$2:$M$1500,$A3&amp;"|"&amp;V$1&amp;"|Input"),IF(COUNTIF(Flows!$M$2:$M$1500,$A3&amp;"|"&amp;V$1&amp;"|Output"),"I/O","IN"),IF(COUNTIF(Flows!$M$2:$M$1500,$A3&amp;"|"&amp;V$1&amp;"|Output"),"OUT",""))</f>
        <v/>
      </c>
      <c r="W3" s="33" t="str">
        <f aca="false">IF(COUNTIF(Flows!$M$2:$M$1500,$A3&amp;"|"&amp;W$1&amp;"|Input"),IF(COUNTIF(Flows!$M$2:$M$1500,$A3&amp;"|"&amp;W$1&amp;"|Output"),"I/O","IN"),IF(COUNTIF(Flows!$M$2:$M$1500,$A3&amp;"|"&amp;W$1&amp;"|Output"),"OUT",""))</f>
        <v/>
      </c>
      <c r="X3" s="33" t="str">
        <f aca="false">IF(COUNTIF(Flows!$M$2:$M$1500,$A3&amp;"|"&amp;X$1&amp;"|Input"),IF(COUNTIF(Flows!$M$2:$M$1500,$A3&amp;"|"&amp;X$1&amp;"|Output"),"I/O","IN"),IF(COUNTIF(Flows!$M$2:$M$1500,$A3&amp;"|"&amp;X$1&amp;"|Output"),"OUT",""))</f>
        <v>IN</v>
      </c>
      <c r="Y3" s="33" t="str">
        <f aca="false">IF(COUNTIF(Flows!$M$2:$M$1500,$A3&amp;"|"&amp;Y$1&amp;"|Input"),IF(COUNTIF(Flows!$M$2:$M$1500,$A3&amp;"|"&amp;Y$1&amp;"|Output"),"I/O","IN"),IF(COUNTIF(Flows!$M$2:$M$1500,$A3&amp;"|"&amp;Y$1&amp;"|Output"),"OUT",""))</f>
        <v/>
      </c>
      <c r="Z3" s="33" t="str">
        <f aca="false">IF(COUNTIF(Flows!$M$2:$M$1500,$A3&amp;"|"&amp;Z$1&amp;"|Input"),IF(COUNTIF(Flows!$M$2:$M$1500,$A3&amp;"|"&amp;Z$1&amp;"|Output"),"I/O","IN"),IF(COUNTIF(Flows!$M$2:$M$1500,$A3&amp;"|"&amp;Z$1&amp;"|Output"),"OUT",""))</f>
        <v>IN</v>
      </c>
      <c r="AA3" s="33" t="str">
        <f aca="false">IF(COUNTIF(Flows!$M$2:$M$1500,$A3&amp;"|"&amp;AA$1&amp;"|Input"),IF(COUNTIF(Flows!$M$2:$M$1500,$A3&amp;"|"&amp;AA$1&amp;"|Output"),"I/O","IN"),IF(COUNTIF(Flows!$M$2:$M$1500,$A3&amp;"|"&amp;AA$1&amp;"|Output"),"OUT",""))</f>
        <v/>
      </c>
      <c r="AB3" s="33" t="str">
        <f aca="false">IF(COUNTIF(Flows!$M$2:$M$1500,$A3&amp;"|"&amp;AB$1&amp;"|Input"),IF(COUNTIF(Flows!$M$2:$M$1500,$A3&amp;"|"&amp;AB$1&amp;"|Output"),"I/O","IN"),IF(COUNTIF(Flows!$M$2:$M$1500,$A3&amp;"|"&amp;AB$1&amp;"|Output"),"OUT",""))</f>
        <v/>
      </c>
      <c r="AC3" s="33" t="str">
        <f aca="false">IF(COUNTIF(Flows!$M$2:$M$1500,$A3&amp;"|"&amp;AC$1&amp;"|Input"),IF(COUNTIF(Flows!$M$2:$M$1500,$A3&amp;"|"&amp;AC$1&amp;"|Output"),"I/O","IN"),IF(COUNTIF(Flows!$M$2:$M$1500,$A3&amp;"|"&amp;AC$1&amp;"|Output"),"OUT",""))</f>
        <v/>
      </c>
      <c r="AD3" s="33" t="str">
        <f aca="false">IF(COUNTIF(Flows!$M$2:$M$1500,$A3&amp;"|"&amp;AD$1&amp;"|Input"),IF(COUNTIF(Flows!$M$2:$M$1500,$A3&amp;"|"&amp;AD$1&amp;"|Output"),"I/O","IN"),IF(COUNTIF(Flows!$M$2:$M$1500,$A3&amp;"|"&amp;AD$1&amp;"|Output"),"OUT",""))</f>
        <v/>
      </c>
      <c r="AE3" s="33" t="str">
        <f aca="false">IF(COUNTIF(Flows!$M$2:$M$1500,$A3&amp;"|"&amp;AE$1&amp;"|Input"),IF(COUNTIF(Flows!$M$2:$M$1500,$A3&amp;"|"&amp;AE$1&amp;"|Output"),"I/O","IN"),IF(COUNTIF(Flows!$M$2:$M$1500,$A3&amp;"|"&amp;AE$1&amp;"|Output"),"OUT",""))</f>
        <v/>
      </c>
      <c r="AF3" s="33" t="str">
        <f aca="false">IF(COUNTIF(Flows!$M$2:$M$1500,$A3&amp;"|"&amp;AF$1&amp;"|Input"),IF(COUNTIF(Flows!$M$2:$M$1500,$A3&amp;"|"&amp;AF$1&amp;"|Output"),"I/O","IN"),IF(COUNTIF(Flows!$M$2:$M$1500,$A3&amp;"|"&amp;AF$1&amp;"|Output"),"OUT",""))</f>
        <v/>
      </c>
      <c r="AG3" s="33" t="str">
        <f aca="false">IF(COUNTIF(Flows!$M$2:$M$1500,$A3&amp;"|"&amp;AG$1&amp;"|Input"),IF(COUNTIF(Flows!$M$2:$M$1500,$A3&amp;"|"&amp;AG$1&amp;"|Output"),"I/O","IN"),IF(COUNTIF(Flows!$M$2:$M$1500,$A3&amp;"|"&amp;AG$1&amp;"|Output"),"OUT",""))</f>
        <v/>
      </c>
      <c r="AH3" s="33" t="str">
        <f aca="false">IF(COUNTIF(Flows!$M$2:$M$1500,$A3&amp;"|"&amp;AH$1&amp;"|Input"),IF(COUNTIF(Flows!$M$2:$M$1500,$A3&amp;"|"&amp;AH$1&amp;"|Output"),"I/O","IN"),IF(COUNTIF(Flows!$M$2:$M$1500,$A3&amp;"|"&amp;AH$1&amp;"|Output"),"OUT",""))</f>
        <v/>
      </c>
      <c r="AI3" s="33" t="str">
        <f aca="false">IF(COUNTIF(Flows!$M$2:$M$1500,$A3&amp;"|"&amp;AI$1&amp;"|Input"),IF(COUNTIF(Flows!$M$2:$M$1500,$A3&amp;"|"&amp;AI$1&amp;"|Output"),"I/O","IN"),IF(COUNTIF(Flows!$M$2:$M$1500,$A3&amp;"|"&amp;AI$1&amp;"|Output"),"OUT",""))</f>
        <v/>
      </c>
      <c r="AJ3" s="33" t="str">
        <f aca="false">IF(COUNTIF(Flows!$M$2:$M$1500,$A3&amp;"|"&amp;AJ$1&amp;"|Input"),IF(COUNTIF(Flows!$M$2:$M$1500,$A3&amp;"|"&amp;AJ$1&amp;"|Output"),"I/O","IN"),IF(COUNTIF(Flows!$M$2:$M$1500,$A3&amp;"|"&amp;AJ$1&amp;"|Output"),"OUT",""))</f>
        <v/>
      </c>
      <c r="AK3" s="33" t="str">
        <f aca="false">IF(COUNTIF(Flows!$M$2:$M$1500,$A3&amp;"|"&amp;AK$1&amp;"|Input"),IF(COUNTIF(Flows!$M$2:$M$1500,$A3&amp;"|"&amp;AK$1&amp;"|Output"),"I/O","IN"),IF(COUNTIF(Flows!$M$2:$M$1500,$A3&amp;"|"&amp;AK$1&amp;"|Output"),"OUT",""))</f>
        <v/>
      </c>
      <c r="AL3" s="33" t="str">
        <f aca="false">IF(COUNTIF(Flows!$M$2:$M$1500,$A3&amp;"|"&amp;AL$1&amp;"|Input"),IF(COUNTIF(Flows!$M$2:$M$1500,$A3&amp;"|"&amp;AL$1&amp;"|Output"),"I/O","IN"),IF(COUNTIF(Flows!$M$2:$M$1500,$A3&amp;"|"&amp;AL$1&amp;"|Output"),"OUT",""))</f>
        <v/>
      </c>
      <c r="AM3" s="33" t="str">
        <f aca="false">IF(COUNTIF(Flows!$M$2:$M$1500,$A3&amp;"|"&amp;AM$1&amp;"|Input"),IF(COUNTIF(Flows!$M$2:$M$1500,$A3&amp;"|"&amp;AM$1&amp;"|Output"),"I/O","IN"),IF(COUNTIF(Flows!$M$2:$M$1500,$A3&amp;"|"&amp;AM$1&amp;"|Output"),"OUT",""))</f>
        <v/>
      </c>
      <c r="AN3" s="33" t="str">
        <f aca="false">IF(COUNTIF(Flows!$M$2:$M$1500,$A3&amp;"|"&amp;AN$1&amp;"|Input"),IF(COUNTIF(Flows!$M$2:$M$1500,$A3&amp;"|"&amp;AN$1&amp;"|Output"),"I/O","IN"),IF(COUNTIF(Flows!$M$2:$M$1500,$A3&amp;"|"&amp;AN$1&amp;"|Output"),"OUT",""))</f>
        <v/>
      </c>
      <c r="AO3" s="33" t="str">
        <f aca="false">IF(COUNTIF(Flows!$M$2:$M$1500,$A3&amp;"|"&amp;AO$1&amp;"|Input"),IF(COUNTIF(Flows!$M$2:$M$1500,$A3&amp;"|"&amp;AO$1&amp;"|Output"),"I/O","IN"),IF(COUNTIF(Flows!$M$2:$M$1500,$A3&amp;"|"&amp;AO$1&amp;"|Output"),"OUT",""))</f>
        <v/>
      </c>
      <c r="AP3" s="33" t="str">
        <f aca="false">IF(COUNTIF(Flows!$M$2:$M$1500,$A3&amp;"|"&amp;AP$1&amp;"|Input"),IF(COUNTIF(Flows!$M$2:$M$1500,$A3&amp;"|"&amp;AP$1&amp;"|Output"),"I/O","IN"),IF(COUNTIF(Flows!$M$2:$M$1500,$A3&amp;"|"&amp;AP$1&amp;"|Output"),"OUT",""))</f>
        <v/>
      </c>
      <c r="AQ3" s="33" t="str">
        <f aca="false">IF(COUNTIF(Flows!$M$2:$M$1500,$A3&amp;"|"&amp;AQ$1&amp;"|Input"),IF(COUNTIF(Flows!$M$2:$M$1500,$A3&amp;"|"&amp;AQ$1&amp;"|Output"),"I/O","IN"),IF(COUNTIF(Flows!$M$2:$M$1500,$A3&amp;"|"&amp;AQ$1&amp;"|Output"),"OUT",""))</f>
        <v/>
      </c>
      <c r="AR3" s="33" t="str">
        <f aca="false">IF(COUNTIF(Flows!$M$2:$M$1500,$A3&amp;"|"&amp;AR$1&amp;"|Input"),IF(COUNTIF(Flows!$M$2:$M$1500,$A3&amp;"|"&amp;AR$1&amp;"|Output"),"I/O","IN"),IF(COUNTIF(Flows!$M$2:$M$1500,$A3&amp;"|"&amp;AR$1&amp;"|Output"),"OUT",""))</f>
        <v/>
      </c>
      <c r="AS3" s="33" t="str">
        <f aca="false">IF(COUNTIF(Flows!$M$2:$M$1500,$A3&amp;"|"&amp;AS$1&amp;"|Input"),IF(COUNTIF(Flows!$M$2:$M$1500,$A3&amp;"|"&amp;AS$1&amp;"|Output"),"I/O","IN"),IF(COUNTIF(Flows!$M$2:$M$1500,$A3&amp;"|"&amp;AS$1&amp;"|Output"),"OUT",""))</f>
        <v/>
      </c>
      <c r="AT3" s="33" t="str">
        <f aca="false">IF(COUNTIF(Flows!$M$2:$M$1500,$A3&amp;"|"&amp;AT$1&amp;"|Input"),IF(COUNTIF(Flows!$M$2:$M$1500,$A3&amp;"|"&amp;AT$1&amp;"|Output"),"I/O","IN"),IF(COUNTIF(Flows!$M$2:$M$1500,$A3&amp;"|"&amp;AT$1&amp;"|Output"),"OUT",""))</f>
        <v/>
      </c>
      <c r="AU3" s="33" t="str">
        <f aca="false">IF(COUNTIF(Flows!$M$2:$M$1500,$A3&amp;"|"&amp;AU$1&amp;"|Input"),IF(COUNTIF(Flows!$M$2:$M$1500,$A3&amp;"|"&amp;AU$1&amp;"|Output"),"I/O","IN"),IF(COUNTIF(Flows!$M$2:$M$1500,$A3&amp;"|"&amp;AU$1&amp;"|Output"),"OUT",""))</f>
        <v/>
      </c>
      <c r="AV3" s="33" t="str">
        <f aca="false">IF(COUNTIF(Flows!$M$2:$M$1500,$A3&amp;"|"&amp;AV$1&amp;"|Input"),IF(COUNTIF(Flows!$M$2:$M$1500,$A3&amp;"|"&amp;AV$1&amp;"|Output"),"I/O","IN"),IF(COUNTIF(Flows!$M$2:$M$1500,$A3&amp;"|"&amp;AV$1&amp;"|Output"),"OUT",""))</f>
        <v/>
      </c>
      <c r="AW3" s="33" t="str">
        <f aca="false">IF(COUNTIF(Flows!$M$2:$M$1500,$A3&amp;"|"&amp;AW$1&amp;"|Input"),IF(COUNTIF(Flows!$M$2:$M$1500,$A3&amp;"|"&amp;AW$1&amp;"|Output"),"I/O","IN"),IF(COUNTIF(Flows!$M$2:$M$1500,$A3&amp;"|"&amp;AW$1&amp;"|Output"),"OUT",""))</f>
        <v/>
      </c>
      <c r="AX3" s="33" t="str">
        <f aca="false">IF(COUNTIF(Flows!$M$2:$M$1500,$A3&amp;"|"&amp;AX$1&amp;"|Input"),IF(COUNTIF(Flows!$M$2:$M$1500,$A3&amp;"|"&amp;AX$1&amp;"|Output"),"I/O","IN"),IF(COUNTIF(Flows!$M$2:$M$1500,$A3&amp;"|"&amp;AX$1&amp;"|Output"),"OUT",""))</f>
        <v/>
      </c>
      <c r="AY3" s="33" t="str">
        <f aca="false">IF(COUNTIF(Flows!$M$2:$M$1500,$A3&amp;"|"&amp;AY$1&amp;"|Input"),IF(COUNTIF(Flows!$M$2:$M$1500,$A3&amp;"|"&amp;AY$1&amp;"|Output"),"I/O","IN"),IF(COUNTIF(Flows!$M$2:$M$1500,$A3&amp;"|"&amp;AY$1&amp;"|Output"),"OUT",""))</f>
        <v/>
      </c>
      <c r="AZ3" s="33" t="str">
        <f aca="false">IF(COUNTIF(Flows!$M$2:$M$1500,$A3&amp;"|"&amp;AZ$1&amp;"|Input"),IF(COUNTIF(Flows!$M$2:$M$1500,$A3&amp;"|"&amp;AZ$1&amp;"|Output"),"I/O","IN"),IF(COUNTIF(Flows!$M$2:$M$1500,$A3&amp;"|"&amp;AZ$1&amp;"|Output"),"OUT",""))</f>
        <v/>
      </c>
      <c r="BA3" s="33" t="str">
        <f aca="false">IF(COUNTIF(Flows!$M$2:$M$1500,$A3&amp;"|"&amp;BA$1&amp;"|Input"),IF(COUNTIF(Flows!$M$2:$M$1500,$A3&amp;"|"&amp;BA$1&amp;"|Output"),"I/O","IN"),IF(COUNTIF(Flows!$M$2:$M$1500,$A3&amp;"|"&amp;BA$1&amp;"|Output"),"OUT",""))</f>
        <v/>
      </c>
      <c r="BB3" s="33" t="str">
        <f aca="false">IF(COUNTIF(Flows!$M$2:$M$1500,$A3&amp;"|"&amp;BB$1&amp;"|Input"),IF(COUNTIF(Flows!$M$2:$M$1500,$A3&amp;"|"&amp;BB$1&amp;"|Output"),"I/O","IN"),IF(COUNTIF(Flows!$M$2:$M$1500,$A3&amp;"|"&amp;BB$1&amp;"|Output"),"OUT",""))</f>
        <v/>
      </c>
      <c r="BC3" s="33" t="str">
        <f aca="false">IF(COUNTIF(Flows!$M$2:$M$1500,$A3&amp;"|"&amp;BC$1&amp;"|Input"),IF(COUNTIF(Flows!$M$2:$M$1500,$A3&amp;"|"&amp;BC$1&amp;"|Output"),"I/O","IN"),IF(COUNTIF(Flows!$M$2:$M$1500,$A3&amp;"|"&amp;BC$1&amp;"|Output"),"OUT",""))</f>
        <v/>
      </c>
      <c r="BD3" s="33" t="str">
        <f aca="false">IF(COUNTIF(Flows!$M$2:$M$1500,$A3&amp;"|"&amp;BD$1&amp;"|Input"),IF(COUNTIF(Flows!$M$2:$M$1500,$A3&amp;"|"&amp;BD$1&amp;"|Output"),"I/O","IN"),IF(COUNTIF(Flows!$M$2:$M$1500,$A3&amp;"|"&amp;BD$1&amp;"|Output"),"OUT",""))</f>
        <v/>
      </c>
      <c r="BE3" s="33" t="str">
        <f aca="false">IF(COUNTIF(Flows!$M$2:$M$1500,$A3&amp;"|"&amp;BE$1&amp;"|Input"),IF(COUNTIF(Flows!$M$2:$M$1500,$A3&amp;"|"&amp;BE$1&amp;"|Output"),"I/O","IN"),IF(COUNTIF(Flows!$M$2:$M$1500,$A3&amp;"|"&amp;BE$1&amp;"|Output"),"OUT",""))</f>
        <v/>
      </c>
      <c r="BF3" s="33" t="str">
        <f aca="false">IF(COUNTIF(Flows!$M$2:$M$1500,$A3&amp;"|"&amp;BF$1&amp;"|Input"),IF(COUNTIF(Flows!$M$2:$M$1500,$A3&amp;"|"&amp;BF$1&amp;"|Output"),"I/O","IN"),IF(COUNTIF(Flows!$M$2:$M$1500,$A3&amp;"|"&amp;BF$1&amp;"|Output"),"OUT",""))</f>
        <v/>
      </c>
      <c r="BG3" s="33" t="str">
        <f aca="false">IF(COUNTIF(Flows!$M$2:$M$1500,$A3&amp;"|"&amp;BG$1&amp;"|Input"),IF(COUNTIF(Flows!$M$2:$M$1500,$A3&amp;"|"&amp;BG$1&amp;"|Output"),"I/O","IN"),IF(COUNTIF(Flows!$M$2:$M$1500,$A3&amp;"|"&amp;BG$1&amp;"|Output"),"OUT",""))</f>
        <v/>
      </c>
      <c r="BH3" s="33" t="str">
        <f aca="false">IF(COUNTIF(Flows!$M$2:$M$1500,$A3&amp;"|"&amp;BH$1&amp;"|Input"),IF(COUNTIF(Flows!$M$2:$M$1500,$A3&amp;"|"&amp;BH$1&amp;"|Output"),"I/O","IN"),IF(COUNTIF(Flows!$M$2:$M$1500,$A3&amp;"|"&amp;BH$1&amp;"|Output"),"OUT",""))</f>
        <v/>
      </c>
      <c r="BI3" s="33" t="str">
        <f aca="false">IF(COUNTIF(Flows!$M$2:$M$1500,$A3&amp;"|"&amp;BI$1&amp;"|Input"),IF(COUNTIF(Flows!$M$2:$M$1500,$A3&amp;"|"&amp;BI$1&amp;"|Output"),"I/O","IN"),IF(COUNTIF(Flows!$M$2:$M$1500,$A3&amp;"|"&amp;BI$1&amp;"|Output"),"OUT",""))</f>
        <v/>
      </c>
      <c r="BJ3" s="33" t="str">
        <f aca="false">IF(COUNTIF(Flows!$M$2:$M$1500,$A3&amp;"|"&amp;BJ$1&amp;"|Input"),IF(COUNTIF(Flows!$M$2:$M$1500,$A3&amp;"|"&amp;BJ$1&amp;"|Output"),"I/O","IN"),IF(COUNTIF(Flows!$M$2:$M$1500,$A3&amp;"|"&amp;BJ$1&amp;"|Output"),"OUT",""))</f>
        <v/>
      </c>
      <c r="BK3" s="33" t="str">
        <f aca="false">IF(COUNTIF(Flows!$M$2:$M$1500,$A3&amp;"|"&amp;BK$1&amp;"|Input"),IF(COUNTIF(Flows!$M$2:$M$1500,$A3&amp;"|"&amp;BK$1&amp;"|Output"),"I/O","IN"),IF(COUNTIF(Flows!$M$2:$M$1500,$A3&amp;"|"&amp;BK$1&amp;"|Output"),"OUT",""))</f>
        <v/>
      </c>
    </row>
    <row r="4" customFormat="false" ht="15" hidden="false" customHeight="true" outlineLevel="0" collapsed="false">
      <c r="A4" s="6" t="str">
        <f aca="false">Systems!B4</f>
        <v>All Power Labs CHP</v>
      </c>
      <c r="B4" s="33" t="str">
        <f aca="false">IF(COUNTIF(Flows!$M$2:$M$1500,$A4&amp;"|"&amp;B$1&amp;"|Input"),IF(COUNTIF(Flows!$M$2:$M$1500,$A4&amp;"|"&amp;B$1&amp;"|Output"),"I/O","IN"),IF(COUNTIF(Flows!$M$2:$M$1500,$A4&amp;"|"&amp;B$1&amp;"|Output"),"OUT",""))</f>
        <v/>
      </c>
      <c r="C4" s="33" t="str">
        <f aca="false">IF(COUNTIF(Flows!$M$2:$M$1500,$A4&amp;"|"&amp;C$1&amp;"|Input"),IF(COUNTIF(Flows!$M$2:$M$1500,$A4&amp;"|"&amp;C$1&amp;"|Output"),"I/O","IN"),IF(COUNTIF(Flows!$M$2:$M$1500,$A4&amp;"|"&amp;C$1&amp;"|Output"),"OUT",""))</f>
        <v/>
      </c>
      <c r="D4" s="33" t="str">
        <f aca="false">IF(COUNTIF(Flows!$M$2:$M$1500,$A4&amp;"|"&amp;D$1&amp;"|Input"),IF(COUNTIF(Flows!$M$2:$M$1500,$A4&amp;"|"&amp;D$1&amp;"|Output"),"I/O","IN"),IF(COUNTIF(Flows!$M$2:$M$1500,$A4&amp;"|"&amp;D$1&amp;"|Output"),"OUT",""))</f>
        <v/>
      </c>
      <c r="E4" s="33" t="str">
        <f aca="false">IF(COUNTIF(Flows!$M$2:$M$1500,$A4&amp;"|"&amp;E$1&amp;"|Input"),IF(COUNTIF(Flows!$M$2:$M$1500,$A4&amp;"|"&amp;E$1&amp;"|Output"),"I/O","IN"),IF(COUNTIF(Flows!$M$2:$M$1500,$A4&amp;"|"&amp;E$1&amp;"|Output"),"OUT",""))</f>
        <v/>
      </c>
      <c r="F4" s="33" t="str">
        <f aca="false">IF(COUNTIF(Flows!$M$2:$M$1500,$A4&amp;"|"&amp;F$1&amp;"|Input"),IF(COUNTIF(Flows!$M$2:$M$1500,$A4&amp;"|"&amp;F$1&amp;"|Output"),"I/O","IN"),IF(COUNTIF(Flows!$M$2:$M$1500,$A4&amp;"|"&amp;F$1&amp;"|Output"),"OUT",""))</f>
        <v/>
      </c>
      <c r="G4" s="33" t="str">
        <f aca="false">IF(COUNTIF(Flows!$M$2:$M$1500,$A4&amp;"|"&amp;G$1&amp;"|Input"),IF(COUNTIF(Flows!$M$2:$M$1500,$A4&amp;"|"&amp;G$1&amp;"|Output"),"I/O","IN"),IF(COUNTIF(Flows!$M$2:$M$1500,$A4&amp;"|"&amp;G$1&amp;"|Output"),"OUT",""))</f>
        <v/>
      </c>
      <c r="H4" s="33" t="str">
        <f aca="false">IF(COUNTIF(Flows!$M$2:$M$1500,$A4&amp;"|"&amp;H$1&amp;"|Input"),IF(COUNTIF(Flows!$M$2:$M$1500,$A4&amp;"|"&amp;H$1&amp;"|Output"),"I/O","IN"),IF(COUNTIF(Flows!$M$2:$M$1500,$A4&amp;"|"&amp;H$1&amp;"|Output"),"OUT",""))</f>
        <v/>
      </c>
      <c r="I4" s="33" t="str">
        <f aca="false">IF(COUNTIF(Flows!$M$2:$M$1500,$A4&amp;"|"&amp;I$1&amp;"|Input"),IF(COUNTIF(Flows!$M$2:$M$1500,$A4&amp;"|"&amp;I$1&amp;"|Output"),"I/O","IN"),IF(COUNTIF(Flows!$M$2:$M$1500,$A4&amp;"|"&amp;I$1&amp;"|Output"),"OUT",""))</f>
        <v/>
      </c>
      <c r="J4" s="33" t="str">
        <f aca="false">IF(COUNTIF(Flows!$M$2:$M$1500,$A4&amp;"|"&amp;J$1&amp;"|Input"),IF(COUNTIF(Flows!$M$2:$M$1500,$A4&amp;"|"&amp;J$1&amp;"|Output"),"I/O","IN"),IF(COUNTIF(Flows!$M$2:$M$1500,$A4&amp;"|"&amp;J$1&amp;"|Output"),"OUT",""))</f>
        <v/>
      </c>
      <c r="K4" s="33" t="str">
        <f aca="false">IF(COUNTIF(Flows!$M$2:$M$1500,$A4&amp;"|"&amp;K$1&amp;"|Input"),IF(COUNTIF(Flows!$M$2:$M$1500,$A4&amp;"|"&amp;K$1&amp;"|Output"),"I/O","IN"),IF(COUNTIF(Flows!$M$2:$M$1500,$A4&amp;"|"&amp;K$1&amp;"|Output"),"OUT",""))</f>
        <v/>
      </c>
      <c r="L4" s="33" t="str">
        <f aca="false">IF(COUNTIF(Flows!$M$2:$M$1500,$A4&amp;"|"&amp;L$1&amp;"|Input"),IF(COUNTIF(Flows!$M$2:$M$1500,$A4&amp;"|"&amp;L$1&amp;"|Output"),"I/O","IN"),IF(COUNTIF(Flows!$M$2:$M$1500,$A4&amp;"|"&amp;L$1&amp;"|Output"),"OUT",""))</f>
        <v/>
      </c>
      <c r="M4" s="33" t="str">
        <f aca="false">IF(COUNTIF(Flows!$M$2:$M$1500,$A4&amp;"|"&amp;M$1&amp;"|Input"),IF(COUNTIF(Flows!$M$2:$M$1500,$A4&amp;"|"&amp;M$1&amp;"|Output"),"I/O","IN"),IF(COUNTIF(Flows!$M$2:$M$1500,$A4&amp;"|"&amp;M$1&amp;"|Output"),"OUT",""))</f>
        <v/>
      </c>
      <c r="N4" s="33" t="str">
        <f aca="false">IF(COUNTIF(Flows!$M$2:$M$1500,$A4&amp;"|"&amp;N$1&amp;"|Input"),IF(COUNTIF(Flows!$M$2:$M$1500,$A4&amp;"|"&amp;N$1&amp;"|Output"),"I/O","IN"),IF(COUNTIF(Flows!$M$2:$M$1500,$A4&amp;"|"&amp;N$1&amp;"|Output"),"OUT",""))</f>
        <v/>
      </c>
      <c r="O4" s="33" t="str">
        <f aca="false">IF(COUNTIF(Flows!$M$2:$M$1500,$A4&amp;"|"&amp;O$1&amp;"|Input"),IF(COUNTIF(Flows!$M$2:$M$1500,$A4&amp;"|"&amp;O$1&amp;"|Output"),"I/O","IN"),IF(COUNTIF(Flows!$M$2:$M$1500,$A4&amp;"|"&amp;O$1&amp;"|Output"),"OUT",""))</f>
        <v/>
      </c>
      <c r="P4" s="33" t="str">
        <f aca="false">IF(COUNTIF(Flows!$M$2:$M$1500,$A4&amp;"|"&amp;P$1&amp;"|Input"),IF(COUNTIF(Flows!$M$2:$M$1500,$A4&amp;"|"&amp;P$1&amp;"|Output"),"I/O","IN"),IF(COUNTIF(Flows!$M$2:$M$1500,$A4&amp;"|"&amp;P$1&amp;"|Output"),"OUT",""))</f>
        <v/>
      </c>
      <c r="Q4" s="33" t="str">
        <f aca="false">IF(COUNTIF(Flows!$M$2:$M$1500,$A4&amp;"|"&amp;Q$1&amp;"|Input"),IF(COUNTIF(Flows!$M$2:$M$1500,$A4&amp;"|"&amp;Q$1&amp;"|Output"),"I/O","IN"),IF(COUNTIF(Flows!$M$2:$M$1500,$A4&amp;"|"&amp;Q$1&amp;"|Output"),"OUT",""))</f>
        <v/>
      </c>
      <c r="R4" s="33" t="str">
        <f aca="false">IF(COUNTIF(Flows!$M$2:$M$1500,$A4&amp;"|"&amp;R$1&amp;"|Input"),IF(COUNTIF(Flows!$M$2:$M$1500,$A4&amp;"|"&amp;R$1&amp;"|Output"),"I/O","IN"),IF(COUNTIF(Flows!$M$2:$M$1500,$A4&amp;"|"&amp;R$1&amp;"|Output"),"OUT",""))</f>
        <v/>
      </c>
      <c r="S4" s="33" t="str">
        <f aca="false">IF(COUNTIF(Flows!$M$2:$M$1500,$A4&amp;"|"&amp;S$1&amp;"|Input"),IF(COUNTIF(Flows!$M$2:$M$1500,$A4&amp;"|"&amp;S$1&amp;"|Output"),"I/O","IN"),IF(COUNTIF(Flows!$M$2:$M$1500,$A4&amp;"|"&amp;S$1&amp;"|Output"),"OUT",""))</f>
        <v>OUT</v>
      </c>
      <c r="T4" s="33" t="str">
        <f aca="false">IF(COUNTIF(Flows!$M$2:$M$1500,$A4&amp;"|"&amp;T$1&amp;"|Input"),IF(COUNTIF(Flows!$M$2:$M$1500,$A4&amp;"|"&amp;T$1&amp;"|Output"),"I/O","IN"),IF(COUNTIF(Flows!$M$2:$M$1500,$A4&amp;"|"&amp;T$1&amp;"|Output"),"OUT",""))</f>
        <v/>
      </c>
      <c r="U4" s="33" t="str">
        <f aca="false">IF(COUNTIF(Flows!$M$2:$M$1500,$A4&amp;"|"&amp;U$1&amp;"|Input"),IF(COUNTIF(Flows!$M$2:$M$1500,$A4&amp;"|"&amp;U$1&amp;"|Output"),"I/O","IN"),IF(COUNTIF(Flows!$M$2:$M$1500,$A4&amp;"|"&amp;U$1&amp;"|Output"),"OUT",""))</f>
        <v/>
      </c>
      <c r="V4" s="33" t="str">
        <f aca="false">IF(COUNTIF(Flows!$M$2:$M$1500,$A4&amp;"|"&amp;V$1&amp;"|Input"),IF(COUNTIF(Flows!$M$2:$M$1500,$A4&amp;"|"&amp;V$1&amp;"|Output"),"I/O","IN"),IF(COUNTIF(Flows!$M$2:$M$1500,$A4&amp;"|"&amp;V$1&amp;"|Output"),"OUT",""))</f>
        <v>OUT</v>
      </c>
      <c r="W4" s="33" t="str">
        <f aca="false">IF(COUNTIF(Flows!$M$2:$M$1500,$A4&amp;"|"&amp;W$1&amp;"|Input"),IF(COUNTIF(Flows!$M$2:$M$1500,$A4&amp;"|"&amp;W$1&amp;"|Output"),"I/O","IN"),IF(COUNTIF(Flows!$M$2:$M$1500,$A4&amp;"|"&amp;W$1&amp;"|Output"),"OUT",""))</f>
        <v/>
      </c>
      <c r="X4" s="33" t="str">
        <f aca="false">IF(COUNTIF(Flows!$M$2:$M$1500,$A4&amp;"|"&amp;X$1&amp;"|Input"),IF(COUNTIF(Flows!$M$2:$M$1500,$A4&amp;"|"&amp;X$1&amp;"|Output"),"I/O","IN"),IF(COUNTIF(Flows!$M$2:$M$1500,$A4&amp;"|"&amp;X$1&amp;"|Output"),"OUT",""))</f>
        <v>IN</v>
      </c>
      <c r="Y4" s="33" t="str">
        <f aca="false">IF(COUNTIF(Flows!$M$2:$M$1500,$A4&amp;"|"&amp;Y$1&amp;"|Input"),IF(COUNTIF(Flows!$M$2:$M$1500,$A4&amp;"|"&amp;Y$1&amp;"|Output"),"I/O","IN"),IF(COUNTIF(Flows!$M$2:$M$1500,$A4&amp;"|"&amp;Y$1&amp;"|Output"),"OUT",""))</f>
        <v/>
      </c>
      <c r="Z4" s="33" t="str">
        <f aca="false">IF(COUNTIF(Flows!$M$2:$M$1500,$A4&amp;"|"&amp;Z$1&amp;"|Input"),IF(COUNTIF(Flows!$M$2:$M$1500,$A4&amp;"|"&amp;Z$1&amp;"|Output"),"I/O","IN"),IF(COUNTIF(Flows!$M$2:$M$1500,$A4&amp;"|"&amp;Z$1&amp;"|Output"),"OUT",""))</f>
        <v/>
      </c>
      <c r="AA4" s="33" t="str">
        <f aca="false">IF(COUNTIF(Flows!$M$2:$M$1500,$A4&amp;"|"&amp;AA$1&amp;"|Input"),IF(COUNTIF(Flows!$M$2:$M$1500,$A4&amp;"|"&amp;AA$1&amp;"|Output"),"I/O","IN"),IF(COUNTIF(Flows!$M$2:$M$1500,$A4&amp;"|"&amp;AA$1&amp;"|Output"),"OUT",""))</f>
        <v/>
      </c>
      <c r="AB4" s="33" t="str">
        <f aca="false">IF(COUNTIF(Flows!$M$2:$M$1500,$A4&amp;"|"&amp;AB$1&amp;"|Input"),IF(COUNTIF(Flows!$M$2:$M$1500,$A4&amp;"|"&amp;AB$1&amp;"|Output"),"I/O","IN"),IF(COUNTIF(Flows!$M$2:$M$1500,$A4&amp;"|"&amp;AB$1&amp;"|Output"),"OUT",""))</f>
        <v/>
      </c>
      <c r="AC4" s="33" t="str">
        <f aca="false">IF(COUNTIF(Flows!$M$2:$M$1500,$A4&amp;"|"&amp;AC$1&amp;"|Input"),IF(COUNTIF(Flows!$M$2:$M$1500,$A4&amp;"|"&amp;AC$1&amp;"|Output"),"I/O","IN"),IF(COUNTIF(Flows!$M$2:$M$1500,$A4&amp;"|"&amp;AC$1&amp;"|Output"),"OUT",""))</f>
        <v/>
      </c>
      <c r="AD4" s="33" t="str">
        <f aca="false">IF(COUNTIF(Flows!$M$2:$M$1500,$A4&amp;"|"&amp;AD$1&amp;"|Input"),IF(COUNTIF(Flows!$M$2:$M$1500,$A4&amp;"|"&amp;AD$1&amp;"|Output"),"I/O","IN"),IF(COUNTIF(Flows!$M$2:$M$1500,$A4&amp;"|"&amp;AD$1&amp;"|Output"),"OUT",""))</f>
        <v/>
      </c>
      <c r="AE4" s="33" t="str">
        <f aca="false">IF(COUNTIF(Flows!$M$2:$M$1500,$A4&amp;"|"&amp;AE$1&amp;"|Input"),IF(COUNTIF(Flows!$M$2:$M$1500,$A4&amp;"|"&amp;AE$1&amp;"|Output"),"I/O","IN"),IF(COUNTIF(Flows!$M$2:$M$1500,$A4&amp;"|"&amp;AE$1&amp;"|Output"),"OUT",""))</f>
        <v/>
      </c>
      <c r="AF4" s="33" t="str">
        <f aca="false">IF(COUNTIF(Flows!$M$2:$M$1500,$A4&amp;"|"&amp;AF$1&amp;"|Input"),IF(COUNTIF(Flows!$M$2:$M$1500,$A4&amp;"|"&amp;AF$1&amp;"|Output"),"I/O","IN"),IF(COUNTIF(Flows!$M$2:$M$1500,$A4&amp;"|"&amp;AF$1&amp;"|Output"),"OUT",""))</f>
        <v/>
      </c>
      <c r="AG4" s="33" t="str">
        <f aca="false">IF(COUNTIF(Flows!$M$2:$M$1500,$A4&amp;"|"&amp;AG$1&amp;"|Input"),IF(COUNTIF(Flows!$M$2:$M$1500,$A4&amp;"|"&amp;AG$1&amp;"|Output"),"I/O","IN"),IF(COUNTIF(Flows!$M$2:$M$1500,$A4&amp;"|"&amp;AG$1&amp;"|Output"),"OUT",""))</f>
        <v/>
      </c>
      <c r="AH4" s="33" t="str">
        <f aca="false">IF(COUNTIF(Flows!$M$2:$M$1500,$A4&amp;"|"&amp;AH$1&amp;"|Input"),IF(COUNTIF(Flows!$M$2:$M$1500,$A4&amp;"|"&amp;AH$1&amp;"|Output"),"I/O","IN"),IF(COUNTIF(Flows!$M$2:$M$1500,$A4&amp;"|"&amp;AH$1&amp;"|Output"),"OUT",""))</f>
        <v/>
      </c>
      <c r="AI4" s="33" t="str">
        <f aca="false">IF(COUNTIF(Flows!$M$2:$M$1500,$A4&amp;"|"&amp;AI$1&amp;"|Input"),IF(COUNTIF(Flows!$M$2:$M$1500,$A4&amp;"|"&amp;AI$1&amp;"|Output"),"I/O","IN"),IF(COUNTIF(Flows!$M$2:$M$1500,$A4&amp;"|"&amp;AI$1&amp;"|Output"),"OUT",""))</f>
        <v/>
      </c>
      <c r="AJ4" s="33" t="str">
        <f aca="false">IF(COUNTIF(Flows!$M$2:$M$1500,$A4&amp;"|"&amp;AJ$1&amp;"|Input"),IF(COUNTIF(Flows!$M$2:$M$1500,$A4&amp;"|"&amp;AJ$1&amp;"|Output"),"I/O","IN"),IF(COUNTIF(Flows!$M$2:$M$1500,$A4&amp;"|"&amp;AJ$1&amp;"|Output"),"OUT",""))</f>
        <v/>
      </c>
      <c r="AK4" s="33" t="str">
        <f aca="false">IF(COUNTIF(Flows!$M$2:$M$1500,$A4&amp;"|"&amp;AK$1&amp;"|Input"),IF(COUNTIF(Flows!$M$2:$M$1500,$A4&amp;"|"&amp;AK$1&amp;"|Output"),"I/O","IN"),IF(COUNTIF(Flows!$M$2:$M$1500,$A4&amp;"|"&amp;AK$1&amp;"|Output"),"OUT",""))</f>
        <v/>
      </c>
      <c r="AL4" s="33" t="str">
        <f aca="false">IF(COUNTIF(Flows!$M$2:$M$1500,$A4&amp;"|"&amp;AL$1&amp;"|Input"),IF(COUNTIF(Flows!$M$2:$M$1500,$A4&amp;"|"&amp;AL$1&amp;"|Output"),"I/O","IN"),IF(COUNTIF(Flows!$M$2:$M$1500,$A4&amp;"|"&amp;AL$1&amp;"|Output"),"OUT",""))</f>
        <v/>
      </c>
      <c r="AM4" s="33" t="str">
        <f aca="false">IF(COUNTIF(Flows!$M$2:$M$1500,$A4&amp;"|"&amp;AM$1&amp;"|Input"),IF(COUNTIF(Flows!$M$2:$M$1500,$A4&amp;"|"&amp;AM$1&amp;"|Output"),"I/O","IN"),IF(COUNTIF(Flows!$M$2:$M$1500,$A4&amp;"|"&amp;AM$1&amp;"|Output"),"OUT",""))</f>
        <v/>
      </c>
      <c r="AN4" s="33" t="str">
        <f aca="false">IF(COUNTIF(Flows!$M$2:$M$1500,$A4&amp;"|"&amp;AN$1&amp;"|Input"),IF(COUNTIF(Flows!$M$2:$M$1500,$A4&amp;"|"&amp;AN$1&amp;"|Output"),"I/O","IN"),IF(COUNTIF(Flows!$M$2:$M$1500,$A4&amp;"|"&amp;AN$1&amp;"|Output"),"OUT",""))</f>
        <v>IN</v>
      </c>
      <c r="AO4" s="33" t="str">
        <f aca="false">IF(COUNTIF(Flows!$M$2:$M$1500,$A4&amp;"|"&amp;AO$1&amp;"|Input"),IF(COUNTIF(Flows!$M$2:$M$1500,$A4&amp;"|"&amp;AO$1&amp;"|Output"),"I/O","IN"),IF(COUNTIF(Flows!$M$2:$M$1500,$A4&amp;"|"&amp;AO$1&amp;"|Output"),"OUT",""))</f>
        <v/>
      </c>
      <c r="AP4" s="33" t="str">
        <f aca="false">IF(COUNTIF(Flows!$M$2:$M$1500,$A4&amp;"|"&amp;AP$1&amp;"|Input"),IF(COUNTIF(Flows!$M$2:$M$1500,$A4&amp;"|"&amp;AP$1&amp;"|Output"),"I/O","IN"),IF(COUNTIF(Flows!$M$2:$M$1500,$A4&amp;"|"&amp;AP$1&amp;"|Output"),"OUT",""))</f>
        <v/>
      </c>
      <c r="AQ4" s="33" t="str">
        <f aca="false">IF(COUNTIF(Flows!$M$2:$M$1500,$A4&amp;"|"&amp;AQ$1&amp;"|Input"),IF(COUNTIF(Flows!$M$2:$M$1500,$A4&amp;"|"&amp;AQ$1&amp;"|Output"),"I/O","IN"),IF(COUNTIF(Flows!$M$2:$M$1500,$A4&amp;"|"&amp;AQ$1&amp;"|Output"),"OUT",""))</f>
        <v/>
      </c>
      <c r="AR4" s="33" t="str">
        <f aca="false">IF(COUNTIF(Flows!$M$2:$M$1500,$A4&amp;"|"&amp;AR$1&amp;"|Input"),IF(COUNTIF(Flows!$M$2:$M$1500,$A4&amp;"|"&amp;AR$1&amp;"|Output"),"I/O","IN"),IF(COUNTIF(Flows!$M$2:$M$1500,$A4&amp;"|"&amp;AR$1&amp;"|Output"),"OUT",""))</f>
        <v/>
      </c>
      <c r="AS4" s="33" t="str">
        <f aca="false">IF(COUNTIF(Flows!$M$2:$M$1500,$A4&amp;"|"&amp;AS$1&amp;"|Input"),IF(COUNTIF(Flows!$M$2:$M$1500,$A4&amp;"|"&amp;AS$1&amp;"|Output"),"I/O","IN"),IF(COUNTIF(Flows!$M$2:$M$1500,$A4&amp;"|"&amp;AS$1&amp;"|Output"),"OUT",""))</f>
        <v/>
      </c>
      <c r="AT4" s="33" t="str">
        <f aca="false">IF(COUNTIF(Flows!$M$2:$M$1500,$A4&amp;"|"&amp;AT$1&amp;"|Input"),IF(COUNTIF(Flows!$M$2:$M$1500,$A4&amp;"|"&amp;AT$1&amp;"|Output"),"I/O","IN"),IF(COUNTIF(Flows!$M$2:$M$1500,$A4&amp;"|"&amp;AT$1&amp;"|Output"),"OUT",""))</f>
        <v/>
      </c>
      <c r="AU4" s="33" t="str">
        <f aca="false">IF(COUNTIF(Flows!$M$2:$M$1500,$A4&amp;"|"&amp;AU$1&amp;"|Input"),IF(COUNTIF(Flows!$M$2:$M$1500,$A4&amp;"|"&amp;AU$1&amp;"|Output"),"I/O","IN"),IF(COUNTIF(Flows!$M$2:$M$1500,$A4&amp;"|"&amp;AU$1&amp;"|Output"),"OUT",""))</f>
        <v/>
      </c>
      <c r="AV4" s="33" t="str">
        <f aca="false">IF(COUNTIF(Flows!$M$2:$M$1500,$A4&amp;"|"&amp;AV$1&amp;"|Input"),IF(COUNTIF(Flows!$M$2:$M$1500,$A4&amp;"|"&amp;AV$1&amp;"|Output"),"I/O","IN"),IF(COUNTIF(Flows!$M$2:$M$1500,$A4&amp;"|"&amp;AV$1&amp;"|Output"),"OUT",""))</f>
        <v>OUT</v>
      </c>
      <c r="AW4" s="33" t="str">
        <f aca="false">IF(COUNTIF(Flows!$M$2:$M$1500,$A4&amp;"|"&amp;AW$1&amp;"|Input"),IF(COUNTIF(Flows!$M$2:$M$1500,$A4&amp;"|"&amp;AW$1&amp;"|Output"),"I/O","IN"),IF(COUNTIF(Flows!$M$2:$M$1500,$A4&amp;"|"&amp;AW$1&amp;"|Output"),"OUT",""))</f>
        <v/>
      </c>
      <c r="AX4" s="33" t="str">
        <f aca="false">IF(COUNTIF(Flows!$M$2:$M$1500,$A4&amp;"|"&amp;AX$1&amp;"|Input"),IF(COUNTIF(Flows!$M$2:$M$1500,$A4&amp;"|"&amp;AX$1&amp;"|Output"),"I/O","IN"),IF(COUNTIF(Flows!$M$2:$M$1500,$A4&amp;"|"&amp;AX$1&amp;"|Output"),"OUT",""))</f>
        <v/>
      </c>
      <c r="AY4" s="33" t="str">
        <f aca="false">IF(COUNTIF(Flows!$M$2:$M$1500,$A4&amp;"|"&amp;AY$1&amp;"|Input"),IF(COUNTIF(Flows!$M$2:$M$1500,$A4&amp;"|"&amp;AY$1&amp;"|Output"),"I/O","IN"),IF(COUNTIF(Flows!$M$2:$M$1500,$A4&amp;"|"&amp;AY$1&amp;"|Output"),"OUT",""))</f>
        <v/>
      </c>
      <c r="AZ4" s="33" t="str">
        <f aca="false">IF(COUNTIF(Flows!$M$2:$M$1500,$A4&amp;"|"&amp;AZ$1&amp;"|Input"),IF(COUNTIF(Flows!$M$2:$M$1500,$A4&amp;"|"&amp;AZ$1&amp;"|Output"),"I/O","IN"),IF(COUNTIF(Flows!$M$2:$M$1500,$A4&amp;"|"&amp;AZ$1&amp;"|Output"),"OUT",""))</f>
        <v/>
      </c>
      <c r="BA4" s="33" t="str">
        <f aca="false">IF(COUNTIF(Flows!$M$2:$M$1500,$A4&amp;"|"&amp;BA$1&amp;"|Input"),IF(COUNTIF(Flows!$M$2:$M$1500,$A4&amp;"|"&amp;BA$1&amp;"|Output"),"I/O","IN"),IF(COUNTIF(Flows!$M$2:$M$1500,$A4&amp;"|"&amp;BA$1&amp;"|Output"),"OUT",""))</f>
        <v/>
      </c>
      <c r="BB4" s="33" t="str">
        <f aca="false">IF(COUNTIF(Flows!$M$2:$M$1500,$A4&amp;"|"&amp;BB$1&amp;"|Input"),IF(COUNTIF(Flows!$M$2:$M$1500,$A4&amp;"|"&amp;BB$1&amp;"|Output"),"I/O","IN"),IF(COUNTIF(Flows!$M$2:$M$1500,$A4&amp;"|"&amp;BB$1&amp;"|Output"),"OUT",""))</f>
        <v/>
      </c>
      <c r="BC4" s="33" t="str">
        <f aca="false">IF(COUNTIF(Flows!$M$2:$M$1500,$A4&amp;"|"&amp;BC$1&amp;"|Input"),IF(COUNTIF(Flows!$M$2:$M$1500,$A4&amp;"|"&amp;BC$1&amp;"|Output"),"I/O","IN"),IF(COUNTIF(Flows!$M$2:$M$1500,$A4&amp;"|"&amp;BC$1&amp;"|Output"),"OUT",""))</f>
        <v/>
      </c>
      <c r="BD4" s="33" t="str">
        <f aca="false">IF(COUNTIF(Flows!$M$2:$M$1500,$A4&amp;"|"&amp;BD$1&amp;"|Input"),IF(COUNTIF(Flows!$M$2:$M$1500,$A4&amp;"|"&amp;BD$1&amp;"|Output"),"I/O","IN"),IF(COUNTIF(Flows!$M$2:$M$1500,$A4&amp;"|"&amp;BD$1&amp;"|Output"),"OUT",""))</f>
        <v/>
      </c>
      <c r="BE4" s="33" t="str">
        <f aca="false">IF(COUNTIF(Flows!$M$2:$M$1500,$A4&amp;"|"&amp;BE$1&amp;"|Input"),IF(COUNTIF(Flows!$M$2:$M$1500,$A4&amp;"|"&amp;BE$1&amp;"|Output"),"I/O","IN"),IF(COUNTIF(Flows!$M$2:$M$1500,$A4&amp;"|"&amp;BE$1&amp;"|Output"),"OUT",""))</f>
        <v/>
      </c>
      <c r="BF4" s="33" t="str">
        <f aca="false">IF(COUNTIF(Flows!$M$2:$M$1500,$A4&amp;"|"&amp;BF$1&amp;"|Input"),IF(COUNTIF(Flows!$M$2:$M$1500,$A4&amp;"|"&amp;BF$1&amp;"|Output"),"I/O","IN"),IF(COUNTIF(Flows!$M$2:$M$1500,$A4&amp;"|"&amp;BF$1&amp;"|Output"),"OUT",""))</f>
        <v/>
      </c>
      <c r="BG4" s="33" t="str">
        <f aca="false">IF(COUNTIF(Flows!$M$2:$M$1500,$A4&amp;"|"&amp;BG$1&amp;"|Input"),IF(COUNTIF(Flows!$M$2:$M$1500,$A4&amp;"|"&amp;BG$1&amp;"|Output"),"I/O","IN"),IF(COUNTIF(Flows!$M$2:$M$1500,$A4&amp;"|"&amp;BG$1&amp;"|Output"),"OUT",""))</f>
        <v/>
      </c>
      <c r="BH4" s="33" t="str">
        <f aca="false">IF(COUNTIF(Flows!$M$2:$M$1500,$A4&amp;"|"&amp;BH$1&amp;"|Input"),IF(COUNTIF(Flows!$M$2:$M$1500,$A4&amp;"|"&amp;BH$1&amp;"|Output"),"I/O","IN"),IF(COUNTIF(Flows!$M$2:$M$1500,$A4&amp;"|"&amp;BH$1&amp;"|Output"),"OUT",""))</f>
        <v/>
      </c>
      <c r="BI4" s="33" t="str">
        <f aca="false">IF(COUNTIF(Flows!$M$2:$M$1500,$A4&amp;"|"&amp;BI$1&amp;"|Input"),IF(COUNTIF(Flows!$M$2:$M$1500,$A4&amp;"|"&amp;BI$1&amp;"|Output"),"I/O","IN"),IF(COUNTIF(Flows!$M$2:$M$1500,$A4&amp;"|"&amp;BI$1&amp;"|Output"),"OUT",""))</f>
        <v/>
      </c>
      <c r="BJ4" s="33" t="str">
        <f aca="false">IF(COUNTIF(Flows!$M$2:$M$1500,$A4&amp;"|"&amp;BJ$1&amp;"|Input"),IF(COUNTIF(Flows!$M$2:$M$1500,$A4&amp;"|"&amp;BJ$1&amp;"|Output"),"I/O","IN"),IF(COUNTIF(Flows!$M$2:$M$1500,$A4&amp;"|"&amp;BJ$1&amp;"|Output"),"OUT",""))</f>
        <v/>
      </c>
      <c r="BK4" s="33" t="str">
        <f aca="false">IF(COUNTIF(Flows!$M$2:$M$1500,$A4&amp;"|"&amp;BK$1&amp;"|Input"),IF(COUNTIF(Flows!$M$2:$M$1500,$A4&amp;"|"&amp;BK$1&amp;"|Output"),"I/O","IN"),IF(COUNTIF(Flows!$M$2:$M$1500,$A4&amp;"|"&amp;BK$1&amp;"|Output"),"OUT",""))</f>
        <v/>
      </c>
    </row>
    <row r="5" customFormat="false" ht="15" hidden="false" customHeight="true" outlineLevel="0" collapsed="false">
      <c r="A5" s="6" t="str">
        <f aca="false">Systems!B5</f>
        <v>Biochar</v>
      </c>
      <c r="B5" s="33" t="str">
        <f aca="false">IF(COUNTIF(Flows!$M$2:$M$1500,$A5&amp;"|"&amp;B$1&amp;"|Input"),IF(COUNTIF(Flows!$M$2:$M$1500,$A5&amp;"|"&amp;B$1&amp;"|Output"),"I/O","IN"),IF(COUNTIF(Flows!$M$2:$M$1500,$A5&amp;"|"&amp;B$1&amp;"|Output"),"OUT",""))</f>
        <v>IN</v>
      </c>
      <c r="C5" s="33" t="str">
        <f aca="false">IF(COUNTIF(Flows!$M$2:$M$1500,$A5&amp;"|"&amp;C$1&amp;"|Input"),IF(COUNTIF(Flows!$M$2:$M$1500,$A5&amp;"|"&amp;C$1&amp;"|Output"),"I/O","IN"),IF(COUNTIF(Flows!$M$2:$M$1500,$A5&amp;"|"&amp;C$1&amp;"|Output"),"OUT",""))</f>
        <v/>
      </c>
      <c r="D5" s="33" t="str">
        <f aca="false">IF(COUNTIF(Flows!$M$2:$M$1500,$A5&amp;"|"&amp;D$1&amp;"|Input"),IF(COUNTIF(Flows!$M$2:$M$1500,$A5&amp;"|"&amp;D$1&amp;"|Output"),"I/O","IN"),IF(COUNTIF(Flows!$M$2:$M$1500,$A5&amp;"|"&amp;D$1&amp;"|Output"),"OUT",""))</f>
        <v/>
      </c>
      <c r="E5" s="33" t="str">
        <f aca="false">IF(COUNTIF(Flows!$M$2:$M$1500,$A5&amp;"|"&amp;E$1&amp;"|Input"),IF(COUNTIF(Flows!$M$2:$M$1500,$A5&amp;"|"&amp;E$1&amp;"|Output"),"I/O","IN"),IF(COUNTIF(Flows!$M$2:$M$1500,$A5&amp;"|"&amp;E$1&amp;"|Output"),"OUT",""))</f>
        <v/>
      </c>
      <c r="F5" s="33" t="str">
        <f aca="false">IF(COUNTIF(Flows!$M$2:$M$1500,$A5&amp;"|"&amp;F$1&amp;"|Input"),IF(COUNTIF(Flows!$M$2:$M$1500,$A5&amp;"|"&amp;F$1&amp;"|Output"),"I/O","IN"),IF(COUNTIF(Flows!$M$2:$M$1500,$A5&amp;"|"&amp;F$1&amp;"|Output"),"OUT",""))</f>
        <v/>
      </c>
      <c r="G5" s="33" t="str">
        <f aca="false">IF(COUNTIF(Flows!$M$2:$M$1500,$A5&amp;"|"&amp;G$1&amp;"|Input"),IF(COUNTIF(Flows!$M$2:$M$1500,$A5&amp;"|"&amp;G$1&amp;"|Output"),"I/O","IN"),IF(COUNTIF(Flows!$M$2:$M$1500,$A5&amp;"|"&amp;G$1&amp;"|Output"),"OUT",""))</f>
        <v/>
      </c>
      <c r="H5" s="33" t="str">
        <f aca="false">IF(COUNTIF(Flows!$M$2:$M$1500,$A5&amp;"|"&amp;H$1&amp;"|Input"),IF(COUNTIF(Flows!$M$2:$M$1500,$A5&amp;"|"&amp;H$1&amp;"|Output"),"I/O","IN"),IF(COUNTIF(Flows!$M$2:$M$1500,$A5&amp;"|"&amp;H$1&amp;"|Output"),"OUT",""))</f>
        <v/>
      </c>
      <c r="I5" s="33" t="str">
        <f aca="false">IF(COUNTIF(Flows!$M$2:$M$1500,$A5&amp;"|"&amp;I$1&amp;"|Input"),IF(COUNTIF(Flows!$M$2:$M$1500,$A5&amp;"|"&amp;I$1&amp;"|Output"),"I/O","IN"),IF(COUNTIF(Flows!$M$2:$M$1500,$A5&amp;"|"&amp;I$1&amp;"|Output"),"OUT",""))</f>
        <v/>
      </c>
      <c r="J5" s="33" t="str">
        <f aca="false">IF(COUNTIF(Flows!$M$2:$M$1500,$A5&amp;"|"&amp;J$1&amp;"|Input"),IF(COUNTIF(Flows!$M$2:$M$1500,$A5&amp;"|"&amp;J$1&amp;"|Output"),"I/O","IN"),IF(COUNTIF(Flows!$M$2:$M$1500,$A5&amp;"|"&amp;J$1&amp;"|Output"),"OUT",""))</f>
        <v/>
      </c>
      <c r="K5" s="33" t="str">
        <f aca="false">IF(COUNTIF(Flows!$M$2:$M$1500,$A5&amp;"|"&amp;K$1&amp;"|Input"),IF(COUNTIF(Flows!$M$2:$M$1500,$A5&amp;"|"&amp;K$1&amp;"|Output"),"I/O","IN"),IF(COUNTIF(Flows!$M$2:$M$1500,$A5&amp;"|"&amp;K$1&amp;"|Output"),"OUT",""))</f>
        <v/>
      </c>
      <c r="L5" s="33" t="str">
        <f aca="false">IF(COUNTIF(Flows!$M$2:$M$1500,$A5&amp;"|"&amp;L$1&amp;"|Input"),IF(COUNTIF(Flows!$M$2:$M$1500,$A5&amp;"|"&amp;L$1&amp;"|Output"),"I/O","IN"),IF(COUNTIF(Flows!$M$2:$M$1500,$A5&amp;"|"&amp;L$1&amp;"|Output"),"OUT",""))</f>
        <v/>
      </c>
      <c r="M5" s="33" t="str">
        <f aca="false">IF(COUNTIF(Flows!$M$2:$M$1500,$A5&amp;"|"&amp;M$1&amp;"|Input"),IF(COUNTIF(Flows!$M$2:$M$1500,$A5&amp;"|"&amp;M$1&amp;"|Output"),"I/O","IN"),IF(COUNTIF(Flows!$M$2:$M$1500,$A5&amp;"|"&amp;M$1&amp;"|Output"),"OUT",""))</f>
        <v/>
      </c>
      <c r="N5" s="33" t="str">
        <f aca="false">IF(COUNTIF(Flows!$M$2:$M$1500,$A5&amp;"|"&amp;N$1&amp;"|Input"),IF(COUNTIF(Flows!$M$2:$M$1500,$A5&amp;"|"&amp;N$1&amp;"|Output"),"I/O","IN"),IF(COUNTIF(Flows!$M$2:$M$1500,$A5&amp;"|"&amp;N$1&amp;"|Output"),"OUT",""))</f>
        <v/>
      </c>
      <c r="O5" s="33" t="str">
        <f aca="false">IF(COUNTIF(Flows!$M$2:$M$1500,$A5&amp;"|"&amp;O$1&amp;"|Input"),IF(COUNTIF(Flows!$M$2:$M$1500,$A5&amp;"|"&amp;O$1&amp;"|Output"),"I/O","IN"),IF(COUNTIF(Flows!$M$2:$M$1500,$A5&amp;"|"&amp;O$1&amp;"|Output"),"OUT",""))</f>
        <v/>
      </c>
      <c r="P5" s="33" t="str">
        <f aca="false">IF(COUNTIF(Flows!$M$2:$M$1500,$A5&amp;"|"&amp;P$1&amp;"|Input"),IF(COUNTIF(Flows!$M$2:$M$1500,$A5&amp;"|"&amp;P$1&amp;"|Output"),"I/O","IN"),IF(COUNTIF(Flows!$M$2:$M$1500,$A5&amp;"|"&amp;P$1&amp;"|Output"),"OUT",""))</f>
        <v/>
      </c>
      <c r="Q5" s="33" t="str">
        <f aca="false">IF(COUNTIF(Flows!$M$2:$M$1500,$A5&amp;"|"&amp;Q$1&amp;"|Input"),IF(COUNTIF(Flows!$M$2:$M$1500,$A5&amp;"|"&amp;Q$1&amp;"|Output"),"I/O","IN"),IF(COUNTIF(Flows!$M$2:$M$1500,$A5&amp;"|"&amp;Q$1&amp;"|Output"),"OUT",""))</f>
        <v/>
      </c>
      <c r="R5" s="33" t="str">
        <f aca="false">IF(COUNTIF(Flows!$M$2:$M$1500,$A5&amp;"|"&amp;R$1&amp;"|Input"),IF(COUNTIF(Flows!$M$2:$M$1500,$A5&amp;"|"&amp;R$1&amp;"|Output"),"I/O","IN"),IF(COUNTIF(Flows!$M$2:$M$1500,$A5&amp;"|"&amp;R$1&amp;"|Output"),"OUT",""))</f>
        <v/>
      </c>
      <c r="S5" s="33" t="str">
        <f aca="false">IF(COUNTIF(Flows!$M$2:$M$1500,$A5&amp;"|"&amp;S$1&amp;"|Input"),IF(COUNTIF(Flows!$M$2:$M$1500,$A5&amp;"|"&amp;S$1&amp;"|Output"),"I/O","IN"),IF(COUNTIF(Flows!$M$2:$M$1500,$A5&amp;"|"&amp;S$1&amp;"|Output"),"OUT",""))</f>
        <v/>
      </c>
      <c r="T5" s="33" t="str">
        <f aca="false">IF(COUNTIF(Flows!$M$2:$M$1500,$A5&amp;"|"&amp;T$1&amp;"|Input"),IF(COUNTIF(Flows!$M$2:$M$1500,$A5&amp;"|"&amp;T$1&amp;"|Output"),"I/O","IN"),IF(COUNTIF(Flows!$M$2:$M$1500,$A5&amp;"|"&amp;T$1&amp;"|Output"),"OUT",""))</f>
        <v/>
      </c>
      <c r="U5" s="33" t="str">
        <f aca="false">IF(COUNTIF(Flows!$M$2:$M$1500,$A5&amp;"|"&amp;U$1&amp;"|Input"),IF(COUNTIF(Flows!$M$2:$M$1500,$A5&amp;"|"&amp;U$1&amp;"|Output"),"I/O","IN"),IF(COUNTIF(Flows!$M$2:$M$1500,$A5&amp;"|"&amp;U$1&amp;"|Output"),"OUT",""))</f>
        <v/>
      </c>
      <c r="V5" s="33" t="str">
        <f aca="false">IF(COUNTIF(Flows!$M$2:$M$1500,$A5&amp;"|"&amp;V$1&amp;"|Input"),IF(COUNTIF(Flows!$M$2:$M$1500,$A5&amp;"|"&amp;V$1&amp;"|Output"),"I/O","IN"),IF(COUNTIF(Flows!$M$2:$M$1500,$A5&amp;"|"&amp;V$1&amp;"|Output"),"OUT",""))</f>
        <v/>
      </c>
      <c r="W5" s="33" t="str">
        <f aca="false">IF(COUNTIF(Flows!$M$2:$M$1500,$A5&amp;"|"&amp;W$1&amp;"|Input"),IF(COUNTIF(Flows!$M$2:$M$1500,$A5&amp;"|"&amp;W$1&amp;"|Output"),"I/O","IN"),IF(COUNTIF(Flows!$M$2:$M$1500,$A5&amp;"|"&amp;W$1&amp;"|Output"),"OUT",""))</f>
        <v/>
      </c>
      <c r="X5" s="33" t="str">
        <f aca="false">IF(COUNTIF(Flows!$M$2:$M$1500,$A5&amp;"|"&amp;X$1&amp;"|Input"),IF(COUNTIF(Flows!$M$2:$M$1500,$A5&amp;"|"&amp;X$1&amp;"|Output"),"I/O","IN"),IF(COUNTIF(Flows!$M$2:$M$1500,$A5&amp;"|"&amp;X$1&amp;"|Output"),"OUT",""))</f>
        <v>IN</v>
      </c>
      <c r="Y5" s="33" t="str">
        <f aca="false">IF(COUNTIF(Flows!$M$2:$M$1500,$A5&amp;"|"&amp;Y$1&amp;"|Input"),IF(COUNTIF(Flows!$M$2:$M$1500,$A5&amp;"|"&amp;Y$1&amp;"|Output"),"I/O","IN"),IF(COUNTIF(Flows!$M$2:$M$1500,$A5&amp;"|"&amp;Y$1&amp;"|Output"),"OUT",""))</f>
        <v/>
      </c>
      <c r="Z5" s="33" t="str">
        <f aca="false">IF(COUNTIF(Flows!$M$2:$M$1500,$A5&amp;"|"&amp;Z$1&amp;"|Input"),IF(COUNTIF(Flows!$M$2:$M$1500,$A5&amp;"|"&amp;Z$1&amp;"|Output"),"I/O","IN"),IF(COUNTIF(Flows!$M$2:$M$1500,$A5&amp;"|"&amp;Z$1&amp;"|Output"),"OUT",""))</f>
        <v/>
      </c>
      <c r="AA5" s="33" t="str">
        <f aca="false">IF(COUNTIF(Flows!$M$2:$M$1500,$A5&amp;"|"&amp;AA$1&amp;"|Input"),IF(COUNTIF(Flows!$M$2:$M$1500,$A5&amp;"|"&amp;AA$1&amp;"|Output"),"I/O","IN"),IF(COUNTIF(Flows!$M$2:$M$1500,$A5&amp;"|"&amp;AA$1&amp;"|Output"),"OUT",""))</f>
        <v/>
      </c>
      <c r="AB5" s="33" t="str">
        <f aca="false">IF(COUNTIF(Flows!$M$2:$M$1500,$A5&amp;"|"&amp;AB$1&amp;"|Input"),IF(COUNTIF(Flows!$M$2:$M$1500,$A5&amp;"|"&amp;AB$1&amp;"|Output"),"I/O","IN"),IF(COUNTIF(Flows!$M$2:$M$1500,$A5&amp;"|"&amp;AB$1&amp;"|Output"),"OUT",""))</f>
        <v/>
      </c>
      <c r="AC5" s="33" t="str">
        <f aca="false">IF(COUNTIF(Flows!$M$2:$M$1500,$A5&amp;"|"&amp;AC$1&amp;"|Input"),IF(COUNTIF(Flows!$M$2:$M$1500,$A5&amp;"|"&amp;AC$1&amp;"|Output"),"I/O","IN"),IF(COUNTIF(Flows!$M$2:$M$1500,$A5&amp;"|"&amp;AC$1&amp;"|Output"),"OUT",""))</f>
        <v/>
      </c>
      <c r="AD5" s="33" t="str">
        <f aca="false">IF(COUNTIF(Flows!$M$2:$M$1500,$A5&amp;"|"&amp;AD$1&amp;"|Input"),IF(COUNTIF(Flows!$M$2:$M$1500,$A5&amp;"|"&amp;AD$1&amp;"|Output"),"I/O","IN"),IF(COUNTIF(Flows!$M$2:$M$1500,$A5&amp;"|"&amp;AD$1&amp;"|Output"),"OUT",""))</f>
        <v/>
      </c>
      <c r="AE5" s="33" t="str">
        <f aca="false">IF(COUNTIF(Flows!$M$2:$M$1500,$A5&amp;"|"&amp;AE$1&amp;"|Input"),IF(COUNTIF(Flows!$M$2:$M$1500,$A5&amp;"|"&amp;AE$1&amp;"|Output"),"I/O","IN"),IF(COUNTIF(Flows!$M$2:$M$1500,$A5&amp;"|"&amp;AE$1&amp;"|Output"),"OUT",""))</f>
        <v/>
      </c>
      <c r="AF5" s="33" t="str">
        <f aca="false">IF(COUNTIF(Flows!$M$2:$M$1500,$A5&amp;"|"&amp;AF$1&amp;"|Input"),IF(COUNTIF(Flows!$M$2:$M$1500,$A5&amp;"|"&amp;AF$1&amp;"|Output"),"I/O","IN"),IF(COUNTIF(Flows!$M$2:$M$1500,$A5&amp;"|"&amp;AF$1&amp;"|Output"),"OUT",""))</f>
        <v/>
      </c>
      <c r="AG5" s="33" t="str">
        <f aca="false">IF(COUNTIF(Flows!$M$2:$M$1500,$A5&amp;"|"&amp;AG$1&amp;"|Input"),IF(COUNTIF(Flows!$M$2:$M$1500,$A5&amp;"|"&amp;AG$1&amp;"|Output"),"I/O","IN"),IF(COUNTIF(Flows!$M$2:$M$1500,$A5&amp;"|"&amp;AG$1&amp;"|Output"),"OUT",""))</f>
        <v/>
      </c>
      <c r="AH5" s="33" t="str">
        <f aca="false">IF(COUNTIF(Flows!$M$2:$M$1500,$A5&amp;"|"&amp;AH$1&amp;"|Input"),IF(COUNTIF(Flows!$M$2:$M$1500,$A5&amp;"|"&amp;AH$1&amp;"|Output"),"I/O","IN"),IF(COUNTIF(Flows!$M$2:$M$1500,$A5&amp;"|"&amp;AH$1&amp;"|Output"),"OUT",""))</f>
        <v/>
      </c>
      <c r="AI5" s="33" t="str">
        <f aca="false">IF(COUNTIF(Flows!$M$2:$M$1500,$A5&amp;"|"&amp;AI$1&amp;"|Input"),IF(COUNTIF(Flows!$M$2:$M$1500,$A5&amp;"|"&amp;AI$1&amp;"|Output"),"I/O","IN"),IF(COUNTIF(Flows!$M$2:$M$1500,$A5&amp;"|"&amp;AI$1&amp;"|Output"),"OUT",""))</f>
        <v/>
      </c>
      <c r="AJ5" s="33" t="str">
        <f aca="false">IF(COUNTIF(Flows!$M$2:$M$1500,$A5&amp;"|"&amp;AJ$1&amp;"|Input"),IF(COUNTIF(Flows!$M$2:$M$1500,$A5&amp;"|"&amp;AJ$1&amp;"|Output"),"I/O","IN"),IF(COUNTIF(Flows!$M$2:$M$1500,$A5&amp;"|"&amp;AJ$1&amp;"|Output"),"OUT",""))</f>
        <v/>
      </c>
      <c r="AK5" s="33" t="str">
        <f aca="false">IF(COUNTIF(Flows!$M$2:$M$1500,$A5&amp;"|"&amp;AK$1&amp;"|Input"),IF(COUNTIF(Flows!$M$2:$M$1500,$A5&amp;"|"&amp;AK$1&amp;"|Output"),"I/O","IN"),IF(COUNTIF(Flows!$M$2:$M$1500,$A5&amp;"|"&amp;AK$1&amp;"|Output"),"OUT",""))</f>
        <v/>
      </c>
      <c r="AL5" s="33" t="str">
        <f aca="false">IF(COUNTIF(Flows!$M$2:$M$1500,$A5&amp;"|"&amp;AL$1&amp;"|Input"),IF(COUNTIF(Flows!$M$2:$M$1500,$A5&amp;"|"&amp;AL$1&amp;"|Output"),"I/O","IN"),IF(COUNTIF(Flows!$M$2:$M$1500,$A5&amp;"|"&amp;AL$1&amp;"|Output"),"OUT",""))</f>
        <v>IN</v>
      </c>
      <c r="AM5" s="33" t="str">
        <f aca="false">IF(COUNTIF(Flows!$M$2:$M$1500,$A5&amp;"|"&amp;AM$1&amp;"|Input"),IF(COUNTIF(Flows!$M$2:$M$1500,$A5&amp;"|"&amp;AM$1&amp;"|Output"),"I/O","IN"),IF(COUNTIF(Flows!$M$2:$M$1500,$A5&amp;"|"&amp;AM$1&amp;"|Output"),"OUT",""))</f>
        <v/>
      </c>
      <c r="AN5" s="33" t="str">
        <f aca="false">IF(COUNTIF(Flows!$M$2:$M$1500,$A5&amp;"|"&amp;AN$1&amp;"|Input"),IF(COUNTIF(Flows!$M$2:$M$1500,$A5&amp;"|"&amp;AN$1&amp;"|Output"),"I/O","IN"),IF(COUNTIF(Flows!$M$2:$M$1500,$A5&amp;"|"&amp;AN$1&amp;"|Output"),"OUT",""))</f>
        <v/>
      </c>
      <c r="AO5" s="33" t="str">
        <f aca="false">IF(COUNTIF(Flows!$M$2:$M$1500,$A5&amp;"|"&amp;AO$1&amp;"|Input"),IF(COUNTIF(Flows!$M$2:$M$1500,$A5&amp;"|"&amp;AO$1&amp;"|Output"),"I/O","IN"),IF(COUNTIF(Flows!$M$2:$M$1500,$A5&amp;"|"&amp;AO$1&amp;"|Output"),"OUT",""))</f>
        <v/>
      </c>
      <c r="AP5" s="33" t="str">
        <f aca="false">IF(COUNTIF(Flows!$M$2:$M$1500,$A5&amp;"|"&amp;AP$1&amp;"|Input"),IF(COUNTIF(Flows!$M$2:$M$1500,$A5&amp;"|"&amp;AP$1&amp;"|Output"),"I/O","IN"),IF(COUNTIF(Flows!$M$2:$M$1500,$A5&amp;"|"&amp;AP$1&amp;"|Output"),"OUT",""))</f>
        <v/>
      </c>
      <c r="AQ5" s="33" t="str">
        <f aca="false">IF(COUNTIF(Flows!$M$2:$M$1500,$A5&amp;"|"&amp;AQ$1&amp;"|Input"),IF(COUNTIF(Flows!$M$2:$M$1500,$A5&amp;"|"&amp;AQ$1&amp;"|Output"),"I/O","IN"),IF(COUNTIF(Flows!$M$2:$M$1500,$A5&amp;"|"&amp;AQ$1&amp;"|Output"),"OUT",""))</f>
        <v/>
      </c>
      <c r="AR5" s="33" t="str">
        <f aca="false">IF(COUNTIF(Flows!$M$2:$M$1500,$A5&amp;"|"&amp;AR$1&amp;"|Input"),IF(COUNTIF(Flows!$M$2:$M$1500,$A5&amp;"|"&amp;AR$1&amp;"|Output"),"I/O","IN"),IF(COUNTIF(Flows!$M$2:$M$1500,$A5&amp;"|"&amp;AR$1&amp;"|Output"),"OUT",""))</f>
        <v/>
      </c>
      <c r="AS5" s="33" t="str">
        <f aca="false">IF(COUNTIF(Flows!$M$2:$M$1500,$A5&amp;"|"&amp;AS$1&amp;"|Input"),IF(COUNTIF(Flows!$M$2:$M$1500,$A5&amp;"|"&amp;AS$1&amp;"|Output"),"I/O","IN"),IF(COUNTIF(Flows!$M$2:$M$1500,$A5&amp;"|"&amp;AS$1&amp;"|Output"),"OUT",""))</f>
        <v/>
      </c>
      <c r="AT5" s="33" t="str">
        <f aca="false">IF(COUNTIF(Flows!$M$2:$M$1500,$A5&amp;"|"&amp;AT$1&amp;"|Input"),IF(COUNTIF(Flows!$M$2:$M$1500,$A5&amp;"|"&amp;AT$1&amp;"|Output"),"I/O","IN"),IF(COUNTIF(Flows!$M$2:$M$1500,$A5&amp;"|"&amp;AT$1&amp;"|Output"),"OUT",""))</f>
        <v/>
      </c>
      <c r="AU5" s="33" t="str">
        <f aca="false">IF(COUNTIF(Flows!$M$2:$M$1500,$A5&amp;"|"&amp;AU$1&amp;"|Input"),IF(COUNTIF(Flows!$M$2:$M$1500,$A5&amp;"|"&amp;AU$1&amp;"|Output"),"I/O","IN"),IF(COUNTIF(Flows!$M$2:$M$1500,$A5&amp;"|"&amp;AU$1&amp;"|Output"),"OUT",""))</f>
        <v/>
      </c>
      <c r="AV5" s="33" t="str">
        <f aca="false">IF(COUNTIF(Flows!$M$2:$M$1500,$A5&amp;"|"&amp;AV$1&amp;"|Input"),IF(COUNTIF(Flows!$M$2:$M$1500,$A5&amp;"|"&amp;AV$1&amp;"|Output"),"I/O","IN"),IF(COUNTIF(Flows!$M$2:$M$1500,$A5&amp;"|"&amp;AV$1&amp;"|Output"),"OUT",""))</f>
        <v>OUT</v>
      </c>
      <c r="AW5" s="33" t="str">
        <f aca="false">IF(COUNTIF(Flows!$M$2:$M$1500,$A5&amp;"|"&amp;AW$1&amp;"|Input"),IF(COUNTIF(Flows!$M$2:$M$1500,$A5&amp;"|"&amp;AW$1&amp;"|Output"),"I/O","IN"),IF(COUNTIF(Flows!$M$2:$M$1500,$A5&amp;"|"&amp;AW$1&amp;"|Output"),"OUT",""))</f>
        <v/>
      </c>
      <c r="AX5" s="33" t="str">
        <f aca="false">IF(COUNTIF(Flows!$M$2:$M$1500,$A5&amp;"|"&amp;AX$1&amp;"|Input"),IF(COUNTIF(Flows!$M$2:$M$1500,$A5&amp;"|"&amp;AX$1&amp;"|Output"),"I/O","IN"),IF(COUNTIF(Flows!$M$2:$M$1500,$A5&amp;"|"&amp;AX$1&amp;"|Output"),"OUT",""))</f>
        <v/>
      </c>
      <c r="AY5" s="33" t="str">
        <f aca="false">IF(COUNTIF(Flows!$M$2:$M$1500,$A5&amp;"|"&amp;AY$1&amp;"|Input"),IF(COUNTIF(Flows!$M$2:$M$1500,$A5&amp;"|"&amp;AY$1&amp;"|Output"),"I/O","IN"),IF(COUNTIF(Flows!$M$2:$M$1500,$A5&amp;"|"&amp;AY$1&amp;"|Output"),"OUT",""))</f>
        <v/>
      </c>
      <c r="AZ5" s="33" t="str">
        <f aca="false">IF(COUNTIF(Flows!$M$2:$M$1500,$A5&amp;"|"&amp;AZ$1&amp;"|Input"),IF(COUNTIF(Flows!$M$2:$M$1500,$A5&amp;"|"&amp;AZ$1&amp;"|Output"),"I/O","IN"),IF(COUNTIF(Flows!$M$2:$M$1500,$A5&amp;"|"&amp;AZ$1&amp;"|Output"),"OUT",""))</f>
        <v/>
      </c>
      <c r="BA5" s="33" t="str">
        <f aca="false">IF(COUNTIF(Flows!$M$2:$M$1500,$A5&amp;"|"&amp;BA$1&amp;"|Input"),IF(COUNTIF(Flows!$M$2:$M$1500,$A5&amp;"|"&amp;BA$1&amp;"|Output"),"I/O","IN"),IF(COUNTIF(Flows!$M$2:$M$1500,$A5&amp;"|"&amp;BA$1&amp;"|Output"),"OUT",""))</f>
        <v/>
      </c>
      <c r="BB5" s="33" t="str">
        <f aca="false">IF(COUNTIF(Flows!$M$2:$M$1500,$A5&amp;"|"&amp;BB$1&amp;"|Input"),IF(COUNTIF(Flows!$M$2:$M$1500,$A5&amp;"|"&amp;BB$1&amp;"|Output"),"I/O","IN"),IF(COUNTIF(Flows!$M$2:$M$1500,$A5&amp;"|"&amp;BB$1&amp;"|Output"),"OUT",""))</f>
        <v/>
      </c>
      <c r="BC5" s="33" t="str">
        <f aca="false">IF(COUNTIF(Flows!$M$2:$M$1500,$A5&amp;"|"&amp;BC$1&amp;"|Input"),IF(COUNTIF(Flows!$M$2:$M$1500,$A5&amp;"|"&amp;BC$1&amp;"|Output"),"I/O","IN"),IF(COUNTIF(Flows!$M$2:$M$1500,$A5&amp;"|"&amp;BC$1&amp;"|Output"),"OUT",""))</f>
        <v/>
      </c>
      <c r="BD5" s="33" t="str">
        <f aca="false">IF(COUNTIF(Flows!$M$2:$M$1500,$A5&amp;"|"&amp;BD$1&amp;"|Input"),IF(COUNTIF(Flows!$M$2:$M$1500,$A5&amp;"|"&amp;BD$1&amp;"|Output"),"I/O","IN"),IF(COUNTIF(Flows!$M$2:$M$1500,$A5&amp;"|"&amp;BD$1&amp;"|Output"),"OUT",""))</f>
        <v/>
      </c>
      <c r="BE5" s="33" t="str">
        <f aca="false">IF(COUNTIF(Flows!$M$2:$M$1500,$A5&amp;"|"&amp;BE$1&amp;"|Input"),IF(COUNTIF(Flows!$M$2:$M$1500,$A5&amp;"|"&amp;BE$1&amp;"|Output"),"I/O","IN"),IF(COUNTIF(Flows!$M$2:$M$1500,$A5&amp;"|"&amp;BE$1&amp;"|Output"),"OUT",""))</f>
        <v/>
      </c>
      <c r="BF5" s="33" t="str">
        <f aca="false">IF(COUNTIF(Flows!$M$2:$M$1500,$A5&amp;"|"&amp;BF$1&amp;"|Input"),IF(COUNTIF(Flows!$M$2:$M$1500,$A5&amp;"|"&amp;BF$1&amp;"|Output"),"I/O","IN"),IF(COUNTIF(Flows!$M$2:$M$1500,$A5&amp;"|"&amp;BF$1&amp;"|Output"),"OUT",""))</f>
        <v/>
      </c>
      <c r="BG5" s="33" t="str">
        <f aca="false">IF(COUNTIF(Flows!$M$2:$M$1500,$A5&amp;"|"&amp;BG$1&amp;"|Input"),IF(COUNTIF(Flows!$M$2:$M$1500,$A5&amp;"|"&amp;BG$1&amp;"|Output"),"I/O","IN"),IF(COUNTIF(Flows!$M$2:$M$1500,$A5&amp;"|"&amp;BG$1&amp;"|Output"),"OUT",""))</f>
        <v/>
      </c>
      <c r="BH5" s="33" t="str">
        <f aca="false">IF(COUNTIF(Flows!$M$2:$M$1500,$A5&amp;"|"&amp;BH$1&amp;"|Input"),IF(COUNTIF(Flows!$M$2:$M$1500,$A5&amp;"|"&amp;BH$1&amp;"|Output"),"I/O","IN"),IF(COUNTIF(Flows!$M$2:$M$1500,$A5&amp;"|"&amp;BH$1&amp;"|Output"),"OUT",""))</f>
        <v/>
      </c>
      <c r="BI5" s="33" t="str">
        <f aca="false">IF(COUNTIF(Flows!$M$2:$M$1500,$A5&amp;"|"&amp;BI$1&amp;"|Input"),IF(COUNTIF(Flows!$M$2:$M$1500,$A5&amp;"|"&amp;BI$1&amp;"|Output"),"I/O","IN"),IF(COUNTIF(Flows!$M$2:$M$1500,$A5&amp;"|"&amp;BI$1&amp;"|Output"),"OUT",""))</f>
        <v/>
      </c>
      <c r="BJ5" s="33" t="str">
        <f aca="false">IF(COUNTIF(Flows!$M$2:$M$1500,$A5&amp;"|"&amp;BJ$1&amp;"|Input"),IF(COUNTIF(Flows!$M$2:$M$1500,$A5&amp;"|"&amp;BJ$1&amp;"|Output"),"I/O","IN"),IF(COUNTIF(Flows!$M$2:$M$1500,$A5&amp;"|"&amp;BJ$1&amp;"|Output"),"OUT",""))</f>
        <v/>
      </c>
      <c r="BK5" s="33" t="str">
        <f aca="false">IF(COUNTIF(Flows!$M$2:$M$1500,$A5&amp;"|"&amp;BK$1&amp;"|Input"),IF(COUNTIF(Flows!$M$2:$M$1500,$A5&amp;"|"&amp;BK$1&amp;"|Output"),"I/O","IN"),IF(COUNTIF(Flows!$M$2:$M$1500,$A5&amp;"|"&amp;BK$1&amp;"|Output"),"OUT",""))</f>
        <v/>
      </c>
    </row>
    <row r="6" customFormat="false" ht="15" hidden="false" customHeight="true" outlineLevel="0" collapsed="false">
      <c r="A6" s="6" t="str">
        <f aca="false">Systems!B6</f>
        <v>Biochar Double Barrel Retort</v>
      </c>
      <c r="B6" s="33" t="str">
        <f aca="false">IF(COUNTIF(Flows!$M$2:$M$1500,$A6&amp;"|"&amp;B$1&amp;"|Input"),IF(COUNTIF(Flows!$M$2:$M$1500,$A6&amp;"|"&amp;B$1&amp;"|Output"),"I/O","IN"),IF(COUNTIF(Flows!$M$2:$M$1500,$A6&amp;"|"&amp;B$1&amp;"|Output"),"OUT",""))</f>
        <v/>
      </c>
      <c r="C6" s="33" t="str">
        <f aca="false">IF(COUNTIF(Flows!$M$2:$M$1500,$A6&amp;"|"&amp;C$1&amp;"|Input"),IF(COUNTIF(Flows!$M$2:$M$1500,$A6&amp;"|"&amp;C$1&amp;"|Output"),"I/O","IN"),IF(COUNTIF(Flows!$M$2:$M$1500,$A6&amp;"|"&amp;C$1&amp;"|Output"),"OUT",""))</f>
        <v/>
      </c>
      <c r="D6" s="33" t="str">
        <f aca="false">IF(COUNTIF(Flows!$M$2:$M$1500,$A6&amp;"|"&amp;D$1&amp;"|Input"),IF(COUNTIF(Flows!$M$2:$M$1500,$A6&amp;"|"&amp;D$1&amp;"|Output"),"I/O","IN"),IF(COUNTIF(Flows!$M$2:$M$1500,$A6&amp;"|"&amp;D$1&amp;"|Output"),"OUT",""))</f>
        <v/>
      </c>
      <c r="E6" s="33" t="str">
        <f aca="false">IF(COUNTIF(Flows!$M$2:$M$1500,$A6&amp;"|"&amp;E$1&amp;"|Input"),IF(COUNTIF(Flows!$M$2:$M$1500,$A6&amp;"|"&amp;E$1&amp;"|Output"),"I/O","IN"),IF(COUNTIF(Flows!$M$2:$M$1500,$A6&amp;"|"&amp;E$1&amp;"|Output"),"OUT",""))</f>
        <v/>
      </c>
      <c r="F6" s="33" t="str">
        <f aca="false">IF(COUNTIF(Flows!$M$2:$M$1500,$A6&amp;"|"&amp;F$1&amp;"|Input"),IF(COUNTIF(Flows!$M$2:$M$1500,$A6&amp;"|"&amp;F$1&amp;"|Output"),"I/O","IN"),IF(COUNTIF(Flows!$M$2:$M$1500,$A6&amp;"|"&amp;F$1&amp;"|Output"),"OUT",""))</f>
        <v/>
      </c>
      <c r="G6" s="33" t="str">
        <f aca="false">IF(COUNTIF(Flows!$M$2:$M$1500,$A6&amp;"|"&amp;G$1&amp;"|Input"),IF(COUNTIF(Flows!$M$2:$M$1500,$A6&amp;"|"&amp;G$1&amp;"|Output"),"I/O","IN"),IF(COUNTIF(Flows!$M$2:$M$1500,$A6&amp;"|"&amp;G$1&amp;"|Output"),"OUT",""))</f>
        <v/>
      </c>
      <c r="H6" s="33" t="str">
        <f aca="false">IF(COUNTIF(Flows!$M$2:$M$1500,$A6&amp;"|"&amp;H$1&amp;"|Input"),IF(COUNTIF(Flows!$M$2:$M$1500,$A6&amp;"|"&amp;H$1&amp;"|Output"),"I/O","IN"),IF(COUNTIF(Flows!$M$2:$M$1500,$A6&amp;"|"&amp;H$1&amp;"|Output"),"OUT",""))</f>
        <v/>
      </c>
      <c r="I6" s="33" t="str">
        <f aca="false">IF(COUNTIF(Flows!$M$2:$M$1500,$A6&amp;"|"&amp;I$1&amp;"|Input"),IF(COUNTIF(Flows!$M$2:$M$1500,$A6&amp;"|"&amp;I$1&amp;"|Output"),"I/O","IN"),IF(COUNTIF(Flows!$M$2:$M$1500,$A6&amp;"|"&amp;I$1&amp;"|Output"),"OUT",""))</f>
        <v/>
      </c>
      <c r="J6" s="33" t="str">
        <f aca="false">IF(COUNTIF(Flows!$M$2:$M$1500,$A6&amp;"|"&amp;J$1&amp;"|Input"),IF(COUNTIF(Flows!$M$2:$M$1500,$A6&amp;"|"&amp;J$1&amp;"|Output"),"I/O","IN"),IF(COUNTIF(Flows!$M$2:$M$1500,$A6&amp;"|"&amp;J$1&amp;"|Output"),"OUT",""))</f>
        <v/>
      </c>
      <c r="K6" s="33" t="str">
        <f aca="false">IF(COUNTIF(Flows!$M$2:$M$1500,$A6&amp;"|"&amp;K$1&amp;"|Input"),IF(COUNTIF(Flows!$M$2:$M$1500,$A6&amp;"|"&amp;K$1&amp;"|Output"),"I/O","IN"),IF(COUNTIF(Flows!$M$2:$M$1500,$A6&amp;"|"&amp;K$1&amp;"|Output"),"OUT",""))</f>
        <v/>
      </c>
      <c r="L6" s="33" t="str">
        <f aca="false">IF(COUNTIF(Flows!$M$2:$M$1500,$A6&amp;"|"&amp;L$1&amp;"|Input"),IF(COUNTIF(Flows!$M$2:$M$1500,$A6&amp;"|"&amp;L$1&amp;"|Output"),"I/O","IN"),IF(COUNTIF(Flows!$M$2:$M$1500,$A6&amp;"|"&amp;L$1&amp;"|Output"),"OUT",""))</f>
        <v/>
      </c>
      <c r="M6" s="33" t="str">
        <f aca="false">IF(COUNTIF(Flows!$M$2:$M$1500,$A6&amp;"|"&amp;M$1&amp;"|Input"),IF(COUNTIF(Flows!$M$2:$M$1500,$A6&amp;"|"&amp;M$1&amp;"|Output"),"I/O","IN"),IF(COUNTIF(Flows!$M$2:$M$1500,$A6&amp;"|"&amp;M$1&amp;"|Output"),"OUT",""))</f>
        <v/>
      </c>
      <c r="N6" s="33" t="str">
        <f aca="false">IF(COUNTIF(Flows!$M$2:$M$1500,$A6&amp;"|"&amp;N$1&amp;"|Input"),IF(COUNTIF(Flows!$M$2:$M$1500,$A6&amp;"|"&amp;N$1&amp;"|Output"),"I/O","IN"),IF(COUNTIF(Flows!$M$2:$M$1500,$A6&amp;"|"&amp;N$1&amp;"|Output"),"OUT",""))</f>
        <v/>
      </c>
      <c r="O6" s="33" t="str">
        <f aca="false">IF(COUNTIF(Flows!$M$2:$M$1500,$A6&amp;"|"&amp;O$1&amp;"|Input"),IF(COUNTIF(Flows!$M$2:$M$1500,$A6&amp;"|"&amp;O$1&amp;"|Output"),"I/O","IN"),IF(COUNTIF(Flows!$M$2:$M$1500,$A6&amp;"|"&amp;O$1&amp;"|Output"),"OUT",""))</f>
        <v/>
      </c>
      <c r="P6" s="33" t="str">
        <f aca="false">IF(COUNTIF(Flows!$M$2:$M$1500,$A6&amp;"|"&amp;P$1&amp;"|Input"),IF(COUNTIF(Flows!$M$2:$M$1500,$A6&amp;"|"&amp;P$1&amp;"|Output"),"I/O","IN"),IF(COUNTIF(Flows!$M$2:$M$1500,$A6&amp;"|"&amp;P$1&amp;"|Output"),"OUT",""))</f>
        <v/>
      </c>
      <c r="Q6" s="33" t="str">
        <f aca="false">IF(COUNTIF(Flows!$M$2:$M$1500,$A6&amp;"|"&amp;Q$1&amp;"|Input"),IF(COUNTIF(Flows!$M$2:$M$1500,$A6&amp;"|"&amp;Q$1&amp;"|Output"),"I/O","IN"),IF(COUNTIF(Flows!$M$2:$M$1500,$A6&amp;"|"&amp;Q$1&amp;"|Output"),"OUT",""))</f>
        <v/>
      </c>
      <c r="R6" s="33" t="str">
        <f aca="false">IF(COUNTIF(Flows!$M$2:$M$1500,$A6&amp;"|"&amp;R$1&amp;"|Input"),IF(COUNTIF(Flows!$M$2:$M$1500,$A6&amp;"|"&amp;R$1&amp;"|Output"),"I/O","IN"),IF(COUNTIF(Flows!$M$2:$M$1500,$A6&amp;"|"&amp;R$1&amp;"|Output"),"OUT",""))</f>
        <v/>
      </c>
      <c r="S6" s="33" t="str">
        <f aca="false">IF(COUNTIF(Flows!$M$2:$M$1500,$A6&amp;"|"&amp;S$1&amp;"|Input"),IF(COUNTIF(Flows!$M$2:$M$1500,$A6&amp;"|"&amp;S$1&amp;"|Output"),"I/O","IN"),IF(COUNTIF(Flows!$M$2:$M$1500,$A6&amp;"|"&amp;S$1&amp;"|Output"),"OUT",""))</f>
        <v/>
      </c>
      <c r="T6" s="33" t="str">
        <f aca="false">IF(COUNTIF(Flows!$M$2:$M$1500,$A6&amp;"|"&amp;T$1&amp;"|Input"),IF(COUNTIF(Flows!$M$2:$M$1500,$A6&amp;"|"&amp;T$1&amp;"|Output"),"I/O","IN"),IF(COUNTIF(Flows!$M$2:$M$1500,$A6&amp;"|"&amp;T$1&amp;"|Output"),"OUT",""))</f>
        <v/>
      </c>
      <c r="U6" s="33" t="str">
        <f aca="false">IF(COUNTIF(Flows!$M$2:$M$1500,$A6&amp;"|"&amp;U$1&amp;"|Input"),IF(COUNTIF(Flows!$M$2:$M$1500,$A6&amp;"|"&amp;U$1&amp;"|Output"),"I/O","IN"),IF(COUNTIF(Flows!$M$2:$M$1500,$A6&amp;"|"&amp;U$1&amp;"|Output"),"OUT",""))</f>
        <v/>
      </c>
      <c r="V6" s="33" t="str">
        <f aca="false">IF(COUNTIF(Flows!$M$2:$M$1500,$A6&amp;"|"&amp;V$1&amp;"|Input"),IF(COUNTIF(Flows!$M$2:$M$1500,$A6&amp;"|"&amp;V$1&amp;"|Output"),"I/O","IN"),IF(COUNTIF(Flows!$M$2:$M$1500,$A6&amp;"|"&amp;V$1&amp;"|Output"),"OUT",""))</f>
        <v>OUT</v>
      </c>
      <c r="W6" s="33" t="str">
        <f aca="false">IF(COUNTIF(Flows!$M$2:$M$1500,$A6&amp;"|"&amp;W$1&amp;"|Input"),IF(COUNTIF(Flows!$M$2:$M$1500,$A6&amp;"|"&amp;W$1&amp;"|Output"),"I/O","IN"),IF(COUNTIF(Flows!$M$2:$M$1500,$A6&amp;"|"&amp;W$1&amp;"|Output"),"OUT",""))</f>
        <v/>
      </c>
      <c r="X6" s="33" t="str">
        <f aca="false">IF(COUNTIF(Flows!$M$2:$M$1500,$A6&amp;"|"&amp;X$1&amp;"|Input"),IF(COUNTIF(Flows!$M$2:$M$1500,$A6&amp;"|"&amp;X$1&amp;"|Output"),"I/O","IN"),IF(COUNTIF(Flows!$M$2:$M$1500,$A6&amp;"|"&amp;X$1&amp;"|Output"),"OUT",""))</f>
        <v>IN</v>
      </c>
      <c r="Y6" s="33" t="str">
        <f aca="false">IF(COUNTIF(Flows!$M$2:$M$1500,$A6&amp;"|"&amp;Y$1&amp;"|Input"),IF(COUNTIF(Flows!$M$2:$M$1500,$A6&amp;"|"&amp;Y$1&amp;"|Output"),"I/O","IN"),IF(COUNTIF(Flows!$M$2:$M$1500,$A6&amp;"|"&amp;Y$1&amp;"|Output"),"OUT",""))</f>
        <v/>
      </c>
      <c r="Z6" s="33" t="str">
        <f aca="false">IF(COUNTIF(Flows!$M$2:$M$1500,$A6&amp;"|"&amp;Z$1&amp;"|Input"),IF(COUNTIF(Flows!$M$2:$M$1500,$A6&amp;"|"&amp;Z$1&amp;"|Output"),"I/O","IN"),IF(COUNTIF(Flows!$M$2:$M$1500,$A6&amp;"|"&amp;Z$1&amp;"|Output"),"OUT",""))</f>
        <v/>
      </c>
      <c r="AA6" s="33" t="str">
        <f aca="false">IF(COUNTIF(Flows!$M$2:$M$1500,$A6&amp;"|"&amp;AA$1&amp;"|Input"),IF(COUNTIF(Flows!$M$2:$M$1500,$A6&amp;"|"&amp;AA$1&amp;"|Output"),"I/O","IN"),IF(COUNTIF(Flows!$M$2:$M$1500,$A6&amp;"|"&amp;AA$1&amp;"|Output"),"OUT",""))</f>
        <v/>
      </c>
      <c r="AB6" s="33" t="str">
        <f aca="false">IF(COUNTIF(Flows!$M$2:$M$1500,$A6&amp;"|"&amp;AB$1&amp;"|Input"),IF(COUNTIF(Flows!$M$2:$M$1500,$A6&amp;"|"&amp;AB$1&amp;"|Output"),"I/O","IN"),IF(COUNTIF(Flows!$M$2:$M$1500,$A6&amp;"|"&amp;AB$1&amp;"|Output"),"OUT",""))</f>
        <v/>
      </c>
      <c r="AC6" s="33" t="str">
        <f aca="false">IF(COUNTIF(Flows!$M$2:$M$1500,$A6&amp;"|"&amp;AC$1&amp;"|Input"),IF(COUNTIF(Flows!$M$2:$M$1500,$A6&amp;"|"&amp;AC$1&amp;"|Output"),"I/O","IN"),IF(COUNTIF(Flows!$M$2:$M$1500,$A6&amp;"|"&amp;AC$1&amp;"|Output"),"OUT",""))</f>
        <v/>
      </c>
      <c r="AD6" s="33" t="str">
        <f aca="false">IF(COUNTIF(Flows!$M$2:$M$1500,$A6&amp;"|"&amp;AD$1&amp;"|Input"),IF(COUNTIF(Flows!$M$2:$M$1500,$A6&amp;"|"&amp;AD$1&amp;"|Output"),"I/O","IN"),IF(COUNTIF(Flows!$M$2:$M$1500,$A6&amp;"|"&amp;AD$1&amp;"|Output"),"OUT",""))</f>
        <v/>
      </c>
      <c r="AE6" s="33" t="str">
        <f aca="false">IF(COUNTIF(Flows!$M$2:$M$1500,$A6&amp;"|"&amp;AE$1&amp;"|Input"),IF(COUNTIF(Flows!$M$2:$M$1500,$A6&amp;"|"&amp;AE$1&amp;"|Output"),"I/O","IN"),IF(COUNTIF(Flows!$M$2:$M$1500,$A6&amp;"|"&amp;AE$1&amp;"|Output"),"OUT",""))</f>
        <v/>
      </c>
      <c r="AF6" s="33" t="str">
        <f aca="false">IF(COUNTIF(Flows!$M$2:$M$1500,$A6&amp;"|"&amp;AF$1&amp;"|Input"),IF(COUNTIF(Flows!$M$2:$M$1500,$A6&amp;"|"&amp;AF$1&amp;"|Output"),"I/O","IN"),IF(COUNTIF(Flows!$M$2:$M$1500,$A6&amp;"|"&amp;AF$1&amp;"|Output"),"OUT",""))</f>
        <v/>
      </c>
      <c r="AG6" s="33" t="str">
        <f aca="false">IF(COUNTIF(Flows!$M$2:$M$1500,$A6&amp;"|"&amp;AG$1&amp;"|Input"),IF(COUNTIF(Flows!$M$2:$M$1500,$A6&amp;"|"&amp;AG$1&amp;"|Output"),"I/O","IN"),IF(COUNTIF(Flows!$M$2:$M$1500,$A6&amp;"|"&amp;AG$1&amp;"|Output"),"OUT",""))</f>
        <v/>
      </c>
      <c r="AH6" s="33" t="str">
        <f aca="false">IF(COUNTIF(Flows!$M$2:$M$1500,$A6&amp;"|"&amp;AH$1&amp;"|Input"),IF(COUNTIF(Flows!$M$2:$M$1500,$A6&amp;"|"&amp;AH$1&amp;"|Output"),"I/O","IN"),IF(COUNTIF(Flows!$M$2:$M$1500,$A6&amp;"|"&amp;AH$1&amp;"|Output"),"OUT",""))</f>
        <v/>
      </c>
      <c r="AI6" s="33" t="str">
        <f aca="false">IF(COUNTIF(Flows!$M$2:$M$1500,$A6&amp;"|"&amp;AI$1&amp;"|Input"),IF(COUNTIF(Flows!$M$2:$M$1500,$A6&amp;"|"&amp;AI$1&amp;"|Output"),"I/O","IN"),IF(COUNTIF(Flows!$M$2:$M$1500,$A6&amp;"|"&amp;AI$1&amp;"|Output"),"OUT",""))</f>
        <v/>
      </c>
      <c r="AJ6" s="33" t="str">
        <f aca="false">IF(COUNTIF(Flows!$M$2:$M$1500,$A6&amp;"|"&amp;AJ$1&amp;"|Input"),IF(COUNTIF(Flows!$M$2:$M$1500,$A6&amp;"|"&amp;AJ$1&amp;"|Output"),"I/O","IN"),IF(COUNTIF(Flows!$M$2:$M$1500,$A6&amp;"|"&amp;AJ$1&amp;"|Output"),"OUT",""))</f>
        <v/>
      </c>
      <c r="AK6" s="33" t="str">
        <f aca="false">IF(COUNTIF(Flows!$M$2:$M$1500,$A6&amp;"|"&amp;AK$1&amp;"|Input"),IF(COUNTIF(Flows!$M$2:$M$1500,$A6&amp;"|"&amp;AK$1&amp;"|Output"),"I/O","IN"),IF(COUNTIF(Flows!$M$2:$M$1500,$A6&amp;"|"&amp;AK$1&amp;"|Output"),"OUT",""))</f>
        <v/>
      </c>
      <c r="AL6" s="33" t="str">
        <f aca="false">IF(COUNTIF(Flows!$M$2:$M$1500,$A6&amp;"|"&amp;AL$1&amp;"|Input"),IF(COUNTIF(Flows!$M$2:$M$1500,$A6&amp;"|"&amp;AL$1&amp;"|Output"),"I/O","IN"),IF(COUNTIF(Flows!$M$2:$M$1500,$A6&amp;"|"&amp;AL$1&amp;"|Output"),"OUT",""))</f>
        <v>IN</v>
      </c>
      <c r="AM6" s="33" t="str">
        <f aca="false">IF(COUNTIF(Flows!$M$2:$M$1500,$A6&amp;"|"&amp;AM$1&amp;"|Input"),IF(COUNTIF(Flows!$M$2:$M$1500,$A6&amp;"|"&amp;AM$1&amp;"|Output"),"I/O","IN"),IF(COUNTIF(Flows!$M$2:$M$1500,$A6&amp;"|"&amp;AM$1&amp;"|Output"),"OUT",""))</f>
        <v>IN</v>
      </c>
      <c r="AN6" s="33" t="str">
        <f aca="false">IF(COUNTIF(Flows!$M$2:$M$1500,$A6&amp;"|"&amp;AN$1&amp;"|Input"),IF(COUNTIF(Flows!$M$2:$M$1500,$A6&amp;"|"&amp;AN$1&amp;"|Output"),"I/O","IN"),IF(COUNTIF(Flows!$M$2:$M$1500,$A6&amp;"|"&amp;AN$1&amp;"|Output"),"OUT",""))</f>
        <v/>
      </c>
      <c r="AO6" s="33" t="str">
        <f aca="false">IF(COUNTIF(Flows!$M$2:$M$1500,$A6&amp;"|"&amp;AO$1&amp;"|Input"),IF(COUNTIF(Flows!$M$2:$M$1500,$A6&amp;"|"&amp;AO$1&amp;"|Output"),"I/O","IN"),IF(COUNTIF(Flows!$M$2:$M$1500,$A6&amp;"|"&amp;AO$1&amp;"|Output"),"OUT",""))</f>
        <v>IN</v>
      </c>
      <c r="AP6" s="33" t="str">
        <f aca="false">IF(COUNTIF(Flows!$M$2:$M$1500,$A6&amp;"|"&amp;AP$1&amp;"|Input"),IF(COUNTIF(Flows!$M$2:$M$1500,$A6&amp;"|"&amp;AP$1&amp;"|Output"),"I/O","IN"),IF(COUNTIF(Flows!$M$2:$M$1500,$A6&amp;"|"&amp;AP$1&amp;"|Output"),"OUT",""))</f>
        <v/>
      </c>
      <c r="AQ6" s="33" t="str">
        <f aca="false">IF(COUNTIF(Flows!$M$2:$M$1500,$A6&amp;"|"&amp;AQ$1&amp;"|Input"),IF(COUNTIF(Flows!$M$2:$M$1500,$A6&amp;"|"&amp;AQ$1&amp;"|Output"),"I/O","IN"),IF(COUNTIF(Flows!$M$2:$M$1500,$A6&amp;"|"&amp;AQ$1&amp;"|Output"),"OUT",""))</f>
        <v/>
      </c>
      <c r="AR6" s="33" t="str">
        <f aca="false">IF(COUNTIF(Flows!$M$2:$M$1500,$A6&amp;"|"&amp;AR$1&amp;"|Input"),IF(COUNTIF(Flows!$M$2:$M$1500,$A6&amp;"|"&amp;AR$1&amp;"|Output"),"I/O","IN"),IF(COUNTIF(Flows!$M$2:$M$1500,$A6&amp;"|"&amp;AR$1&amp;"|Output"),"OUT",""))</f>
        <v/>
      </c>
      <c r="AS6" s="33" t="str">
        <f aca="false">IF(COUNTIF(Flows!$M$2:$M$1500,$A6&amp;"|"&amp;AS$1&amp;"|Input"),IF(COUNTIF(Flows!$M$2:$M$1500,$A6&amp;"|"&amp;AS$1&amp;"|Output"),"I/O","IN"),IF(COUNTIF(Flows!$M$2:$M$1500,$A6&amp;"|"&amp;AS$1&amp;"|Output"),"OUT",""))</f>
        <v/>
      </c>
      <c r="AT6" s="33" t="str">
        <f aca="false">IF(COUNTIF(Flows!$M$2:$M$1500,$A6&amp;"|"&amp;AT$1&amp;"|Input"),IF(COUNTIF(Flows!$M$2:$M$1500,$A6&amp;"|"&amp;AT$1&amp;"|Output"),"I/O","IN"),IF(COUNTIF(Flows!$M$2:$M$1500,$A6&amp;"|"&amp;AT$1&amp;"|Output"),"OUT",""))</f>
        <v/>
      </c>
      <c r="AU6" s="33" t="str">
        <f aca="false">IF(COUNTIF(Flows!$M$2:$M$1500,$A6&amp;"|"&amp;AU$1&amp;"|Input"),IF(COUNTIF(Flows!$M$2:$M$1500,$A6&amp;"|"&amp;AU$1&amp;"|Output"),"I/O","IN"),IF(COUNTIF(Flows!$M$2:$M$1500,$A6&amp;"|"&amp;AU$1&amp;"|Output"),"OUT",""))</f>
        <v/>
      </c>
      <c r="AV6" s="33" t="str">
        <f aca="false">IF(COUNTIF(Flows!$M$2:$M$1500,$A6&amp;"|"&amp;AV$1&amp;"|Input"),IF(COUNTIF(Flows!$M$2:$M$1500,$A6&amp;"|"&amp;AV$1&amp;"|Output"),"I/O","IN"),IF(COUNTIF(Flows!$M$2:$M$1500,$A6&amp;"|"&amp;AV$1&amp;"|Output"),"OUT",""))</f>
        <v>OUT</v>
      </c>
      <c r="AW6" s="33" t="str">
        <f aca="false">IF(COUNTIF(Flows!$M$2:$M$1500,$A6&amp;"|"&amp;AW$1&amp;"|Input"),IF(COUNTIF(Flows!$M$2:$M$1500,$A6&amp;"|"&amp;AW$1&amp;"|Output"),"I/O","IN"),IF(COUNTIF(Flows!$M$2:$M$1500,$A6&amp;"|"&amp;AW$1&amp;"|Output"),"OUT",""))</f>
        <v/>
      </c>
      <c r="AX6" s="33" t="str">
        <f aca="false">IF(COUNTIF(Flows!$M$2:$M$1500,$A6&amp;"|"&amp;AX$1&amp;"|Input"),IF(COUNTIF(Flows!$M$2:$M$1500,$A6&amp;"|"&amp;AX$1&amp;"|Output"),"I/O","IN"),IF(COUNTIF(Flows!$M$2:$M$1500,$A6&amp;"|"&amp;AX$1&amp;"|Output"),"OUT",""))</f>
        <v/>
      </c>
      <c r="AY6" s="33" t="str">
        <f aca="false">IF(COUNTIF(Flows!$M$2:$M$1500,$A6&amp;"|"&amp;AY$1&amp;"|Input"),IF(COUNTIF(Flows!$M$2:$M$1500,$A6&amp;"|"&amp;AY$1&amp;"|Output"),"I/O","IN"),IF(COUNTIF(Flows!$M$2:$M$1500,$A6&amp;"|"&amp;AY$1&amp;"|Output"),"OUT",""))</f>
        <v/>
      </c>
      <c r="AZ6" s="33" t="str">
        <f aca="false">IF(COUNTIF(Flows!$M$2:$M$1500,$A6&amp;"|"&amp;AZ$1&amp;"|Input"),IF(COUNTIF(Flows!$M$2:$M$1500,$A6&amp;"|"&amp;AZ$1&amp;"|Output"),"I/O","IN"),IF(COUNTIF(Flows!$M$2:$M$1500,$A6&amp;"|"&amp;AZ$1&amp;"|Output"),"OUT",""))</f>
        <v/>
      </c>
      <c r="BA6" s="33" t="str">
        <f aca="false">IF(COUNTIF(Flows!$M$2:$M$1500,$A6&amp;"|"&amp;BA$1&amp;"|Input"),IF(COUNTIF(Flows!$M$2:$M$1500,$A6&amp;"|"&amp;BA$1&amp;"|Output"),"I/O","IN"),IF(COUNTIF(Flows!$M$2:$M$1500,$A6&amp;"|"&amp;BA$1&amp;"|Output"),"OUT",""))</f>
        <v/>
      </c>
      <c r="BB6" s="33" t="str">
        <f aca="false">IF(COUNTIF(Flows!$M$2:$M$1500,$A6&amp;"|"&amp;BB$1&amp;"|Input"),IF(COUNTIF(Flows!$M$2:$M$1500,$A6&amp;"|"&amp;BB$1&amp;"|Output"),"I/O","IN"),IF(COUNTIF(Flows!$M$2:$M$1500,$A6&amp;"|"&amp;BB$1&amp;"|Output"),"OUT",""))</f>
        <v/>
      </c>
      <c r="BC6" s="33" t="str">
        <f aca="false">IF(COUNTIF(Flows!$M$2:$M$1500,$A6&amp;"|"&amp;BC$1&amp;"|Input"),IF(COUNTIF(Flows!$M$2:$M$1500,$A6&amp;"|"&amp;BC$1&amp;"|Output"),"I/O","IN"),IF(COUNTIF(Flows!$M$2:$M$1500,$A6&amp;"|"&amp;BC$1&amp;"|Output"),"OUT",""))</f>
        <v/>
      </c>
      <c r="BD6" s="33" t="str">
        <f aca="false">IF(COUNTIF(Flows!$M$2:$M$1500,$A6&amp;"|"&amp;BD$1&amp;"|Input"),IF(COUNTIF(Flows!$M$2:$M$1500,$A6&amp;"|"&amp;BD$1&amp;"|Output"),"I/O","IN"),IF(COUNTIF(Flows!$M$2:$M$1500,$A6&amp;"|"&amp;BD$1&amp;"|Output"),"OUT",""))</f>
        <v/>
      </c>
      <c r="BE6" s="33" t="str">
        <f aca="false">IF(COUNTIF(Flows!$M$2:$M$1500,$A6&amp;"|"&amp;BE$1&amp;"|Input"),IF(COUNTIF(Flows!$M$2:$M$1500,$A6&amp;"|"&amp;BE$1&amp;"|Output"),"I/O","IN"),IF(COUNTIF(Flows!$M$2:$M$1500,$A6&amp;"|"&amp;BE$1&amp;"|Output"),"OUT",""))</f>
        <v/>
      </c>
      <c r="BF6" s="33" t="str">
        <f aca="false">IF(COUNTIF(Flows!$M$2:$M$1500,$A6&amp;"|"&amp;BF$1&amp;"|Input"),IF(COUNTIF(Flows!$M$2:$M$1500,$A6&amp;"|"&amp;BF$1&amp;"|Output"),"I/O","IN"),IF(COUNTIF(Flows!$M$2:$M$1500,$A6&amp;"|"&amp;BF$1&amp;"|Output"),"OUT",""))</f>
        <v/>
      </c>
      <c r="BG6" s="33" t="str">
        <f aca="false">IF(COUNTIF(Flows!$M$2:$M$1500,$A6&amp;"|"&amp;BG$1&amp;"|Input"),IF(COUNTIF(Flows!$M$2:$M$1500,$A6&amp;"|"&amp;BG$1&amp;"|Output"),"I/O","IN"),IF(COUNTIF(Flows!$M$2:$M$1500,$A6&amp;"|"&amp;BG$1&amp;"|Output"),"OUT",""))</f>
        <v/>
      </c>
      <c r="BH6" s="33" t="str">
        <f aca="false">IF(COUNTIF(Flows!$M$2:$M$1500,$A6&amp;"|"&amp;BH$1&amp;"|Input"),IF(COUNTIF(Flows!$M$2:$M$1500,$A6&amp;"|"&amp;BH$1&amp;"|Output"),"I/O","IN"),IF(COUNTIF(Flows!$M$2:$M$1500,$A6&amp;"|"&amp;BH$1&amp;"|Output"),"OUT",""))</f>
        <v/>
      </c>
      <c r="BI6" s="33" t="str">
        <f aca="false">IF(COUNTIF(Flows!$M$2:$M$1500,$A6&amp;"|"&amp;BI$1&amp;"|Input"),IF(COUNTIF(Flows!$M$2:$M$1500,$A6&amp;"|"&amp;BI$1&amp;"|Output"),"I/O","IN"),IF(COUNTIF(Flows!$M$2:$M$1500,$A6&amp;"|"&amp;BI$1&amp;"|Output"),"OUT",""))</f>
        <v/>
      </c>
      <c r="BJ6" s="33" t="str">
        <f aca="false">IF(COUNTIF(Flows!$M$2:$M$1500,$A6&amp;"|"&amp;BJ$1&amp;"|Input"),IF(COUNTIF(Flows!$M$2:$M$1500,$A6&amp;"|"&amp;BJ$1&amp;"|Output"),"I/O","IN"),IF(COUNTIF(Flows!$M$2:$M$1500,$A6&amp;"|"&amp;BJ$1&amp;"|Output"),"OUT",""))</f>
        <v/>
      </c>
      <c r="BK6" s="33" t="str">
        <f aca="false">IF(COUNTIF(Flows!$M$2:$M$1500,$A6&amp;"|"&amp;BK$1&amp;"|Input"),IF(COUNTIF(Flows!$M$2:$M$1500,$A6&amp;"|"&amp;BK$1&amp;"|Output"),"I/O","IN"),IF(COUNTIF(Flows!$M$2:$M$1500,$A6&amp;"|"&amp;BK$1&amp;"|Output"),"OUT",""))</f>
        <v/>
      </c>
    </row>
    <row r="7" customFormat="false" ht="15" hidden="false" customHeight="true" outlineLevel="0" collapsed="false">
      <c r="A7" s="6" t="str">
        <f aca="false">Systems!B7</f>
        <v>A-Frame House</v>
      </c>
      <c r="B7" s="33" t="str">
        <f aca="false">IF(COUNTIF(Flows!$M$2:$M$1500,$A7&amp;"|"&amp;B$1&amp;"|Input"),IF(COUNTIF(Flows!$M$2:$M$1500,$A7&amp;"|"&amp;B$1&amp;"|Output"),"I/O","IN"),IF(COUNTIF(Flows!$M$2:$M$1500,$A7&amp;"|"&amp;B$1&amp;"|Output"),"OUT",""))</f>
        <v/>
      </c>
      <c r="C7" s="33" t="str">
        <f aca="false">IF(COUNTIF(Flows!$M$2:$M$1500,$A7&amp;"|"&amp;C$1&amp;"|Input"),IF(COUNTIF(Flows!$M$2:$M$1500,$A7&amp;"|"&amp;C$1&amp;"|Output"),"I/O","IN"),IF(COUNTIF(Flows!$M$2:$M$1500,$A7&amp;"|"&amp;C$1&amp;"|Output"),"OUT",""))</f>
        <v/>
      </c>
      <c r="D7" s="33" t="str">
        <f aca="false">IF(COUNTIF(Flows!$M$2:$M$1500,$A7&amp;"|"&amp;D$1&amp;"|Input"),IF(COUNTIF(Flows!$M$2:$M$1500,$A7&amp;"|"&amp;D$1&amp;"|Output"),"I/O","IN"),IF(COUNTIF(Flows!$M$2:$M$1500,$A7&amp;"|"&amp;D$1&amp;"|Output"),"OUT",""))</f>
        <v/>
      </c>
      <c r="E7" s="33" t="str">
        <f aca="false">IF(COUNTIF(Flows!$M$2:$M$1500,$A7&amp;"|"&amp;E$1&amp;"|Input"),IF(COUNTIF(Flows!$M$2:$M$1500,$A7&amp;"|"&amp;E$1&amp;"|Output"),"I/O","IN"),IF(COUNTIF(Flows!$M$2:$M$1500,$A7&amp;"|"&amp;E$1&amp;"|Output"),"OUT",""))</f>
        <v/>
      </c>
      <c r="F7" s="33" t="str">
        <f aca="false">IF(COUNTIF(Flows!$M$2:$M$1500,$A7&amp;"|"&amp;F$1&amp;"|Input"),IF(COUNTIF(Flows!$M$2:$M$1500,$A7&amp;"|"&amp;F$1&amp;"|Output"),"I/O","IN"),IF(COUNTIF(Flows!$M$2:$M$1500,$A7&amp;"|"&amp;F$1&amp;"|Output"),"OUT",""))</f>
        <v/>
      </c>
      <c r="G7" s="33" t="str">
        <f aca="false">IF(COUNTIF(Flows!$M$2:$M$1500,$A7&amp;"|"&amp;G$1&amp;"|Input"),IF(COUNTIF(Flows!$M$2:$M$1500,$A7&amp;"|"&amp;G$1&amp;"|Output"),"I/O","IN"),IF(COUNTIF(Flows!$M$2:$M$1500,$A7&amp;"|"&amp;G$1&amp;"|Output"),"OUT",""))</f>
        <v/>
      </c>
      <c r="H7" s="33" t="str">
        <f aca="false">IF(COUNTIF(Flows!$M$2:$M$1500,$A7&amp;"|"&amp;H$1&amp;"|Input"),IF(COUNTIF(Flows!$M$2:$M$1500,$A7&amp;"|"&amp;H$1&amp;"|Output"),"I/O","IN"),IF(COUNTIF(Flows!$M$2:$M$1500,$A7&amp;"|"&amp;H$1&amp;"|Output"),"OUT",""))</f>
        <v/>
      </c>
      <c r="I7" s="33" t="str">
        <f aca="false">IF(COUNTIF(Flows!$M$2:$M$1500,$A7&amp;"|"&amp;I$1&amp;"|Input"),IF(COUNTIF(Flows!$M$2:$M$1500,$A7&amp;"|"&amp;I$1&amp;"|Output"),"I/O","IN"),IF(COUNTIF(Flows!$M$2:$M$1500,$A7&amp;"|"&amp;I$1&amp;"|Output"),"OUT",""))</f>
        <v/>
      </c>
      <c r="J7" s="33" t="str">
        <f aca="false">IF(COUNTIF(Flows!$M$2:$M$1500,$A7&amp;"|"&amp;J$1&amp;"|Input"),IF(COUNTIF(Flows!$M$2:$M$1500,$A7&amp;"|"&amp;J$1&amp;"|Output"),"I/O","IN"),IF(COUNTIF(Flows!$M$2:$M$1500,$A7&amp;"|"&amp;J$1&amp;"|Output"),"OUT",""))</f>
        <v/>
      </c>
      <c r="K7" s="33" t="str">
        <f aca="false">IF(COUNTIF(Flows!$M$2:$M$1500,$A7&amp;"|"&amp;K$1&amp;"|Input"),IF(COUNTIF(Flows!$M$2:$M$1500,$A7&amp;"|"&amp;K$1&amp;"|Output"),"I/O","IN"),IF(COUNTIF(Flows!$M$2:$M$1500,$A7&amp;"|"&amp;K$1&amp;"|Output"),"OUT",""))</f>
        <v/>
      </c>
      <c r="L7" s="33" t="str">
        <f aca="false">IF(COUNTIF(Flows!$M$2:$M$1500,$A7&amp;"|"&amp;L$1&amp;"|Input"),IF(COUNTIF(Flows!$M$2:$M$1500,$A7&amp;"|"&amp;L$1&amp;"|Output"),"I/O","IN"),IF(COUNTIF(Flows!$M$2:$M$1500,$A7&amp;"|"&amp;L$1&amp;"|Output"),"OUT",""))</f>
        <v/>
      </c>
      <c r="M7" s="33" t="str">
        <f aca="false">IF(COUNTIF(Flows!$M$2:$M$1500,$A7&amp;"|"&amp;M$1&amp;"|Input"),IF(COUNTIF(Flows!$M$2:$M$1500,$A7&amp;"|"&amp;M$1&amp;"|Output"),"I/O","IN"),IF(COUNTIF(Flows!$M$2:$M$1500,$A7&amp;"|"&amp;M$1&amp;"|Output"),"OUT",""))</f>
        <v/>
      </c>
      <c r="N7" s="33" t="str">
        <f aca="false">IF(COUNTIF(Flows!$M$2:$M$1500,$A7&amp;"|"&amp;N$1&amp;"|Input"),IF(COUNTIF(Flows!$M$2:$M$1500,$A7&amp;"|"&amp;N$1&amp;"|Output"),"I/O","IN"),IF(COUNTIF(Flows!$M$2:$M$1500,$A7&amp;"|"&amp;N$1&amp;"|Output"),"OUT",""))</f>
        <v/>
      </c>
      <c r="O7" s="33" t="str">
        <f aca="false">IF(COUNTIF(Flows!$M$2:$M$1500,$A7&amp;"|"&amp;O$1&amp;"|Input"),IF(COUNTIF(Flows!$M$2:$M$1500,$A7&amp;"|"&amp;O$1&amp;"|Output"),"I/O","IN"),IF(COUNTIF(Flows!$M$2:$M$1500,$A7&amp;"|"&amp;O$1&amp;"|Output"),"OUT",""))</f>
        <v/>
      </c>
      <c r="P7" s="33" t="str">
        <f aca="false">IF(COUNTIF(Flows!$M$2:$M$1500,$A7&amp;"|"&amp;P$1&amp;"|Input"),IF(COUNTIF(Flows!$M$2:$M$1500,$A7&amp;"|"&amp;P$1&amp;"|Output"),"I/O","IN"),IF(COUNTIF(Flows!$M$2:$M$1500,$A7&amp;"|"&amp;P$1&amp;"|Output"),"OUT",""))</f>
        <v/>
      </c>
      <c r="Q7" s="33" t="str">
        <f aca="false">IF(COUNTIF(Flows!$M$2:$M$1500,$A7&amp;"|"&amp;Q$1&amp;"|Input"),IF(COUNTIF(Flows!$M$2:$M$1500,$A7&amp;"|"&amp;Q$1&amp;"|Output"),"I/O","IN"),IF(COUNTIF(Flows!$M$2:$M$1500,$A7&amp;"|"&amp;Q$1&amp;"|Output"),"OUT",""))</f>
        <v>OUT</v>
      </c>
      <c r="R7" s="33" t="str">
        <f aca="false">IF(COUNTIF(Flows!$M$2:$M$1500,$A7&amp;"|"&amp;R$1&amp;"|Input"),IF(COUNTIF(Flows!$M$2:$M$1500,$A7&amp;"|"&amp;R$1&amp;"|Output"),"I/O","IN"),IF(COUNTIF(Flows!$M$2:$M$1500,$A7&amp;"|"&amp;R$1&amp;"|Output"),"OUT",""))</f>
        <v/>
      </c>
      <c r="S7" s="33" t="str">
        <f aca="false">IF(COUNTIF(Flows!$M$2:$M$1500,$A7&amp;"|"&amp;S$1&amp;"|Input"),IF(COUNTIF(Flows!$M$2:$M$1500,$A7&amp;"|"&amp;S$1&amp;"|Output"),"I/O","IN"),IF(COUNTIF(Flows!$M$2:$M$1500,$A7&amp;"|"&amp;S$1&amp;"|Output"),"OUT",""))</f>
        <v/>
      </c>
      <c r="T7" s="33" t="str">
        <f aca="false">IF(COUNTIF(Flows!$M$2:$M$1500,$A7&amp;"|"&amp;T$1&amp;"|Input"),IF(COUNTIF(Flows!$M$2:$M$1500,$A7&amp;"|"&amp;T$1&amp;"|Output"),"I/O","IN"),IF(COUNTIF(Flows!$M$2:$M$1500,$A7&amp;"|"&amp;T$1&amp;"|Output"),"OUT",""))</f>
        <v/>
      </c>
      <c r="U7" s="33" t="str">
        <f aca="false">IF(COUNTIF(Flows!$M$2:$M$1500,$A7&amp;"|"&amp;U$1&amp;"|Input"),IF(COUNTIF(Flows!$M$2:$M$1500,$A7&amp;"|"&amp;U$1&amp;"|Output"),"I/O","IN"),IF(COUNTIF(Flows!$M$2:$M$1500,$A7&amp;"|"&amp;U$1&amp;"|Output"),"OUT",""))</f>
        <v/>
      </c>
      <c r="V7" s="33" t="str">
        <f aca="false">IF(COUNTIF(Flows!$M$2:$M$1500,$A7&amp;"|"&amp;V$1&amp;"|Input"),IF(COUNTIF(Flows!$M$2:$M$1500,$A7&amp;"|"&amp;V$1&amp;"|Output"),"I/O","IN"),IF(COUNTIF(Flows!$M$2:$M$1500,$A7&amp;"|"&amp;V$1&amp;"|Output"),"OUT",""))</f>
        <v>IN</v>
      </c>
      <c r="W7" s="33" t="str">
        <f aca="false">IF(COUNTIF(Flows!$M$2:$M$1500,$A7&amp;"|"&amp;W$1&amp;"|Input"),IF(COUNTIF(Flows!$M$2:$M$1500,$A7&amp;"|"&amp;W$1&amp;"|Output"),"I/O","IN"),IF(COUNTIF(Flows!$M$2:$M$1500,$A7&amp;"|"&amp;W$1&amp;"|Output"),"OUT",""))</f>
        <v>IN</v>
      </c>
      <c r="X7" s="33" t="str">
        <f aca="false">IF(COUNTIF(Flows!$M$2:$M$1500,$A7&amp;"|"&amp;X$1&amp;"|Input"),IF(COUNTIF(Flows!$M$2:$M$1500,$A7&amp;"|"&amp;X$1&amp;"|Output"),"I/O","IN"),IF(COUNTIF(Flows!$M$2:$M$1500,$A7&amp;"|"&amp;X$1&amp;"|Output"),"OUT",""))</f>
        <v>IN</v>
      </c>
      <c r="Y7" s="33" t="str">
        <f aca="false">IF(COUNTIF(Flows!$M$2:$M$1500,$A7&amp;"|"&amp;Y$1&amp;"|Input"),IF(COUNTIF(Flows!$M$2:$M$1500,$A7&amp;"|"&amp;Y$1&amp;"|Output"),"I/O","IN"),IF(COUNTIF(Flows!$M$2:$M$1500,$A7&amp;"|"&amp;Y$1&amp;"|Output"),"OUT",""))</f>
        <v>IN</v>
      </c>
      <c r="Z7" s="33" t="str">
        <f aca="false">IF(COUNTIF(Flows!$M$2:$M$1500,$A7&amp;"|"&amp;Z$1&amp;"|Input"),IF(COUNTIF(Flows!$M$2:$M$1500,$A7&amp;"|"&amp;Z$1&amp;"|Output"),"I/O","IN"),IF(COUNTIF(Flows!$M$2:$M$1500,$A7&amp;"|"&amp;Z$1&amp;"|Output"),"OUT",""))</f>
        <v/>
      </c>
      <c r="AA7" s="33" t="str">
        <f aca="false">IF(COUNTIF(Flows!$M$2:$M$1500,$A7&amp;"|"&amp;AA$1&amp;"|Input"),IF(COUNTIF(Flows!$M$2:$M$1500,$A7&amp;"|"&amp;AA$1&amp;"|Output"),"I/O","IN"),IF(COUNTIF(Flows!$M$2:$M$1500,$A7&amp;"|"&amp;AA$1&amp;"|Output"),"OUT",""))</f>
        <v/>
      </c>
      <c r="AB7" s="33" t="str">
        <f aca="false">IF(COUNTIF(Flows!$M$2:$M$1500,$A7&amp;"|"&amp;AB$1&amp;"|Input"),IF(COUNTIF(Flows!$M$2:$M$1500,$A7&amp;"|"&amp;AB$1&amp;"|Output"),"I/O","IN"),IF(COUNTIF(Flows!$M$2:$M$1500,$A7&amp;"|"&amp;AB$1&amp;"|Output"),"OUT",""))</f>
        <v/>
      </c>
      <c r="AC7" s="33" t="str">
        <f aca="false">IF(COUNTIF(Flows!$M$2:$M$1500,$A7&amp;"|"&amp;AC$1&amp;"|Input"),IF(COUNTIF(Flows!$M$2:$M$1500,$A7&amp;"|"&amp;AC$1&amp;"|Output"),"I/O","IN"),IF(COUNTIF(Flows!$M$2:$M$1500,$A7&amp;"|"&amp;AC$1&amp;"|Output"),"OUT",""))</f>
        <v/>
      </c>
      <c r="AD7" s="33" t="str">
        <f aca="false">IF(COUNTIF(Flows!$M$2:$M$1500,$A7&amp;"|"&amp;AD$1&amp;"|Input"),IF(COUNTIF(Flows!$M$2:$M$1500,$A7&amp;"|"&amp;AD$1&amp;"|Output"),"I/O","IN"),IF(COUNTIF(Flows!$M$2:$M$1500,$A7&amp;"|"&amp;AD$1&amp;"|Output"),"OUT",""))</f>
        <v>OUT</v>
      </c>
      <c r="AE7" s="33" t="str">
        <f aca="false">IF(COUNTIF(Flows!$M$2:$M$1500,$A7&amp;"|"&amp;AE$1&amp;"|Input"),IF(COUNTIF(Flows!$M$2:$M$1500,$A7&amp;"|"&amp;AE$1&amp;"|Output"),"I/O","IN"),IF(COUNTIF(Flows!$M$2:$M$1500,$A7&amp;"|"&amp;AE$1&amp;"|Output"),"OUT",""))</f>
        <v/>
      </c>
      <c r="AF7" s="33" t="str">
        <f aca="false">IF(COUNTIF(Flows!$M$2:$M$1500,$A7&amp;"|"&amp;AF$1&amp;"|Input"),IF(COUNTIF(Flows!$M$2:$M$1500,$A7&amp;"|"&amp;AF$1&amp;"|Output"),"I/O","IN"),IF(COUNTIF(Flows!$M$2:$M$1500,$A7&amp;"|"&amp;AF$1&amp;"|Output"),"OUT",""))</f>
        <v/>
      </c>
      <c r="AG7" s="33" t="str">
        <f aca="false">IF(COUNTIF(Flows!$M$2:$M$1500,$A7&amp;"|"&amp;AG$1&amp;"|Input"),IF(COUNTIF(Flows!$M$2:$M$1500,$A7&amp;"|"&amp;AG$1&amp;"|Output"),"I/O","IN"),IF(COUNTIF(Flows!$M$2:$M$1500,$A7&amp;"|"&amp;AG$1&amp;"|Output"),"OUT",""))</f>
        <v/>
      </c>
      <c r="AH7" s="33" t="str">
        <f aca="false">IF(COUNTIF(Flows!$M$2:$M$1500,$A7&amp;"|"&amp;AH$1&amp;"|Input"),IF(COUNTIF(Flows!$M$2:$M$1500,$A7&amp;"|"&amp;AH$1&amp;"|Output"),"I/O","IN"),IF(COUNTIF(Flows!$M$2:$M$1500,$A7&amp;"|"&amp;AH$1&amp;"|Output"),"OUT",""))</f>
        <v/>
      </c>
      <c r="AI7" s="33" t="str">
        <f aca="false">IF(COUNTIF(Flows!$M$2:$M$1500,$A7&amp;"|"&amp;AI$1&amp;"|Input"),IF(COUNTIF(Flows!$M$2:$M$1500,$A7&amp;"|"&amp;AI$1&amp;"|Output"),"I/O","IN"),IF(COUNTIF(Flows!$M$2:$M$1500,$A7&amp;"|"&amp;AI$1&amp;"|Output"),"OUT",""))</f>
        <v/>
      </c>
      <c r="AJ7" s="33" t="str">
        <f aca="false">IF(COUNTIF(Flows!$M$2:$M$1500,$A7&amp;"|"&amp;AJ$1&amp;"|Input"),IF(COUNTIF(Flows!$M$2:$M$1500,$A7&amp;"|"&amp;AJ$1&amp;"|Output"),"I/O","IN"),IF(COUNTIF(Flows!$M$2:$M$1500,$A7&amp;"|"&amp;AJ$1&amp;"|Output"),"OUT",""))</f>
        <v/>
      </c>
      <c r="AK7" s="33" t="str">
        <f aca="false">IF(COUNTIF(Flows!$M$2:$M$1500,$A7&amp;"|"&amp;AK$1&amp;"|Input"),IF(COUNTIF(Flows!$M$2:$M$1500,$A7&amp;"|"&amp;AK$1&amp;"|Output"),"I/O","IN"),IF(COUNTIF(Flows!$M$2:$M$1500,$A7&amp;"|"&amp;AK$1&amp;"|Output"),"OUT",""))</f>
        <v/>
      </c>
      <c r="AL7" s="33" t="str">
        <f aca="false">IF(COUNTIF(Flows!$M$2:$M$1500,$A7&amp;"|"&amp;AL$1&amp;"|Input"),IF(COUNTIF(Flows!$M$2:$M$1500,$A7&amp;"|"&amp;AL$1&amp;"|Output"),"I/O","IN"),IF(COUNTIF(Flows!$M$2:$M$1500,$A7&amp;"|"&amp;AL$1&amp;"|Output"),"OUT",""))</f>
        <v/>
      </c>
      <c r="AM7" s="33" t="str">
        <f aca="false">IF(COUNTIF(Flows!$M$2:$M$1500,$A7&amp;"|"&amp;AM$1&amp;"|Input"),IF(COUNTIF(Flows!$M$2:$M$1500,$A7&amp;"|"&amp;AM$1&amp;"|Output"),"I/O","IN"),IF(COUNTIF(Flows!$M$2:$M$1500,$A7&amp;"|"&amp;AM$1&amp;"|Output"),"OUT",""))</f>
        <v/>
      </c>
      <c r="AN7" s="33" t="str">
        <f aca="false">IF(COUNTIF(Flows!$M$2:$M$1500,$A7&amp;"|"&amp;AN$1&amp;"|Input"),IF(COUNTIF(Flows!$M$2:$M$1500,$A7&amp;"|"&amp;AN$1&amp;"|Output"),"I/O","IN"),IF(COUNTIF(Flows!$M$2:$M$1500,$A7&amp;"|"&amp;AN$1&amp;"|Output"),"OUT",""))</f>
        <v/>
      </c>
      <c r="AO7" s="33" t="str">
        <f aca="false">IF(COUNTIF(Flows!$M$2:$M$1500,$A7&amp;"|"&amp;AO$1&amp;"|Input"),IF(COUNTIF(Flows!$M$2:$M$1500,$A7&amp;"|"&amp;AO$1&amp;"|Output"),"I/O","IN"),IF(COUNTIF(Flows!$M$2:$M$1500,$A7&amp;"|"&amp;AO$1&amp;"|Output"),"OUT",""))</f>
        <v/>
      </c>
      <c r="AP7" s="33" t="str">
        <f aca="false">IF(COUNTIF(Flows!$M$2:$M$1500,$A7&amp;"|"&amp;AP$1&amp;"|Input"),IF(COUNTIF(Flows!$M$2:$M$1500,$A7&amp;"|"&amp;AP$1&amp;"|Output"),"I/O","IN"),IF(COUNTIF(Flows!$M$2:$M$1500,$A7&amp;"|"&amp;AP$1&amp;"|Output"),"OUT",""))</f>
        <v/>
      </c>
      <c r="AQ7" s="33" t="str">
        <f aca="false">IF(COUNTIF(Flows!$M$2:$M$1500,$A7&amp;"|"&amp;AQ$1&amp;"|Input"),IF(COUNTIF(Flows!$M$2:$M$1500,$A7&amp;"|"&amp;AQ$1&amp;"|Output"),"I/O","IN"),IF(COUNTIF(Flows!$M$2:$M$1500,$A7&amp;"|"&amp;AQ$1&amp;"|Output"),"OUT",""))</f>
        <v/>
      </c>
      <c r="AR7" s="33" t="str">
        <f aca="false">IF(COUNTIF(Flows!$M$2:$M$1500,$A7&amp;"|"&amp;AR$1&amp;"|Input"),IF(COUNTIF(Flows!$M$2:$M$1500,$A7&amp;"|"&amp;AR$1&amp;"|Output"),"I/O","IN"),IF(COUNTIF(Flows!$M$2:$M$1500,$A7&amp;"|"&amp;AR$1&amp;"|Output"),"OUT",""))</f>
        <v/>
      </c>
      <c r="AS7" s="33" t="str">
        <f aca="false">IF(COUNTIF(Flows!$M$2:$M$1500,$A7&amp;"|"&amp;AS$1&amp;"|Input"),IF(COUNTIF(Flows!$M$2:$M$1500,$A7&amp;"|"&amp;AS$1&amp;"|Output"),"I/O","IN"),IF(COUNTIF(Flows!$M$2:$M$1500,$A7&amp;"|"&amp;AS$1&amp;"|Output"),"OUT",""))</f>
        <v/>
      </c>
      <c r="AT7" s="33" t="str">
        <f aca="false">IF(COUNTIF(Flows!$M$2:$M$1500,$A7&amp;"|"&amp;AT$1&amp;"|Input"),IF(COUNTIF(Flows!$M$2:$M$1500,$A7&amp;"|"&amp;AT$1&amp;"|Output"),"I/O","IN"),IF(COUNTIF(Flows!$M$2:$M$1500,$A7&amp;"|"&amp;AT$1&amp;"|Output"),"OUT",""))</f>
        <v/>
      </c>
      <c r="AU7" s="33" t="str">
        <f aca="false">IF(COUNTIF(Flows!$M$2:$M$1500,$A7&amp;"|"&amp;AU$1&amp;"|Input"),IF(COUNTIF(Flows!$M$2:$M$1500,$A7&amp;"|"&amp;AU$1&amp;"|Output"),"I/O","IN"),IF(COUNTIF(Flows!$M$2:$M$1500,$A7&amp;"|"&amp;AU$1&amp;"|Output"),"OUT",""))</f>
        <v/>
      </c>
      <c r="AV7" s="33" t="str">
        <f aca="false">IF(COUNTIF(Flows!$M$2:$M$1500,$A7&amp;"|"&amp;AV$1&amp;"|Input"),IF(COUNTIF(Flows!$M$2:$M$1500,$A7&amp;"|"&amp;AV$1&amp;"|Output"),"I/O","IN"),IF(COUNTIF(Flows!$M$2:$M$1500,$A7&amp;"|"&amp;AV$1&amp;"|Output"),"OUT",""))</f>
        <v/>
      </c>
      <c r="AW7" s="33" t="str">
        <f aca="false">IF(COUNTIF(Flows!$M$2:$M$1500,$A7&amp;"|"&amp;AW$1&amp;"|Input"),IF(COUNTIF(Flows!$M$2:$M$1500,$A7&amp;"|"&amp;AW$1&amp;"|Output"),"I/O","IN"),IF(COUNTIF(Flows!$M$2:$M$1500,$A7&amp;"|"&amp;AW$1&amp;"|Output"),"OUT",""))</f>
        <v/>
      </c>
      <c r="AX7" s="33" t="str">
        <f aca="false">IF(COUNTIF(Flows!$M$2:$M$1500,$A7&amp;"|"&amp;AX$1&amp;"|Input"),IF(COUNTIF(Flows!$M$2:$M$1500,$A7&amp;"|"&amp;AX$1&amp;"|Output"),"I/O","IN"),IF(COUNTIF(Flows!$M$2:$M$1500,$A7&amp;"|"&amp;AX$1&amp;"|Output"),"OUT",""))</f>
        <v/>
      </c>
      <c r="AY7" s="33" t="str">
        <f aca="false">IF(COUNTIF(Flows!$M$2:$M$1500,$A7&amp;"|"&amp;AY$1&amp;"|Input"),IF(COUNTIF(Flows!$M$2:$M$1500,$A7&amp;"|"&amp;AY$1&amp;"|Output"),"I/O","IN"),IF(COUNTIF(Flows!$M$2:$M$1500,$A7&amp;"|"&amp;AY$1&amp;"|Output"),"OUT",""))</f>
        <v/>
      </c>
      <c r="AZ7" s="33" t="str">
        <f aca="false">IF(COUNTIF(Flows!$M$2:$M$1500,$A7&amp;"|"&amp;AZ$1&amp;"|Input"),IF(COUNTIF(Flows!$M$2:$M$1500,$A7&amp;"|"&amp;AZ$1&amp;"|Output"),"I/O","IN"),IF(COUNTIF(Flows!$M$2:$M$1500,$A7&amp;"|"&amp;AZ$1&amp;"|Output"),"OUT",""))</f>
        <v/>
      </c>
      <c r="BA7" s="33" t="str">
        <f aca="false">IF(COUNTIF(Flows!$M$2:$M$1500,$A7&amp;"|"&amp;BA$1&amp;"|Input"),IF(COUNTIF(Flows!$M$2:$M$1500,$A7&amp;"|"&amp;BA$1&amp;"|Output"),"I/O","IN"),IF(COUNTIF(Flows!$M$2:$M$1500,$A7&amp;"|"&amp;BA$1&amp;"|Output"),"OUT",""))</f>
        <v/>
      </c>
      <c r="BB7" s="33" t="str">
        <f aca="false">IF(COUNTIF(Flows!$M$2:$M$1500,$A7&amp;"|"&amp;BB$1&amp;"|Input"),IF(COUNTIF(Flows!$M$2:$M$1500,$A7&amp;"|"&amp;BB$1&amp;"|Output"),"I/O","IN"),IF(COUNTIF(Flows!$M$2:$M$1500,$A7&amp;"|"&amp;BB$1&amp;"|Output"),"OUT",""))</f>
        <v/>
      </c>
      <c r="BC7" s="33" t="str">
        <f aca="false">IF(COUNTIF(Flows!$M$2:$M$1500,$A7&amp;"|"&amp;BC$1&amp;"|Input"),IF(COUNTIF(Flows!$M$2:$M$1500,$A7&amp;"|"&amp;BC$1&amp;"|Output"),"I/O","IN"),IF(COUNTIF(Flows!$M$2:$M$1500,$A7&amp;"|"&amp;BC$1&amp;"|Output"),"OUT",""))</f>
        <v/>
      </c>
      <c r="BD7" s="33" t="str">
        <f aca="false">IF(COUNTIF(Flows!$M$2:$M$1500,$A7&amp;"|"&amp;BD$1&amp;"|Input"),IF(COUNTIF(Flows!$M$2:$M$1500,$A7&amp;"|"&amp;BD$1&amp;"|Output"),"I/O","IN"),IF(COUNTIF(Flows!$M$2:$M$1500,$A7&amp;"|"&amp;BD$1&amp;"|Output"),"OUT",""))</f>
        <v/>
      </c>
      <c r="BE7" s="33" t="str">
        <f aca="false">IF(COUNTIF(Flows!$M$2:$M$1500,$A7&amp;"|"&amp;BE$1&amp;"|Input"),IF(COUNTIF(Flows!$M$2:$M$1500,$A7&amp;"|"&amp;BE$1&amp;"|Output"),"I/O","IN"),IF(COUNTIF(Flows!$M$2:$M$1500,$A7&amp;"|"&amp;BE$1&amp;"|Output"),"OUT",""))</f>
        <v/>
      </c>
      <c r="BF7" s="33" t="str">
        <f aca="false">IF(COUNTIF(Flows!$M$2:$M$1500,$A7&amp;"|"&amp;BF$1&amp;"|Input"),IF(COUNTIF(Flows!$M$2:$M$1500,$A7&amp;"|"&amp;BF$1&amp;"|Output"),"I/O","IN"),IF(COUNTIF(Flows!$M$2:$M$1500,$A7&amp;"|"&amp;BF$1&amp;"|Output"),"OUT",""))</f>
        <v/>
      </c>
      <c r="BG7" s="33" t="str">
        <f aca="false">IF(COUNTIF(Flows!$M$2:$M$1500,$A7&amp;"|"&amp;BG$1&amp;"|Input"),IF(COUNTIF(Flows!$M$2:$M$1500,$A7&amp;"|"&amp;BG$1&amp;"|Output"),"I/O","IN"),IF(COUNTIF(Flows!$M$2:$M$1500,$A7&amp;"|"&amp;BG$1&amp;"|Output"),"OUT",""))</f>
        <v/>
      </c>
      <c r="BH7" s="33" t="str">
        <f aca="false">IF(COUNTIF(Flows!$M$2:$M$1500,$A7&amp;"|"&amp;BH$1&amp;"|Input"),IF(COUNTIF(Flows!$M$2:$M$1500,$A7&amp;"|"&amp;BH$1&amp;"|Output"),"I/O","IN"),IF(COUNTIF(Flows!$M$2:$M$1500,$A7&amp;"|"&amp;BH$1&amp;"|Output"),"OUT",""))</f>
        <v/>
      </c>
      <c r="BI7" s="33" t="str">
        <f aca="false">IF(COUNTIF(Flows!$M$2:$M$1500,$A7&amp;"|"&amp;BI$1&amp;"|Input"),IF(COUNTIF(Flows!$M$2:$M$1500,$A7&amp;"|"&amp;BI$1&amp;"|Output"),"I/O","IN"),IF(COUNTIF(Flows!$M$2:$M$1500,$A7&amp;"|"&amp;BI$1&amp;"|Output"),"OUT",""))</f>
        <v/>
      </c>
      <c r="BJ7" s="33" t="str">
        <f aca="false">IF(COUNTIF(Flows!$M$2:$M$1500,$A7&amp;"|"&amp;BJ$1&amp;"|Input"),IF(COUNTIF(Flows!$M$2:$M$1500,$A7&amp;"|"&amp;BJ$1&amp;"|Output"),"I/O","IN"),IF(COUNTIF(Flows!$M$2:$M$1500,$A7&amp;"|"&amp;BJ$1&amp;"|Output"),"OUT",""))</f>
        <v/>
      </c>
      <c r="BK7" s="33" t="str">
        <f aca="false">IF(COUNTIF(Flows!$M$2:$M$1500,$A7&amp;"|"&amp;BK$1&amp;"|Input"),IF(COUNTIF(Flows!$M$2:$M$1500,$A7&amp;"|"&amp;BK$1&amp;"|Output"),"I/O","IN"),IF(COUNTIF(Flows!$M$2:$M$1500,$A7&amp;"|"&amp;BK$1&amp;"|Output"),"OUT",""))</f>
        <v/>
      </c>
    </row>
    <row r="8" customFormat="false" ht="15" hidden="false" customHeight="true" outlineLevel="0" collapsed="false">
      <c r="A8" s="6" t="str">
        <f aca="false">Systems!B8</f>
        <v>Average Suburban Home</v>
      </c>
      <c r="B8" s="33" t="str">
        <f aca="false">IF(COUNTIF(Flows!$M$2:$M$1500,$A8&amp;"|"&amp;B$1&amp;"|Input"),IF(COUNTIF(Flows!$M$2:$M$1500,$A8&amp;"|"&amp;B$1&amp;"|Output"),"I/O","IN"),IF(COUNTIF(Flows!$M$2:$M$1500,$A8&amp;"|"&amp;B$1&amp;"|Output"),"OUT",""))</f>
        <v>OUT</v>
      </c>
      <c r="C8" s="33" t="str">
        <f aca="false">IF(COUNTIF(Flows!$M$2:$M$1500,$A8&amp;"|"&amp;C$1&amp;"|Input"),IF(COUNTIF(Flows!$M$2:$M$1500,$A8&amp;"|"&amp;C$1&amp;"|Output"),"I/O","IN"),IF(COUNTIF(Flows!$M$2:$M$1500,$A8&amp;"|"&amp;C$1&amp;"|Output"),"OUT",""))</f>
        <v>OUT</v>
      </c>
      <c r="D8" s="33" t="str">
        <f aca="false">IF(COUNTIF(Flows!$M$2:$M$1500,$A8&amp;"|"&amp;D$1&amp;"|Input"),IF(COUNTIF(Flows!$M$2:$M$1500,$A8&amp;"|"&amp;D$1&amp;"|Output"),"I/O","IN"),IF(COUNTIF(Flows!$M$2:$M$1500,$A8&amp;"|"&amp;D$1&amp;"|Output"),"OUT",""))</f>
        <v>OUT</v>
      </c>
      <c r="E8" s="33" t="str">
        <f aca="false">IF(COUNTIF(Flows!$M$2:$M$1500,$A8&amp;"|"&amp;E$1&amp;"|Input"),IF(COUNTIF(Flows!$M$2:$M$1500,$A8&amp;"|"&amp;E$1&amp;"|Output"),"I/O","IN"),IF(COUNTIF(Flows!$M$2:$M$1500,$A8&amp;"|"&amp;E$1&amp;"|Output"),"OUT",""))</f>
        <v/>
      </c>
      <c r="F8" s="33" t="str">
        <f aca="false">IF(COUNTIF(Flows!$M$2:$M$1500,$A8&amp;"|"&amp;F$1&amp;"|Input"),IF(COUNTIF(Flows!$M$2:$M$1500,$A8&amp;"|"&amp;F$1&amp;"|Output"),"I/O","IN"),IF(COUNTIF(Flows!$M$2:$M$1500,$A8&amp;"|"&amp;F$1&amp;"|Output"),"OUT",""))</f>
        <v/>
      </c>
      <c r="G8" s="33" t="str">
        <f aca="false">IF(COUNTIF(Flows!$M$2:$M$1500,$A8&amp;"|"&amp;G$1&amp;"|Input"),IF(COUNTIF(Flows!$M$2:$M$1500,$A8&amp;"|"&amp;G$1&amp;"|Output"),"I/O","IN"),IF(COUNTIF(Flows!$M$2:$M$1500,$A8&amp;"|"&amp;G$1&amp;"|Output"),"OUT",""))</f>
        <v/>
      </c>
      <c r="H8" s="33" t="str">
        <f aca="false">IF(COUNTIF(Flows!$M$2:$M$1500,$A8&amp;"|"&amp;H$1&amp;"|Input"),IF(COUNTIF(Flows!$M$2:$M$1500,$A8&amp;"|"&amp;H$1&amp;"|Output"),"I/O","IN"),IF(COUNTIF(Flows!$M$2:$M$1500,$A8&amp;"|"&amp;H$1&amp;"|Output"),"OUT",""))</f>
        <v/>
      </c>
      <c r="I8" s="33" t="str">
        <f aca="false">IF(COUNTIF(Flows!$M$2:$M$1500,$A8&amp;"|"&amp;I$1&amp;"|Input"),IF(COUNTIF(Flows!$M$2:$M$1500,$A8&amp;"|"&amp;I$1&amp;"|Output"),"I/O","IN"),IF(COUNTIF(Flows!$M$2:$M$1500,$A8&amp;"|"&amp;I$1&amp;"|Output"),"OUT",""))</f>
        <v/>
      </c>
      <c r="J8" s="33" t="str">
        <f aca="false">IF(COUNTIF(Flows!$M$2:$M$1500,$A8&amp;"|"&amp;J$1&amp;"|Input"),IF(COUNTIF(Flows!$M$2:$M$1500,$A8&amp;"|"&amp;J$1&amp;"|Output"),"I/O","IN"),IF(COUNTIF(Flows!$M$2:$M$1500,$A8&amp;"|"&amp;J$1&amp;"|Output"),"OUT",""))</f>
        <v/>
      </c>
      <c r="K8" s="33" t="str">
        <f aca="false">IF(COUNTIF(Flows!$M$2:$M$1500,$A8&amp;"|"&amp;K$1&amp;"|Input"),IF(COUNTIF(Flows!$M$2:$M$1500,$A8&amp;"|"&amp;K$1&amp;"|Output"),"I/O","IN"),IF(COUNTIF(Flows!$M$2:$M$1500,$A8&amp;"|"&amp;K$1&amp;"|Output"),"OUT",""))</f>
        <v/>
      </c>
      <c r="L8" s="33" t="str">
        <f aca="false">IF(COUNTIF(Flows!$M$2:$M$1500,$A8&amp;"|"&amp;L$1&amp;"|Input"),IF(COUNTIF(Flows!$M$2:$M$1500,$A8&amp;"|"&amp;L$1&amp;"|Output"),"I/O","IN"),IF(COUNTIF(Flows!$M$2:$M$1500,$A8&amp;"|"&amp;L$1&amp;"|Output"),"OUT",""))</f>
        <v/>
      </c>
      <c r="M8" s="33" t="str">
        <f aca="false">IF(COUNTIF(Flows!$M$2:$M$1500,$A8&amp;"|"&amp;M$1&amp;"|Input"),IF(COUNTIF(Flows!$M$2:$M$1500,$A8&amp;"|"&amp;M$1&amp;"|Output"),"I/O","IN"),IF(COUNTIF(Flows!$M$2:$M$1500,$A8&amp;"|"&amp;M$1&amp;"|Output"),"OUT",""))</f>
        <v/>
      </c>
      <c r="N8" s="33" t="str">
        <f aca="false">IF(COUNTIF(Flows!$M$2:$M$1500,$A8&amp;"|"&amp;N$1&amp;"|Input"),IF(COUNTIF(Flows!$M$2:$M$1500,$A8&amp;"|"&amp;N$1&amp;"|Output"),"I/O","IN"),IF(COUNTIF(Flows!$M$2:$M$1500,$A8&amp;"|"&amp;N$1&amp;"|Output"),"OUT",""))</f>
        <v/>
      </c>
      <c r="O8" s="33" t="str">
        <f aca="false">IF(COUNTIF(Flows!$M$2:$M$1500,$A8&amp;"|"&amp;O$1&amp;"|Input"),IF(COUNTIF(Flows!$M$2:$M$1500,$A8&amp;"|"&amp;O$1&amp;"|Output"),"I/O","IN"),IF(COUNTIF(Flows!$M$2:$M$1500,$A8&amp;"|"&amp;O$1&amp;"|Output"),"OUT",""))</f>
        <v/>
      </c>
      <c r="P8" s="33" t="str">
        <f aca="false">IF(COUNTIF(Flows!$M$2:$M$1500,$A8&amp;"|"&amp;P$1&amp;"|Input"),IF(COUNTIF(Flows!$M$2:$M$1500,$A8&amp;"|"&amp;P$1&amp;"|Output"),"I/O","IN"),IF(COUNTIF(Flows!$M$2:$M$1500,$A8&amp;"|"&amp;P$1&amp;"|Output"),"OUT",""))</f>
        <v/>
      </c>
      <c r="Q8" s="33" t="str">
        <f aca="false">IF(COUNTIF(Flows!$M$2:$M$1500,$A8&amp;"|"&amp;Q$1&amp;"|Input"),IF(COUNTIF(Flows!$M$2:$M$1500,$A8&amp;"|"&amp;Q$1&amp;"|Output"),"I/O","IN"),IF(COUNTIF(Flows!$M$2:$M$1500,$A8&amp;"|"&amp;Q$1&amp;"|Output"),"OUT",""))</f>
        <v>OUT</v>
      </c>
      <c r="R8" s="33" t="str">
        <f aca="false">IF(COUNTIF(Flows!$M$2:$M$1500,$A8&amp;"|"&amp;R$1&amp;"|Input"),IF(COUNTIF(Flows!$M$2:$M$1500,$A8&amp;"|"&amp;R$1&amp;"|Output"),"I/O","IN"),IF(COUNTIF(Flows!$M$2:$M$1500,$A8&amp;"|"&amp;R$1&amp;"|Output"),"OUT",""))</f>
        <v>OUT</v>
      </c>
      <c r="S8" s="33" t="str">
        <f aca="false">IF(COUNTIF(Flows!$M$2:$M$1500,$A8&amp;"|"&amp;S$1&amp;"|Input"),IF(COUNTIF(Flows!$M$2:$M$1500,$A8&amp;"|"&amp;S$1&amp;"|Output"),"I/O","IN"),IF(COUNTIF(Flows!$M$2:$M$1500,$A8&amp;"|"&amp;S$1&amp;"|Output"),"OUT",""))</f>
        <v/>
      </c>
      <c r="T8" s="33" t="str">
        <f aca="false">IF(COUNTIF(Flows!$M$2:$M$1500,$A8&amp;"|"&amp;T$1&amp;"|Input"),IF(COUNTIF(Flows!$M$2:$M$1500,$A8&amp;"|"&amp;T$1&amp;"|Output"),"I/O","IN"),IF(COUNTIF(Flows!$M$2:$M$1500,$A8&amp;"|"&amp;T$1&amp;"|Output"),"OUT",""))</f>
        <v/>
      </c>
      <c r="U8" s="33" t="str">
        <f aca="false">IF(COUNTIF(Flows!$M$2:$M$1500,$A8&amp;"|"&amp;U$1&amp;"|Input"),IF(COUNTIF(Flows!$M$2:$M$1500,$A8&amp;"|"&amp;U$1&amp;"|Output"),"I/O","IN"),IF(COUNTIF(Flows!$M$2:$M$1500,$A8&amp;"|"&amp;U$1&amp;"|Output"),"OUT",""))</f>
        <v/>
      </c>
      <c r="V8" s="33" t="str">
        <f aca="false">IF(COUNTIF(Flows!$M$2:$M$1500,$A8&amp;"|"&amp;V$1&amp;"|Input"),IF(COUNTIF(Flows!$M$2:$M$1500,$A8&amp;"|"&amp;V$1&amp;"|Output"),"I/O","IN"),IF(COUNTIF(Flows!$M$2:$M$1500,$A8&amp;"|"&amp;V$1&amp;"|Output"),"OUT",""))</f>
        <v>IN</v>
      </c>
      <c r="W8" s="33" t="str">
        <f aca="false">IF(COUNTIF(Flows!$M$2:$M$1500,$A8&amp;"|"&amp;W$1&amp;"|Input"),IF(COUNTIF(Flows!$M$2:$M$1500,$A8&amp;"|"&amp;W$1&amp;"|Output"),"I/O","IN"),IF(COUNTIF(Flows!$M$2:$M$1500,$A8&amp;"|"&amp;W$1&amp;"|Output"),"OUT",""))</f>
        <v>IN</v>
      </c>
      <c r="X8" s="33" t="str">
        <f aca="false">IF(COUNTIF(Flows!$M$2:$M$1500,$A8&amp;"|"&amp;X$1&amp;"|Input"),IF(COUNTIF(Flows!$M$2:$M$1500,$A8&amp;"|"&amp;X$1&amp;"|Output"),"I/O","IN"),IF(COUNTIF(Flows!$M$2:$M$1500,$A8&amp;"|"&amp;X$1&amp;"|Output"),"OUT",""))</f>
        <v>IN</v>
      </c>
      <c r="Y8" s="33" t="str">
        <f aca="false">IF(COUNTIF(Flows!$M$2:$M$1500,$A8&amp;"|"&amp;Y$1&amp;"|Input"),IF(COUNTIF(Flows!$M$2:$M$1500,$A8&amp;"|"&amp;Y$1&amp;"|Output"),"I/O","IN"),IF(COUNTIF(Flows!$M$2:$M$1500,$A8&amp;"|"&amp;Y$1&amp;"|Output"),"OUT",""))</f>
        <v>IN</v>
      </c>
      <c r="Z8" s="33" t="str">
        <f aca="false">IF(COUNTIF(Flows!$M$2:$M$1500,$A8&amp;"|"&amp;Z$1&amp;"|Input"),IF(COUNTIF(Flows!$M$2:$M$1500,$A8&amp;"|"&amp;Z$1&amp;"|Output"),"I/O","IN"),IF(COUNTIF(Flows!$M$2:$M$1500,$A8&amp;"|"&amp;Z$1&amp;"|Output"),"OUT",""))</f>
        <v/>
      </c>
      <c r="AA8" s="33" t="str">
        <f aca="false">IF(COUNTIF(Flows!$M$2:$M$1500,$A8&amp;"|"&amp;AA$1&amp;"|Input"),IF(COUNTIF(Flows!$M$2:$M$1500,$A8&amp;"|"&amp;AA$1&amp;"|Output"),"I/O","IN"),IF(COUNTIF(Flows!$M$2:$M$1500,$A8&amp;"|"&amp;AA$1&amp;"|Output"),"OUT",""))</f>
        <v/>
      </c>
      <c r="AB8" s="33" t="str">
        <f aca="false">IF(COUNTIF(Flows!$M$2:$M$1500,$A8&amp;"|"&amp;AB$1&amp;"|Input"),IF(COUNTIF(Flows!$M$2:$M$1500,$A8&amp;"|"&amp;AB$1&amp;"|Output"),"I/O","IN"),IF(COUNTIF(Flows!$M$2:$M$1500,$A8&amp;"|"&amp;AB$1&amp;"|Output"),"OUT",""))</f>
        <v/>
      </c>
      <c r="AC8" s="33" t="str">
        <f aca="false">IF(COUNTIF(Flows!$M$2:$M$1500,$A8&amp;"|"&amp;AC$1&amp;"|Input"),IF(COUNTIF(Flows!$M$2:$M$1500,$A8&amp;"|"&amp;AC$1&amp;"|Output"),"I/O","IN"),IF(COUNTIF(Flows!$M$2:$M$1500,$A8&amp;"|"&amp;AC$1&amp;"|Output"),"OUT",""))</f>
        <v/>
      </c>
      <c r="AD8" s="33" t="str">
        <f aca="false">IF(COUNTIF(Flows!$M$2:$M$1500,$A8&amp;"|"&amp;AD$1&amp;"|Input"),IF(COUNTIF(Flows!$M$2:$M$1500,$A8&amp;"|"&amp;AD$1&amp;"|Output"),"I/O","IN"),IF(COUNTIF(Flows!$M$2:$M$1500,$A8&amp;"|"&amp;AD$1&amp;"|Output"),"OUT",""))</f>
        <v>OUT</v>
      </c>
      <c r="AE8" s="33" t="str">
        <f aca="false">IF(COUNTIF(Flows!$M$2:$M$1500,$A8&amp;"|"&amp;AE$1&amp;"|Input"),IF(COUNTIF(Flows!$M$2:$M$1500,$A8&amp;"|"&amp;AE$1&amp;"|Output"),"I/O","IN"),IF(COUNTIF(Flows!$M$2:$M$1500,$A8&amp;"|"&amp;AE$1&amp;"|Output"),"OUT",""))</f>
        <v/>
      </c>
      <c r="AF8" s="33" t="str">
        <f aca="false">IF(COUNTIF(Flows!$M$2:$M$1500,$A8&amp;"|"&amp;AF$1&amp;"|Input"),IF(COUNTIF(Flows!$M$2:$M$1500,$A8&amp;"|"&amp;AF$1&amp;"|Output"),"I/O","IN"),IF(COUNTIF(Flows!$M$2:$M$1500,$A8&amp;"|"&amp;AF$1&amp;"|Output"),"OUT",""))</f>
        <v/>
      </c>
      <c r="AG8" s="33" t="str">
        <f aca="false">IF(COUNTIF(Flows!$M$2:$M$1500,$A8&amp;"|"&amp;AG$1&amp;"|Input"),IF(COUNTIF(Flows!$M$2:$M$1500,$A8&amp;"|"&amp;AG$1&amp;"|Output"),"I/O","IN"),IF(COUNTIF(Flows!$M$2:$M$1500,$A8&amp;"|"&amp;AG$1&amp;"|Output"),"OUT",""))</f>
        <v/>
      </c>
      <c r="AH8" s="33" t="str">
        <f aca="false">IF(COUNTIF(Flows!$M$2:$M$1500,$A8&amp;"|"&amp;AH$1&amp;"|Input"),IF(COUNTIF(Flows!$M$2:$M$1500,$A8&amp;"|"&amp;AH$1&amp;"|Output"),"I/O","IN"),IF(COUNTIF(Flows!$M$2:$M$1500,$A8&amp;"|"&amp;AH$1&amp;"|Output"),"OUT",""))</f>
        <v/>
      </c>
      <c r="AI8" s="33" t="str">
        <f aca="false">IF(COUNTIF(Flows!$M$2:$M$1500,$A8&amp;"|"&amp;AI$1&amp;"|Input"),IF(COUNTIF(Flows!$M$2:$M$1500,$A8&amp;"|"&amp;AI$1&amp;"|Output"),"I/O","IN"),IF(COUNTIF(Flows!$M$2:$M$1500,$A8&amp;"|"&amp;AI$1&amp;"|Output"),"OUT",""))</f>
        <v/>
      </c>
      <c r="AJ8" s="33" t="str">
        <f aca="false">IF(COUNTIF(Flows!$M$2:$M$1500,$A8&amp;"|"&amp;AJ$1&amp;"|Input"),IF(COUNTIF(Flows!$M$2:$M$1500,$A8&amp;"|"&amp;AJ$1&amp;"|Output"),"I/O","IN"),IF(COUNTIF(Flows!$M$2:$M$1500,$A8&amp;"|"&amp;AJ$1&amp;"|Output"),"OUT",""))</f>
        <v/>
      </c>
      <c r="AK8" s="33" t="str">
        <f aca="false">IF(COUNTIF(Flows!$M$2:$M$1500,$A8&amp;"|"&amp;AK$1&amp;"|Input"),IF(COUNTIF(Flows!$M$2:$M$1500,$A8&amp;"|"&amp;AK$1&amp;"|Output"),"I/O","IN"),IF(COUNTIF(Flows!$M$2:$M$1500,$A8&amp;"|"&amp;AK$1&amp;"|Output"),"OUT",""))</f>
        <v/>
      </c>
      <c r="AL8" s="33" t="str">
        <f aca="false">IF(COUNTIF(Flows!$M$2:$M$1500,$A8&amp;"|"&amp;AL$1&amp;"|Input"),IF(COUNTIF(Flows!$M$2:$M$1500,$A8&amp;"|"&amp;AL$1&amp;"|Output"),"I/O","IN"),IF(COUNTIF(Flows!$M$2:$M$1500,$A8&amp;"|"&amp;AL$1&amp;"|Output"),"OUT",""))</f>
        <v/>
      </c>
      <c r="AM8" s="33" t="str">
        <f aca="false">IF(COUNTIF(Flows!$M$2:$M$1500,$A8&amp;"|"&amp;AM$1&amp;"|Input"),IF(COUNTIF(Flows!$M$2:$M$1500,$A8&amp;"|"&amp;AM$1&amp;"|Output"),"I/O","IN"),IF(COUNTIF(Flows!$M$2:$M$1500,$A8&amp;"|"&amp;AM$1&amp;"|Output"),"OUT",""))</f>
        <v/>
      </c>
      <c r="AN8" s="33" t="str">
        <f aca="false">IF(COUNTIF(Flows!$M$2:$M$1500,$A8&amp;"|"&amp;AN$1&amp;"|Input"),IF(COUNTIF(Flows!$M$2:$M$1500,$A8&amp;"|"&amp;AN$1&amp;"|Output"),"I/O","IN"),IF(COUNTIF(Flows!$M$2:$M$1500,$A8&amp;"|"&amp;AN$1&amp;"|Output"),"OUT",""))</f>
        <v/>
      </c>
      <c r="AO8" s="33" t="str">
        <f aca="false">IF(COUNTIF(Flows!$M$2:$M$1500,$A8&amp;"|"&amp;AO$1&amp;"|Input"),IF(COUNTIF(Flows!$M$2:$M$1500,$A8&amp;"|"&amp;AO$1&amp;"|Output"),"I/O","IN"),IF(COUNTIF(Flows!$M$2:$M$1500,$A8&amp;"|"&amp;AO$1&amp;"|Output"),"OUT",""))</f>
        <v/>
      </c>
      <c r="AP8" s="33" t="str">
        <f aca="false">IF(COUNTIF(Flows!$M$2:$M$1500,$A8&amp;"|"&amp;AP$1&amp;"|Input"),IF(COUNTIF(Flows!$M$2:$M$1500,$A8&amp;"|"&amp;AP$1&amp;"|Output"),"I/O","IN"),IF(COUNTIF(Flows!$M$2:$M$1500,$A8&amp;"|"&amp;AP$1&amp;"|Output"),"OUT",""))</f>
        <v/>
      </c>
      <c r="AQ8" s="33" t="str">
        <f aca="false">IF(COUNTIF(Flows!$M$2:$M$1500,$A8&amp;"|"&amp;AQ$1&amp;"|Input"),IF(COUNTIF(Flows!$M$2:$M$1500,$A8&amp;"|"&amp;AQ$1&amp;"|Output"),"I/O","IN"),IF(COUNTIF(Flows!$M$2:$M$1500,$A8&amp;"|"&amp;AQ$1&amp;"|Output"),"OUT",""))</f>
        <v/>
      </c>
      <c r="AR8" s="33" t="str">
        <f aca="false">IF(COUNTIF(Flows!$M$2:$M$1500,$A8&amp;"|"&amp;AR$1&amp;"|Input"),IF(COUNTIF(Flows!$M$2:$M$1500,$A8&amp;"|"&amp;AR$1&amp;"|Output"),"I/O","IN"),IF(COUNTIF(Flows!$M$2:$M$1500,$A8&amp;"|"&amp;AR$1&amp;"|Output"),"OUT",""))</f>
        <v/>
      </c>
      <c r="AS8" s="33" t="str">
        <f aca="false">IF(COUNTIF(Flows!$M$2:$M$1500,$A8&amp;"|"&amp;AS$1&amp;"|Input"),IF(COUNTIF(Flows!$M$2:$M$1500,$A8&amp;"|"&amp;AS$1&amp;"|Output"),"I/O","IN"),IF(COUNTIF(Flows!$M$2:$M$1500,$A8&amp;"|"&amp;AS$1&amp;"|Output"),"OUT",""))</f>
        <v/>
      </c>
      <c r="AT8" s="33" t="str">
        <f aca="false">IF(COUNTIF(Flows!$M$2:$M$1500,$A8&amp;"|"&amp;AT$1&amp;"|Input"),IF(COUNTIF(Flows!$M$2:$M$1500,$A8&amp;"|"&amp;AT$1&amp;"|Output"),"I/O","IN"),IF(COUNTIF(Flows!$M$2:$M$1500,$A8&amp;"|"&amp;AT$1&amp;"|Output"),"OUT",""))</f>
        <v/>
      </c>
      <c r="AU8" s="33" t="str">
        <f aca="false">IF(COUNTIF(Flows!$M$2:$M$1500,$A8&amp;"|"&amp;AU$1&amp;"|Input"),IF(COUNTIF(Flows!$M$2:$M$1500,$A8&amp;"|"&amp;AU$1&amp;"|Output"),"I/O","IN"),IF(COUNTIF(Flows!$M$2:$M$1500,$A8&amp;"|"&amp;AU$1&amp;"|Output"),"OUT",""))</f>
        <v/>
      </c>
      <c r="AV8" s="33" t="str">
        <f aca="false">IF(COUNTIF(Flows!$M$2:$M$1500,$A8&amp;"|"&amp;AV$1&amp;"|Input"),IF(COUNTIF(Flows!$M$2:$M$1500,$A8&amp;"|"&amp;AV$1&amp;"|Output"),"I/O","IN"),IF(COUNTIF(Flows!$M$2:$M$1500,$A8&amp;"|"&amp;AV$1&amp;"|Output"),"OUT",""))</f>
        <v/>
      </c>
      <c r="AW8" s="33" t="str">
        <f aca="false">IF(COUNTIF(Flows!$M$2:$M$1500,$A8&amp;"|"&amp;AW$1&amp;"|Input"),IF(COUNTIF(Flows!$M$2:$M$1500,$A8&amp;"|"&amp;AW$1&amp;"|Output"),"I/O","IN"),IF(COUNTIF(Flows!$M$2:$M$1500,$A8&amp;"|"&amp;AW$1&amp;"|Output"),"OUT",""))</f>
        <v/>
      </c>
      <c r="AX8" s="33" t="str">
        <f aca="false">IF(COUNTIF(Flows!$M$2:$M$1500,$A8&amp;"|"&amp;AX$1&amp;"|Input"),IF(COUNTIF(Flows!$M$2:$M$1500,$A8&amp;"|"&amp;AX$1&amp;"|Output"),"I/O","IN"),IF(COUNTIF(Flows!$M$2:$M$1500,$A8&amp;"|"&amp;AX$1&amp;"|Output"),"OUT",""))</f>
        <v/>
      </c>
      <c r="AY8" s="33" t="str">
        <f aca="false">IF(COUNTIF(Flows!$M$2:$M$1500,$A8&amp;"|"&amp;AY$1&amp;"|Input"),IF(COUNTIF(Flows!$M$2:$M$1500,$A8&amp;"|"&amp;AY$1&amp;"|Output"),"I/O","IN"),IF(COUNTIF(Flows!$M$2:$M$1500,$A8&amp;"|"&amp;AY$1&amp;"|Output"),"OUT",""))</f>
        <v/>
      </c>
      <c r="AZ8" s="33" t="str">
        <f aca="false">IF(COUNTIF(Flows!$M$2:$M$1500,$A8&amp;"|"&amp;AZ$1&amp;"|Input"),IF(COUNTIF(Flows!$M$2:$M$1500,$A8&amp;"|"&amp;AZ$1&amp;"|Output"),"I/O","IN"),IF(COUNTIF(Flows!$M$2:$M$1500,$A8&amp;"|"&amp;AZ$1&amp;"|Output"),"OUT",""))</f>
        <v/>
      </c>
      <c r="BA8" s="33" t="str">
        <f aca="false">IF(COUNTIF(Flows!$M$2:$M$1500,$A8&amp;"|"&amp;BA$1&amp;"|Input"),IF(COUNTIF(Flows!$M$2:$M$1500,$A8&amp;"|"&amp;BA$1&amp;"|Output"),"I/O","IN"),IF(COUNTIF(Flows!$M$2:$M$1500,$A8&amp;"|"&amp;BA$1&amp;"|Output"),"OUT",""))</f>
        <v/>
      </c>
      <c r="BB8" s="33" t="str">
        <f aca="false">IF(COUNTIF(Flows!$M$2:$M$1500,$A8&amp;"|"&amp;BB$1&amp;"|Input"),IF(COUNTIF(Flows!$M$2:$M$1500,$A8&amp;"|"&amp;BB$1&amp;"|Output"),"I/O","IN"),IF(COUNTIF(Flows!$M$2:$M$1500,$A8&amp;"|"&amp;BB$1&amp;"|Output"),"OUT",""))</f>
        <v/>
      </c>
      <c r="BC8" s="33" t="str">
        <f aca="false">IF(COUNTIF(Flows!$M$2:$M$1500,$A8&amp;"|"&amp;BC$1&amp;"|Input"),IF(COUNTIF(Flows!$M$2:$M$1500,$A8&amp;"|"&amp;BC$1&amp;"|Output"),"I/O","IN"),IF(COUNTIF(Flows!$M$2:$M$1500,$A8&amp;"|"&amp;BC$1&amp;"|Output"),"OUT",""))</f>
        <v/>
      </c>
      <c r="BD8" s="33" t="str">
        <f aca="false">IF(COUNTIF(Flows!$M$2:$M$1500,$A8&amp;"|"&amp;BD$1&amp;"|Input"),IF(COUNTIF(Flows!$M$2:$M$1500,$A8&amp;"|"&amp;BD$1&amp;"|Output"),"I/O","IN"),IF(COUNTIF(Flows!$M$2:$M$1500,$A8&amp;"|"&amp;BD$1&amp;"|Output"),"OUT",""))</f>
        <v/>
      </c>
      <c r="BE8" s="33" t="str">
        <f aca="false">IF(COUNTIF(Flows!$M$2:$M$1500,$A8&amp;"|"&amp;BE$1&amp;"|Input"),IF(COUNTIF(Flows!$M$2:$M$1500,$A8&amp;"|"&amp;BE$1&amp;"|Output"),"I/O","IN"),IF(COUNTIF(Flows!$M$2:$M$1500,$A8&amp;"|"&amp;BE$1&amp;"|Output"),"OUT",""))</f>
        <v/>
      </c>
      <c r="BF8" s="33" t="str">
        <f aca="false">IF(COUNTIF(Flows!$M$2:$M$1500,$A8&amp;"|"&amp;BF$1&amp;"|Input"),IF(COUNTIF(Flows!$M$2:$M$1500,$A8&amp;"|"&amp;BF$1&amp;"|Output"),"I/O","IN"),IF(COUNTIF(Flows!$M$2:$M$1500,$A8&amp;"|"&amp;BF$1&amp;"|Output"),"OUT",""))</f>
        <v/>
      </c>
      <c r="BG8" s="33" t="str">
        <f aca="false">IF(COUNTIF(Flows!$M$2:$M$1500,$A8&amp;"|"&amp;BG$1&amp;"|Input"),IF(COUNTIF(Flows!$M$2:$M$1500,$A8&amp;"|"&amp;BG$1&amp;"|Output"),"I/O","IN"),IF(COUNTIF(Flows!$M$2:$M$1500,$A8&amp;"|"&amp;BG$1&amp;"|Output"),"OUT",""))</f>
        <v/>
      </c>
      <c r="BH8" s="33" t="str">
        <f aca="false">IF(COUNTIF(Flows!$M$2:$M$1500,$A8&amp;"|"&amp;BH$1&amp;"|Input"),IF(COUNTIF(Flows!$M$2:$M$1500,$A8&amp;"|"&amp;BH$1&amp;"|Output"),"I/O","IN"),IF(COUNTIF(Flows!$M$2:$M$1500,$A8&amp;"|"&amp;BH$1&amp;"|Output"),"OUT",""))</f>
        <v/>
      </c>
      <c r="BI8" s="33" t="str">
        <f aca="false">IF(COUNTIF(Flows!$M$2:$M$1500,$A8&amp;"|"&amp;BI$1&amp;"|Input"),IF(COUNTIF(Flows!$M$2:$M$1500,$A8&amp;"|"&amp;BI$1&amp;"|Output"),"I/O","IN"),IF(COUNTIF(Flows!$M$2:$M$1500,$A8&amp;"|"&amp;BI$1&amp;"|Output"),"OUT",""))</f>
        <v/>
      </c>
      <c r="BJ8" s="33" t="str">
        <f aca="false">IF(COUNTIF(Flows!$M$2:$M$1500,$A8&amp;"|"&amp;BJ$1&amp;"|Input"),IF(COUNTIF(Flows!$M$2:$M$1500,$A8&amp;"|"&amp;BJ$1&amp;"|Output"),"I/O","IN"),IF(COUNTIF(Flows!$M$2:$M$1500,$A8&amp;"|"&amp;BJ$1&amp;"|Output"),"OUT",""))</f>
        <v/>
      </c>
      <c r="BK8" s="33" t="str">
        <f aca="false">IF(COUNTIF(Flows!$M$2:$M$1500,$A8&amp;"|"&amp;BK$1&amp;"|Input"),IF(COUNTIF(Flows!$M$2:$M$1500,$A8&amp;"|"&amp;BK$1&amp;"|Output"),"I/O","IN"),IF(COUNTIF(Flows!$M$2:$M$1500,$A8&amp;"|"&amp;BK$1&amp;"|Output"),"OUT",""))</f>
        <v/>
      </c>
    </row>
    <row r="9" customFormat="false" ht="15" hidden="false" customHeight="true" outlineLevel="0" collapsed="false">
      <c r="A9" s="6" t="str">
        <f aca="false">Systems!B9</f>
        <v>Bell Tent</v>
      </c>
      <c r="B9" s="33" t="str">
        <f aca="false">IF(COUNTIF(Flows!$M$2:$M$1500,$A9&amp;"|"&amp;B$1&amp;"|Input"),IF(COUNTIF(Flows!$M$2:$M$1500,$A9&amp;"|"&amp;B$1&amp;"|Output"),"I/O","IN"),IF(COUNTIF(Flows!$M$2:$M$1500,$A9&amp;"|"&amp;B$1&amp;"|Output"),"OUT",""))</f>
        <v/>
      </c>
      <c r="C9" s="33" t="str">
        <f aca="false">IF(COUNTIF(Flows!$M$2:$M$1500,$A9&amp;"|"&amp;C$1&amp;"|Input"),IF(COUNTIF(Flows!$M$2:$M$1500,$A9&amp;"|"&amp;C$1&amp;"|Output"),"I/O","IN"),IF(COUNTIF(Flows!$M$2:$M$1500,$A9&amp;"|"&amp;C$1&amp;"|Output"),"OUT",""))</f>
        <v/>
      </c>
      <c r="D9" s="33" t="str">
        <f aca="false">IF(COUNTIF(Flows!$M$2:$M$1500,$A9&amp;"|"&amp;D$1&amp;"|Input"),IF(COUNTIF(Flows!$M$2:$M$1500,$A9&amp;"|"&amp;D$1&amp;"|Output"),"I/O","IN"),IF(COUNTIF(Flows!$M$2:$M$1500,$A9&amp;"|"&amp;D$1&amp;"|Output"),"OUT",""))</f>
        <v/>
      </c>
      <c r="E9" s="33" t="str">
        <f aca="false">IF(COUNTIF(Flows!$M$2:$M$1500,$A9&amp;"|"&amp;E$1&amp;"|Input"),IF(COUNTIF(Flows!$M$2:$M$1500,$A9&amp;"|"&amp;E$1&amp;"|Output"),"I/O","IN"),IF(COUNTIF(Flows!$M$2:$M$1500,$A9&amp;"|"&amp;E$1&amp;"|Output"),"OUT",""))</f>
        <v/>
      </c>
      <c r="F9" s="33" t="str">
        <f aca="false">IF(COUNTIF(Flows!$M$2:$M$1500,$A9&amp;"|"&amp;F$1&amp;"|Input"),IF(COUNTIF(Flows!$M$2:$M$1500,$A9&amp;"|"&amp;F$1&amp;"|Output"),"I/O","IN"),IF(COUNTIF(Flows!$M$2:$M$1500,$A9&amp;"|"&amp;F$1&amp;"|Output"),"OUT",""))</f>
        <v/>
      </c>
      <c r="G9" s="33" t="str">
        <f aca="false">IF(COUNTIF(Flows!$M$2:$M$1500,$A9&amp;"|"&amp;G$1&amp;"|Input"),IF(COUNTIF(Flows!$M$2:$M$1500,$A9&amp;"|"&amp;G$1&amp;"|Output"),"I/O","IN"),IF(COUNTIF(Flows!$M$2:$M$1500,$A9&amp;"|"&amp;G$1&amp;"|Output"),"OUT",""))</f>
        <v/>
      </c>
      <c r="H9" s="33" t="str">
        <f aca="false">IF(COUNTIF(Flows!$M$2:$M$1500,$A9&amp;"|"&amp;H$1&amp;"|Input"),IF(COUNTIF(Flows!$M$2:$M$1500,$A9&amp;"|"&amp;H$1&amp;"|Output"),"I/O","IN"),IF(COUNTIF(Flows!$M$2:$M$1500,$A9&amp;"|"&amp;H$1&amp;"|Output"),"OUT",""))</f>
        <v/>
      </c>
      <c r="I9" s="33" t="str">
        <f aca="false">IF(COUNTIF(Flows!$M$2:$M$1500,$A9&amp;"|"&amp;I$1&amp;"|Input"),IF(COUNTIF(Flows!$M$2:$M$1500,$A9&amp;"|"&amp;I$1&amp;"|Output"),"I/O","IN"),IF(COUNTIF(Flows!$M$2:$M$1500,$A9&amp;"|"&amp;I$1&amp;"|Output"),"OUT",""))</f>
        <v/>
      </c>
      <c r="J9" s="33" t="str">
        <f aca="false">IF(COUNTIF(Flows!$M$2:$M$1500,$A9&amp;"|"&amp;J$1&amp;"|Input"),IF(COUNTIF(Flows!$M$2:$M$1500,$A9&amp;"|"&amp;J$1&amp;"|Output"),"I/O","IN"),IF(COUNTIF(Flows!$M$2:$M$1500,$A9&amp;"|"&amp;J$1&amp;"|Output"),"OUT",""))</f>
        <v/>
      </c>
      <c r="K9" s="33" t="str">
        <f aca="false">IF(COUNTIF(Flows!$M$2:$M$1500,$A9&amp;"|"&amp;K$1&amp;"|Input"),IF(COUNTIF(Flows!$M$2:$M$1500,$A9&amp;"|"&amp;K$1&amp;"|Output"),"I/O","IN"),IF(COUNTIF(Flows!$M$2:$M$1500,$A9&amp;"|"&amp;K$1&amp;"|Output"),"OUT",""))</f>
        <v/>
      </c>
      <c r="L9" s="33" t="str">
        <f aca="false">IF(COUNTIF(Flows!$M$2:$M$1500,$A9&amp;"|"&amp;L$1&amp;"|Input"),IF(COUNTIF(Flows!$M$2:$M$1500,$A9&amp;"|"&amp;L$1&amp;"|Output"),"I/O","IN"),IF(COUNTIF(Flows!$M$2:$M$1500,$A9&amp;"|"&amp;L$1&amp;"|Output"),"OUT",""))</f>
        <v/>
      </c>
      <c r="M9" s="33" t="str">
        <f aca="false">IF(COUNTIF(Flows!$M$2:$M$1500,$A9&amp;"|"&amp;M$1&amp;"|Input"),IF(COUNTIF(Flows!$M$2:$M$1500,$A9&amp;"|"&amp;M$1&amp;"|Output"),"I/O","IN"),IF(COUNTIF(Flows!$M$2:$M$1500,$A9&amp;"|"&amp;M$1&amp;"|Output"),"OUT",""))</f>
        <v/>
      </c>
      <c r="N9" s="33" t="str">
        <f aca="false">IF(COUNTIF(Flows!$M$2:$M$1500,$A9&amp;"|"&amp;N$1&amp;"|Input"),IF(COUNTIF(Flows!$M$2:$M$1500,$A9&amp;"|"&amp;N$1&amp;"|Output"),"I/O","IN"),IF(COUNTIF(Flows!$M$2:$M$1500,$A9&amp;"|"&amp;N$1&amp;"|Output"),"OUT",""))</f>
        <v/>
      </c>
      <c r="O9" s="33" t="str">
        <f aca="false">IF(COUNTIF(Flows!$M$2:$M$1500,$A9&amp;"|"&amp;O$1&amp;"|Input"),IF(COUNTIF(Flows!$M$2:$M$1500,$A9&amp;"|"&amp;O$1&amp;"|Output"),"I/O","IN"),IF(COUNTIF(Flows!$M$2:$M$1500,$A9&amp;"|"&amp;O$1&amp;"|Output"),"OUT",""))</f>
        <v/>
      </c>
      <c r="P9" s="33" t="str">
        <f aca="false">IF(COUNTIF(Flows!$M$2:$M$1500,$A9&amp;"|"&amp;P$1&amp;"|Input"),IF(COUNTIF(Flows!$M$2:$M$1500,$A9&amp;"|"&amp;P$1&amp;"|Output"),"I/O","IN"),IF(COUNTIF(Flows!$M$2:$M$1500,$A9&amp;"|"&amp;P$1&amp;"|Output"),"OUT",""))</f>
        <v/>
      </c>
      <c r="Q9" s="33" t="str">
        <f aca="false">IF(COUNTIF(Flows!$M$2:$M$1500,$A9&amp;"|"&amp;Q$1&amp;"|Input"),IF(COUNTIF(Flows!$M$2:$M$1500,$A9&amp;"|"&amp;Q$1&amp;"|Output"),"I/O","IN"),IF(COUNTIF(Flows!$M$2:$M$1500,$A9&amp;"|"&amp;Q$1&amp;"|Output"),"OUT",""))</f>
        <v>OUT</v>
      </c>
      <c r="R9" s="33" t="str">
        <f aca="false">IF(COUNTIF(Flows!$M$2:$M$1500,$A9&amp;"|"&amp;R$1&amp;"|Input"),IF(COUNTIF(Flows!$M$2:$M$1500,$A9&amp;"|"&amp;R$1&amp;"|Output"),"I/O","IN"),IF(COUNTIF(Flows!$M$2:$M$1500,$A9&amp;"|"&amp;R$1&amp;"|Output"),"OUT",""))</f>
        <v/>
      </c>
      <c r="S9" s="33" t="str">
        <f aca="false">IF(COUNTIF(Flows!$M$2:$M$1500,$A9&amp;"|"&amp;S$1&amp;"|Input"),IF(COUNTIF(Flows!$M$2:$M$1500,$A9&amp;"|"&amp;S$1&amp;"|Output"),"I/O","IN"),IF(COUNTIF(Flows!$M$2:$M$1500,$A9&amp;"|"&amp;S$1&amp;"|Output"),"OUT",""))</f>
        <v/>
      </c>
      <c r="T9" s="33" t="str">
        <f aca="false">IF(COUNTIF(Flows!$M$2:$M$1500,$A9&amp;"|"&amp;T$1&amp;"|Input"),IF(COUNTIF(Flows!$M$2:$M$1500,$A9&amp;"|"&amp;T$1&amp;"|Output"),"I/O","IN"),IF(COUNTIF(Flows!$M$2:$M$1500,$A9&amp;"|"&amp;T$1&amp;"|Output"),"OUT",""))</f>
        <v/>
      </c>
      <c r="U9" s="33" t="str">
        <f aca="false">IF(COUNTIF(Flows!$M$2:$M$1500,$A9&amp;"|"&amp;U$1&amp;"|Input"),IF(COUNTIF(Flows!$M$2:$M$1500,$A9&amp;"|"&amp;U$1&amp;"|Output"),"I/O","IN"),IF(COUNTIF(Flows!$M$2:$M$1500,$A9&amp;"|"&amp;U$1&amp;"|Output"),"OUT",""))</f>
        <v/>
      </c>
      <c r="V9" s="33" t="str">
        <f aca="false">IF(COUNTIF(Flows!$M$2:$M$1500,$A9&amp;"|"&amp;V$1&amp;"|Input"),IF(COUNTIF(Flows!$M$2:$M$1500,$A9&amp;"|"&amp;V$1&amp;"|Output"),"I/O","IN"),IF(COUNTIF(Flows!$M$2:$M$1500,$A9&amp;"|"&amp;V$1&amp;"|Output"),"OUT",""))</f>
        <v>IN</v>
      </c>
      <c r="W9" s="33" t="str">
        <f aca="false">IF(COUNTIF(Flows!$M$2:$M$1500,$A9&amp;"|"&amp;W$1&amp;"|Input"),IF(COUNTIF(Flows!$M$2:$M$1500,$A9&amp;"|"&amp;W$1&amp;"|Output"),"I/O","IN"),IF(COUNTIF(Flows!$M$2:$M$1500,$A9&amp;"|"&amp;W$1&amp;"|Output"),"OUT",""))</f>
        <v>IN</v>
      </c>
      <c r="X9" s="33" t="str">
        <f aca="false">IF(COUNTIF(Flows!$M$2:$M$1500,$A9&amp;"|"&amp;X$1&amp;"|Input"),IF(COUNTIF(Flows!$M$2:$M$1500,$A9&amp;"|"&amp;X$1&amp;"|Output"),"I/O","IN"),IF(COUNTIF(Flows!$M$2:$M$1500,$A9&amp;"|"&amp;X$1&amp;"|Output"),"OUT",""))</f>
        <v>IN</v>
      </c>
      <c r="Y9" s="33" t="str">
        <f aca="false">IF(COUNTIF(Flows!$M$2:$M$1500,$A9&amp;"|"&amp;Y$1&amp;"|Input"),IF(COUNTIF(Flows!$M$2:$M$1500,$A9&amp;"|"&amp;Y$1&amp;"|Output"),"I/O","IN"),IF(COUNTIF(Flows!$M$2:$M$1500,$A9&amp;"|"&amp;Y$1&amp;"|Output"),"OUT",""))</f>
        <v/>
      </c>
      <c r="Z9" s="33" t="str">
        <f aca="false">IF(COUNTIF(Flows!$M$2:$M$1500,$A9&amp;"|"&amp;Z$1&amp;"|Input"),IF(COUNTIF(Flows!$M$2:$M$1500,$A9&amp;"|"&amp;Z$1&amp;"|Output"),"I/O","IN"),IF(COUNTIF(Flows!$M$2:$M$1500,$A9&amp;"|"&amp;Z$1&amp;"|Output"),"OUT",""))</f>
        <v/>
      </c>
      <c r="AA9" s="33" t="str">
        <f aca="false">IF(COUNTIF(Flows!$M$2:$M$1500,$A9&amp;"|"&amp;AA$1&amp;"|Input"),IF(COUNTIF(Flows!$M$2:$M$1500,$A9&amp;"|"&amp;AA$1&amp;"|Output"),"I/O","IN"),IF(COUNTIF(Flows!$M$2:$M$1500,$A9&amp;"|"&amp;AA$1&amp;"|Output"),"OUT",""))</f>
        <v/>
      </c>
      <c r="AB9" s="33" t="str">
        <f aca="false">IF(COUNTIF(Flows!$M$2:$M$1500,$A9&amp;"|"&amp;AB$1&amp;"|Input"),IF(COUNTIF(Flows!$M$2:$M$1500,$A9&amp;"|"&amp;AB$1&amp;"|Output"),"I/O","IN"),IF(COUNTIF(Flows!$M$2:$M$1500,$A9&amp;"|"&amp;AB$1&amp;"|Output"),"OUT",""))</f>
        <v/>
      </c>
      <c r="AC9" s="33" t="str">
        <f aca="false">IF(COUNTIF(Flows!$M$2:$M$1500,$A9&amp;"|"&amp;AC$1&amp;"|Input"),IF(COUNTIF(Flows!$M$2:$M$1500,$A9&amp;"|"&amp;AC$1&amp;"|Output"),"I/O","IN"),IF(COUNTIF(Flows!$M$2:$M$1500,$A9&amp;"|"&amp;AC$1&amp;"|Output"),"OUT",""))</f>
        <v/>
      </c>
      <c r="AD9" s="33" t="str">
        <f aca="false">IF(COUNTIF(Flows!$M$2:$M$1500,$A9&amp;"|"&amp;AD$1&amp;"|Input"),IF(COUNTIF(Flows!$M$2:$M$1500,$A9&amp;"|"&amp;AD$1&amp;"|Output"),"I/O","IN"),IF(COUNTIF(Flows!$M$2:$M$1500,$A9&amp;"|"&amp;AD$1&amp;"|Output"),"OUT",""))</f>
        <v/>
      </c>
      <c r="AE9" s="33" t="str">
        <f aca="false">IF(COUNTIF(Flows!$M$2:$M$1500,$A9&amp;"|"&amp;AE$1&amp;"|Input"),IF(COUNTIF(Flows!$M$2:$M$1500,$A9&amp;"|"&amp;AE$1&amp;"|Output"),"I/O","IN"),IF(COUNTIF(Flows!$M$2:$M$1500,$A9&amp;"|"&amp;AE$1&amp;"|Output"),"OUT",""))</f>
        <v/>
      </c>
      <c r="AF9" s="33" t="str">
        <f aca="false">IF(COUNTIF(Flows!$M$2:$M$1500,$A9&amp;"|"&amp;AF$1&amp;"|Input"),IF(COUNTIF(Flows!$M$2:$M$1500,$A9&amp;"|"&amp;AF$1&amp;"|Output"),"I/O","IN"),IF(COUNTIF(Flows!$M$2:$M$1500,$A9&amp;"|"&amp;AF$1&amp;"|Output"),"OUT",""))</f>
        <v/>
      </c>
      <c r="AG9" s="33" t="str">
        <f aca="false">IF(COUNTIF(Flows!$M$2:$M$1500,$A9&amp;"|"&amp;AG$1&amp;"|Input"),IF(COUNTIF(Flows!$M$2:$M$1500,$A9&amp;"|"&amp;AG$1&amp;"|Output"),"I/O","IN"),IF(COUNTIF(Flows!$M$2:$M$1500,$A9&amp;"|"&amp;AG$1&amp;"|Output"),"OUT",""))</f>
        <v/>
      </c>
      <c r="AH9" s="33" t="str">
        <f aca="false">IF(COUNTIF(Flows!$M$2:$M$1500,$A9&amp;"|"&amp;AH$1&amp;"|Input"),IF(COUNTIF(Flows!$M$2:$M$1500,$A9&amp;"|"&amp;AH$1&amp;"|Output"),"I/O","IN"),IF(COUNTIF(Flows!$M$2:$M$1500,$A9&amp;"|"&amp;AH$1&amp;"|Output"),"OUT",""))</f>
        <v/>
      </c>
      <c r="AI9" s="33" t="str">
        <f aca="false">IF(COUNTIF(Flows!$M$2:$M$1500,$A9&amp;"|"&amp;AI$1&amp;"|Input"),IF(COUNTIF(Flows!$M$2:$M$1500,$A9&amp;"|"&amp;AI$1&amp;"|Output"),"I/O","IN"),IF(COUNTIF(Flows!$M$2:$M$1500,$A9&amp;"|"&amp;AI$1&amp;"|Output"),"OUT",""))</f>
        <v/>
      </c>
      <c r="AJ9" s="33" t="str">
        <f aca="false">IF(COUNTIF(Flows!$M$2:$M$1500,$A9&amp;"|"&amp;AJ$1&amp;"|Input"),IF(COUNTIF(Flows!$M$2:$M$1500,$A9&amp;"|"&amp;AJ$1&amp;"|Output"),"I/O","IN"),IF(COUNTIF(Flows!$M$2:$M$1500,$A9&amp;"|"&amp;AJ$1&amp;"|Output"),"OUT",""))</f>
        <v/>
      </c>
      <c r="AK9" s="33" t="str">
        <f aca="false">IF(COUNTIF(Flows!$M$2:$M$1500,$A9&amp;"|"&amp;AK$1&amp;"|Input"),IF(COUNTIF(Flows!$M$2:$M$1500,$A9&amp;"|"&amp;AK$1&amp;"|Output"),"I/O","IN"),IF(COUNTIF(Flows!$M$2:$M$1500,$A9&amp;"|"&amp;AK$1&amp;"|Output"),"OUT",""))</f>
        <v/>
      </c>
      <c r="AL9" s="33" t="str">
        <f aca="false">IF(COUNTIF(Flows!$M$2:$M$1500,$A9&amp;"|"&amp;AL$1&amp;"|Input"),IF(COUNTIF(Flows!$M$2:$M$1500,$A9&amp;"|"&amp;AL$1&amp;"|Output"),"I/O","IN"),IF(COUNTIF(Flows!$M$2:$M$1500,$A9&amp;"|"&amp;AL$1&amp;"|Output"),"OUT",""))</f>
        <v/>
      </c>
      <c r="AM9" s="33" t="str">
        <f aca="false">IF(COUNTIF(Flows!$M$2:$M$1500,$A9&amp;"|"&amp;AM$1&amp;"|Input"),IF(COUNTIF(Flows!$M$2:$M$1500,$A9&amp;"|"&amp;AM$1&amp;"|Output"),"I/O","IN"),IF(COUNTIF(Flows!$M$2:$M$1500,$A9&amp;"|"&amp;AM$1&amp;"|Output"),"OUT",""))</f>
        <v/>
      </c>
      <c r="AN9" s="33" t="str">
        <f aca="false">IF(COUNTIF(Flows!$M$2:$M$1500,$A9&amp;"|"&amp;AN$1&amp;"|Input"),IF(COUNTIF(Flows!$M$2:$M$1500,$A9&amp;"|"&amp;AN$1&amp;"|Output"),"I/O","IN"),IF(COUNTIF(Flows!$M$2:$M$1500,$A9&amp;"|"&amp;AN$1&amp;"|Output"),"OUT",""))</f>
        <v/>
      </c>
      <c r="AO9" s="33" t="str">
        <f aca="false">IF(COUNTIF(Flows!$M$2:$M$1500,$A9&amp;"|"&amp;AO$1&amp;"|Input"),IF(COUNTIF(Flows!$M$2:$M$1500,$A9&amp;"|"&amp;AO$1&amp;"|Output"),"I/O","IN"),IF(COUNTIF(Flows!$M$2:$M$1500,$A9&amp;"|"&amp;AO$1&amp;"|Output"),"OUT",""))</f>
        <v/>
      </c>
      <c r="AP9" s="33" t="str">
        <f aca="false">IF(COUNTIF(Flows!$M$2:$M$1500,$A9&amp;"|"&amp;AP$1&amp;"|Input"),IF(COUNTIF(Flows!$M$2:$M$1500,$A9&amp;"|"&amp;AP$1&amp;"|Output"),"I/O","IN"),IF(COUNTIF(Flows!$M$2:$M$1500,$A9&amp;"|"&amp;AP$1&amp;"|Output"),"OUT",""))</f>
        <v/>
      </c>
      <c r="AQ9" s="33" t="str">
        <f aca="false">IF(COUNTIF(Flows!$M$2:$M$1500,$A9&amp;"|"&amp;AQ$1&amp;"|Input"),IF(COUNTIF(Flows!$M$2:$M$1500,$A9&amp;"|"&amp;AQ$1&amp;"|Output"),"I/O","IN"),IF(COUNTIF(Flows!$M$2:$M$1500,$A9&amp;"|"&amp;AQ$1&amp;"|Output"),"OUT",""))</f>
        <v/>
      </c>
      <c r="AR9" s="33" t="str">
        <f aca="false">IF(COUNTIF(Flows!$M$2:$M$1500,$A9&amp;"|"&amp;AR$1&amp;"|Input"),IF(COUNTIF(Flows!$M$2:$M$1500,$A9&amp;"|"&amp;AR$1&amp;"|Output"),"I/O","IN"),IF(COUNTIF(Flows!$M$2:$M$1500,$A9&amp;"|"&amp;AR$1&amp;"|Output"),"OUT",""))</f>
        <v/>
      </c>
      <c r="AS9" s="33" t="str">
        <f aca="false">IF(COUNTIF(Flows!$M$2:$M$1500,$A9&amp;"|"&amp;AS$1&amp;"|Input"),IF(COUNTIF(Flows!$M$2:$M$1500,$A9&amp;"|"&amp;AS$1&amp;"|Output"),"I/O","IN"),IF(COUNTIF(Flows!$M$2:$M$1500,$A9&amp;"|"&amp;AS$1&amp;"|Output"),"OUT",""))</f>
        <v/>
      </c>
      <c r="AT9" s="33" t="str">
        <f aca="false">IF(COUNTIF(Flows!$M$2:$M$1500,$A9&amp;"|"&amp;AT$1&amp;"|Input"),IF(COUNTIF(Flows!$M$2:$M$1500,$A9&amp;"|"&amp;AT$1&amp;"|Output"),"I/O","IN"),IF(COUNTIF(Flows!$M$2:$M$1500,$A9&amp;"|"&amp;AT$1&amp;"|Output"),"OUT",""))</f>
        <v/>
      </c>
      <c r="AU9" s="33" t="str">
        <f aca="false">IF(COUNTIF(Flows!$M$2:$M$1500,$A9&amp;"|"&amp;AU$1&amp;"|Input"),IF(COUNTIF(Flows!$M$2:$M$1500,$A9&amp;"|"&amp;AU$1&amp;"|Output"),"I/O","IN"),IF(COUNTIF(Flows!$M$2:$M$1500,$A9&amp;"|"&amp;AU$1&amp;"|Output"),"OUT",""))</f>
        <v/>
      </c>
      <c r="AV9" s="33" t="str">
        <f aca="false">IF(COUNTIF(Flows!$M$2:$M$1500,$A9&amp;"|"&amp;AV$1&amp;"|Input"),IF(COUNTIF(Flows!$M$2:$M$1500,$A9&amp;"|"&amp;AV$1&amp;"|Output"),"I/O","IN"),IF(COUNTIF(Flows!$M$2:$M$1500,$A9&amp;"|"&amp;AV$1&amp;"|Output"),"OUT",""))</f>
        <v/>
      </c>
      <c r="AW9" s="33" t="str">
        <f aca="false">IF(COUNTIF(Flows!$M$2:$M$1500,$A9&amp;"|"&amp;AW$1&amp;"|Input"),IF(COUNTIF(Flows!$M$2:$M$1500,$A9&amp;"|"&amp;AW$1&amp;"|Output"),"I/O","IN"),IF(COUNTIF(Flows!$M$2:$M$1500,$A9&amp;"|"&amp;AW$1&amp;"|Output"),"OUT",""))</f>
        <v/>
      </c>
      <c r="AX9" s="33" t="str">
        <f aca="false">IF(COUNTIF(Flows!$M$2:$M$1500,$A9&amp;"|"&amp;AX$1&amp;"|Input"),IF(COUNTIF(Flows!$M$2:$M$1500,$A9&amp;"|"&amp;AX$1&amp;"|Output"),"I/O","IN"),IF(COUNTIF(Flows!$M$2:$M$1500,$A9&amp;"|"&amp;AX$1&amp;"|Output"),"OUT",""))</f>
        <v/>
      </c>
      <c r="AY9" s="33" t="str">
        <f aca="false">IF(COUNTIF(Flows!$M$2:$M$1500,$A9&amp;"|"&amp;AY$1&amp;"|Input"),IF(COUNTIF(Flows!$M$2:$M$1500,$A9&amp;"|"&amp;AY$1&amp;"|Output"),"I/O","IN"),IF(COUNTIF(Flows!$M$2:$M$1500,$A9&amp;"|"&amp;AY$1&amp;"|Output"),"OUT",""))</f>
        <v/>
      </c>
      <c r="AZ9" s="33" t="str">
        <f aca="false">IF(COUNTIF(Flows!$M$2:$M$1500,$A9&amp;"|"&amp;AZ$1&amp;"|Input"),IF(COUNTIF(Flows!$M$2:$M$1500,$A9&amp;"|"&amp;AZ$1&amp;"|Output"),"I/O","IN"),IF(COUNTIF(Flows!$M$2:$M$1500,$A9&amp;"|"&amp;AZ$1&amp;"|Output"),"OUT",""))</f>
        <v/>
      </c>
      <c r="BA9" s="33" t="str">
        <f aca="false">IF(COUNTIF(Flows!$M$2:$M$1500,$A9&amp;"|"&amp;BA$1&amp;"|Input"),IF(COUNTIF(Flows!$M$2:$M$1500,$A9&amp;"|"&amp;BA$1&amp;"|Output"),"I/O","IN"),IF(COUNTIF(Flows!$M$2:$M$1500,$A9&amp;"|"&amp;BA$1&amp;"|Output"),"OUT",""))</f>
        <v/>
      </c>
      <c r="BB9" s="33" t="str">
        <f aca="false">IF(COUNTIF(Flows!$M$2:$M$1500,$A9&amp;"|"&amp;BB$1&amp;"|Input"),IF(COUNTIF(Flows!$M$2:$M$1500,$A9&amp;"|"&amp;BB$1&amp;"|Output"),"I/O","IN"),IF(COUNTIF(Flows!$M$2:$M$1500,$A9&amp;"|"&amp;BB$1&amp;"|Output"),"OUT",""))</f>
        <v/>
      </c>
      <c r="BC9" s="33" t="str">
        <f aca="false">IF(COUNTIF(Flows!$M$2:$M$1500,$A9&amp;"|"&amp;BC$1&amp;"|Input"),IF(COUNTIF(Flows!$M$2:$M$1500,$A9&amp;"|"&amp;BC$1&amp;"|Output"),"I/O","IN"),IF(COUNTIF(Flows!$M$2:$M$1500,$A9&amp;"|"&amp;BC$1&amp;"|Output"),"OUT",""))</f>
        <v/>
      </c>
      <c r="BD9" s="33" t="str">
        <f aca="false">IF(COUNTIF(Flows!$M$2:$M$1500,$A9&amp;"|"&amp;BD$1&amp;"|Input"),IF(COUNTIF(Flows!$M$2:$M$1500,$A9&amp;"|"&amp;BD$1&amp;"|Output"),"I/O","IN"),IF(COUNTIF(Flows!$M$2:$M$1500,$A9&amp;"|"&amp;BD$1&amp;"|Output"),"OUT",""))</f>
        <v/>
      </c>
      <c r="BE9" s="33" t="str">
        <f aca="false">IF(COUNTIF(Flows!$M$2:$M$1500,$A9&amp;"|"&amp;BE$1&amp;"|Input"),IF(COUNTIF(Flows!$M$2:$M$1500,$A9&amp;"|"&amp;BE$1&amp;"|Output"),"I/O","IN"),IF(COUNTIF(Flows!$M$2:$M$1500,$A9&amp;"|"&amp;BE$1&amp;"|Output"),"OUT",""))</f>
        <v/>
      </c>
      <c r="BF9" s="33" t="str">
        <f aca="false">IF(COUNTIF(Flows!$M$2:$M$1500,$A9&amp;"|"&amp;BF$1&amp;"|Input"),IF(COUNTIF(Flows!$M$2:$M$1500,$A9&amp;"|"&amp;BF$1&amp;"|Output"),"I/O","IN"),IF(COUNTIF(Flows!$M$2:$M$1500,$A9&amp;"|"&amp;BF$1&amp;"|Output"),"OUT",""))</f>
        <v/>
      </c>
      <c r="BG9" s="33" t="str">
        <f aca="false">IF(COUNTIF(Flows!$M$2:$M$1500,$A9&amp;"|"&amp;BG$1&amp;"|Input"),IF(COUNTIF(Flows!$M$2:$M$1500,$A9&amp;"|"&amp;BG$1&amp;"|Output"),"I/O","IN"),IF(COUNTIF(Flows!$M$2:$M$1500,$A9&amp;"|"&amp;BG$1&amp;"|Output"),"OUT",""))</f>
        <v/>
      </c>
      <c r="BH9" s="33" t="str">
        <f aca="false">IF(COUNTIF(Flows!$M$2:$M$1500,$A9&amp;"|"&amp;BH$1&amp;"|Input"),IF(COUNTIF(Flows!$M$2:$M$1500,$A9&amp;"|"&amp;BH$1&amp;"|Output"),"I/O","IN"),IF(COUNTIF(Flows!$M$2:$M$1500,$A9&amp;"|"&amp;BH$1&amp;"|Output"),"OUT",""))</f>
        <v/>
      </c>
      <c r="BI9" s="33" t="str">
        <f aca="false">IF(COUNTIF(Flows!$M$2:$M$1500,$A9&amp;"|"&amp;BI$1&amp;"|Input"),IF(COUNTIF(Flows!$M$2:$M$1500,$A9&amp;"|"&amp;BI$1&amp;"|Output"),"I/O","IN"),IF(COUNTIF(Flows!$M$2:$M$1500,$A9&amp;"|"&amp;BI$1&amp;"|Output"),"OUT",""))</f>
        <v/>
      </c>
      <c r="BJ9" s="33" t="str">
        <f aca="false">IF(COUNTIF(Flows!$M$2:$M$1500,$A9&amp;"|"&amp;BJ$1&amp;"|Input"),IF(COUNTIF(Flows!$M$2:$M$1500,$A9&amp;"|"&amp;BJ$1&amp;"|Output"),"I/O","IN"),IF(COUNTIF(Flows!$M$2:$M$1500,$A9&amp;"|"&amp;BJ$1&amp;"|Output"),"OUT",""))</f>
        <v/>
      </c>
      <c r="BK9" s="33" t="str">
        <f aca="false">IF(COUNTIF(Flows!$M$2:$M$1500,$A9&amp;"|"&amp;BK$1&amp;"|Input"),IF(COUNTIF(Flows!$M$2:$M$1500,$A9&amp;"|"&amp;BK$1&amp;"|Output"),"I/O","IN"),IF(COUNTIF(Flows!$M$2:$M$1500,$A9&amp;"|"&amp;BK$1&amp;"|Output"),"OUT",""))</f>
        <v/>
      </c>
    </row>
    <row r="10" customFormat="false" ht="15" hidden="false" customHeight="true" outlineLevel="0" collapsed="false">
      <c r="A10" s="6" t="str">
        <f aca="false">Systems!B10</f>
        <v>Camp 365 Off-Grid Camper</v>
      </c>
      <c r="B10" s="33" t="str">
        <f aca="false">IF(COUNTIF(Flows!$M$2:$M$1500,$A10&amp;"|"&amp;B$1&amp;"|Input"),IF(COUNTIF(Flows!$M$2:$M$1500,$A10&amp;"|"&amp;B$1&amp;"|Output"),"I/O","IN"),IF(COUNTIF(Flows!$M$2:$M$1500,$A10&amp;"|"&amp;B$1&amp;"|Output"),"OUT",""))</f>
        <v/>
      </c>
      <c r="C10" s="33" t="str">
        <f aca="false">IF(COUNTIF(Flows!$M$2:$M$1500,$A10&amp;"|"&amp;C$1&amp;"|Input"),IF(COUNTIF(Flows!$M$2:$M$1500,$A10&amp;"|"&amp;C$1&amp;"|Output"),"I/O","IN"),IF(COUNTIF(Flows!$M$2:$M$1500,$A10&amp;"|"&amp;C$1&amp;"|Output"),"OUT",""))</f>
        <v/>
      </c>
      <c r="D10" s="33" t="str">
        <f aca="false">IF(COUNTIF(Flows!$M$2:$M$1500,$A10&amp;"|"&amp;D$1&amp;"|Input"),IF(COUNTIF(Flows!$M$2:$M$1500,$A10&amp;"|"&amp;D$1&amp;"|Output"),"I/O","IN"),IF(COUNTIF(Flows!$M$2:$M$1500,$A10&amp;"|"&amp;D$1&amp;"|Output"),"OUT",""))</f>
        <v/>
      </c>
      <c r="E10" s="33" t="str">
        <f aca="false">IF(COUNTIF(Flows!$M$2:$M$1500,$A10&amp;"|"&amp;E$1&amp;"|Input"),IF(COUNTIF(Flows!$M$2:$M$1500,$A10&amp;"|"&amp;E$1&amp;"|Output"),"I/O","IN"),IF(COUNTIF(Flows!$M$2:$M$1500,$A10&amp;"|"&amp;E$1&amp;"|Output"),"OUT",""))</f>
        <v/>
      </c>
      <c r="F10" s="33" t="str">
        <f aca="false">IF(COUNTIF(Flows!$M$2:$M$1500,$A10&amp;"|"&amp;F$1&amp;"|Input"),IF(COUNTIF(Flows!$M$2:$M$1500,$A10&amp;"|"&amp;F$1&amp;"|Output"),"I/O","IN"),IF(COUNTIF(Flows!$M$2:$M$1500,$A10&amp;"|"&amp;F$1&amp;"|Output"),"OUT",""))</f>
        <v/>
      </c>
      <c r="G10" s="33" t="str">
        <f aca="false">IF(COUNTIF(Flows!$M$2:$M$1500,$A10&amp;"|"&amp;G$1&amp;"|Input"),IF(COUNTIF(Flows!$M$2:$M$1500,$A10&amp;"|"&amp;G$1&amp;"|Output"),"I/O","IN"),IF(COUNTIF(Flows!$M$2:$M$1500,$A10&amp;"|"&amp;G$1&amp;"|Output"),"OUT",""))</f>
        <v/>
      </c>
      <c r="H10" s="33" t="str">
        <f aca="false">IF(COUNTIF(Flows!$M$2:$M$1500,$A10&amp;"|"&amp;H$1&amp;"|Input"),IF(COUNTIF(Flows!$M$2:$M$1500,$A10&amp;"|"&amp;H$1&amp;"|Output"),"I/O","IN"),IF(COUNTIF(Flows!$M$2:$M$1500,$A10&amp;"|"&amp;H$1&amp;"|Output"),"OUT",""))</f>
        <v/>
      </c>
      <c r="I10" s="33" t="str">
        <f aca="false">IF(COUNTIF(Flows!$M$2:$M$1500,$A10&amp;"|"&amp;I$1&amp;"|Input"),IF(COUNTIF(Flows!$M$2:$M$1500,$A10&amp;"|"&amp;I$1&amp;"|Output"),"I/O","IN"),IF(COUNTIF(Flows!$M$2:$M$1500,$A10&amp;"|"&amp;I$1&amp;"|Output"),"OUT",""))</f>
        <v/>
      </c>
      <c r="J10" s="33" t="str">
        <f aca="false">IF(COUNTIF(Flows!$M$2:$M$1500,$A10&amp;"|"&amp;J$1&amp;"|Input"),IF(COUNTIF(Flows!$M$2:$M$1500,$A10&amp;"|"&amp;J$1&amp;"|Output"),"I/O","IN"),IF(COUNTIF(Flows!$M$2:$M$1500,$A10&amp;"|"&amp;J$1&amp;"|Output"),"OUT",""))</f>
        <v/>
      </c>
      <c r="K10" s="33" t="str">
        <f aca="false">IF(COUNTIF(Flows!$M$2:$M$1500,$A10&amp;"|"&amp;K$1&amp;"|Input"),IF(COUNTIF(Flows!$M$2:$M$1500,$A10&amp;"|"&amp;K$1&amp;"|Output"),"I/O","IN"),IF(COUNTIF(Flows!$M$2:$M$1500,$A10&amp;"|"&amp;K$1&amp;"|Output"),"OUT",""))</f>
        <v/>
      </c>
      <c r="L10" s="33" t="str">
        <f aca="false">IF(COUNTIF(Flows!$M$2:$M$1500,$A10&amp;"|"&amp;L$1&amp;"|Input"),IF(COUNTIF(Flows!$M$2:$M$1500,$A10&amp;"|"&amp;L$1&amp;"|Output"),"I/O","IN"),IF(COUNTIF(Flows!$M$2:$M$1500,$A10&amp;"|"&amp;L$1&amp;"|Output"),"OUT",""))</f>
        <v/>
      </c>
      <c r="M10" s="33" t="str">
        <f aca="false">IF(COUNTIF(Flows!$M$2:$M$1500,$A10&amp;"|"&amp;M$1&amp;"|Input"),IF(COUNTIF(Flows!$M$2:$M$1500,$A10&amp;"|"&amp;M$1&amp;"|Output"),"I/O","IN"),IF(COUNTIF(Flows!$M$2:$M$1500,$A10&amp;"|"&amp;M$1&amp;"|Output"),"OUT",""))</f>
        <v/>
      </c>
      <c r="N10" s="33" t="str">
        <f aca="false">IF(COUNTIF(Flows!$M$2:$M$1500,$A10&amp;"|"&amp;N$1&amp;"|Input"),IF(COUNTIF(Flows!$M$2:$M$1500,$A10&amp;"|"&amp;N$1&amp;"|Output"),"I/O","IN"),IF(COUNTIF(Flows!$M$2:$M$1500,$A10&amp;"|"&amp;N$1&amp;"|Output"),"OUT",""))</f>
        <v/>
      </c>
      <c r="O10" s="33" t="str">
        <f aca="false">IF(COUNTIF(Flows!$M$2:$M$1500,$A10&amp;"|"&amp;O$1&amp;"|Input"),IF(COUNTIF(Flows!$M$2:$M$1500,$A10&amp;"|"&amp;O$1&amp;"|Output"),"I/O","IN"),IF(COUNTIF(Flows!$M$2:$M$1500,$A10&amp;"|"&amp;O$1&amp;"|Output"),"OUT",""))</f>
        <v/>
      </c>
      <c r="P10" s="33" t="str">
        <f aca="false">IF(COUNTIF(Flows!$M$2:$M$1500,$A10&amp;"|"&amp;P$1&amp;"|Input"),IF(COUNTIF(Flows!$M$2:$M$1500,$A10&amp;"|"&amp;P$1&amp;"|Output"),"I/O","IN"),IF(COUNTIF(Flows!$M$2:$M$1500,$A10&amp;"|"&amp;P$1&amp;"|Output"),"OUT",""))</f>
        <v/>
      </c>
      <c r="Q10" s="33" t="str">
        <f aca="false">IF(COUNTIF(Flows!$M$2:$M$1500,$A10&amp;"|"&amp;Q$1&amp;"|Input"),IF(COUNTIF(Flows!$M$2:$M$1500,$A10&amp;"|"&amp;Q$1&amp;"|Output"),"I/O","IN"),IF(COUNTIF(Flows!$M$2:$M$1500,$A10&amp;"|"&amp;Q$1&amp;"|Output"),"OUT",""))</f>
        <v>OUT</v>
      </c>
      <c r="R10" s="33" t="str">
        <f aca="false">IF(COUNTIF(Flows!$M$2:$M$1500,$A10&amp;"|"&amp;R$1&amp;"|Input"),IF(COUNTIF(Flows!$M$2:$M$1500,$A10&amp;"|"&amp;R$1&amp;"|Output"),"I/O","IN"),IF(COUNTIF(Flows!$M$2:$M$1500,$A10&amp;"|"&amp;R$1&amp;"|Output"),"OUT",""))</f>
        <v/>
      </c>
      <c r="S10" s="33" t="str">
        <f aca="false">IF(COUNTIF(Flows!$M$2:$M$1500,$A10&amp;"|"&amp;S$1&amp;"|Input"),IF(COUNTIF(Flows!$M$2:$M$1500,$A10&amp;"|"&amp;S$1&amp;"|Output"),"I/O","IN"),IF(COUNTIF(Flows!$M$2:$M$1500,$A10&amp;"|"&amp;S$1&amp;"|Output"),"OUT",""))</f>
        <v/>
      </c>
      <c r="T10" s="33" t="str">
        <f aca="false">IF(COUNTIF(Flows!$M$2:$M$1500,$A10&amp;"|"&amp;T$1&amp;"|Input"),IF(COUNTIF(Flows!$M$2:$M$1500,$A10&amp;"|"&amp;T$1&amp;"|Output"),"I/O","IN"),IF(COUNTIF(Flows!$M$2:$M$1500,$A10&amp;"|"&amp;T$1&amp;"|Output"),"OUT",""))</f>
        <v/>
      </c>
      <c r="U10" s="33" t="str">
        <f aca="false">IF(COUNTIF(Flows!$M$2:$M$1500,$A10&amp;"|"&amp;U$1&amp;"|Input"),IF(COUNTIF(Flows!$M$2:$M$1500,$A10&amp;"|"&amp;U$1&amp;"|Output"),"I/O","IN"),IF(COUNTIF(Flows!$M$2:$M$1500,$A10&amp;"|"&amp;U$1&amp;"|Output"),"OUT",""))</f>
        <v/>
      </c>
      <c r="V10" s="33" t="str">
        <f aca="false">IF(COUNTIF(Flows!$M$2:$M$1500,$A10&amp;"|"&amp;V$1&amp;"|Input"),IF(COUNTIF(Flows!$M$2:$M$1500,$A10&amp;"|"&amp;V$1&amp;"|Output"),"I/O","IN"),IF(COUNTIF(Flows!$M$2:$M$1500,$A10&amp;"|"&amp;V$1&amp;"|Output"),"OUT",""))</f>
        <v>IN</v>
      </c>
      <c r="W10" s="33" t="str">
        <f aca="false">IF(COUNTIF(Flows!$M$2:$M$1500,$A10&amp;"|"&amp;W$1&amp;"|Input"),IF(COUNTIF(Flows!$M$2:$M$1500,$A10&amp;"|"&amp;W$1&amp;"|Output"),"I/O","IN"),IF(COUNTIF(Flows!$M$2:$M$1500,$A10&amp;"|"&amp;W$1&amp;"|Output"),"OUT",""))</f>
        <v>IN</v>
      </c>
      <c r="X10" s="33" t="str">
        <f aca="false">IF(COUNTIF(Flows!$M$2:$M$1500,$A10&amp;"|"&amp;X$1&amp;"|Input"),IF(COUNTIF(Flows!$M$2:$M$1500,$A10&amp;"|"&amp;X$1&amp;"|Output"),"I/O","IN"),IF(COUNTIF(Flows!$M$2:$M$1500,$A10&amp;"|"&amp;X$1&amp;"|Output"),"OUT",""))</f>
        <v>IN</v>
      </c>
      <c r="Y10" s="33" t="str">
        <f aca="false">IF(COUNTIF(Flows!$M$2:$M$1500,$A10&amp;"|"&amp;Y$1&amp;"|Input"),IF(COUNTIF(Flows!$M$2:$M$1500,$A10&amp;"|"&amp;Y$1&amp;"|Output"),"I/O","IN"),IF(COUNTIF(Flows!$M$2:$M$1500,$A10&amp;"|"&amp;Y$1&amp;"|Output"),"OUT",""))</f>
        <v>IN</v>
      </c>
      <c r="Z10" s="33" t="str">
        <f aca="false">IF(COUNTIF(Flows!$M$2:$M$1500,$A10&amp;"|"&amp;Z$1&amp;"|Input"),IF(COUNTIF(Flows!$M$2:$M$1500,$A10&amp;"|"&amp;Z$1&amp;"|Output"),"I/O","IN"),IF(COUNTIF(Flows!$M$2:$M$1500,$A10&amp;"|"&amp;Z$1&amp;"|Output"),"OUT",""))</f>
        <v/>
      </c>
      <c r="AA10" s="33" t="str">
        <f aca="false">IF(COUNTIF(Flows!$M$2:$M$1500,$A10&amp;"|"&amp;AA$1&amp;"|Input"),IF(COUNTIF(Flows!$M$2:$M$1500,$A10&amp;"|"&amp;AA$1&amp;"|Output"),"I/O","IN"),IF(COUNTIF(Flows!$M$2:$M$1500,$A10&amp;"|"&amp;AA$1&amp;"|Output"),"OUT",""))</f>
        <v/>
      </c>
      <c r="AB10" s="33" t="str">
        <f aca="false">IF(COUNTIF(Flows!$M$2:$M$1500,$A10&amp;"|"&amp;AB$1&amp;"|Input"),IF(COUNTIF(Flows!$M$2:$M$1500,$A10&amp;"|"&amp;AB$1&amp;"|Output"),"I/O","IN"),IF(COUNTIF(Flows!$M$2:$M$1500,$A10&amp;"|"&amp;AB$1&amp;"|Output"),"OUT",""))</f>
        <v/>
      </c>
      <c r="AC10" s="33" t="str">
        <f aca="false">IF(COUNTIF(Flows!$M$2:$M$1500,$A10&amp;"|"&amp;AC$1&amp;"|Input"),IF(COUNTIF(Flows!$M$2:$M$1500,$A10&amp;"|"&amp;AC$1&amp;"|Output"),"I/O","IN"),IF(COUNTIF(Flows!$M$2:$M$1500,$A10&amp;"|"&amp;AC$1&amp;"|Output"),"OUT",""))</f>
        <v/>
      </c>
      <c r="AD10" s="33" t="str">
        <f aca="false">IF(COUNTIF(Flows!$M$2:$M$1500,$A10&amp;"|"&amp;AD$1&amp;"|Input"),IF(COUNTIF(Flows!$M$2:$M$1500,$A10&amp;"|"&amp;AD$1&amp;"|Output"),"I/O","IN"),IF(COUNTIF(Flows!$M$2:$M$1500,$A10&amp;"|"&amp;AD$1&amp;"|Output"),"OUT",""))</f>
        <v>OUT</v>
      </c>
      <c r="AE10" s="33" t="str">
        <f aca="false">IF(COUNTIF(Flows!$M$2:$M$1500,$A10&amp;"|"&amp;AE$1&amp;"|Input"),IF(COUNTIF(Flows!$M$2:$M$1500,$A10&amp;"|"&amp;AE$1&amp;"|Output"),"I/O","IN"),IF(COUNTIF(Flows!$M$2:$M$1500,$A10&amp;"|"&amp;AE$1&amp;"|Output"),"OUT",""))</f>
        <v/>
      </c>
      <c r="AF10" s="33" t="str">
        <f aca="false">IF(COUNTIF(Flows!$M$2:$M$1500,$A10&amp;"|"&amp;AF$1&amp;"|Input"),IF(COUNTIF(Flows!$M$2:$M$1500,$A10&amp;"|"&amp;AF$1&amp;"|Output"),"I/O","IN"),IF(COUNTIF(Flows!$M$2:$M$1500,$A10&amp;"|"&amp;AF$1&amp;"|Output"),"OUT",""))</f>
        <v/>
      </c>
      <c r="AG10" s="33" t="str">
        <f aca="false">IF(COUNTIF(Flows!$M$2:$M$1500,$A10&amp;"|"&amp;AG$1&amp;"|Input"),IF(COUNTIF(Flows!$M$2:$M$1500,$A10&amp;"|"&amp;AG$1&amp;"|Output"),"I/O","IN"),IF(COUNTIF(Flows!$M$2:$M$1500,$A10&amp;"|"&amp;AG$1&amp;"|Output"),"OUT",""))</f>
        <v/>
      </c>
      <c r="AH10" s="33" t="str">
        <f aca="false">IF(COUNTIF(Flows!$M$2:$M$1500,$A10&amp;"|"&amp;AH$1&amp;"|Input"),IF(COUNTIF(Flows!$M$2:$M$1500,$A10&amp;"|"&amp;AH$1&amp;"|Output"),"I/O","IN"),IF(COUNTIF(Flows!$M$2:$M$1500,$A10&amp;"|"&amp;AH$1&amp;"|Output"),"OUT",""))</f>
        <v/>
      </c>
      <c r="AI10" s="33" t="str">
        <f aca="false">IF(COUNTIF(Flows!$M$2:$M$1500,$A10&amp;"|"&amp;AI$1&amp;"|Input"),IF(COUNTIF(Flows!$M$2:$M$1500,$A10&amp;"|"&amp;AI$1&amp;"|Output"),"I/O","IN"),IF(COUNTIF(Flows!$M$2:$M$1500,$A10&amp;"|"&amp;AI$1&amp;"|Output"),"OUT",""))</f>
        <v/>
      </c>
      <c r="AJ10" s="33" t="str">
        <f aca="false">IF(COUNTIF(Flows!$M$2:$M$1500,$A10&amp;"|"&amp;AJ$1&amp;"|Input"),IF(COUNTIF(Flows!$M$2:$M$1500,$A10&amp;"|"&amp;AJ$1&amp;"|Output"),"I/O","IN"),IF(COUNTIF(Flows!$M$2:$M$1500,$A10&amp;"|"&amp;AJ$1&amp;"|Output"),"OUT",""))</f>
        <v/>
      </c>
      <c r="AK10" s="33" t="str">
        <f aca="false">IF(COUNTIF(Flows!$M$2:$M$1500,$A10&amp;"|"&amp;AK$1&amp;"|Input"),IF(COUNTIF(Flows!$M$2:$M$1500,$A10&amp;"|"&amp;AK$1&amp;"|Output"),"I/O","IN"),IF(COUNTIF(Flows!$M$2:$M$1500,$A10&amp;"|"&amp;AK$1&amp;"|Output"),"OUT",""))</f>
        <v/>
      </c>
      <c r="AL10" s="33" t="str">
        <f aca="false">IF(COUNTIF(Flows!$M$2:$M$1500,$A10&amp;"|"&amp;AL$1&amp;"|Input"),IF(COUNTIF(Flows!$M$2:$M$1500,$A10&amp;"|"&amp;AL$1&amp;"|Output"),"I/O","IN"),IF(COUNTIF(Flows!$M$2:$M$1500,$A10&amp;"|"&amp;AL$1&amp;"|Output"),"OUT",""))</f>
        <v/>
      </c>
      <c r="AM10" s="33" t="str">
        <f aca="false">IF(COUNTIF(Flows!$M$2:$M$1500,$A10&amp;"|"&amp;AM$1&amp;"|Input"),IF(COUNTIF(Flows!$M$2:$M$1500,$A10&amp;"|"&amp;AM$1&amp;"|Output"),"I/O","IN"),IF(COUNTIF(Flows!$M$2:$M$1500,$A10&amp;"|"&amp;AM$1&amp;"|Output"),"OUT",""))</f>
        <v/>
      </c>
      <c r="AN10" s="33" t="str">
        <f aca="false">IF(COUNTIF(Flows!$M$2:$M$1500,$A10&amp;"|"&amp;AN$1&amp;"|Input"),IF(COUNTIF(Flows!$M$2:$M$1500,$A10&amp;"|"&amp;AN$1&amp;"|Output"),"I/O","IN"),IF(COUNTIF(Flows!$M$2:$M$1500,$A10&amp;"|"&amp;AN$1&amp;"|Output"),"OUT",""))</f>
        <v/>
      </c>
      <c r="AO10" s="33" t="str">
        <f aca="false">IF(COUNTIF(Flows!$M$2:$M$1500,$A10&amp;"|"&amp;AO$1&amp;"|Input"),IF(COUNTIF(Flows!$M$2:$M$1500,$A10&amp;"|"&amp;AO$1&amp;"|Output"),"I/O","IN"),IF(COUNTIF(Flows!$M$2:$M$1500,$A10&amp;"|"&amp;AO$1&amp;"|Output"),"OUT",""))</f>
        <v/>
      </c>
      <c r="AP10" s="33" t="str">
        <f aca="false">IF(COUNTIF(Flows!$M$2:$M$1500,$A10&amp;"|"&amp;AP$1&amp;"|Input"),IF(COUNTIF(Flows!$M$2:$M$1500,$A10&amp;"|"&amp;AP$1&amp;"|Output"),"I/O","IN"),IF(COUNTIF(Flows!$M$2:$M$1500,$A10&amp;"|"&amp;AP$1&amp;"|Output"),"OUT",""))</f>
        <v/>
      </c>
      <c r="AQ10" s="33" t="str">
        <f aca="false">IF(COUNTIF(Flows!$M$2:$M$1500,$A10&amp;"|"&amp;AQ$1&amp;"|Input"),IF(COUNTIF(Flows!$M$2:$M$1500,$A10&amp;"|"&amp;AQ$1&amp;"|Output"),"I/O","IN"),IF(COUNTIF(Flows!$M$2:$M$1500,$A10&amp;"|"&amp;AQ$1&amp;"|Output"),"OUT",""))</f>
        <v/>
      </c>
      <c r="AR10" s="33" t="str">
        <f aca="false">IF(COUNTIF(Flows!$M$2:$M$1500,$A10&amp;"|"&amp;AR$1&amp;"|Input"),IF(COUNTIF(Flows!$M$2:$M$1500,$A10&amp;"|"&amp;AR$1&amp;"|Output"),"I/O","IN"),IF(COUNTIF(Flows!$M$2:$M$1500,$A10&amp;"|"&amp;AR$1&amp;"|Output"),"OUT",""))</f>
        <v/>
      </c>
      <c r="AS10" s="33" t="str">
        <f aca="false">IF(COUNTIF(Flows!$M$2:$M$1500,$A10&amp;"|"&amp;AS$1&amp;"|Input"),IF(COUNTIF(Flows!$M$2:$M$1500,$A10&amp;"|"&amp;AS$1&amp;"|Output"),"I/O","IN"),IF(COUNTIF(Flows!$M$2:$M$1500,$A10&amp;"|"&amp;AS$1&amp;"|Output"),"OUT",""))</f>
        <v/>
      </c>
      <c r="AT10" s="33" t="str">
        <f aca="false">IF(COUNTIF(Flows!$M$2:$M$1500,$A10&amp;"|"&amp;AT$1&amp;"|Input"),IF(COUNTIF(Flows!$M$2:$M$1500,$A10&amp;"|"&amp;AT$1&amp;"|Output"),"I/O","IN"),IF(COUNTIF(Flows!$M$2:$M$1500,$A10&amp;"|"&amp;AT$1&amp;"|Output"),"OUT",""))</f>
        <v/>
      </c>
      <c r="AU10" s="33" t="str">
        <f aca="false">IF(COUNTIF(Flows!$M$2:$M$1500,$A10&amp;"|"&amp;AU$1&amp;"|Input"),IF(COUNTIF(Flows!$M$2:$M$1500,$A10&amp;"|"&amp;AU$1&amp;"|Output"),"I/O","IN"),IF(COUNTIF(Flows!$M$2:$M$1500,$A10&amp;"|"&amp;AU$1&amp;"|Output"),"OUT",""))</f>
        <v/>
      </c>
      <c r="AV10" s="33" t="str">
        <f aca="false">IF(COUNTIF(Flows!$M$2:$M$1500,$A10&amp;"|"&amp;AV$1&amp;"|Input"),IF(COUNTIF(Flows!$M$2:$M$1500,$A10&amp;"|"&amp;AV$1&amp;"|Output"),"I/O","IN"),IF(COUNTIF(Flows!$M$2:$M$1500,$A10&amp;"|"&amp;AV$1&amp;"|Output"),"OUT",""))</f>
        <v/>
      </c>
      <c r="AW10" s="33" t="str">
        <f aca="false">IF(COUNTIF(Flows!$M$2:$M$1500,$A10&amp;"|"&amp;AW$1&amp;"|Input"),IF(COUNTIF(Flows!$M$2:$M$1500,$A10&amp;"|"&amp;AW$1&amp;"|Output"),"I/O","IN"),IF(COUNTIF(Flows!$M$2:$M$1500,$A10&amp;"|"&amp;AW$1&amp;"|Output"),"OUT",""))</f>
        <v/>
      </c>
      <c r="AX10" s="33" t="str">
        <f aca="false">IF(COUNTIF(Flows!$M$2:$M$1500,$A10&amp;"|"&amp;AX$1&amp;"|Input"),IF(COUNTIF(Flows!$M$2:$M$1500,$A10&amp;"|"&amp;AX$1&amp;"|Output"),"I/O","IN"),IF(COUNTIF(Flows!$M$2:$M$1500,$A10&amp;"|"&amp;AX$1&amp;"|Output"),"OUT",""))</f>
        <v/>
      </c>
      <c r="AY10" s="33" t="str">
        <f aca="false">IF(COUNTIF(Flows!$M$2:$M$1500,$A10&amp;"|"&amp;AY$1&amp;"|Input"),IF(COUNTIF(Flows!$M$2:$M$1500,$A10&amp;"|"&amp;AY$1&amp;"|Output"),"I/O","IN"),IF(COUNTIF(Flows!$M$2:$M$1500,$A10&amp;"|"&amp;AY$1&amp;"|Output"),"OUT",""))</f>
        <v/>
      </c>
      <c r="AZ10" s="33" t="str">
        <f aca="false">IF(COUNTIF(Flows!$M$2:$M$1500,$A10&amp;"|"&amp;AZ$1&amp;"|Input"),IF(COUNTIF(Flows!$M$2:$M$1500,$A10&amp;"|"&amp;AZ$1&amp;"|Output"),"I/O","IN"),IF(COUNTIF(Flows!$M$2:$M$1500,$A10&amp;"|"&amp;AZ$1&amp;"|Output"),"OUT",""))</f>
        <v/>
      </c>
      <c r="BA10" s="33" t="str">
        <f aca="false">IF(COUNTIF(Flows!$M$2:$M$1500,$A10&amp;"|"&amp;BA$1&amp;"|Input"),IF(COUNTIF(Flows!$M$2:$M$1500,$A10&amp;"|"&amp;BA$1&amp;"|Output"),"I/O","IN"),IF(COUNTIF(Flows!$M$2:$M$1500,$A10&amp;"|"&amp;BA$1&amp;"|Output"),"OUT",""))</f>
        <v/>
      </c>
      <c r="BB10" s="33" t="str">
        <f aca="false">IF(COUNTIF(Flows!$M$2:$M$1500,$A10&amp;"|"&amp;BB$1&amp;"|Input"),IF(COUNTIF(Flows!$M$2:$M$1500,$A10&amp;"|"&amp;BB$1&amp;"|Output"),"I/O","IN"),IF(COUNTIF(Flows!$M$2:$M$1500,$A10&amp;"|"&amp;BB$1&amp;"|Output"),"OUT",""))</f>
        <v/>
      </c>
      <c r="BC10" s="33" t="str">
        <f aca="false">IF(COUNTIF(Flows!$M$2:$M$1500,$A10&amp;"|"&amp;BC$1&amp;"|Input"),IF(COUNTIF(Flows!$M$2:$M$1500,$A10&amp;"|"&amp;BC$1&amp;"|Output"),"I/O","IN"),IF(COUNTIF(Flows!$M$2:$M$1500,$A10&amp;"|"&amp;BC$1&amp;"|Output"),"OUT",""))</f>
        <v/>
      </c>
      <c r="BD10" s="33" t="str">
        <f aca="false">IF(COUNTIF(Flows!$M$2:$M$1500,$A10&amp;"|"&amp;BD$1&amp;"|Input"),IF(COUNTIF(Flows!$M$2:$M$1500,$A10&amp;"|"&amp;BD$1&amp;"|Output"),"I/O","IN"),IF(COUNTIF(Flows!$M$2:$M$1500,$A10&amp;"|"&amp;BD$1&amp;"|Output"),"OUT",""))</f>
        <v/>
      </c>
      <c r="BE10" s="33" t="str">
        <f aca="false">IF(COUNTIF(Flows!$M$2:$M$1500,$A10&amp;"|"&amp;BE$1&amp;"|Input"),IF(COUNTIF(Flows!$M$2:$M$1500,$A10&amp;"|"&amp;BE$1&amp;"|Output"),"I/O","IN"),IF(COUNTIF(Flows!$M$2:$M$1500,$A10&amp;"|"&amp;BE$1&amp;"|Output"),"OUT",""))</f>
        <v/>
      </c>
      <c r="BF10" s="33" t="str">
        <f aca="false">IF(COUNTIF(Flows!$M$2:$M$1500,$A10&amp;"|"&amp;BF$1&amp;"|Input"),IF(COUNTIF(Flows!$M$2:$M$1500,$A10&amp;"|"&amp;BF$1&amp;"|Output"),"I/O","IN"),IF(COUNTIF(Flows!$M$2:$M$1500,$A10&amp;"|"&amp;BF$1&amp;"|Output"),"OUT",""))</f>
        <v/>
      </c>
      <c r="BG10" s="33" t="str">
        <f aca="false">IF(COUNTIF(Flows!$M$2:$M$1500,$A10&amp;"|"&amp;BG$1&amp;"|Input"),IF(COUNTIF(Flows!$M$2:$M$1500,$A10&amp;"|"&amp;BG$1&amp;"|Output"),"I/O","IN"),IF(COUNTIF(Flows!$M$2:$M$1500,$A10&amp;"|"&amp;BG$1&amp;"|Output"),"OUT",""))</f>
        <v/>
      </c>
      <c r="BH10" s="33" t="str">
        <f aca="false">IF(COUNTIF(Flows!$M$2:$M$1500,$A10&amp;"|"&amp;BH$1&amp;"|Input"),IF(COUNTIF(Flows!$M$2:$M$1500,$A10&amp;"|"&amp;BH$1&amp;"|Output"),"I/O","IN"),IF(COUNTIF(Flows!$M$2:$M$1500,$A10&amp;"|"&amp;BH$1&amp;"|Output"),"OUT",""))</f>
        <v/>
      </c>
      <c r="BI10" s="33" t="str">
        <f aca="false">IF(COUNTIF(Flows!$M$2:$M$1500,$A10&amp;"|"&amp;BI$1&amp;"|Input"),IF(COUNTIF(Flows!$M$2:$M$1500,$A10&amp;"|"&amp;BI$1&amp;"|Output"),"I/O","IN"),IF(COUNTIF(Flows!$M$2:$M$1500,$A10&amp;"|"&amp;BI$1&amp;"|Output"),"OUT",""))</f>
        <v/>
      </c>
      <c r="BJ10" s="33" t="str">
        <f aca="false">IF(COUNTIF(Flows!$M$2:$M$1500,$A10&amp;"|"&amp;BJ$1&amp;"|Input"),IF(COUNTIF(Flows!$M$2:$M$1500,$A10&amp;"|"&amp;BJ$1&amp;"|Output"),"I/O","IN"),IF(COUNTIF(Flows!$M$2:$M$1500,$A10&amp;"|"&amp;BJ$1&amp;"|Output"),"OUT",""))</f>
        <v/>
      </c>
      <c r="BK10" s="33" t="str">
        <f aca="false">IF(COUNTIF(Flows!$M$2:$M$1500,$A10&amp;"|"&amp;BK$1&amp;"|Input"),IF(COUNTIF(Flows!$M$2:$M$1500,$A10&amp;"|"&amp;BK$1&amp;"|Output"),"I/O","IN"),IF(COUNTIF(Flows!$M$2:$M$1500,$A10&amp;"|"&amp;BK$1&amp;"|Output"),"OUT",""))</f>
        <v/>
      </c>
    </row>
    <row r="11" customFormat="false" ht="15" hidden="false" customHeight="true" outlineLevel="0" collapsed="false">
      <c r="A11" s="6" t="str">
        <f aca="false">Systems!B11</f>
        <v>Camper Van</v>
      </c>
      <c r="B11" s="33" t="str">
        <f aca="false">IF(COUNTIF(Flows!$M$2:$M$1500,$A11&amp;"|"&amp;B$1&amp;"|Input"),IF(COUNTIF(Flows!$M$2:$M$1500,$A11&amp;"|"&amp;B$1&amp;"|Output"),"I/O","IN"),IF(COUNTIF(Flows!$M$2:$M$1500,$A11&amp;"|"&amp;B$1&amp;"|Output"),"OUT",""))</f>
        <v/>
      </c>
      <c r="C11" s="33" t="str">
        <f aca="false">IF(COUNTIF(Flows!$M$2:$M$1500,$A11&amp;"|"&amp;C$1&amp;"|Input"),IF(COUNTIF(Flows!$M$2:$M$1500,$A11&amp;"|"&amp;C$1&amp;"|Output"),"I/O","IN"),IF(COUNTIF(Flows!$M$2:$M$1500,$A11&amp;"|"&amp;C$1&amp;"|Output"),"OUT",""))</f>
        <v/>
      </c>
      <c r="D11" s="33" t="str">
        <f aca="false">IF(COUNTIF(Flows!$M$2:$M$1500,$A11&amp;"|"&amp;D$1&amp;"|Input"),IF(COUNTIF(Flows!$M$2:$M$1500,$A11&amp;"|"&amp;D$1&amp;"|Output"),"I/O","IN"),IF(COUNTIF(Flows!$M$2:$M$1500,$A11&amp;"|"&amp;D$1&amp;"|Output"),"OUT",""))</f>
        <v/>
      </c>
      <c r="E11" s="33" t="str">
        <f aca="false">IF(COUNTIF(Flows!$M$2:$M$1500,$A11&amp;"|"&amp;E$1&amp;"|Input"),IF(COUNTIF(Flows!$M$2:$M$1500,$A11&amp;"|"&amp;E$1&amp;"|Output"),"I/O","IN"),IF(COUNTIF(Flows!$M$2:$M$1500,$A11&amp;"|"&amp;E$1&amp;"|Output"),"OUT",""))</f>
        <v/>
      </c>
      <c r="F11" s="33" t="str">
        <f aca="false">IF(COUNTIF(Flows!$M$2:$M$1500,$A11&amp;"|"&amp;F$1&amp;"|Input"),IF(COUNTIF(Flows!$M$2:$M$1500,$A11&amp;"|"&amp;F$1&amp;"|Output"),"I/O","IN"),IF(COUNTIF(Flows!$M$2:$M$1500,$A11&amp;"|"&amp;F$1&amp;"|Output"),"OUT",""))</f>
        <v/>
      </c>
      <c r="G11" s="33" t="str">
        <f aca="false">IF(COUNTIF(Flows!$M$2:$M$1500,$A11&amp;"|"&amp;G$1&amp;"|Input"),IF(COUNTIF(Flows!$M$2:$M$1500,$A11&amp;"|"&amp;G$1&amp;"|Output"),"I/O","IN"),IF(COUNTIF(Flows!$M$2:$M$1500,$A11&amp;"|"&amp;G$1&amp;"|Output"),"OUT",""))</f>
        <v/>
      </c>
      <c r="H11" s="33" t="str">
        <f aca="false">IF(COUNTIF(Flows!$M$2:$M$1500,$A11&amp;"|"&amp;H$1&amp;"|Input"),IF(COUNTIF(Flows!$M$2:$M$1500,$A11&amp;"|"&amp;H$1&amp;"|Output"),"I/O","IN"),IF(COUNTIF(Flows!$M$2:$M$1500,$A11&amp;"|"&amp;H$1&amp;"|Output"),"OUT",""))</f>
        <v/>
      </c>
      <c r="I11" s="33" t="str">
        <f aca="false">IF(COUNTIF(Flows!$M$2:$M$1500,$A11&amp;"|"&amp;I$1&amp;"|Input"),IF(COUNTIF(Flows!$M$2:$M$1500,$A11&amp;"|"&amp;I$1&amp;"|Output"),"I/O","IN"),IF(COUNTIF(Flows!$M$2:$M$1500,$A11&amp;"|"&amp;I$1&amp;"|Output"),"OUT",""))</f>
        <v/>
      </c>
      <c r="J11" s="33" t="str">
        <f aca="false">IF(COUNTIF(Flows!$M$2:$M$1500,$A11&amp;"|"&amp;J$1&amp;"|Input"),IF(COUNTIF(Flows!$M$2:$M$1500,$A11&amp;"|"&amp;J$1&amp;"|Output"),"I/O","IN"),IF(COUNTIF(Flows!$M$2:$M$1500,$A11&amp;"|"&amp;J$1&amp;"|Output"),"OUT",""))</f>
        <v/>
      </c>
      <c r="K11" s="33" t="str">
        <f aca="false">IF(COUNTIF(Flows!$M$2:$M$1500,$A11&amp;"|"&amp;K$1&amp;"|Input"),IF(COUNTIF(Flows!$M$2:$M$1500,$A11&amp;"|"&amp;K$1&amp;"|Output"),"I/O","IN"),IF(COUNTIF(Flows!$M$2:$M$1500,$A11&amp;"|"&amp;K$1&amp;"|Output"),"OUT",""))</f>
        <v/>
      </c>
      <c r="L11" s="33" t="str">
        <f aca="false">IF(COUNTIF(Flows!$M$2:$M$1500,$A11&amp;"|"&amp;L$1&amp;"|Input"),IF(COUNTIF(Flows!$M$2:$M$1500,$A11&amp;"|"&amp;L$1&amp;"|Output"),"I/O","IN"),IF(COUNTIF(Flows!$M$2:$M$1500,$A11&amp;"|"&amp;L$1&amp;"|Output"),"OUT",""))</f>
        <v/>
      </c>
      <c r="M11" s="33" t="str">
        <f aca="false">IF(COUNTIF(Flows!$M$2:$M$1500,$A11&amp;"|"&amp;M$1&amp;"|Input"),IF(COUNTIF(Flows!$M$2:$M$1500,$A11&amp;"|"&amp;M$1&amp;"|Output"),"I/O","IN"),IF(COUNTIF(Flows!$M$2:$M$1500,$A11&amp;"|"&amp;M$1&amp;"|Output"),"OUT",""))</f>
        <v/>
      </c>
      <c r="N11" s="33" t="str">
        <f aca="false">IF(COUNTIF(Flows!$M$2:$M$1500,$A11&amp;"|"&amp;N$1&amp;"|Input"),IF(COUNTIF(Flows!$M$2:$M$1500,$A11&amp;"|"&amp;N$1&amp;"|Output"),"I/O","IN"),IF(COUNTIF(Flows!$M$2:$M$1500,$A11&amp;"|"&amp;N$1&amp;"|Output"),"OUT",""))</f>
        <v/>
      </c>
      <c r="O11" s="33" t="str">
        <f aca="false">IF(COUNTIF(Flows!$M$2:$M$1500,$A11&amp;"|"&amp;O$1&amp;"|Input"),IF(COUNTIF(Flows!$M$2:$M$1500,$A11&amp;"|"&amp;O$1&amp;"|Output"),"I/O","IN"),IF(COUNTIF(Flows!$M$2:$M$1500,$A11&amp;"|"&amp;O$1&amp;"|Output"),"OUT",""))</f>
        <v/>
      </c>
      <c r="P11" s="33" t="str">
        <f aca="false">IF(COUNTIF(Flows!$M$2:$M$1500,$A11&amp;"|"&amp;P$1&amp;"|Input"),IF(COUNTIF(Flows!$M$2:$M$1500,$A11&amp;"|"&amp;P$1&amp;"|Output"),"I/O","IN"),IF(COUNTIF(Flows!$M$2:$M$1500,$A11&amp;"|"&amp;P$1&amp;"|Output"),"OUT",""))</f>
        <v/>
      </c>
      <c r="Q11" s="33" t="str">
        <f aca="false">IF(COUNTIF(Flows!$M$2:$M$1500,$A11&amp;"|"&amp;Q$1&amp;"|Input"),IF(COUNTIF(Flows!$M$2:$M$1500,$A11&amp;"|"&amp;Q$1&amp;"|Output"),"I/O","IN"),IF(COUNTIF(Flows!$M$2:$M$1500,$A11&amp;"|"&amp;Q$1&amp;"|Output"),"OUT",""))</f>
        <v>OUT</v>
      </c>
      <c r="R11" s="33" t="str">
        <f aca="false">IF(COUNTIF(Flows!$M$2:$M$1500,$A11&amp;"|"&amp;R$1&amp;"|Input"),IF(COUNTIF(Flows!$M$2:$M$1500,$A11&amp;"|"&amp;R$1&amp;"|Output"),"I/O","IN"),IF(COUNTIF(Flows!$M$2:$M$1500,$A11&amp;"|"&amp;R$1&amp;"|Output"),"OUT",""))</f>
        <v/>
      </c>
      <c r="S11" s="33" t="str">
        <f aca="false">IF(COUNTIF(Flows!$M$2:$M$1500,$A11&amp;"|"&amp;S$1&amp;"|Input"),IF(COUNTIF(Flows!$M$2:$M$1500,$A11&amp;"|"&amp;S$1&amp;"|Output"),"I/O","IN"),IF(COUNTIF(Flows!$M$2:$M$1500,$A11&amp;"|"&amp;S$1&amp;"|Output"),"OUT",""))</f>
        <v/>
      </c>
      <c r="T11" s="33" t="str">
        <f aca="false">IF(COUNTIF(Flows!$M$2:$M$1500,$A11&amp;"|"&amp;T$1&amp;"|Input"),IF(COUNTIF(Flows!$M$2:$M$1500,$A11&amp;"|"&amp;T$1&amp;"|Output"),"I/O","IN"),IF(COUNTIF(Flows!$M$2:$M$1500,$A11&amp;"|"&amp;T$1&amp;"|Output"),"OUT",""))</f>
        <v>OUT</v>
      </c>
      <c r="U11" s="33" t="str">
        <f aca="false">IF(COUNTIF(Flows!$M$2:$M$1500,$A11&amp;"|"&amp;U$1&amp;"|Input"),IF(COUNTIF(Flows!$M$2:$M$1500,$A11&amp;"|"&amp;U$1&amp;"|Output"),"I/O","IN"),IF(COUNTIF(Flows!$M$2:$M$1500,$A11&amp;"|"&amp;U$1&amp;"|Output"),"OUT",""))</f>
        <v/>
      </c>
      <c r="V11" s="33" t="str">
        <f aca="false">IF(COUNTIF(Flows!$M$2:$M$1500,$A11&amp;"|"&amp;V$1&amp;"|Input"),IF(COUNTIF(Flows!$M$2:$M$1500,$A11&amp;"|"&amp;V$1&amp;"|Output"),"I/O","IN"),IF(COUNTIF(Flows!$M$2:$M$1500,$A11&amp;"|"&amp;V$1&amp;"|Output"),"OUT",""))</f>
        <v>IN</v>
      </c>
      <c r="W11" s="33" t="str">
        <f aca="false">IF(COUNTIF(Flows!$M$2:$M$1500,$A11&amp;"|"&amp;W$1&amp;"|Input"),IF(COUNTIF(Flows!$M$2:$M$1500,$A11&amp;"|"&amp;W$1&amp;"|Output"),"I/O","IN"),IF(COUNTIF(Flows!$M$2:$M$1500,$A11&amp;"|"&amp;W$1&amp;"|Output"),"OUT",""))</f>
        <v>IN</v>
      </c>
      <c r="X11" s="33" t="str">
        <f aca="false">IF(COUNTIF(Flows!$M$2:$M$1500,$A11&amp;"|"&amp;X$1&amp;"|Input"),IF(COUNTIF(Flows!$M$2:$M$1500,$A11&amp;"|"&amp;X$1&amp;"|Output"),"I/O","IN"),IF(COUNTIF(Flows!$M$2:$M$1500,$A11&amp;"|"&amp;X$1&amp;"|Output"),"OUT",""))</f>
        <v>IN</v>
      </c>
      <c r="Y11" s="33" t="str">
        <f aca="false">IF(COUNTIF(Flows!$M$2:$M$1500,$A11&amp;"|"&amp;Y$1&amp;"|Input"),IF(COUNTIF(Flows!$M$2:$M$1500,$A11&amp;"|"&amp;Y$1&amp;"|Output"),"I/O","IN"),IF(COUNTIF(Flows!$M$2:$M$1500,$A11&amp;"|"&amp;Y$1&amp;"|Output"),"OUT",""))</f>
        <v>IN</v>
      </c>
      <c r="Z11" s="33" t="str">
        <f aca="false">IF(COUNTIF(Flows!$M$2:$M$1500,$A11&amp;"|"&amp;Z$1&amp;"|Input"),IF(COUNTIF(Flows!$M$2:$M$1500,$A11&amp;"|"&amp;Z$1&amp;"|Output"),"I/O","IN"),IF(COUNTIF(Flows!$M$2:$M$1500,$A11&amp;"|"&amp;Z$1&amp;"|Output"),"OUT",""))</f>
        <v/>
      </c>
      <c r="AA11" s="33" t="str">
        <f aca="false">IF(COUNTIF(Flows!$M$2:$M$1500,$A11&amp;"|"&amp;AA$1&amp;"|Input"),IF(COUNTIF(Flows!$M$2:$M$1500,$A11&amp;"|"&amp;AA$1&amp;"|Output"),"I/O","IN"),IF(COUNTIF(Flows!$M$2:$M$1500,$A11&amp;"|"&amp;AA$1&amp;"|Output"),"OUT",""))</f>
        <v/>
      </c>
      <c r="AB11" s="33" t="str">
        <f aca="false">IF(COUNTIF(Flows!$M$2:$M$1500,$A11&amp;"|"&amp;AB$1&amp;"|Input"),IF(COUNTIF(Flows!$M$2:$M$1500,$A11&amp;"|"&amp;AB$1&amp;"|Output"),"I/O","IN"),IF(COUNTIF(Flows!$M$2:$M$1500,$A11&amp;"|"&amp;AB$1&amp;"|Output"),"OUT",""))</f>
        <v/>
      </c>
      <c r="AC11" s="33" t="str">
        <f aca="false">IF(COUNTIF(Flows!$M$2:$M$1500,$A11&amp;"|"&amp;AC$1&amp;"|Input"),IF(COUNTIF(Flows!$M$2:$M$1500,$A11&amp;"|"&amp;AC$1&amp;"|Output"),"I/O","IN"),IF(COUNTIF(Flows!$M$2:$M$1500,$A11&amp;"|"&amp;AC$1&amp;"|Output"),"OUT",""))</f>
        <v/>
      </c>
      <c r="AD11" s="33" t="str">
        <f aca="false">IF(COUNTIF(Flows!$M$2:$M$1500,$A11&amp;"|"&amp;AD$1&amp;"|Input"),IF(COUNTIF(Flows!$M$2:$M$1500,$A11&amp;"|"&amp;AD$1&amp;"|Output"),"I/O","IN"),IF(COUNTIF(Flows!$M$2:$M$1500,$A11&amp;"|"&amp;AD$1&amp;"|Output"),"OUT",""))</f>
        <v/>
      </c>
      <c r="AE11" s="33" t="str">
        <f aca="false">IF(COUNTIF(Flows!$M$2:$M$1500,$A11&amp;"|"&amp;AE$1&amp;"|Input"),IF(COUNTIF(Flows!$M$2:$M$1500,$A11&amp;"|"&amp;AE$1&amp;"|Output"),"I/O","IN"),IF(COUNTIF(Flows!$M$2:$M$1500,$A11&amp;"|"&amp;AE$1&amp;"|Output"),"OUT",""))</f>
        <v/>
      </c>
      <c r="AF11" s="33" t="str">
        <f aca="false">IF(COUNTIF(Flows!$M$2:$M$1500,$A11&amp;"|"&amp;AF$1&amp;"|Input"),IF(COUNTIF(Flows!$M$2:$M$1500,$A11&amp;"|"&amp;AF$1&amp;"|Output"),"I/O","IN"),IF(COUNTIF(Flows!$M$2:$M$1500,$A11&amp;"|"&amp;AF$1&amp;"|Output"),"OUT",""))</f>
        <v/>
      </c>
      <c r="AG11" s="33" t="str">
        <f aca="false">IF(COUNTIF(Flows!$M$2:$M$1500,$A11&amp;"|"&amp;AG$1&amp;"|Input"),IF(COUNTIF(Flows!$M$2:$M$1500,$A11&amp;"|"&amp;AG$1&amp;"|Output"),"I/O","IN"),IF(COUNTIF(Flows!$M$2:$M$1500,$A11&amp;"|"&amp;AG$1&amp;"|Output"),"OUT",""))</f>
        <v/>
      </c>
      <c r="AH11" s="33" t="str">
        <f aca="false">IF(COUNTIF(Flows!$M$2:$M$1500,$A11&amp;"|"&amp;AH$1&amp;"|Input"),IF(COUNTIF(Flows!$M$2:$M$1500,$A11&amp;"|"&amp;AH$1&amp;"|Output"),"I/O","IN"),IF(COUNTIF(Flows!$M$2:$M$1500,$A11&amp;"|"&amp;AH$1&amp;"|Output"),"OUT",""))</f>
        <v/>
      </c>
      <c r="AI11" s="33" t="str">
        <f aca="false">IF(COUNTIF(Flows!$M$2:$M$1500,$A11&amp;"|"&amp;AI$1&amp;"|Input"),IF(COUNTIF(Flows!$M$2:$M$1500,$A11&amp;"|"&amp;AI$1&amp;"|Output"),"I/O","IN"),IF(COUNTIF(Flows!$M$2:$M$1500,$A11&amp;"|"&amp;AI$1&amp;"|Output"),"OUT",""))</f>
        <v/>
      </c>
      <c r="AJ11" s="33" t="str">
        <f aca="false">IF(COUNTIF(Flows!$M$2:$M$1500,$A11&amp;"|"&amp;AJ$1&amp;"|Input"),IF(COUNTIF(Flows!$M$2:$M$1500,$A11&amp;"|"&amp;AJ$1&amp;"|Output"),"I/O","IN"),IF(COUNTIF(Flows!$M$2:$M$1500,$A11&amp;"|"&amp;AJ$1&amp;"|Output"),"OUT",""))</f>
        <v/>
      </c>
      <c r="AK11" s="33" t="str">
        <f aca="false">IF(COUNTIF(Flows!$M$2:$M$1500,$A11&amp;"|"&amp;AK$1&amp;"|Input"),IF(COUNTIF(Flows!$M$2:$M$1500,$A11&amp;"|"&amp;AK$1&amp;"|Output"),"I/O","IN"),IF(COUNTIF(Flows!$M$2:$M$1500,$A11&amp;"|"&amp;AK$1&amp;"|Output"),"OUT",""))</f>
        <v/>
      </c>
      <c r="AL11" s="33" t="str">
        <f aca="false">IF(COUNTIF(Flows!$M$2:$M$1500,$A11&amp;"|"&amp;AL$1&amp;"|Input"),IF(COUNTIF(Flows!$M$2:$M$1500,$A11&amp;"|"&amp;AL$1&amp;"|Output"),"I/O","IN"),IF(COUNTIF(Flows!$M$2:$M$1500,$A11&amp;"|"&amp;AL$1&amp;"|Output"),"OUT",""))</f>
        <v/>
      </c>
      <c r="AM11" s="33" t="str">
        <f aca="false">IF(COUNTIF(Flows!$M$2:$M$1500,$A11&amp;"|"&amp;AM$1&amp;"|Input"),IF(COUNTIF(Flows!$M$2:$M$1500,$A11&amp;"|"&amp;AM$1&amp;"|Output"),"I/O","IN"),IF(COUNTIF(Flows!$M$2:$M$1500,$A11&amp;"|"&amp;AM$1&amp;"|Output"),"OUT",""))</f>
        <v/>
      </c>
      <c r="AN11" s="33" t="str">
        <f aca="false">IF(COUNTIF(Flows!$M$2:$M$1500,$A11&amp;"|"&amp;AN$1&amp;"|Input"),IF(COUNTIF(Flows!$M$2:$M$1500,$A11&amp;"|"&amp;AN$1&amp;"|Output"),"I/O","IN"),IF(COUNTIF(Flows!$M$2:$M$1500,$A11&amp;"|"&amp;AN$1&amp;"|Output"),"OUT",""))</f>
        <v/>
      </c>
      <c r="AO11" s="33" t="str">
        <f aca="false">IF(COUNTIF(Flows!$M$2:$M$1500,$A11&amp;"|"&amp;AO$1&amp;"|Input"),IF(COUNTIF(Flows!$M$2:$M$1500,$A11&amp;"|"&amp;AO$1&amp;"|Output"),"I/O","IN"),IF(COUNTIF(Flows!$M$2:$M$1500,$A11&amp;"|"&amp;AO$1&amp;"|Output"),"OUT",""))</f>
        <v/>
      </c>
      <c r="AP11" s="33" t="str">
        <f aca="false">IF(COUNTIF(Flows!$M$2:$M$1500,$A11&amp;"|"&amp;AP$1&amp;"|Input"),IF(COUNTIF(Flows!$M$2:$M$1500,$A11&amp;"|"&amp;AP$1&amp;"|Output"),"I/O","IN"),IF(COUNTIF(Flows!$M$2:$M$1500,$A11&amp;"|"&amp;AP$1&amp;"|Output"),"OUT",""))</f>
        <v/>
      </c>
      <c r="AQ11" s="33" t="str">
        <f aca="false">IF(COUNTIF(Flows!$M$2:$M$1500,$A11&amp;"|"&amp;AQ$1&amp;"|Input"),IF(COUNTIF(Flows!$M$2:$M$1500,$A11&amp;"|"&amp;AQ$1&amp;"|Output"),"I/O","IN"),IF(COUNTIF(Flows!$M$2:$M$1500,$A11&amp;"|"&amp;AQ$1&amp;"|Output"),"OUT",""))</f>
        <v/>
      </c>
      <c r="AR11" s="33" t="str">
        <f aca="false">IF(COUNTIF(Flows!$M$2:$M$1500,$A11&amp;"|"&amp;AR$1&amp;"|Input"),IF(COUNTIF(Flows!$M$2:$M$1500,$A11&amp;"|"&amp;AR$1&amp;"|Output"),"I/O","IN"),IF(COUNTIF(Flows!$M$2:$M$1500,$A11&amp;"|"&amp;AR$1&amp;"|Output"),"OUT",""))</f>
        <v/>
      </c>
      <c r="AS11" s="33" t="str">
        <f aca="false">IF(COUNTIF(Flows!$M$2:$M$1500,$A11&amp;"|"&amp;AS$1&amp;"|Input"),IF(COUNTIF(Flows!$M$2:$M$1500,$A11&amp;"|"&amp;AS$1&amp;"|Output"),"I/O","IN"),IF(COUNTIF(Flows!$M$2:$M$1500,$A11&amp;"|"&amp;AS$1&amp;"|Output"),"OUT",""))</f>
        <v/>
      </c>
      <c r="AT11" s="33" t="str">
        <f aca="false">IF(COUNTIF(Flows!$M$2:$M$1500,$A11&amp;"|"&amp;AT$1&amp;"|Input"),IF(COUNTIF(Flows!$M$2:$M$1500,$A11&amp;"|"&amp;AT$1&amp;"|Output"),"I/O","IN"),IF(COUNTIF(Flows!$M$2:$M$1500,$A11&amp;"|"&amp;AT$1&amp;"|Output"),"OUT",""))</f>
        <v/>
      </c>
      <c r="AU11" s="33" t="str">
        <f aca="false">IF(COUNTIF(Flows!$M$2:$M$1500,$A11&amp;"|"&amp;AU$1&amp;"|Input"),IF(COUNTIF(Flows!$M$2:$M$1500,$A11&amp;"|"&amp;AU$1&amp;"|Output"),"I/O","IN"),IF(COUNTIF(Flows!$M$2:$M$1500,$A11&amp;"|"&amp;AU$1&amp;"|Output"),"OUT",""))</f>
        <v/>
      </c>
      <c r="AV11" s="33" t="str">
        <f aca="false">IF(COUNTIF(Flows!$M$2:$M$1500,$A11&amp;"|"&amp;AV$1&amp;"|Input"),IF(COUNTIF(Flows!$M$2:$M$1500,$A11&amp;"|"&amp;AV$1&amp;"|Output"),"I/O","IN"),IF(COUNTIF(Flows!$M$2:$M$1500,$A11&amp;"|"&amp;AV$1&amp;"|Output"),"OUT",""))</f>
        <v/>
      </c>
      <c r="AW11" s="33" t="str">
        <f aca="false">IF(COUNTIF(Flows!$M$2:$M$1500,$A11&amp;"|"&amp;AW$1&amp;"|Input"),IF(COUNTIF(Flows!$M$2:$M$1500,$A11&amp;"|"&amp;AW$1&amp;"|Output"),"I/O","IN"),IF(COUNTIF(Flows!$M$2:$M$1500,$A11&amp;"|"&amp;AW$1&amp;"|Output"),"OUT",""))</f>
        <v/>
      </c>
      <c r="AX11" s="33" t="str">
        <f aca="false">IF(COUNTIF(Flows!$M$2:$M$1500,$A11&amp;"|"&amp;AX$1&amp;"|Input"),IF(COUNTIF(Flows!$M$2:$M$1500,$A11&amp;"|"&amp;AX$1&amp;"|Output"),"I/O","IN"),IF(COUNTIF(Flows!$M$2:$M$1500,$A11&amp;"|"&amp;AX$1&amp;"|Output"),"OUT",""))</f>
        <v/>
      </c>
      <c r="AY11" s="33" t="str">
        <f aca="false">IF(COUNTIF(Flows!$M$2:$M$1500,$A11&amp;"|"&amp;AY$1&amp;"|Input"),IF(COUNTIF(Flows!$M$2:$M$1500,$A11&amp;"|"&amp;AY$1&amp;"|Output"),"I/O","IN"),IF(COUNTIF(Flows!$M$2:$M$1500,$A11&amp;"|"&amp;AY$1&amp;"|Output"),"OUT",""))</f>
        <v/>
      </c>
      <c r="AZ11" s="33" t="str">
        <f aca="false">IF(COUNTIF(Flows!$M$2:$M$1500,$A11&amp;"|"&amp;AZ$1&amp;"|Input"),IF(COUNTIF(Flows!$M$2:$M$1500,$A11&amp;"|"&amp;AZ$1&amp;"|Output"),"I/O","IN"),IF(COUNTIF(Flows!$M$2:$M$1500,$A11&amp;"|"&amp;AZ$1&amp;"|Output"),"OUT",""))</f>
        <v/>
      </c>
      <c r="BA11" s="33" t="str">
        <f aca="false">IF(COUNTIF(Flows!$M$2:$M$1500,$A11&amp;"|"&amp;BA$1&amp;"|Input"),IF(COUNTIF(Flows!$M$2:$M$1500,$A11&amp;"|"&amp;BA$1&amp;"|Output"),"I/O","IN"),IF(COUNTIF(Flows!$M$2:$M$1500,$A11&amp;"|"&amp;BA$1&amp;"|Output"),"OUT",""))</f>
        <v/>
      </c>
      <c r="BB11" s="33" t="str">
        <f aca="false">IF(COUNTIF(Flows!$M$2:$M$1500,$A11&amp;"|"&amp;BB$1&amp;"|Input"),IF(COUNTIF(Flows!$M$2:$M$1500,$A11&amp;"|"&amp;BB$1&amp;"|Output"),"I/O","IN"),IF(COUNTIF(Flows!$M$2:$M$1500,$A11&amp;"|"&amp;BB$1&amp;"|Output"),"OUT",""))</f>
        <v/>
      </c>
      <c r="BC11" s="33" t="str">
        <f aca="false">IF(COUNTIF(Flows!$M$2:$M$1500,$A11&amp;"|"&amp;BC$1&amp;"|Input"),IF(COUNTIF(Flows!$M$2:$M$1500,$A11&amp;"|"&amp;BC$1&amp;"|Output"),"I/O","IN"),IF(COUNTIF(Flows!$M$2:$M$1500,$A11&amp;"|"&amp;BC$1&amp;"|Output"),"OUT",""))</f>
        <v/>
      </c>
      <c r="BD11" s="33" t="str">
        <f aca="false">IF(COUNTIF(Flows!$M$2:$M$1500,$A11&amp;"|"&amp;BD$1&amp;"|Input"),IF(COUNTIF(Flows!$M$2:$M$1500,$A11&amp;"|"&amp;BD$1&amp;"|Output"),"I/O","IN"),IF(COUNTIF(Flows!$M$2:$M$1500,$A11&amp;"|"&amp;BD$1&amp;"|Output"),"OUT",""))</f>
        <v/>
      </c>
      <c r="BE11" s="33" t="str">
        <f aca="false">IF(COUNTIF(Flows!$M$2:$M$1500,$A11&amp;"|"&amp;BE$1&amp;"|Input"),IF(COUNTIF(Flows!$M$2:$M$1500,$A11&amp;"|"&amp;BE$1&amp;"|Output"),"I/O","IN"),IF(COUNTIF(Flows!$M$2:$M$1500,$A11&amp;"|"&amp;BE$1&amp;"|Output"),"OUT",""))</f>
        <v>IN</v>
      </c>
      <c r="BF11" s="33" t="str">
        <f aca="false">IF(COUNTIF(Flows!$M$2:$M$1500,$A11&amp;"|"&amp;BF$1&amp;"|Input"),IF(COUNTIF(Flows!$M$2:$M$1500,$A11&amp;"|"&amp;BF$1&amp;"|Output"),"I/O","IN"),IF(COUNTIF(Flows!$M$2:$M$1500,$A11&amp;"|"&amp;BF$1&amp;"|Output"),"OUT",""))</f>
        <v/>
      </c>
      <c r="BG11" s="33" t="str">
        <f aca="false">IF(COUNTIF(Flows!$M$2:$M$1500,$A11&amp;"|"&amp;BG$1&amp;"|Input"),IF(COUNTIF(Flows!$M$2:$M$1500,$A11&amp;"|"&amp;BG$1&amp;"|Output"),"I/O","IN"),IF(COUNTIF(Flows!$M$2:$M$1500,$A11&amp;"|"&amp;BG$1&amp;"|Output"),"OUT",""))</f>
        <v/>
      </c>
      <c r="BH11" s="33" t="str">
        <f aca="false">IF(COUNTIF(Flows!$M$2:$M$1500,$A11&amp;"|"&amp;BH$1&amp;"|Input"),IF(COUNTIF(Flows!$M$2:$M$1500,$A11&amp;"|"&amp;BH$1&amp;"|Output"),"I/O","IN"),IF(COUNTIF(Flows!$M$2:$M$1500,$A11&amp;"|"&amp;BH$1&amp;"|Output"),"OUT",""))</f>
        <v/>
      </c>
      <c r="BI11" s="33" t="str">
        <f aca="false">IF(COUNTIF(Flows!$M$2:$M$1500,$A11&amp;"|"&amp;BI$1&amp;"|Input"),IF(COUNTIF(Flows!$M$2:$M$1500,$A11&amp;"|"&amp;BI$1&amp;"|Output"),"I/O","IN"),IF(COUNTIF(Flows!$M$2:$M$1500,$A11&amp;"|"&amp;BI$1&amp;"|Output"),"OUT",""))</f>
        <v/>
      </c>
      <c r="BJ11" s="33" t="str">
        <f aca="false">IF(COUNTIF(Flows!$M$2:$M$1500,$A11&amp;"|"&amp;BJ$1&amp;"|Input"),IF(COUNTIF(Flows!$M$2:$M$1500,$A11&amp;"|"&amp;BJ$1&amp;"|Output"),"I/O","IN"),IF(COUNTIF(Flows!$M$2:$M$1500,$A11&amp;"|"&amp;BJ$1&amp;"|Output"),"OUT",""))</f>
        <v/>
      </c>
      <c r="BK11" s="33" t="str">
        <f aca="false">IF(COUNTIF(Flows!$M$2:$M$1500,$A11&amp;"|"&amp;BK$1&amp;"|Input"),IF(COUNTIF(Flows!$M$2:$M$1500,$A11&amp;"|"&amp;BK$1&amp;"|Output"),"I/O","IN"),IF(COUNTIF(Flows!$M$2:$M$1500,$A11&amp;"|"&amp;BK$1&amp;"|Output"),"OUT",""))</f>
        <v/>
      </c>
    </row>
    <row r="12" customFormat="false" ht="15" hidden="false" customHeight="true" outlineLevel="0" collapsed="false">
      <c r="A12" s="6" t="str">
        <f aca="false">Systems!B12</f>
        <v>Green Biomass</v>
      </c>
      <c r="B12" s="33" t="str">
        <f aca="false">IF(COUNTIF(Flows!$M$2:$M$1500,$A12&amp;"|"&amp;B$1&amp;"|Input"),IF(COUNTIF(Flows!$M$2:$M$1500,$A12&amp;"|"&amp;B$1&amp;"|Output"),"I/O","IN"),IF(COUNTIF(Flows!$M$2:$M$1500,$A12&amp;"|"&amp;B$1&amp;"|Output"),"OUT",""))</f>
        <v>IN</v>
      </c>
      <c r="C12" s="33" t="str">
        <f aca="false">IF(COUNTIF(Flows!$M$2:$M$1500,$A12&amp;"|"&amp;C$1&amp;"|Input"),IF(COUNTIF(Flows!$M$2:$M$1500,$A12&amp;"|"&amp;C$1&amp;"|Output"),"I/O","IN"),IF(COUNTIF(Flows!$M$2:$M$1500,$A12&amp;"|"&amp;C$1&amp;"|Output"),"OUT",""))</f>
        <v/>
      </c>
      <c r="D12" s="33" t="str">
        <f aca="false">IF(COUNTIF(Flows!$M$2:$M$1500,$A12&amp;"|"&amp;D$1&amp;"|Input"),IF(COUNTIF(Flows!$M$2:$M$1500,$A12&amp;"|"&amp;D$1&amp;"|Output"),"I/O","IN"),IF(COUNTIF(Flows!$M$2:$M$1500,$A12&amp;"|"&amp;D$1&amp;"|Output"),"OUT",""))</f>
        <v/>
      </c>
      <c r="E12" s="33" t="str">
        <f aca="false">IF(COUNTIF(Flows!$M$2:$M$1500,$A12&amp;"|"&amp;E$1&amp;"|Input"),IF(COUNTIF(Flows!$M$2:$M$1500,$A12&amp;"|"&amp;E$1&amp;"|Output"),"I/O","IN"),IF(COUNTIF(Flows!$M$2:$M$1500,$A12&amp;"|"&amp;E$1&amp;"|Output"),"OUT",""))</f>
        <v/>
      </c>
      <c r="F12" s="33" t="str">
        <f aca="false">IF(COUNTIF(Flows!$M$2:$M$1500,$A12&amp;"|"&amp;F$1&amp;"|Input"),IF(COUNTIF(Flows!$M$2:$M$1500,$A12&amp;"|"&amp;F$1&amp;"|Output"),"I/O","IN"),IF(COUNTIF(Flows!$M$2:$M$1500,$A12&amp;"|"&amp;F$1&amp;"|Output"),"OUT",""))</f>
        <v/>
      </c>
      <c r="G12" s="33" t="str">
        <f aca="false">IF(COUNTIF(Flows!$M$2:$M$1500,$A12&amp;"|"&amp;G$1&amp;"|Input"),IF(COUNTIF(Flows!$M$2:$M$1500,$A12&amp;"|"&amp;G$1&amp;"|Output"),"I/O","IN"),IF(COUNTIF(Flows!$M$2:$M$1500,$A12&amp;"|"&amp;G$1&amp;"|Output"),"OUT",""))</f>
        <v/>
      </c>
      <c r="H12" s="33" t="str">
        <f aca="false">IF(COUNTIF(Flows!$M$2:$M$1500,$A12&amp;"|"&amp;H$1&amp;"|Input"),IF(COUNTIF(Flows!$M$2:$M$1500,$A12&amp;"|"&amp;H$1&amp;"|Output"),"I/O","IN"),IF(COUNTIF(Flows!$M$2:$M$1500,$A12&amp;"|"&amp;H$1&amp;"|Output"),"OUT",""))</f>
        <v/>
      </c>
      <c r="I12" s="33" t="str">
        <f aca="false">IF(COUNTIF(Flows!$M$2:$M$1500,$A12&amp;"|"&amp;I$1&amp;"|Input"),IF(COUNTIF(Flows!$M$2:$M$1500,$A12&amp;"|"&amp;I$1&amp;"|Output"),"I/O","IN"),IF(COUNTIF(Flows!$M$2:$M$1500,$A12&amp;"|"&amp;I$1&amp;"|Output"),"OUT",""))</f>
        <v/>
      </c>
      <c r="J12" s="33" t="str">
        <f aca="false">IF(COUNTIF(Flows!$M$2:$M$1500,$A12&amp;"|"&amp;J$1&amp;"|Input"),IF(COUNTIF(Flows!$M$2:$M$1500,$A12&amp;"|"&amp;J$1&amp;"|Output"),"I/O","IN"),IF(COUNTIF(Flows!$M$2:$M$1500,$A12&amp;"|"&amp;J$1&amp;"|Output"),"OUT",""))</f>
        <v/>
      </c>
      <c r="K12" s="33" t="str">
        <f aca="false">IF(COUNTIF(Flows!$M$2:$M$1500,$A12&amp;"|"&amp;K$1&amp;"|Input"),IF(COUNTIF(Flows!$M$2:$M$1500,$A12&amp;"|"&amp;K$1&amp;"|Output"),"I/O","IN"),IF(COUNTIF(Flows!$M$2:$M$1500,$A12&amp;"|"&amp;K$1&amp;"|Output"),"OUT",""))</f>
        <v/>
      </c>
      <c r="L12" s="33" t="str">
        <f aca="false">IF(COUNTIF(Flows!$M$2:$M$1500,$A12&amp;"|"&amp;L$1&amp;"|Input"),IF(COUNTIF(Flows!$M$2:$M$1500,$A12&amp;"|"&amp;L$1&amp;"|Output"),"I/O","IN"),IF(COUNTIF(Flows!$M$2:$M$1500,$A12&amp;"|"&amp;L$1&amp;"|Output"),"OUT",""))</f>
        <v/>
      </c>
      <c r="M12" s="33" t="str">
        <f aca="false">IF(COUNTIF(Flows!$M$2:$M$1500,$A12&amp;"|"&amp;M$1&amp;"|Input"),IF(COUNTIF(Flows!$M$2:$M$1500,$A12&amp;"|"&amp;M$1&amp;"|Output"),"I/O","IN"),IF(COUNTIF(Flows!$M$2:$M$1500,$A12&amp;"|"&amp;M$1&amp;"|Output"),"OUT",""))</f>
        <v/>
      </c>
      <c r="N12" s="33" t="str">
        <f aca="false">IF(COUNTIF(Flows!$M$2:$M$1500,$A12&amp;"|"&amp;N$1&amp;"|Input"),IF(COUNTIF(Flows!$M$2:$M$1500,$A12&amp;"|"&amp;N$1&amp;"|Output"),"I/O","IN"),IF(COUNTIF(Flows!$M$2:$M$1500,$A12&amp;"|"&amp;N$1&amp;"|Output"),"OUT",""))</f>
        <v/>
      </c>
      <c r="O12" s="33" t="str">
        <f aca="false">IF(COUNTIF(Flows!$M$2:$M$1500,$A12&amp;"|"&amp;O$1&amp;"|Input"),IF(COUNTIF(Flows!$M$2:$M$1500,$A12&amp;"|"&amp;O$1&amp;"|Output"),"I/O","IN"),IF(COUNTIF(Flows!$M$2:$M$1500,$A12&amp;"|"&amp;O$1&amp;"|Output"),"OUT",""))</f>
        <v/>
      </c>
      <c r="P12" s="33" t="str">
        <f aca="false">IF(COUNTIF(Flows!$M$2:$M$1500,$A12&amp;"|"&amp;P$1&amp;"|Input"),IF(COUNTIF(Flows!$M$2:$M$1500,$A12&amp;"|"&amp;P$1&amp;"|Output"),"I/O","IN"),IF(COUNTIF(Flows!$M$2:$M$1500,$A12&amp;"|"&amp;P$1&amp;"|Output"),"OUT",""))</f>
        <v/>
      </c>
      <c r="Q12" s="33" t="str">
        <f aca="false">IF(COUNTIF(Flows!$M$2:$M$1500,$A12&amp;"|"&amp;Q$1&amp;"|Input"),IF(COUNTIF(Flows!$M$2:$M$1500,$A12&amp;"|"&amp;Q$1&amp;"|Output"),"I/O","IN"),IF(COUNTIF(Flows!$M$2:$M$1500,$A12&amp;"|"&amp;Q$1&amp;"|Output"),"OUT",""))</f>
        <v/>
      </c>
      <c r="R12" s="33" t="str">
        <f aca="false">IF(COUNTIF(Flows!$M$2:$M$1500,$A12&amp;"|"&amp;R$1&amp;"|Input"),IF(COUNTIF(Flows!$M$2:$M$1500,$A12&amp;"|"&amp;R$1&amp;"|Output"),"I/O","IN"),IF(COUNTIF(Flows!$M$2:$M$1500,$A12&amp;"|"&amp;R$1&amp;"|Output"),"OUT",""))</f>
        <v/>
      </c>
      <c r="S12" s="33" t="str">
        <f aca="false">IF(COUNTIF(Flows!$M$2:$M$1500,$A12&amp;"|"&amp;S$1&amp;"|Input"),IF(COUNTIF(Flows!$M$2:$M$1500,$A12&amp;"|"&amp;S$1&amp;"|Output"),"I/O","IN"),IF(COUNTIF(Flows!$M$2:$M$1500,$A12&amp;"|"&amp;S$1&amp;"|Output"),"OUT",""))</f>
        <v/>
      </c>
      <c r="T12" s="33" t="str">
        <f aca="false">IF(COUNTIF(Flows!$M$2:$M$1500,$A12&amp;"|"&amp;T$1&amp;"|Input"),IF(COUNTIF(Flows!$M$2:$M$1500,$A12&amp;"|"&amp;T$1&amp;"|Output"),"I/O","IN"),IF(COUNTIF(Flows!$M$2:$M$1500,$A12&amp;"|"&amp;T$1&amp;"|Output"),"OUT",""))</f>
        <v/>
      </c>
      <c r="U12" s="33" t="str">
        <f aca="false">IF(COUNTIF(Flows!$M$2:$M$1500,$A12&amp;"|"&amp;U$1&amp;"|Input"),IF(COUNTIF(Flows!$M$2:$M$1500,$A12&amp;"|"&amp;U$1&amp;"|Output"),"I/O","IN"),IF(COUNTIF(Flows!$M$2:$M$1500,$A12&amp;"|"&amp;U$1&amp;"|Output"),"OUT",""))</f>
        <v/>
      </c>
      <c r="V12" s="33" t="str">
        <f aca="false">IF(COUNTIF(Flows!$M$2:$M$1500,$A12&amp;"|"&amp;V$1&amp;"|Input"),IF(COUNTIF(Flows!$M$2:$M$1500,$A12&amp;"|"&amp;V$1&amp;"|Output"),"I/O","IN"),IF(COUNTIF(Flows!$M$2:$M$1500,$A12&amp;"|"&amp;V$1&amp;"|Output"),"OUT",""))</f>
        <v/>
      </c>
      <c r="W12" s="33" t="str">
        <f aca="false">IF(COUNTIF(Flows!$M$2:$M$1500,$A12&amp;"|"&amp;W$1&amp;"|Input"),IF(COUNTIF(Flows!$M$2:$M$1500,$A12&amp;"|"&amp;W$1&amp;"|Output"),"I/O","IN"),IF(COUNTIF(Flows!$M$2:$M$1500,$A12&amp;"|"&amp;W$1&amp;"|Output"),"OUT",""))</f>
        <v/>
      </c>
      <c r="X12" s="33" t="str">
        <f aca="false">IF(COUNTIF(Flows!$M$2:$M$1500,$A12&amp;"|"&amp;X$1&amp;"|Input"),IF(COUNTIF(Flows!$M$2:$M$1500,$A12&amp;"|"&amp;X$1&amp;"|Output"),"I/O","IN"),IF(COUNTIF(Flows!$M$2:$M$1500,$A12&amp;"|"&amp;X$1&amp;"|Output"),"OUT",""))</f>
        <v>IN</v>
      </c>
      <c r="Y12" s="33" t="str">
        <f aca="false">IF(COUNTIF(Flows!$M$2:$M$1500,$A12&amp;"|"&amp;Y$1&amp;"|Input"),IF(COUNTIF(Flows!$M$2:$M$1500,$A12&amp;"|"&amp;Y$1&amp;"|Output"),"I/O","IN"),IF(COUNTIF(Flows!$M$2:$M$1500,$A12&amp;"|"&amp;Y$1&amp;"|Output"),"OUT",""))</f>
        <v/>
      </c>
      <c r="Z12" s="33" t="str">
        <f aca="false">IF(COUNTIF(Flows!$M$2:$M$1500,$A12&amp;"|"&amp;Z$1&amp;"|Input"),IF(COUNTIF(Flows!$M$2:$M$1500,$A12&amp;"|"&amp;Z$1&amp;"|Output"),"I/O","IN"),IF(COUNTIF(Flows!$M$2:$M$1500,$A12&amp;"|"&amp;Z$1&amp;"|Output"),"OUT",""))</f>
        <v>IN</v>
      </c>
      <c r="AA12" s="33" t="str">
        <f aca="false">IF(COUNTIF(Flows!$M$2:$M$1500,$A12&amp;"|"&amp;AA$1&amp;"|Input"),IF(COUNTIF(Flows!$M$2:$M$1500,$A12&amp;"|"&amp;AA$1&amp;"|Output"),"I/O","IN"),IF(COUNTIF(Flows!$M$2:$M$1500,$A12&amp;"|"&amp;AA$1&amp;"|Output"),"OUT",""))</f>
        <v/>
      </c>
      <c r="AB12" s="33" t="str">
        <f aca="false">IF(COUNTIF(Flows!$M$2:$M$1500,$A12&amp;"|"&amp;AB$1&amp;"|Input"),IF(COUNTIF(Flows!$M$2:$M$1500,$A12&amp;"|"&amp;AB$1&amp;"|Output"),"I/O","IN"),IF(COUNTIF(Flows!$M$2:$M$1500,$A12&amp;"|"&amp;AB$1&amp;"|Output"),"OUT",""))</f>
        <v/>
      </c>
      <c r="AC12" s="33" t="str">
        <f aca="false">IF(COUNTIF(Flows!$M$2:$M$1500,$A12&amp;"|"&amp;AC$1&amp;"|Input"),IF(COUNTIF(Flows!$M$2:$M$1500,$A12&amp;"|"&amp;AC$1&amp;"|Output"),"I/O","IN"),IF(COUNTIF(Flows!$M$2:$M$1500,$A12&amp;"|"&amp;AC$1&amp;"|Output"),"OUT",""))</f>
        <v/>
      </c>
      <c r="AD12" s="33" t="str">
        <f aca="false">IF(COUNTIF(Flows!$M$2:$M$1500,$A12&amp;"|"&amp;AD$1&amp;"|Input"),IF(COUNTIF(Flows!$M$2:$M$1500,$A12&amp;"|"&amp;AD$1&amp;"|Output"),"I/O","IN"),IF(COUNTIF(Flows!$M$2:$M$1500,$A12&amp;"|"&amp;AD$1&amp;"|Output"),"OUT",""))</f>
        <v/>
      </c>
      <c r="AE12" s="33" t="str">
        <f aca="false">IF(COUNTIF(Flows!$M$2:$M$1500,$A12&amp;"|"&amp;AE$1&amp;"|Input"),IF(COUNTIF(Flows!$M$2:$M$1500,$A12&amp;"|"&amp;AE$1&amp;"|Output"),"I/O","IN"),IF(COUNTIF(Flows!$M$2:$M$1500,$A12&amp;"|"&amp;AE$1&amp;"|Output"),"OUT",""))</f>
        <v/>
      </c>
      <c r="AF12" s="33" t="str">
        <f aca="false">IF(COUNTIF(Flows!$M$2:$M$1500,$A12&amp;"|"&amp;AF$1&amp;"|Input"),IF(COUNTIF(Flows!$M$2:$M$1500,$A12&amp;"|"&amp;AF$1&amp;"|Output"),"I/O","IN"),IF(COUNTIF(Flows!$M$2:$M$1500,$A12&amp;"|"&amp;AF$1&amp;"|Output"),"OUT",""))</f>
        <v/>
      </c>
      <c r="AG12" s="33" t="str">
        <f aca="false">IF(COUNTIF(Flows!$M$2:$M$1500,$A12&amp;"|"&amp;AG$1&amp;"|Input"),IF(COUNTIF(Flows!$M$2:$M$1500,$A12&amp;"|"&amp;AG$1&amp;"|Output"),"I/O","IN"),IF(COUNTIF(Flows!$M$2:$M$1500,$A12&amp;"|"&amp;AG$1&amp;"|Output"),"OUT",""))</f>
        <v/>
      </c>
      <c r="AH12" s="33" t="str">
        <f aca="false">IF(COUNTIF(Flows!$M$2:$M$1500,$A12&amp;"|"&amp;AH$1&amp;"|Input"),IF(COUNTIF(Flows!$M$2:$M$1500,$A12&amp;"|"&amp;AH$1&amp;"|Output"),"I/O","IN"),IF(COUNTIF(Flows!$M$2:$M$1500,$A12&amp;"|"&amp;AH$1&amp;"|Output"),"OUT",""))</f>
        <v/>
      </c>
      <c r="AI12" s="33" t="str">
        <f aca="false">IF(COUNTIF(Flows!$M$2:$M$1500,$A12&amp;"|"&amp;AI$1&amp;"|Input"),IF(COUNTIF(Flows!$M$2:$M$1500,$A12&amp;"|"&amp;AI$1&amp;"|Output"),"I/O","IN"),IF(COUNTIF(Flows!$M$2:$M$1500,$A12&amp;"|"&amp;AI$1&amp;"|Output"),"OUT",""))</f>
        <v/>
      </c>
      <c r="AJ12" s="33" t="str">
        <f aca="false">IF(COUNTIF(Flows!$M$2:$M$1500,$A12&amp;"|"&amp;AJ$1&amp;"|Input"),IF(COUNTIF(Flows!$M$2:$M$1500,$A12&amp;"|"&amp;AJ$1&amp;"|Output"),"I/O","IN"),IF(COUNTIF(Flows!$M$2:$M$1500,$A12&amp;"|"&amp;AJ$1&amp;"|Output"),"OUT",""))</f>
        <v/>
      </c>
      <c r="AK12" s="33" t="str">
        <f aca="false">IF(COUNTIF(Flows!$M$2:$M$1500,$A12&amp;"|"&amp;AK$1&amp;"|Input"),IF(COUNTIF(Flows!$M$2:$M$1500,$A12&amp;"|"&amp;AK$1&amp;"|Output"),"I/O","IN"),IF(COUNTIF(Flows!$M$2:$M$1500,$A12&amp;"|"&amp;AK$1&amp;"|Output"),"OUT",""))</f>
        <v/>
      </c>
      <c r="AL12" s="33" t="str">
        <f aca="false">IF(COUNTIF(Flows!$M$2:$M$1500,$A12&amp;"|"&amp;AL$1&amp;"|Input"),IF(COUNTIF(Flows!$M$2:$M$1500,$A12&amp;"|"&amp;AL$1&amp;"|Output"),"I/O","IN"),IF(COUNTIF(Flows!$M$2:$M$1500,$A12&amp;"|"&amp;AL$1&amp;"|Output"),"OUT",""))</f>
        <v/>
      </c>
      <c r="AM12" s="33" t="str">
        <f aca="false">IF(COUNTIF(Flows!$M$2:$M$1500,$A12&amp;"|"&amp;AM$1&amp;"|Input"),IF(COUNTIF(Flows!$M$2:$M$1500,$A12&amp;"|"&amp;AM$1&amp;"|Output"),"I/O","IN"),IF(COUNTIF(Flows!$M$2:$M$1500,$A12&amp;"|"&amp;AM$1&amp;"|Output"),"OUT",""))</f>
        <v/>
      </c>
      <c r="AN12" s="33" t="str">
        <f aca="false">IF(COUNTIF(Flows!$M$2:$M$1500,$A12&amp;"|"&amp;AN$1&amp;"|Input"),IF(COUNTIF(Flows!$M$2:$M$1500,$A12&amp;"|"&amp;AN$1&amp;"|Output"),"I/O","IN"),IF(COUNTIF(Flows!$M$2:$M$1500,$A12&amp;"|"&amp;AN$1&amp;"|Output"),"OUT",""))</f>
        <v/>
      </c>
      <c r="AO12" s="33" t="str">
        <f aca="false">IF(COUNTIF(Flows!$M$2:$M$1500,$A12&amp;"|"&amp;AO$1&amp;"|Input"),IF(COUNTIF(Flows!$M$2:$M$1500,$A12&amp;"|"&amp;AO$1&amp;"|Output"),"I/O","IN"),IF(COUNTIF(Flows!$M$2:$M$1500,$A12&amp;"|"&amp;AO$1&amp;"|Output"),"OUT",""))</f>
        <v/>
      </c>
      <c r="AP12" s="33" t="str">
        <f aca="false">IF(COUNTIF(Flows!$M$2:$M$1500,$A12&amp;"|"&amp;AP$1&amp;"|Input"),IF(COUNTIF(Flows!$M$2:$M$1500,$A12&amp;"|"&amp;AP$1&amp;"|Output"),"I/O","IN"),IF(COUNTIF(Flows!$M$2:$M$1500,$A12&amp;"|"&amp;AP$1&amp;"|Output"),"OUT",""))</f>
        <v>OUT</v>
      </c>
      <c r="AQ12" s="33" t="str">
        <f aca="false">IF(COUNTIF(Flows!$M$2:$M$1500,$A12&amp;"|"&amp;AQ$1&amp;"|Input"),IF(COUNTIF(Flows!$M$2:$M$1500,$A12&amp;"|"&amp;AQ$1&amp;"|Output"),"I/O","IN"),IF(COUNTIF(Flows!$M$2:$M$1500,$A12&amp;"|"&amp;AQ$1&amp;"|Output"),"OUT",""))</f>
        <v/>
      </c>
      <c r="AR12" s="33" t="str">
        <f aca="false">IF(COUNTIF(Flows!$M$2:$M$1500,$A12&amp;"|"&amp;AR$1&amp;"|Input"),IF(COUNTIF(Flows!$M$2:$M$1500,$A12&amp;"|"&amp;AR$1&amp;"|Output"),"I/O","IN"),IF(COUNTIF(Flows!$M$2:$M$1500,$A12&amp;"|"&amp;AR$1&amp;"|Output"),"OUT",""))</f>
        <v/>
      </c>
      <c r="AS12" s="33" t="str">
        <f aca="false">IF(COUNTIF(Flows!$M$2:$M$1500,$A12&amp;"|"&amp;AS$1&amp;"|Input"),IF(COUNTIF(Flows!$M$2:$M$1500,$A12&amp;"|"&amp;AS$1&amp;"|Output"),"I/O","IN"),IF(COUNTIF(Flows!$M$2:$M$1500,$A12&amp;"|"&amp;AS$1&amp;"|Output"),"OUT",""))</f>
        <v/>
      </c>
      <c r="AT12" s="33" t="str">
        <f aca="false">IF(COUNTIF(Flows!$M$2:$M$1500,$A12&amp;"|"&amp;AT$1&amp;"|Input"),IF(COUNTIF(Flows!$M$2:$M$1500,$A12&amp;"|"&amp;AT$1&amp;"|Output"),"I/O","IN"),IF(COUNTIF(Flows!$M$2:$M$1500,$A12&amp;"|"&amp;AT$1&amp;"|Output"),"OUT",""))</f>
        <v/>
      </c>
      <c r="AU12" s="33" t="str">
        <f aca="false">IF(COUNTIF(Flows!$M$2:$M$1500,$A12&amp;"|"&amp;AU$1&amp;"|Input"),IF(COUNTIF(Flows!$M$2:$M$1500,$A12&amp;"|"&amp;AU$1&amp;"|Output"),"I/O","IN"),IF(COUNTIF(Flows!$M$2:$M$1500,$A12&amp;"|"&amp;AU$1&amp;"|Output"),"OUT",""))</f>
        <v/>
      </c>
      <c r="AV12" s="33" t="str">
        <f aca="false">IF(COUNTIF(Flows!$M$2:$M$1500,$A12&amp;"|"&amp;AV$1&amp;"|Input"),IF(COUNTIF(Flows!$M$2:$M$1500,$A12&amp;"|"&amp;AV$1&amp;"|Output"),"I/O","IN"),IF(COUNTIF(Flows!$M$2:$M$1500,$A12&amp;"|"&amp;AV$1&amp;"|Output"),"OUT",""))</f>
        <v/>
      </c>
      <c r="AW12" s="33" t="str">
        <f aca="false">IF(COUNTIF(Flows!$M$2:$M$1500,$A12&amp;"|"&amp;AW$1&amp;"|Input"),IF(COUNTIF(Flows!$M$2:$M$1500,$A12&amp;"|"&amp;AW$1&amp;"|Output"),"I/O","IN"),IF(COUNTIF(Flows!$M$2:$M$1500,$A12&amp;"|"&amp;AW$1&amp;"|Output"),"OUT",""))</f>
        <v/>
      </c>
      <c r="AX12" s="33" t="str">
        <f aca="false">IF(COUNTIF(Flows!$M$2:$M$1500,$A12&amp;"|"&amp;AX$1&amp;"|Input"),IF(COUNTIF(Flows!$M$2:$M$1500,$A12&amp;"|"&amp;AX$1&amp;"|Output"),"I/O","IN"),IF(COUNTIF(Flows!$M$2:$M$1500,$A12&amp;"|"&amp;AX$1&amp;"|Output"),"OUT",""))</f>
        <v/>
      </c>
      <c r="AY12" s="33" t="str">
        <f aca="false">IF(COUNTIF(Flows!$M$2:$M$1500,$A12&amp;"|"&amp;AY$1&amp;"|Input"),IF(COUNTIF(Flows!$M$2:$M$1500,$A12&amp;"|"&amp;AY$1&amp;"|Output"),"I/O","IN"),IF(COUNTIF(Flows!$M$2:$M$1500,$A12&amp;"|"&amp;AY$1&amp;"|Output"),"OUT",""))</f>
        <v/>
      </c>
      <c r="AZ12" s="33" t="str">
        <f aca="false">IF(COUNTIF(Flows!$M$2:$M$1500,$A12&amp;"|"&amp;AZ$1&amp;"|Input"),IF(COUNTIF(Flows!$M$2:$M$1500,$A12&amp;"|"&amp;AZ$1&amp;"|Output"),"I/O","IN"),IF(COUNTIF(Flows!$M$2:$M$1500,$A12&amp;"|"&amp;AZ$1&amp;"|Output"),"OUT",""))</f>
        <v/>
      </c>
      <c r="BA12" s="33" t="str">
        <f aca="false">IF(COUNTIF(Flows!$M$2:$M$1500,$A12&amp;"|"&amp;BA$1&amp;"|Input"),IF(COUNTIF(Flows!$M$2:$M$1500,$A12&amp;"|"&amp;BA$1&amp;"|Output"),"I/O","IN"),IF(COUNTIF(Flows!$M$2:$M$1500,$A12&amp;"|"&amp;BA$1&amp;"|Output"),"OUT",""))</f>
        <v/>
      </c>
      <c r="BB12" s="33" t="str">
        <f aca="false">IF(COUNTIF(Flows!$M$2:$M$1500,$A12&amp;"|"&amp;BB$1&amp;"|Input"),IF(COUNTIF(Flows!$M$2:$M$1500,$A12&amp;"|"&amp;BB$1&amp;"|Output"),"I/O","IN"),IF(COUNTIF(Flows!$M$2:$M$1500,$A12&amp;"|"&amp;BB$1&amp;"|Output"),"OUT",""))</f>
        <v/>
      </c>
      <c r="BC12" s="33" t="str">
        <f aca="false">IF(COUNTIF(Flows!$M$2:$M$1500,$A12&amp;"|"&amp;BC$1&amp;"|Input"),IF(COUNTIF(Flows!$M$2:$M$1500,$A12&amp;"|"&amp;BC$1&amp;"|Output"),"I/O","IN"),IF(COUNTIF(Flows!$M$2:$M$1500,$A12&amp;"|"&amp;BC$1&amp;"|Output"),"OUT",""))</f>
        <v/>
      </c>
      <c r="BD12" s="33" t="str">
        <f aca="false">IF(COUNTIF(Flows!$M$2:$M$1500,$A12&amp;"|"&amp;BD$1&amp;"|Input"),IF(COUNTIF(Flows!$M$2:$M$1500,$A12&amp;"|"&amp;BD$1&amp;"|Output"),"I/O","IN"),IF(COUNTIF(Flows!$M$2:$M$1500,$A12&amp;"|"&amp;BD$1&amp;"|Output"),"OUT",""))</f>
        <v/>
      </c>
      <c r="BE12" s="33" t="str">
        <f aca="false">IF(COUNTIF(Flows!$M$2:$M$1500,$A12&amp;"|"&amp;BE$1&amp;"|Input"),IF(COUNTIF(Flows!$M$2:$M$1500,$A12&amp;"|"&amp;BE$1&amp;"|Output"),"I/O","IN"),IF(COUNTIF(Flows!$M$2:$M$1500,$A12&amp;"|"&amp;BE$1&amp;"|Output"),"OUT",""))</f>
        <v/>
      </c>
      <c r="BF12" s="33" t="str">
        <f aca="false">IF(COUNTIF(Flows!$M$2:$M$1500,$A12&amp;"|"&amp;BF$1&amp;"|Input"),IF(COUNTIF(Flows!$M$2:$M$1500,$A12&amp;"|"&amp;BF$1&amp;"|Output"),"I/O","IN"),IF(COUNTIF(Flows!$M$2:$M$1500,$A12&amp;"|"&amp;BF$1&amp;"|Output"),"OUT",""))</f>
        <v/>
      </c>
      <c r="BG12" s="33" t="str">
        <f aca="false">IF(COUNTIF(Flows!$M$2:$M$1500,$A12&amp;"|"&amp;BG$1&amp;"|Input"),IF(COUNTIF(Flows!$M$2:$M$1500,$A12&amp;"|"&amp;BG$1&amp;"|Output"),"I/O","IN"),IF(COUNTIF(Flows!$M$2:$M$1500,$A12&amp;"|"&amp;BG$1&amp;"|Output"),"OUT",""))</f>
        <v/>
      </c>
      <c r="BH12" s="33" t="str">
        <f aca="false">IF(COUNTIF(Flows!$M$2:$M$1500,$A12&amp;"|"&amp;BH$1&amp;"|Input"),IF(COUNTIF(Flows!$M$2:$M$1500,$A12&amp;"|"&amp;BH$1&amp;"|Output"),"I/O","IN"),IF(COUNTIF(Flows!$M$2:$M$1500,$A12&amp;"|"&amp;BH$1&amp;"|Output"),"OUT",""))</f>
        <v/>
      </c>
      <c r="BI12" s="33" t="str">
        <f aca="false">IF(COUNTIF(Flows!$M$2:$M$1500,$A12&amp;"|"&amp;BI$1&amp;"|Input"),IF(COUNTIF(Flows!$M$2:$M$1500,$A12&amp;"|"&amp;BI$1&amp;"|Output"),"I/O","IN"),IF(COUNTIF(Flows!$M$2:$M$1500,$A12&amp;"|"&amp;BI$1&amp;"|Output"),"OUT",""))</f>
        <v/>
      </c>
      <c r="BJ12" s="33" t="str">
        <f aca="false">IF(COUNTIF(Flows!$M$2:$M$1500,$A12&amp;"|"&amp;BJ$1&amp;"|Input"),IF(COUNTIF(Flows!$M$2:$M$1500,$A12&amp;"|"&amp;BJ$1&amp;"|Output"),"I/O","IN"),IF(COUNTIF(Flows!$M$2:$M$1500,$A12&amp;"|"&amp;BJ$1&amp;"|Output"),"OUT",""))</f>
        <v/>
      </c>
      <c r="BK12" s="33" t="str">
        <f aca="false">IF(COUNTIF(Flows!$M$2:$M$1500,$A12&amp;"|"&amp;BK$1&amp;"|Input"),IF(COUNTIF(Flows!$M$2:$M$1500,$A12&amp;"|"&amp;BK$1&amp;"|Output"),"I/O","IN"),IF(COUNTIF(Flows!$M$2:$M$1500,$A12&amp;"|"&amp;BK$1&amp;"|Output"),"OUT",""))</f>
        <v/>
      </c>
    </row>
    <row r="13" customFormat="false" ht="15" hidden="false" customHeight="true" outlineLevel="0" collapsed="false">
      <c r="A13" s="6" t="str">
        <f aca="false">Systems!B13</f>
        <v>Woody Biomass</v>
      </c>
      <c r="B13" s="33" t="str">
        <f aca="false">IF(COUNTIF(Flows!$M$2:$M$1500,$A13&amp;"|"&amp;B$1&amp;"|Input"),IF(COUNTIF(Flows!$M$2:$M$1500,$A13&amp;"|"&amp;B$1&amp;"|Output"),"I/O","IN"),IF(COUNTIF(Flows!$M$2:$M$1500,$A13&amp;"|"&amp;B$1&amp;"|Output"),"OUT",""))</f>
        <v/>
      </c>
      <c r="C13" s="33" t="str">
        <f aca="false">IF(COUNTIF(Flows!$M$2:$M$1500,$A13&amp;"|"&amp;C$1&amp;"|Input"),IF(COUNTIF(Flows!$M$2:$M$1500,$A13&amp;"|"&amp;C$1&amp;"|Output"),"I/O","IN"),IF(COUNTIF(Flows!$M$2:$M$1500,$A13&amp;"|"&amp;C$1&amp;"|Output"),"OUT",""))</f>
        <v/>
      </c>
      <c r="D13" s="33" t="str">
        <f aca="false">IF(COUNTIF(Flows!$M$2:$M$1500,$A13&amp;"|"&amp;D$1&amp;"|Input"),IF(COUNTIF(Flows!$M$2:$M$1500,$A13&amp;"|"&amp;D$1&amp;"|Output"),"I/O","IN"),IF(COUNTIF(Flows!$M$2:$M$1500,$A13&amp;"|"&amp;D$1&amp;"|Output"),"OUT",""))</f>
        <v/>
      </c>
      <c r="E13" s="33" t="str">
        <f aca="false">IF(COUNTIF(Flows!$M$2:$M$1500,$A13&amp;"|"&amp;E$1&amp;"|Input"),IF(COUNTIF(Flows!$M$2:$M$1500,$A13&amp;"|"&amp;E$1&amp;"|Output"),"I/O","IN"),IF(COUNTIF(Flows!$M$2:$M$1500,$A13&amp;"|"&amp;E$1&amp;"|Output"),"OUT",""))</f>
        <v/>
      </c>
      <c r="F13" s="33" t="str">
        <f aca="false">IF(COUNTIF(Flows!$M$2:$M$1500,$A13&amp;"|"&amp;F$1&amp;"|Input"),IF(COUNTIF(Flows!$M$2:$M$1500,$A13&amp;"|"&amp;F$1&amp;"|Output"),"I/O","IN"),IF(COUNTIF(Flows!$M$2:$M$1500,$A13&amp;"|"&amp;F$1&amp;"|Output"),"OUT",""))</f>
        <v/>
      </c>
      <c r="G13" s="33" t="str">
        <f aca="false">IF(COUNTIF(Flows!$M$2:$M$1500,$A13&amp;"|"&amp;G$1&amp;"|Input"),IF(COUNTIF(Flows!$M$2:$M$1500,$A13&amp;"|"&amp;G$1&amp;"|Output"),"I/O","IN"),IF(COUNTIF(Flows!$M$2:$M$1500,$A13&amp;"|"&amp;G$1&amp;"|Output"),"OUT",""))</f>
        <v/>
      </c>
      <c r="H13" s="33" t="str">
        <f aca="false">IF(COUNTIF(Flows!$M$2:$M$1500,$A13&amp;"|"&amp;H$1&amp;"|Input"),IF(COUNTIF(Flows!$M$2:$M$1500,$A13&amp;"|"&amp;H$1&amp;"|Output"),"I/O","IN"),IF(COUNTIF(Flows!$M$2:$M$1500,$A13&amp;"|"&amp;H$1&amp;"|Output"),"OUT",""))</f>
        <v/>
      </c>
      <c r="I13" s="33" t="str">
        <f aca="false">IF(COUNTIF(Flows!$M$2:$M$1500,$A13&amp;"|"&amp;I$1&amp;"|Input"),IF(COUNTIF(Flows!$M$2:$M$1500,$A13&amp;"|"&amp;I$1&amp;"|Output"),"I/O","IN"),IF(COUNTIF(Flows!$M$2:$M$1500,$A13&amp;"|"&amp;I$1&amp;"|Output"),"OUT",""))</f>
        <v/>
      </c>
      <c r="J13" s="33" t="str">
        <f aca="false">IF(COUNTIF(Flows!$M$2:$M$1500,$A13&amp;"|"&amp;J$1&amp;"|Input"),IF(COUNTIF(Flows!$M$2:$M$1500,$A13&amp;"|"&amp;J$1&amp;"|Output"),"I/O","IN"),IF(COUNTIF(Flows!$M$2:$M$1500,$A13&amp;"|"&amp;J$1&amp;"|Output"),"OUT",""))</f>
        <v/>
      </c>
      <c r="K13" s="33" t="str">
        <f aca="false">IF(COUNTIF(Flows!$M$2:$M$1500,$A13&amp;"|"&amp;K$1&amp;"|Input"),IF(COUNTIF(Flows!$M$2:$M$1500,$A13&amp;"|"&amp;K$1&amp;"|Output"),"I/O","IN"),IF(COUNTIF(Flows!$M$2:$M$1500,$A13&amp;"|"&amp;K$1&amp;"|Output"),"OUT",""))</f>
        <v/>
      </c>
      <c r="L13" s="33" t="str">
        <f aca="false">IF(COUNTIF(Flows!$M$2:$M$1500,$A13&amp;"|"&amp;L$1&amp;"|Input"),IF(COUNTIF(Flows!$M$2:$M$1500,$A13&amp;"|"&amp;L$1&amp;"|Output"),"I/O","IN"),IF(COUNTIF(Flows!$M$2:$M$1500,$A13&amp;"|"&amp;L$1&amp;"|Output"),"OUT",""))</f>
        <v/>
      </c>
      <c r="M13" s="33" t="str">
        <f aca="false">IF(COUNTIF(Flows!$M$2:$M$1500,$A13&amp;"|"&amp;M$1&amp;"|Input"),IF(COUNTIF(Flows!$M$2:$M$1500,$A13&amp;"|"&amp;M$1&amp;"|Output"),"I/O","IN"),IF(COUNTIF(Flows!$M$2:$M$1500,$A13&amp;"|"&amp;M$1&amp;"|Output"),"OUT",""))</f>
        <v/>
      </c>
      <c r="N13" s="33" t="str">
        <f aca="false">IF(COUNTIF(Flows!$M$2:$M$1500,$A13&amp;"|"&amp;N$1&amp;"|Input"),IF(COUNTIF(Flows!$M$2:$M$1500,$A13&amp;"|"&amp;N$1&amp;"|Output"),"I/O","IN"),IF(COUNTIF(Flows!$M$2:$M$1500,$A13&amp;"|"&amp;N$1&amp;"|Output"),"OUT",""))</f>
        <v/>
      </c>
      <c r="O13" s="33" t="str">
        <f aca="false">IF(COUNTIF(Flows!$M$2:$M$1500,$A13&amp;"|"&amp;O$1&amp;"|Input"),IF(COUNTIF(Flows!$M$2:$M$1500,$A13&amp;"|"&amp;O$1&amp;"|Output"),"I/O","IN"),IF(COUNTIF(Flows!$M$2:$M$1500,$A13&amp;"|"&amp;O$1&amp;"|Output"),"OUT",""))</f>
        <v/>
      </c>
      <c r="P13" s="33" t="str">
        <f aca="false">IF(COUNTIF(Flows!$M$2:$M$1500,$A13&amp;"|"&amp;P$1&amp;"|Input"),IF(COUNTIF(Flows!$M$2:$M$1500,$A13&amp;"|"&amp;P$1&amp;"|Output"),"I/O","IN"),IF(COUNTIF(Flows!$M$2:$M$1500,$A13&amp;"|"&amp;P$1&amp;"|Output"),"OUT",""))</f>
        <v/>
      </c>
      <c r="Q13" s="33" t="str">
        <f aca="false">IF(COUNTIF(Flows!$M$2:$M$1500,$A13&amp;"|"&amp;Q$1&amp;"|Input"),IF(COUNTIF(Flows!$M$2:$M$1500,$A13&amp;"|"&amp;Q$1&amp;"|Output"),"I/O","IN"),IF(COUNTIF(Flows!$M$2:$M$1500,$A13&amp;"|"&amp;Q$1&amp;"|Output"),"OUT",""))</f>
        <v/>
      </c>
      <c r="R13" s="33" t="str">
        <f aca="false">IF(COUNTIF(Flows!$M$2:$M$1500,$A13&amp;"|"&amp;R$1&amp;"|Input"),IF(COUNTIF(Flows!$M$2:$M$1500,$A13&amp;"|"&amp;R$1&amp;"|Output"),"I/O","IN"),IF(COUNTIF(Flows!$M$2:$M$1500,$A13&amp;"|"&amp;R$1&amp;"|Output"),"OUT",""))</f>
        <v/>
      </c>
      <c r="S13" s="33" t="str">
        <f aca="false">IF(COUNTIF(Flows!$M$2:$M$1500,$A13&amp;"|"&amp;S$1&amp;"|Input"),IF(COUNTIF(Flows!$M$2:$M$1500,$A13&amp;"|"&amp;S$1&amp;"|Output"),"I/O","IN"),IF(COUNTIF(Flows!$M$2:$M$1500,$A13&amp;"|"&amp;S$1&amp;"|Output"),"OUT",""))</f>
        <v/>
      </c>
      <c r="T13" s="33" t="str">
        <f aca="false">IF(COUNTIF(Flows!$M$2:$M$1500,$A13&amp;"|"&amp;T$1&amp;"|Input"),IF(COUNTIF(Flows!$M$2:$M$1500,$A13&amp;"|"&amp;T$1&amp;"|Output"),"I/O","IN"),IF(COUNTIF(Flows!$M$2:$M$1500,$A13&amp;"|"&amp;T$1&amp;"|Output"),"OUT",""))</f>
        <v/>
      </c>
      <c r="U13" s="33" t="str">
        <f aca="false">IF(COUNTIF(Flows!$M$2:$M$1500,$A13&amp;"|"&amp;U$1&amp;"|Input"),IF(COUNTIF(Flows!$M$2:$M$1500,$A13&amp;"|"&amp;U$1&amp;"|Output"),"I/O","IN"),IF(COUNTIF(Flows!$M$2:$M$1500,$A13&amp;"|"&amp;U$1&amp;"|Output"),"OUT",""))</f>
        <v/>
      </c>
      <c r="V13" s="33" t="str">
        <f aca="false">IF(COUNTIF(Flows!$M$2:$M$1500,$A13&amp;"|"&amp;V$1&amp;"|Input"),IF(COUNTIF(Flows!$M$2:$M$1500,$A13&amp;"|"&amp;V$1&amp;"|Output"),"I/O","IN"),IF(COUNTIF(Flows!$M$2:$M$1500,$A13&amp;"|"&amp;V$1&amp;"|Output"),"OUT",""))</f>
        <v/>
      </c>
      <c r="W13" s="33" t="str">
        <f aca="false">IF(COUNTIF(Flows!$M$2:$M$1500,$A13&amp;"|"&amp;W$1&amp;"|Input"),IF(COUNTIF(Flows!$M$2:$M$1500,$A13&amp;"|"&amp;W$1&amp;"|Output"),"I/O","IN"),IF(COUNTIF(Flows!$M$2:$M$1500,$A13&amp;"|"&amp;W$1&amp;"|Output"),"OUT",""))</f>
        <v/>
      </c>
      <c r="X13" s="33" t="str">
        <f aca="false">IF(COUNTIF(Flows!$M$2:$M$1500,$A13&amp;"|"&amp;X$1&amp;"|Input"),IF(COUNTIF(Flows!$M$2:$M$1500,$A13&amp;"|"&amp;X$1&amp;"|Output"),"I/O","IN"),IF(COUNTIF(Flows!$M$2:$M$1500,$A13&amp;"|"&amp;X$1&amp;"|Output"),"OUT",""))</f>
        <v>IN</v>
      </c>
      <c r="Y13" s="33" t="str">
        <f aca="false">IF(COUNTIF(Flows!$M$2:$M$1500,$A13&amp;"|"&amp;Y$1&amp;"|Input"),IF(COUNTIF(Flows!$M$2:$M$1500,$A13&amp;"|"&amp;Y$1&amp;"|Output"),"I/O","IN"),IF(COUNTIF(Flows!$M$2:$M$1500,$A13&amp;"|"&amp;Y$1&amp;"|Output"),"OUT",""))</f>
        <v/>
      </c>
      <c r="Z13" s="33" t="str">
        <f aca="false">IF(COUNTIF(Flows!$M$2:$M$1500,$A13&amp;"|"&amp;Z$1&amp;"|Input"),IF(COUNTIF(Flows!$M$2:$M$1500,$A13&amp;"|"&amp;Z$1&amp;"|Output"),"I/O","IN"),IF(COUNTIF(Flows!$M$2:$M$1500,$A13&amp;"|"&amp;Z$1&amp;"|Output"),"OUT",""))</f>
        <v/>
      </c>
      <c r="AA13" s="33" t="str">
        <f aca="false">IF(COUNTIF(Flows!$M$2:$M$1500,$A13&amp;"|"&amp;AA$1&amp;"|Input"),IF(COUNTIF(Flows!$M$2:$M$1500,$A13&amp;"|"&amp;AA$1&amp;"|Output"),"I/O","IN"),IF(COUNTIF(Flows!$M$2:$M$1500,$A13&amp;"|"&amp;AA$1&amp;"|Output"),"OUT",""))</f>
        <v/>
      </c>
      <c r="AB13" s="33" t="str">
        <f aca="false">IF(COUNTIF(Flows!$M$2:$M$1500,$A13&amp;"|"&amp;AB$1&amp;"|Input"),IF(COUNTIF(Flows!$M$2:$M$1500,$A13&amp;"|"&amp;AB$1&amp;"|Output"),"I/O","IN"),IF(COUNTIF(Flows!$M$2:$M$1500,$A13&amp;"|"&amp;AB$1&amp;"|Output"),"OUT",""))</f>
        <v/>
      </c>
      <c r="AC13" s="33" t="str">
        <f aca="false">IF(COUNTIF(Flows!$M$2:$M$1500,$A13&amp;"|"&amp;AC$1&amp;"|Input"),IF(COUNTIF(Flows!$M$2:$M$1500,$A13&amp;"|"&amp;AC$1&amp;"|Output"),"I/O","IN"),IF(COUNTIF(Flows!$M$2:$M$1500,$A13&amp;"|"&amp;AC$1&amp;"|Output"),"OUT",""))</f>
        <v/>
      </c>
      <c r="AD13" s="33" t="str">
        <f aca="false">IF(COUNTIF(Flows!$M$2:$M$1500,$A13&amp;"|"&amp;AD$1&amp;"|Input"),IF(COUNTIF(Flows!$M$2:$M$1500,$A13&amp;"|"&amp;AD$1&amp;"|Output"),"I/O","IN"),IF(COUNTIF(Flows!$M$2:$M$1500,$A13&amp;"|"&amp;AD$1&amp;"|Output"),"OUT",""))</f>
        <v/>
      </c>
      <c r="AE13" s="33" t="str">
        <f aca="false">IF(COUNTIF(Flows!$M$2:$M$1500,$A13&amp;"|"&amp;AE$1&amp;"|Input"),IF(COUNTIF(Flows!$M$2:$M$1500,$A13&amp;"|"&amp;AE$1&amp;"|Output"),"I/O","IN"),IF(COUNTIF(Flows!$M$2:$M$1500,$A13&amp;"|"&amp;AE$1&amp;"|Output"),"OUT",""))</f>
        <v/>
      </c>
      <c r="AF13" s="33" t="str">
        <f aca="false">IF(COUNTIF(Flows!$M$2:$M$1500,$A13&amp;"|"&amp;AF$1&amp;"|Input"),IF(COUNTIF(Flows!$M$2:$M$1500,$A13&amp;"|"&amp;AF$1&amp;"|Output"),"I/O","IN"),IF(COUNTIF(Flows!$M$2:$M$1500,$A13&amp;"|"&amp;AF$1&amp;"|Output"),"OUT",""))</f>
        <v/>
      </c>
      <c r="AG13" s="33" t="str">
        <f aca="false">IF(COUNTIF(Flows!$M$2:$M$1500,$A13&amp;"|"&amp;AG$1&amp;"|Input"),IF(COUNTIF(Flows!$M$2:$M$1500,$A13&amp;"|"&amp;AG$1&amp;"|Output"),"I/O","IN"),IF(COUNTIF(Flows!$M$2:$M$1500,$A13&amp;"|"&amp;AG$1&amp;"|Output"),"OUT",""))</f>
        <v/>
      </c>
      <c r="AH13" s="33" t="str">
        <f aca="false">IF(COUNTIF(Flows!$M$2:$M$1500,$A13&amp;"|"&amp;AH$1&amp;"|Input"),IF(COUNTIF(Flows!$M$2:$M$1500,$A13&amp;"|"&amp;AH$1&amp;"|Output"),"I/O","IN"),IF(COUNTIF(Flows!$M$2:$M$1500,$A13&amp;"|"&amp;AH$1&amp;"|Output"),"OUT",""))</f>
        <v/>
      </c>
      <c r="AI13" s="33" t="str">
        <f aca="false">IF(COUNTIF(Flows!$M$2:$M$1500,$A13&amp;"|"&amp;AI$1&amp;"|Input"),IF(COUNTIF(Flows!$M$2:$M$1500,$A13&amp;"|"&amp;AI$1&amp;"|Output"),"I/O","IN"),IF(COUNTIF(Flows!$M$2:$M$1500,$A13&amp;"|"&amp;AI$1&amp;"|Output"),"OUT",""))</f>
        <v/>
      </c>
      <c r="AJ13" s="33" t="str">
        <f aca="false">IF(COUNTIF(Flows!$M$2:$M$1500,$A13&amp;"|"&amp;AJ$1&amp;"|Input"),IF(COUNTIF(Flows!$M$2:$M$1500,$A13&amp;"|"&amp;AJ$1&amp;"|Output"),"I/O","IN"),IF(COUNTIF(Flows!$M$2:$M$1500,$A13&amp;"|"&amp;AJ$1&amp;"|Output"),"OUT",""))</f>
        <v/>
      </c>
      <c r="AK13" s="33" t="str">
        <f aca="false">IF(COUNTIF(Flows!$M$2:$M$1500,$A13&amp;"|"&amp;AK$1&amp;"|Input"),IF(COUNTIF(Flows!$M$2:$M$1500,$A13&amp;"|"&amp;AK$1&amp;"|Output"),"I/O","IN"),IF(COUNTIF(Flows!$M$2:$M$1500,$A13&amp;"|"&amp;AK$1&amp;"|Output"),"OUT",""))</f>
        <v/>
      </c>
      <c r="AL13" s="33" t="str">
        <f aca="false">IF(COUNTIF(Flows!$M$2:$M$1500,$A13&amp;"|"&amp;AL$1&amp;"|Input"),IF(COUNTIF(Flows!$M$2:$M$1500,$A13&amp;"|"&amp;AL$1&amp;"|Output"),"I/O","IN"),IF(COUNTIF(Flows!$M$2:$M$1500,$A13&amp;"|"&amp;AL$1&amp;"|Output"),"OUT",""))</f>
        <v>OUT</v>
      </c>
      <c r="AM13" s="33" t="str">
        <f aca="false">IF(COUNTIF(Flows!$M$2:$M$1500,$A13&amp;"|"&amp;AM$1&amp;"|Input"),IF(COUNTIF(Flows!$M$2:$M$1500,$A13&amp;"|"&amp;AM$1&amp;"|Output"),"I/O","IN"),IF(COUNTIF(Flows!$M$2:$M$1500,$A13&amp;"|"&amp;AM$1&amp;"|Output"),"OUT",""))</f>
        <v/>
      </c>
      <c r="AN13" s="33" t="str">
        <f aca="false">IF(COUNTIF(Flows!$M$2:$M$1500,$A13&amp;"|"&amp;AN$1&amp;"|Input"),IF(COUNTIF(Flows!$M$2:$M$1500,$A13&amp;"|"&amp;AN$1&amp;"|Output"),"I/O","IN"),IF(COUNTIF(Flows!$M$2:$M$1500,$A13&amp;"|"&amp;AN$1&amp;"|Output"),"OUT",""))</f>
        <v/>
      </c>
      <c r="AO13" s="33" t="str">
        <f aca="false">IF(COUNTIF(Flows!$M$2:$M$1500,$A13&amp;"|"&amp;AO$1&amp;"|Input"),IF(COUNTIF(Flows!$M$2:$M$1500,$A13&amp;"|"&amp;AO$1&amp;"|Output"),"I/O","IN"),IF(COUNTIF(Flows!$M$2:$M$1500,$A13&amp;"|"&amp;AO$1&amp;"|Output"),"OUT",""))</f>
        <v/>
      </c>
      <c r="AP13" s="33" t="str">
        <f aca="false">IF(COUNTIF(Flows!$M$2:$M$1500,$A13&amp;"|"&amp;AP$1&amp;"|Input"),IF(COUNTIF(Flows!$M$2:$M$1500,$A13&amp;"|"&amp;AP$1&amp;"|Output"),"I/O","IN"),IF(COUNTIF(Flows!$M$2:$M$1500,$A13&amp;"|"&amp;AP$1&amp;"|Output"),"OUT",""))</f>
        <v/>
      </c>
      <c r="AQ13" s="33" t="str">
        <f aca="false">IF(COUNTIF(Flows!$M$2:$M$1500,$A13&amp;"|"&amp;AQ$1&amp;"|Input"),IF(COUNTIF(Flows!$M$2:$M$1500,$A13&amp;"|"&amp;AQ$1&amp;"|Output"),"I/O","IN"),IF(COUNTIF(Flows!$M$2:$M$1500,$A13&amp;"|"&amp;AQ$1&amp;"|Output"),"OUT",""))</f>
        <v/>
      </c>
      <c r="AR13" s="33" t="str">
        <f aca="false">IF(COUNTIF(Flows!$M$2:$M$1500,$A13&amp;"|"&amp;AR$1&amp;"|Input"),IF(COUNTIF(Flows!$M$2:$M$1500,$A13&amp;"|"&amp;AR$1&amp;"|Output"),"I/O","IN"),IF(COUNTIF(Flows!$M$2:$M$1500,$A13&amp;"|"&amp;AR$1&amp;"|Output"),"OUT",""))</f>
        <v/>
      </c>
      <c r="AS13" s="33" t="str">
        <f aca="false">IF(COUNTIF(Flows!$M$2:$M$1500,$A13&amp;"|"&amp;AS$1&amp;"|Input"),IF(COUNTIF(Flows!$M$2:$M$1500,$A13&amp;"|"&amp;AS$1&amp;"|Output"),"I/O","IN"),IF(COUNTIF(Flows!$M$2:$M$1500,$A13&amp;"|"&amp;AS$1&amp;"|Output"),"OUT",""))</f>
        <v/>
      </c>
      <c r="AT13" s="33" t="str">
        <f aca="false">IF(COUNTIF(Flows!$M$2:$M$1500,$A13&amp;"|"&amp;AT$1&amp;"|Input"),IF(COUNTIF(Flows!$M$2:$M$1500,$A13&amp;"|"&amp;AT$1&amp;"|Output"),"I/O","IN"),IF(COUNTIF(Flows!$M$2:$M$1500,$A13&amp;"|"&amp;AT$1&amp;"|Output"),"OUT",""))</f>
        <v/>
      </c>
      <c r="AU13" s="33" t="str">
        <f aca="false">IF(COUNTIF(Flows!$M$2:$M$1500,$A13&amp;"|"&amp;AU$1&amp;"|Input"),IF(COUNTIF(Flows!$M$2:$M$1500,$A13&amp;"|"&amp;AU$1&amp;"|Output"),"I/O","IN"),IF(COUNTIF(Flows!$M$2:$M$1500,$A13&amp;"|"&amp;AU$1&amp;"|Output"),"OUT",""))</f>
        <v/>
      </c>
      <c r="AV13" s="33" t="str">
        <f aca="false">IF(COUNTIF(Flows!$M$2:$M$1500,$A13&amp;"|"&amp;AV$1&amp;"|Input"),IF(COUNTIF(Flows!$M$2:$M$1500,$A13&amp;"|"&amp;AV$1&amp;"|Output"),"I/O","IN"),IF(COUNTIF(Flows!$M$2:$M$1500,$A13&amp;"|"&amp;AV$1&amp;"|Output"),"OUT",""))</f>
        <v/>
      </c>
      <c r="AW13" s="33" t="str">
        <f aca="false">IF(COUNTIF(Flows!$M$2:$M$1500,$A13&amp;"|"&amp;AW$1&amp;"|Input"),IF(COUNTIF(Flows!$M$2:$M$1500,$A13&amp;"|"&amp;AW$1&amp;"|Output"),"I/O","IN"),IF(COUNTIF(Flows!$M$2:$M$1500,$A13&amp;"|"&amp;AW$1&amp;"|Output"),"OUT",""))</f>
        <v/>
      </c>
      <c r="AX13" s="33" t="str">
        <f aca="false">IF(COUNTIF(Flows!$M$2:$M$1500,$A13&amp;"|"&amp;AX$1&amp;"|Input"),IF(COUNTIF(Flows!$M$2:$M$1500,$A13&amp;"|"&amp;AX$1&amp;"|Output"),"I/O","IN"),IF(COUNTIF(Flows!$M$2:$M$1500,$A13&amp;"|"&amp;AX$1&amp;"|Output"),"OUT",""))</f>
        <v/>
      </c>
      <c r="AY13" s="33" t="str">
        <f aca="false">IF(COUNTIF(Flows!$M$2:$M$1500,$A13&amp;"|"&amp;AY$1&amp;"|Input"),IF(COUNTIF(Flows!$M$2:$M$1500,$A13&amp;"|"&amp;AY$1&amp;"|Output"),"I/O","IN"),IF(COUNTIF(Flows!$M$2:$M$1500,$A13&amp;"|"&amp;AY$1&amp;"|Output"),"OUT",""))</f>
        <v/>
      </c>
      <c r="AZ13" s="33" t="str">
        <f aca="false">IF(COUNTIF(Flows!$M$2:$M$1500,$A13&amp;"|"&amp;AZ$1&amp;"|Input"),IF(COUNTIF(Flows!$M$2:$M$1500,$A13&amp;"|"&amp;AZ$1&amp;"|Output"),"I/O","IN"),IF(COUNTIF(Flows!$M$2:$M$1500,$A13&amp;"|"&amp;AZ$1&amp;"|Output"),"OUT",""))</f>
        <v/>
      </c>
      <c r="BA13" s="33" t="str">
        <f aca="false">IF(COUNTIF(Flows!$M$2:$M$1500,$A13&amp;"|"&amp;BA$1&amp;"|Input"),IF(COUNTIF(Flows!$M$2:$M$1500,$A13&amp;"|"&amp;BA$1&amp;"|Output"),"I/O","IN"),IF(COUNTIF(Flows!$M$2:$M$1500,$A13&amp;"|"&amp;BA$1&amp;"|Output"),"OUT",""))</f>
        <v/>
      </c>
      <c r="BB13" s="33" t="str">
        <f aca="false">IF(COUNTIF(Flows!$M$2:$M$1500,$A13&amp;"|"&amp;BB$1&amp;"|Input"),IF(COUNTIF(Flows!$M$2:$M$1500,$A13&amp;"|"&amp;BB$1&amp;"|Output"),"I/O","IN"),IF(COUNTIF(Flows!$M$2:$M$1500,$A13&amp;"|"&amp;BB$1&amp;"|Output"),"OUT",""))</f>
        <v/>
      </c>
      <c r="BC13" s="33" t="str">
        <f aca="false">IF(COUNTIF(Flows!$M$2:$M$1500,$A13&amp;"|"&amp;BC$1&amp;"|Input"),IF(COUNTIF(Flows!$M$2:$M$1500,$A13&amp;"|"&amp;BC$1&amp;"|Output"),"I/O","IN"),IF(COUNTIF(Flows!$M$2:$M$1500,$A13&amp;"|"&amp;BC$1&amp;"|Output"),"OUT",""))</f>
        <v/>
      </c>
      <c r="BD13" s="33" t="str">
        <f aca="false">IF(COUNTIF(Flows!$M$2:$M$1500,$A13&amp;"|"&amp;BD$1&amp;"|Input"),IF(COUNTIF(Flows!$M$2:$M$1500,$A13&amp;"|"&amp;BD$1&amp;"|Output"),"I/O","IN"),IF(COUNTIF(Flows!$M$2:$M$1500,$A13&amp;"|"&amp;BD$1&amp;"|Output"),"OUT",""))</f>
        <v/>
      </c>
      <c r="BE13" s="33" t="str">
        <f aca="false">IF(COUNTIF(Flows!$M$2:$M$1500,$A13&amp;"|"&amp;BE$1&amp;"|Input"),IF(COUNTIF(Flows!$M$2:$M$1500,$A13&amp;"|"&amp;BE$1&amp;"|Output"),"I/O","IN"),IF(COUNTIF(Flows!$M$2:$M$1500,$A13&amp;"|"&amp;BE$1&amp;"|Output"),"OUT",""))</f>
        <v/>
      </c>
      <c r="BF13" s="33" t="str">
        <f aca="false">IF(COUNTIF(Flows!$M$2:$M$1500,$A13&amp;"|"&amp;BF$1&amp;"|Input"),IF(COUNTIF(Flows!$M$2:$M$1500,$A13&amp;"|"&amp;BF$1&amp;"|Output"),"I/O","IN"),IF(COUNTIF(Flows!$M$2:$M$1500,$A13&amp;"|"&amp;BF$1&amp;"|Output"),"OUT",""))</f>
        <v/>
      </c>
      <c r="BG13" s="33" t="str">
        <f aca="false">IF(COUNTIF(Flows!$M$2:$M$1500,$A13&amp;"|"&amp;BG$1&amp;"|Input"),IF(COUNTIF(Flows!$M$2:$M$1500,$A13&amp;"|"&amp;BG$1&amp;"|Output"),"I/O","IN"),IF(COUNTIF(Flows!$M$2:$M$1500,$A13&amp;"|"&amp;BG$1&amp;"|Output"),"OUT",""))</f>
        <v/>
      </c>
      <c r="BH13" s="33" t="str">
        <f aca="false">IF(COUNTIF(Flows!$M$2:$M$1500,$A13&amp;"|"&amp;BH$1&amp;"|Input"),IF(COUNTIF(Flows!$M$2:$M$1500,$A13&amp;"|"&amp;BH$1&amp;"|Output"),"I/O","IN"),IF(COUNTIF(Flows!$M$2:$M$1500,$A13&amp;"|"&amp;BH$1&amp;"|Output"),"OUT",""))</f>
        <v/>
      </c>
      <c r="BI13" s="33" t="str">
        <f aca="false">IF(COUNTIF(Flows!$M$2:$M$1500,$A13&amp;"|"&amp;BI$1&amp;"|Input"),IF(COUNTIF(Flows!$M$2:$M$1500,$A13&amp;"|"&amp;BI$1&amp;"|Output"),"I/O","IN"),IF(COUNTIF(Flows!$M$2:$M$1500,$A13&amp;"|"&amp;BI$1&amp;"|Output"),"OUT",""))</f>
        <v/>
      </c>
      <c r="BJ13" s="33" t="str">
        <f aca="false">IF(COUNTIF(Flows!$M$2:$M$1500,$A13&amp;"|"&amp;BJ$1&amp;"|Input"),IF(COUNTIF(Flows!$M$2:$M$1500,$A13&amp;"|"&amp;BJ$1&amp;"|Output"),"I/O","IN"),IF(COUNTIF(Flows!$M$2:$M$1500,$A13&amp;"|"&amp;BJ$1&amp;"|Output"),"OUT",""))</f>
        <v/>
      </c>
      <c r="BK13" s="33" t="str">
        <f aca="false">IF(COUNTIF(Flows!$M$2:$M$1500,$A13&amp;"|"&amp;BK$1&amp;"|Input"),IF(COUNTIF(Flows!$M$2:$M$1500,$A13&amp;"|"&amp;BK$1&amp;"|Output"),"I/O","IN"),IF(COUNTIF(Flows!$M$2:$M$1500,$A13&amp;"|"&amp;BK$1&amp;"|Output"),"OUT",""))</f>
        <v/>
      </c>
    </row>
    <row r="14" customFormat="false" ht="15" hidden="false" customHeight="true" outlineLevel="0" collapsed="false">
      <c r="A14" s="6" t="str">
        <f aca="false">Systems!B14</f>
        <v>Firepit</v>
      </c>
      <c r="B14" s="33" t="str">
        <f aca="false">IF(COUNTIF(Flows!$M$2:$M$1500,$A14&amp;"|"&amp;B$1&amp;"|Input"),IF(COUNTIF(Flows!$M$2:$M$1500,$A14&amp;"|"&amp;B$1&amp;"|Output"),"I/O","IN"),IF(COUNTIF(Flows!$M$2:$M$1500,$A14&amp;"|"&amp;B$1&amp;"|Output"),"OUT",""))</f>
        <v/>
      </c>
      <c r="C14" s="33" t="str">
        <f aca="false">IF(COUNTIF(Flows!$M$2:$M$1500,$A14&amp;"|"&amp;C$1&amp;"|Input"),IF(COUNTIF(Flows!$M$2:$M$1500,$A14&amp;"|"&amp;C$1&amp;"|Output"),"I/O","IN"),IF(COUNTIF(Flows!$M$2:$M$1500,$A14&amp;"|"&amp;C$1&amp;"|Output"),"OUT",""))</f>
        <v/>
      </c>
      <c r="D14" s="33" t="str">
        <f aca="false">IF(COUNTIF(Flows!$M$2:$M$1500,$A14&amp;"|"&amp;D$1&amp;"|Input"),IF(COUNTIF(Flows!$M$2:$M$1500,$A14&amp;"|"&amp;D$1&amp;"|Output"),"I/O","IN"),IF(COUNTIF(Flows!$M$2:$M$1500,$A14&amp;"|"&amp;D$1&amp;"|Output"),"OUT",""))</f>
        <v/>
      </c>
      <c r="E14" s="33" t="str">
        <f aca="false">IF(COUNTIF(Flows!$M$2:$M$1500,$A14&amp;"|"&amp;E$1&amp;"|Input"),IF(COUNTIF(Flows!$M$2:$M$1500,$A14&amp;"|"&amp;E$1&amp;"|Output"),"I/O","IN"),IF(COUNTIF(Flows!$M$2:$M$1500,$A14&amp;"|"&amp;E$1&amp;"|Output"),"OUT",""))</f>
        <v/>
      </c>
      <c r="F14" s="33" t="str">
        <f aca="false">IF(COUNTIF(Flows!$M$2:$M$1500,$A14&amp;"|"&amp;F$1&amp;"|Input"),IF(COUNTIF(Flows!$M$2:$M$1500,$A14&amp;"|"&amp;F$1&amp;"|Output"),"I/O","IN"),IF(COUNTIF(Flows!$M$2:$M$1500,$A14&amp;"|"&amp;F$1&amp;"|Output"),"OUT",""))</f>
        <v/>
      </c>
      <c r="G14" s="33" t="str">
        <f aca="false">IF(COUNTIF(Flows!$M$2:$M$1500,$A14&amp;"|"&amp;G$1&amp;"|Input"),IF(COUNTIF(Flows!$M$2:$M$1500,$A14&amp;"|"&amp;G$1&amp;"|Output"),"I/O","IN"),IF(COUNTIF(Flows!$M$2:$M$1500,$A14&amp;"|"&amp;G$1&amp;"|Output"),"OUT",""))</f>
        <v/>
      </c>
      <c r="H14" s="33" t="str">
        <f aca="false">IF(COUNTIF(Flows!$M$2:$M$1500,$A14&amp;"|"&amp;H$1&amp;"|Input"),IF(COUNTIF(Flows!$M$2:$M$1500,$A14&amp;"|"&amp;H$1&amp;"|Output"),"I/O","IN"),IF(COUNTIF(Flows!$M$2:$M$1500,$A14&amp;"|"&amp;H$1&amp;"|Output"),"OUT",""))</f>
        <v/>
      </c>
      <c r="I14" s="33" t="str">
        <f aca="false">IF(COUNTIF(Flows!$M$2:$M$1500,$A14&amp;"|"&amp;I$1&amp;"|Input"),IF(COUNTIF(Flows!$M$2:$M$1500,$A14&amp;"|"&amp;I$1&amp;"|Output"),"I/O","IN"),IF(COUNTIF(Flows!$M$2:$M$1500,$A14&amp;"|"&amp;I$1&amp;"|Output"),"OUT",""))</f>
        <v/>
      </c>
      <c r="J14" s="33" t="str">
        <f aca="false">IF(COUNTIF(Flows!$M$2:$M$1500,$A14&amp;"|"&amp;J$1&amp;"|Input"),IF(COUNTIF(Flows!$M$2:$M$1500,$A14&amp;"|"&amp;J$1&amp;"|Output"),"I/O","IN"),IF(COUNTIF(Flows!$M$2:$M$1500,$A14&amp;"|"&amp;J$1&amp;"|Output"),"OUT",""))</f>
        <v/>
      </c>
      <c r="K14" s="33" t="str">
        <f aca="false">IF(COUNTIF(Flows!$M$2:$M$1500,$A14&amp;"|"&amp;K$1&amp;"|Input"),IF(COUNTIF(Flows!$M$2:$M$1500,$A14&amp;"|"&amp;K$1&amp;"|Output"),"I/O","IN"),IF(COUNTIF(Flows!$M$2:$M$1500,$A14&amp;"|"&amp;K$1&amp;"|Output"),"OUT",""))</f>
        <v/>
      </c>
      <c r="L14" s="33" t="str">
        <f aca="false">IF(COUNTIF(Flows!$M$2:$M$1500,$A14&amp;"|"&amp;L$1&amp;"|Input"),IF(COUNTIF(Flows!$M$2:$M$1500,$A14&amp;"|"&amp;L$1&amp;"|Output"),"I/O","IN"),IF(COUNTIF(Flows!$M$2:$M$1500,$A14&amp;"|"&amp;L$1&amp;"|Output"),"OUT",""))</f>
        <v/>
      </c>
      <c r="M14" s="33" t="str">
        <f aca="false">IF(COUNTIF(Flows!$M$2:$M$1500,$A14&amp;"|"&amp;M$1&amp;"|Input"),IF(COUNTIF(Flows!$M$2:$M$1500,$A14&amp;"|"&amp;M$1&amp;"|Output"),"I/O","IN"),IF(COUNTIF(Flows!$M$2:$M$1500,$A14&amp;"|"&amp;M$1&amp;"|Output"),"OUT",""))</f>
        <v/>
      </c>
      <c r="N14" s="33" t="str">
        <f aca="false">IF(COUNTIF(Flows!$M$2:$M$1500,$A14&amp;"|"&amp;N$1&amp;"|Input"),IF(COUNTIF(Flows!$M$2:$M$1500,$A14&amp;"|"&amp;N$1&amp;"|Output"),"I/O","IN"),IF(COUNTIF(Flows!$M$2:$M$1500,$A14&amp;"|"&amp;N$1&amp;"|Output"),"OUT",""))</f>
        <v/>
      </c>
      <c r="O14" s="33" t="str">
        <f aca="false">IF(COUNTIF(Flows!$M$2:$M$1500,$A14&amp;"|"&amp;O$1&amp;"|Input"),IF(COUNTIF(Flows!$M$2:$M$1500,$A14&amp;"|"&amp;O$1&amp;"|Output"),"I/O","IN"),IF(COUNTIF(Flows!$M$2:$M$1500,$A14&amp;"|"&amp;O$1&amp;"|Output"),"OUT",""))</f>
        <v/>
      </c>
      <c r="P14" s="33" t="str">
        <f aca="false">IF(COUNTIF(Flows!$M$2:$M$1500,$A14&amp;"|"&amp;P$1&amp;"|Input"),IF(COUNTIF(Flows!$M$2:$M$1500,$A14&amp;"|"&amp;P$1&amp;"|Output"),"I/O","IN"),IF(COUNTIF(Flows!$M$2:$M$1500,$A14&amp;"|"&amp;P$1&amp;"|Output"),"OUT",""))</f>
        <v/>
      </c>
      <c r="Q14" s="33" t="str">
        <f aca="false">IF(COUNTIF(Flows!$M$2:$M$1500,$A14&amp;"|"&amp;Q$1&amp;"|Input"),IF(COUNTIF(Flows!$M$2:$M$1500,$A14&amp;"|"&amp;Q$1&amp;"|Output"),"I/O","IN"),IF(COUNTIF(Flows!$M$2:$M$1500,$A14&amp;"|"&amp;Q$1&amp;"|Output"),"OUT",""))</f>
        <v/>
      </c>
      <c r="R14" s="33" t="str">
        <f aca="false">IF(COUNTIF(Flows!$M$2:$M$1500,$A14&amp;"|"&amp;R$1&amp;"|Input"),IF(COUNTIF(Flows!$M$2:$M$1500,$A14&amp;"|"&amp;R$1&amp;"|Output"),"I/O","IN"),IF(COUNTIF(Flows!$M$2:$M$1500,$A14&amp;"|"&amp;R$1&amp;"|Output"),"OUT",""))</f>
        <v/>
      </c>
      <c r="S14" s="33" t="str">
        <f aca="false">IF(COUNTIF(Flows!$M$2:$M$1500,$A14&amp;"|"&amp;S$1&amp;"|Input"),IF(COUNTIF(Flows!$M$2:$M$1500,$A14&amp;"|"&amp;S$1&amp;"|Output"),"I/O","IN"),IF(COUNTIF(Flows!$M$2:$M$1500,$A14&amp;"|"&amp;S$1&amp;"|Output"),"OUT",""))</f>
        <v/>
      </c>
      <c r="T14" s="33" t="str">
        <f aca="false">IF(COUNTIF(Flows!$M$2:$M$1500,$A14&amp;"|"&amp;T$1&amp;"|Input"),IF(COUNTIF(Flows!$M$2:$M$1500,$A14&amp;"|"&amp;T$1&amp;"|Output"),"I/O","IN"),IF(COUNTIF(Flows!$M$2:$M$1500,$A14&amp;"|"&amp;T$1&amp;"|Output"),"OUT",""))</f>
        <v/>
      </c>
      <c r="U14" s="33" t="str">
        <f aca="false">IF(COUNTIF(Flows!$M$2:$M$1500,$A14&amp;"|"&amp;U$1&amp;"|Input"),IF(COUNTIF(Flows!$M$2:$M$1500,$A14&amp;"|"&amp;U$1&amp;"|Output"),"I/O","IN"),IF(COUNTIF(Flows!$M$2:$M$1500,$A14&amp;"|"&amp;U$1&amp;"|Output"),"OUT",""))</f>
        <v>OUT</v>
      </c>
      <c r="V14" s="33" t="str">
        <f aca="false">IF(COUNTIF(Flows!$M$2:$M$1500,$A14&amp;"|"&amp;V$1&amp;"|Input"),IF(COUNTIF(Flows!$M$2:$M$1500,$A14&amp;"|"&amp;V$1&amp;"|Output"),"I/O","IN"),IF(COUNTIF(Flows!$M$2:$M$1500,$A14&amp;"|"&amp;V$1&amp;"|Output"),"OUT",""))</f>
        <v>OUT</v>
      </c>
      <c r="W14" s="33" t="str">
        <f aca="false">IF(COUNTIF(Flows!$M$2:$M$1500,$A14&amp;"|"&amp;W$1&amp;"|Input"),IF(COUNTIF(Flows!$M$2:$M$1500,$A14&amp;"|"&amp;W$1&amp;"|Output"),"I/O","IN"),IF(COUNTIF(Flows!$M$2:$M$1500,$A14&amp;"|"&amp;W$1&amp;"|Output"),"OUT",""))</f>
        <v/>
      </c>
      <c r="X14" s="33" t="str">
        <f aca="false">IF(COUNTIF(Flows!$M$2:$M$1500,$A14&amp;"|"&amp;X$1&amp;"|Input"),IF(COUNTIF(Flows!$M$2:$M$1500,$A14&amp;"|"&amp;X$1&amp;"|Output"),"I/O","IN"),IF(COUNTIF(Flows!$M$2:$M$1500,$A14&amp;"|"&amp;X$1&amp;"|Output"),"OUT",""))</f>
        <v>IN</v>
      </c>
      <c r="Y14" s="33" t="str">
        <f aca="false">IF(COUNTIF(Flows!$M$2:$M$1500,$A14&amp;"|"&amp;Y$1&amp;"|Input"),IF(COUNTIF(Flows!$M$2:$M$1500,$A14&amp;"|"&amp;Y$1&amp;"|Output"),"I/O","IN"),IF(COUNTIF(Flows!$M$2:$M$1500,$A14&amp;"|"&amp;Y$1&amp;"|Output"),"OUT",""))</f>
        <v/>
      </c>
      <c r="Z14" s="33" t="str">
        <f aca="false">IF(COUNTIF(Flows!$M$2:$M$1500,$A14&amp;"|"&amp;Z$1&amp;"|Input"),IF(COUNTIF(Flows!$M$2:$M$1500,$A14&amp;"|"&amp;Z$1&amp;"|Output"),"I/O","IN"),IF(COUNTIF(Flows!$M$2:$M$1500,$A14&amp;"|"&amp;Z$1&amp;"|Output"),"OUT",""))</f>
        <v/>
      </c>
      <c r="AA14" s="33" t="str">
        <f aca="false">IF(COUNTIF(Flows!$M$2:$M$1500,$A14&amp;"|"&amp;AA$1&amp;"|Input"),IF(COUNTIF(Flows!$M$2:$M$1500,$A14&amp;"|"&amp;AA$1&amp;"|Output"),"I/O","IN"),IF(COUNTIF(Flows!$M$2:$M$1500,$A14&amp;"|"&amp;AA$1&amp;"|Output"),"OUT",""))</f>
        <v/>
      </c>
      <c r="AB14" s="33" t="str">
        <f aca="false">IF(COUNTIF(Flows!$M$2:$M$1500,$A14&amp;"|"&amp;AB$1&amp;"|Input"),IF(COUNTIF(Flows!$M$2:$M$1500,$A14&amp;"|"&amp;AB$1&amp;"|Output"),"I/O","IN"),IF(COUNTIF(Flows!$M$2:$M$1500,$A14&amp;"|"&amp;AB$1&amp;"|Output"),"OUT",""))</f>
        <v/>
      </c>
      <c r="AC14" s="33" t="str">
        <f aca="false">IF(COUNTIF(Flows!$M$2:$M$1500,$A14&amp;"|"&amp;AC$1&amp;"|Input"),IF(COUNTIF(Flows!$M$2:$M$1500,$A14&amp;"|"&amp;AC$1&amp;"|Output"),"I/O","IN"),IF(COUNTIF(Flows!$M$2:$M$1500,$A14&amp;"|"&amp;AC$1&amp;"|Output"),"OUT",""))</f>
        <v/>
      </c>
      <c r="AD14" s="33" t="str">
        <f aca="false">IF(COUNTIF(Flows!$M$2:$M$1500,$A14&amp;"|"&amp;AD$1&amp;"|Input"),IF(COUNTIF(Flows!$M$2:$M$1500,$A14&amp;"|"&amp;AD$1&amp;"|Output"),"I/O","IN"),IF(COUNTIF(Flows!$M$2:$M$1500,$A14&amp;"|"&amp;AD$1&amp;"|Output"),"OUT",""))</f>
        <v/>
      </c>
      <c r="AE14" s="33" t="str">
        <f aca="false">IF(COUNTIF(Flows!$M$2:$M$1500,$A14&amp;"|"&amp;AE$1&amp;"|Input"),IF(COUNTIF(Flows!$M$2:$M$1500,$A14&amp;"|"&amp;AE$1&amp;"|Output"),"I/O","IN"),IF(COUNTIF(Flows!$M$2:$M$1500,$A14&amp;"|"&amp;AE$1&amp;"|Output"),"OUT",""))</f>
        <v/>
      </c>
      <c r="AF14" s="33" t="str">
        <f aca="false">IF(COUNTIF(Flows!$M$2:$M$1500,$A14&amp;"|"&amp;AF$1&amp;"|Input"),IF(COUNTIF(Flows!$M$2:$M$1500,$A14&amp;"|"&amp;AF$1&amp;"|Output"),"I/O","IN"),IF(COUNTIF(Flows!$M$2:$M$1500,$A14&amp;"|"&amp;AF$1&amp;"|Output"),"OUT",""))</f>
        <v/>
      </c>
      <c r="AG14" s="33" t="str">
        <f aca="false">IF(COUNTIF(Flows!$M$2:$M$1500,$A14&amp;"|"&amp;AG$1&amp;"|Input"),IF(COUNTIF(Flows!$M$2:$M$1500,$A14&amp;"|"&amp;AG$1&amp;"|Output"),"I/O","IN"),IF(COUNTIF(Flows!$M$2:$M$1500,$A14&amp;"|"&amp;AG$1&amp;"|Output"),"OUT",""))</f>
        <v/>
      </c>
      <c r="AH14" s="33" t="str">
        <f aca="false">IF(COUNTIF(Flows!$M$2:$M$1500,$A14&amp;"|"&amp;AH$1&amp;"|Input"),IF(COUNTIF(Flows!$M$2:$M$1500,$A14&amp;"|"&amp;AH$1&amp;"|Output"),"I/O","IN"),IF(COUNTIF(Flows!$M$2:$M$1500,$A14&amp;"|"&amp;AH$1&amp;"|Output"),"OUT",""))</f>
        <v/>
      </c>
      <c r="AI14" s="33" t="str">
        <f aca="false">IF(COUNTIF(Flows!$M$2:$M$1500,$A14&amp;"|"&amp;AI$1&amp;"|Input"),IF(COUNTIF(Flows!$M$2:$M$1500,$A14&amp;"|"&amp;AI$1&amp;"|Output"),"I/O","IN"),IF(COUNTIF(Flows!$M$2:$M$1500,$A14&amp;"|"&amp;AI$1&amp;"|Output"),"OUT",""))</f>
        <v/>
      </c>
      <c r="AJ14" s="33" t="str">
        <f aca="false">IF(COUNTIF(Flows!$M$2:$M$1500,$A14&amp;"|"&amp;AJ$1&amp;"|Input"),IF(COUNTIF(Flows!$M$2:$M$1500,$A14&amp;"|"&amp;AJ$1&amp;"|Output"),"I/O","IN"),IF(COUNTIF(Flows!$M$2:$M$1500,$A14&amp;"|"&amp;AJ$1&amp;"|Output"),"OUT",""))</f>
        <v/>
      </c>
      <c r="AK14" s="33" t="str">
        <f aca="false">IF(COUNTIF(Flows!$M$2:$M$1500,$A14&amp;"|"&amp;AK$1&amp;"|Input"),IF(COUNTIF(Flows!$M$2:$M$1500,$A14&amp;"|"&amp;AK$1&amp;"|Output"),"I/O","IN"),IF(COUNTIF(Flows!$M$2:$M$1500,$A14&amp;"|"&amp;AK$1&amp;"|Output"),"OUT",""))</f>
        <v/>
      </c>
      <c r="AL14" s="33" t="str">
        <f aca="false">IF(COUNTIF(Flows!$M$2:$M$1500,$A14&amp;"|"&amp;AL$1&amp;"|Input"),IF(COUNTIF(Flows!$M$2:$M$1500,$A14&amp;"|"&amp;AL$1&amp;"|Output"),"I/O","IN"),IF(COUNTIF(Flows!$M$2:$M$1500,$A14&amp;"|"&amp;AL$1&amp;"|Output"),"OUT",""))</f>
        <v>IN</v>
      </c>
      <c r="AM14" s="33" t="str">
        <f aca="false">IF(COUNTIF(Flows!$M$2:$M$1500,$A14&amp;"|"&amp;AM$1&amp;"|Input"),IF(COUNTIF(Flows!$M$2:$M$1500,$A14&amp;"|"&amp;AM$1&amp;"|Output"),"I/O","IN"),IF(COUNTIF(Flows!$M$2:$M$1500,$A14&amp;"|"&amp;AM$1&amp;"|Output"),"OUT",""))</f>
        <v/>
      </c>
      <c r="AN14" s="33" t="str">
        <f aca="false">IF(COUNTIF(Flows!$M$2:$M$1500,$A14&amp;"|"&amp;AN$1&amp;"|Input"),IF(COUNTIF(Flows!$M$2:$M$1500,$A14&amp;"|"&amp;AN$1&amp;"|Output"),"I/O","IN"),IF(COUNTIF(Flows!$M$2:$M$1500,$A14&amp;"|"&amp;AN$1&amp;"|Output"),"OUT",""))</f>
        <v/>
      </c>
      <c r="AO14" s="33" t="str">
        <f aca="false">IF(COUNTIF(Flows!$M$2:$M$1500,$A14&amp;"|"&amp;AO$1&amp;"|Input"),IF(COUNTIF(Flows!$M$2:$M$1500,$A14&amp;"|"&amp;AO$1&amp;"|Output"),"I/O","IN"),IF(COUNTIF(Flows!$M$2:$M$1500,$A14&amp;"|"&amp;AO$1&amp;"|Output"),"OUT",""))</f>
        <v/>
      </c>
      <c r="AP14" s="33" t="str">
        <f aca="false">IF(COUNTIF(Flows!$M$2:$M$1500,$A14&amp;"|"&amp;AP$1&amp;"|Input"),IF(COUNTIF(Flows!$M$2:$M$1500,$A14&amp;"|"&amp;AP$1&amp;"|Output"),"I/O","IN"),IF(COUNTIF(Flows!$M$2:$M$1500,$A14&amp;"|"&amp;AP$1&amp;"|Output"),"OUT",""))</f>
        <v/>
      </c>
      <c r="AQ14" s="33" t="str">
        <f aca="false">IF(COUNTIF(Flows!$M$2:$M$1500,$A14&amp;"|"&amp;AQ$1&amp;"|Input"),IF(COUNTIF(Flows!$M$2:$M$1500,$A14&amp;"|"&amp;AQ$1&amp;"|Output"),"I/O","IN"),IF(COUNTIF(Flows!$M$2:$M$1500,$A14&amp;"|"&amp;AQ$1&amp;"|Output"),"OUT",""))</f>
        <v/>
      </c>
      <c r="AR14" s="33" t="str">
        <f aca="false">IF(COUNTIF(Flows!$M$2:$M$1500,$A14&amp;"|"&amp;AR$1&amp;"|Input"),IF(COUNTIF(Flows!$M$2:$M$1500,$A14&amp;"|"&amp;AR$1&amp;"|Output"),"I/O","IN"),IF(COUNTIF(Flows!$M$2:$M$1500,$A14&amp;"|"&amp;AR$1&amp;"|Output"),"OUT",""))</f>
        <v/>
      </c>
      <c r="AS14" s="33" t="str">
        <f aca="false">IF(COUNTIF(Flows!$M$2:$M$1500,$A14&amp;"|"&amp;AS$1&amp;"|Input"),IF(COUNTIF(Flows!$M$2:$M$1500,$A14&amp;"|"&amp;AS$1&amp;"|Output"),"I/O","IN"),IF(COUNTIF(Flows!$M$2:$M$1500,$A14&amp;"|"&amp;AS$1&amp;"|Output"),"OUT",""))</f>
        <v/>
      </c>
      <c r="AT14" s="33" t="str">
        <f aca="false">IF(COUNTIF(Flows!$M$2:$M$1500,$A14&amp;"|"&amp;AT$1&amp;"|Input"),IF(COUNTIF(Flows!$M$2:$M$1500,$A14&amp;"|"&amp;AT$1&amp;"|Output"),"I/O","IN"),IF(COUNTIF(Flows!$M$2:$M$1500,$A14&amp;"|"&amp;AT$1&amp;"|Output"),"OUT",""))</f>
        <v/>
      </c>
      <c r="AU14" s="33" t="str">
        <f aca="false">IF(COUNTIF(Flows!$M$2:$M$1500,$A14&amp;"|"&amp;AU$1&amp;"|Input"),IF(COUNTIF(Flows!$M$2:$M$1500,$A14&amp;"|"&amp;AU$1&amp;"|Output"),"I/O","IN"),IF(COUNTIF(Flows!$M$2:$M$1500,$A14&amp;"|"&amp;AU$1&amp;"|Output"),"OUT",""))</f>
        <v/>
      </c>
      <c r="AV14" s="33" t="str">
        <f aca="false">IF(COUNTIF(Flows!$M$2:$M$1500,$A14&amp;"|"&amp;AV$1&amp;"|Input"),IF(COUNTIF(Flows!$M$2:$M$1500,$A14&amp;"|"&amp;AV$1&amp;"|Output"),"I/O","IN"),IF(COUNTIF(Flows!$M$2:$M$1500,$A14&amp;"|"&amp;AV$1&amp;"|Output"),"OUT",""))</f>
        <v/>
      </c>
      <c r="AW14" s="33" t="str">
        <f aca="false">IF(COUNTIF(Flows!$M$2:$M$1500,$A14&amp;"|"&amp;AW$1&amp;"|Input"),IF(COUNTIF(Flows!$M$2:$M$1500,$A14&amp;"|"&amp;AW$1&amp;"|Output"),"I/O","IN"),IF(COUNTIF(Flows!$M$2:$M$1500,$A14&amp;"|"&amp;AW$1&amp;"|Output"),"OUT",""))</f>
        <v/>
      </c>
      <c r="AX14" s="33" t="str">
        <f aca="false">IF(COUNTIF(Flows!$M$2:$M$1500,$A14&amp;"|"&amp;AX$1&amp;"|Input"),IF(COUNTIF(Flows!$M$2:$M$1500,$A14&amp;"|"&amp;AX$1&amp;"|Output"),"I/O","IN"),IF(COUNTIF(Flows!$M$2:$M$1500,$A14&amp;"|"&amp;AX$1&amp;"|Output"),"OUT",""))</f>
        <v/>
      </c>
      <c r="AY14" s="33" t="str">
        <f aca="false">IF(COUNTIF(Flows!$M$2:$M$1500,$A14&amp;"|"&amp;AY$1&amp;"|Input"),IF(COUNTIF(Flows!$M$2:$M$1500,$A14&amp;"|"&amp;AY$1&amp;"|Output"),"I/O","IN"),IF(COUNTIF(Flows!$M$2:$M$1500,$A14&amp;"|"&amp;AY$1&amp;"|Output"),"OUT",""))</f>
        <v/>
      </c>
      <c r="AZ14" s="33" t="str">
        <f aca="false">IF(COUNTIF(Flows!$M$2:$M$1500,$A14&amp;"|"&amp;AZ$1&amp;"|Input"),IF(COUNTIF(Flows!$M$2:$M$1500,$A14&amp;"|"&amp;AZ$1&amp;"|Output"),"I/O","IN"),IF(COUNTIF(Flows!$M$2:$M$1500,$A14&amp;"|"&amp;AZ$1&amp;"|Output"),"OUT",""))</f>
        <v/>
      </c>
      <c r="BA14" s="33" t="str">
        <f aca="false">IF(COUNTIF(Flows!$M$2:$M$1500,$A14&amp;"|"&amp;BA$1&amp;"|Input"),IF(COUNTIF(Flows!$M$2:$M$1500,$A14&amp;"|"&amp;BA$1&amp;"|Output"),"I/O","IN"),IF(COUNTIF(Flows!$M$2:$M$1500,$A14&amp;"|"&amp;BA$1&amp;"|Output"),"OUT",""))</f>
        <v/>
      </c>
      <c r="BB14" s="33" t="str">
        <f aca="false">IF(COUNTIF(Flows!$M$2:$M$1500,$A14&amp;"|"&amp;BB$1&amp;"|Input"),IF(COUNTIF(Flows!$M$2:$M$1500,$A14&amp;"|"&amp;BB$1&amp;"|Output"),"I/O","IN"),IF(COUNTIF(Flows!$M$2:$M$1500,$A14&amp;"|"&amp;BB$1&amp;"|Output"),"OUT",""))</f>
        <v/>
      </c>
      <c r="BC14" s="33" t="str">
        <f aca="false">IF(COUNTIF(Flows!$M$2:$M$1500,$A14&amp;"|"&amp;BC$1&amp;"|Input"),IF(COUNTIF(Flows!$M$2:$M$1500,$A14&amp;"|"&amp;BC$1&amp;"|Output"),"I/O","IN"),IF(COUNTIF(Flows!$M$2:$M$1500,$A14&amp;"|"&amp;BC$1&amp;"|Output"),"OUT",""))</f>
        <v/>
      </c>
      <c r="BD14" s="33" t="str">
        <f aca="false">IF(COUNTIF(Flows!$M$2:$M$1500,$A14&amp;"|"&amp;BD$1&amp;"|Input"),IF(COUNTIF(Flows!$M$2:$M$1500,$A14&amp;"|"&amp;BD$1&amp;"|Output"),"I/O","IN"),IF(COUNTIF(Flows!$M$2:$M$1500,$A14&amp;"|"&amp;BD$1&amp;"|Output"),"OUT",""))</f>
        <v/>
      </c>
      <c r="BE14" s="33" t="str">
        <f aca="false">IF(COUNTIF(Flows!$M$2:$M$1500,$A14&amp;"|"&amp;BE$1&amp;"|Input"),IF(COUNTIF(Flows!$M$2:$M$1500,$A14&amp;"|"&amp;BE$1&amp;"|Output"),"I/O","IN"),IF(COUNTIF(Flows!$M$2:$M$1500,$A14&amp;"|"&amp;BE$1&amp;"|Output"),"OUT",""))</f>
        <v/>
      </c>
      <c r="BF14" s="33" t="str">
        <f aca="false">IF(COUNTIF(Flows!$M$2:$M$1500,$A14&amp;"|"&amp;BF$1&amp;"|Input"),IF(COUNTIF(Flows!$M$2:$M$1500,$A14&amp;"|"&amp;BF$1&amp;"|Output"),"I/O","IN"),IF(COUNTIF(Flows!$M$2:$M$1500,$A14&amp;"|"&amp;BF$1&amp;"|Output"),"OUT",""))</f>
        <v/>
      </c>
      <c r="BG14" s="33" t="str">
        <f aca="false">IF(COUNTIF(Flows!$M$2:$M$1500,$A14&amp;"|"&amp;BG$1&amp;"|Input"),IF(COUNTIF(Flows!$M$2:$M$1500,$A14&amp;"|"&amp;BG$1&amp;"|Output"),"I/O","IN"),IF(COUNTIF(Flows!$M$2:$M$1500,$A14&amp;"|"&amp;BG$1&amp;"|Output"),"OUT",""))</f>
        <v/>
      </c>
      <c r="BH14" s="33" t="str">
        <f aca="false">IF(COUNTIF(Flows!$M$2:$M$1500,$A14&amp;"|"&amp;BH$1&amp;"|Input"),IF(COUNTIF(Flows!$M$2:$M$1500,$A14&amp;"|"&amp;BH$1&amp;"|Output"),"I/O","IN"),IF(COUNTIF(Flows!$M$2:$M$1500,$A14&amp;"|"&amp;BH$1&amp;"|Output"),"OUT",""))</f>
        <v/>
      </c>
      <c r="BI14" s="33" t="str">
        <f aca="false">IF(COUNTIF(Flows!$M$2:$M$1500,$A14&amp;"|"&amp;BI$1&amp;"|Input"),IF(COUNTIF(Flows!$M$2:$M$1500,$A14&amp;"|"&amp;BI$1&amp;"|Output"),"I/O","IN"),IF(COUNTIF(Flows!$M$2:$M$1500,$A14&amp;"|"&amp;BI$1&amp;"|Output"),"OUT",""))</f>
        <v/>
      </c>
      <c r="BJ14" s="33" t="str">
        <f aca="false">IF(COUNTIF(Flows!$M$2:$M$1500,$A14&amp;"|"&amp;BJ$1&amp;"|Input"),IF(COUNTIF(Flows!$M$2:$M$1500,$A14&amp;"|"&amp;BJ$1&amp;"|Output"),"I/O","IN"),IF(COUNTIF(Flows!$M$2:$M$1500,$A14&amp;"|"&amp;BJ$1&amp;"|Output"),"OUT",""))</f>
        <v/>
      </c>
      <c r="BK14" s="33" t="str">
        <f aca="false">IF(COUNTIF(Flows!$M$2:$M$1500,$A14&amp;"|"&amp;BK$1&amp;"|Input"),IF(COUNTIF(Flows!$M$2:$M$1500,$A14&amp;"|"&amp;BK$1&amp;"|Output"),"I/O","IN"),IF(COUNTIF(Flows!$M$2:$M$1500,$A14&amp;"|"&amp;BK$1&amp;"|Output"),"OUT",""))</f>
        <v>OUT</v>
      </c>
    </row>
    <row r="15" customFormat="false" ht="15" hidden="false" customHeight="true" outlineLevel="0" collapsed="false">
      <c r="A15" s="6" t="str">
        <f aca="false">Systems!B15</f>
        <v>Livestock Guardian Dog</v>
      </c>
      <c r="B15" s="33" t="str">
        <f aca="false">IF(COUNTIF(Flows!$M$2:$M$1500,$A15&amp;"|"&amp;B$1&amp;"|Input"),IF(COUNTIF(Flows!$M$2:$M$1500,$A15&amp;"|"&amp;B$1&amp;"|Output"),"I/O","IN"),IF(COUNTIF(Flows!$M$2:$M$1500,$A15&amp;"|"&amp;B$1&amp;"|Output"),"OUT",""))</f>
        <v>IN</v>
      </c>
      <c r="C15" s="33" t="str">
        <f aca="false">IF(COUNTIF(Flows!$M$2:$M$1500,$A15&amp;"|"&amp;C$1&amp;"|Input"),IF(COUNTIF(Flows!$M$2:$M$1500,$A15&amp;"|"&amp;C$1&amp;"|Output"),"I/O","IN"),IF(COUNTIF(Flows!$M$2:$M$1500,$A15&amp;"|"&amp;C$1&amp;"|Output"),"OUT",""))</f>
        <v/>
      </c>
      <c r="D15" s="33" t="str">
        <f aca="false">IF(COUNTIF(Flows!$M$2:$M$1500,$A15&amp;"|"&amp;D$1&amp;"|Input"),IF(COUNTIF(Flows!$M$2:$M$1500,$A15&amp;"|"&amp;D$1&amp;"|Output"),"I/O","IN"),IF(COUNTIF(Flows!$M$2:$M$1500,$A15&amp;"|"&amp;D$1&amp;"|Output"),"OUT",""))</f>
        <v/>
      </c>
      <c r="E15" s="33" t="str">
        <f aca="false">IF(COUNTIF(Flows!$M$2:$M$1500,$A15&amp;"|"&amp;E$1&amp;"|Input"),IF(COUNTIF(Flows!$M$2:$M$1500,$A15&amp;"|"&amp;E$1&amp;"|Output"),"I/O","IN"),IF(COUNTIF(Flows!$M$2:$M$1500,$A15&amp;"|"&amp;E$1&amp;"|Output"),"OUT",""))</f>
        <v/>
      </c>
      <c r="F15" s="33" t="str">
        <f aca="false">IF(COUNTIF(Flows!$M$2:$M$1500,$A15&amp;"|"&amp;F$1&amp;"|Input"),IF(COUNTIF(Flows!$M$2:$M$1500,$A15&amp;"|"&amp;F$1&amp;"|Output"),"I/O","IN"),IF(COUNTIF(Flows!$M$2:$M$1500,$A15&amp;"|"&amp;F$1&amp;"|Output"),"OUT",""))</f>
        <v>IN</v>
      </c>
      <c r="G15" s="33" t="str">
        <f aca="false">IF(COUNTIF(Flows!$M$2:$M$1500,$A15&amp;"|"&amp;G$1&amp;"|Input"),IF(COUNTIF(Flows!$M$2:$M$1500,$A15&amp;"|"&amp;G$1&amp;"|Output"),"I/O","IN"),IF(COUNTIF(Flows!$M$2:$M$1500,$A15&amp;"|"&amp;G$1&amp;"|Output"),"OUT",""))</f>
        <v/>
      </c>
      <c r="H15" s="33" t="str">
        <f aca="false">IF(COUNTIF(Flows!$M$2:$M$1500,$A15&amp;"|"&amp;H$1&amp;"|Input"),IF(COUNTIF(Flows!$M$2:$M$1500,$A15&amp;"|"&amp;H$1&amp;"|Output"),"I/O","IN"),IF(COUNTIF(Flows!$M$2:$M$1500,$A15&amp;"|"&amp;H$1&amp;"|Output"),"OUT",""))</f>
        <v/>
      </c>
      <c r="I15" s="33" t="str">
        <f aca="false">IF(COUNTIF(Flows!$M$2:$M$1500,$A15&amp;"|"&amp;I$1&amp;"|Input"),IF(COUNTIF(Flows!$M$2:$M$1500,$A15&amp;"|"&amp;I$1&amp;"|Output"),"I/O","IN"),IF(COUNTIF(Flows!$M$2:$M$1500,$A15&amp;"|"&amp;I$1&amp;"|Output"),"OUT",""))</f>
        <v/>
      </c>
      <c r="J15" s="33" t="str">
        <f aca="false">IF(COUNTIF(Flows!$M$2:$M$1500,$A15&amp;"|"&amp;J$1&amp;"|Input"),IF(COUNTIF(Flows!$M$2:$M$1500,$A15&amp;"|"&amp;J$1&amp;"|Output"),"I/O","IN"),IF(COUNTIF(Flows!$M$2:$M$1500,$A15&amp;"|"&amp;J$1&amp;"|Output"),"OUT",""))</f>
        <v/>
      </c>
      <c r="K15" s="33" t="str">
        <f aca="false">IF(COUNTIF(Flows!$M$2:$M$1500,$A15&amp;"|"&amp;K$1&amp;"|Input"),IF(COUNTIF(Flows!$M$2:$M$1500,$A15&amp;"|"&amp;K$1&amp;"|Output"),"I/O","IN"),IF(COUNTIF(Flows!$M$2:$M$1500,$A15&amp;"|"&amp;K$1&amp;"|Output"),"OUT",""))</f>
        <v/>
      </c>
      <c r="L15" s="33" t="str">
        <f aca="false">IF(COUNTIF(Flows!$M$2:$M$1500,$A15&amp;"|"&amp;L$1&amp;"|Input"),IF(COUNTIF(Flows!$M$2:$M$1500,$A15&amp;"|"&amp;L$1&amp;"|Output"),"I/O","IN"),IF(COUNTIF(Flows!$M$2:$M$1500,$A15&amp;"|"&amp;L$1&amp;"|Output"),"OUT",""))</f>
        <v/>
      </c>
      <c r="M15" s="33" t="str">
        <f aca="false">IF(COUNTIF(Flows!$M$2:$M$1500,$A15&amp;"|"&amp;M$1&amp;"|Input"),IF(COUNTIF(Flows!$M$2:$M$1500,$A15&amp;"|"&amp;M$1&amp;"|Output"),"I/O","IN"),IF(COUNTIF(Flows!$M$2:$M$1500,$A15&amp;"|"&amp;M$1&amp;"|Output"),"OUT",""))</f>
        <v/>
      </c>
      <c r="N15" s="33" t="str">
        <f aca="false">IF(COUNTIF(Flows!$M$2:$M$1500,$A15&amp;"|"&amp;N$1&amp;"|Input"),IF(COUNTIF(Flows!$M$2:$M$1500,$A15&amp;"|"&amp;N$1&amp;"|Output"),"I/O","IN"),IF(COUNTIF(Flows!$M$2:$M$1500,$A15&amp;"|"&amp;N$1&amp;"|Output"),"OUT",""))</f>
        <v/>
      </c>
      <c r="O15" s="33" t="str">
        <f aca="false">IF(COUNTIF(Flows!$M$2:$M$1500,$A15&amp;"|"&amp;O$1&amp;"|Input"),IF(COUNTIF(Flows!$M$2:$M$1500,$A15&amp;"|"&amp;O$1&amp;"|Output"),"I/O","IN"),IF(COUNTIF(Flows!$M$2:$M$1500,$A15&amp;"|"&amp;O$1&amp;"|Output"),"OUT",""))</f>
        <v/>
      </c>
      <c r="P15" s="33" t="str">
        <f aca="false">IF(COUNTIF(Flows!$M$2:$M$1500,$A15&amp;"|"&amp;P$1&amp;"|Input"),IF(COUNTIF(Flows!$M$2:$M$1500,$A15&amp;"|"&amp;P$1&amp;"|Output"),"I/O","IN"),IF(COUNTIF(Flows!$M$2:$M$1500,$A15&amp;"|"&amp;P$1&amp;"|Output"),"OUT",""))</f>
        <v/>
      </c>
      <c r="Q15" s="33" t="str">
        <f aca="false">IF(COUNTIF(Flows!$M$2:$M$1500,$A15&amp;"|"&amp;Q$1&amp;"|Input"),IF(COUNTIF(Flows!$M$2:$M$1500,$A15&amp;"|"&amp;Q$1&amp;"|Output"),"I/O","IN"),IF(COUNTIF(Flows!$M$2:$M$1500,$A15&amp;"|"&amp;Q$1&amp;"|Output"),"OUT",""))</f>
        <v/>
      </c>
      <c r="R15" s="33" t="str">
        <f aca="false">IF(COUNTIF(Flows!$M$2:$M$1500,$A15&amp;"|"&amp;R$1&amp;"|Input"),IF(COUNTIF(Flows!$M$2:$M$1500,$A15&amp;"|"&amp;R$1&amp;"|Output"),"I/O","IN"),IF(COUNTIF(Flows!$M$2:$M$1500,$A15&amp;"|"&amp;R$1&amp;"|Output"),"OUT",""))</f>
        <v/>
      </c>
      <c r="S15" s="33" t="str">
        <f aca="false">IF(COUNTIF(Flows!$M$2:$M$1500,$A15&amp;"|"&amp;S$1&amp;"|Input"),IF(COUNTIF(Flows!$M$2:$M$1500,$A15&amp;"|"&amp;S$1&amp;"|Output"),"I/O","IN"),IF(COUNTIF(Flows!$M$2:$M$1500,$A15&amp;"|"&amp;S$1&amp;"|Output"),"OUT",""))</f>
        <v/>
      </c>
      <c r="T15" s="33" t="str">
        <f aca="false">IF(COUNTIF(Flows!$M$2:$M$1500,$A15&amp;"|"&amp;T$1&amp;"|Input"),IF(COUNTIF(Flows!$M$2:$M$1500,$A15&amp;"|"&amp;T$1&amp;"|Output"),"I/O","IN"),IF(COUNTIF(Flows!$M$2:$M$1500,$A15&amp;"|"&amp;T$1&amp;"|Output"),"OUT",""))</f>
        <v/>
      </c>
      <c r="U15" s="33" t="str">
        <f aca="false">IF(COUNTIF(Flows!$M$2:$M$1500,$A15&amp;"|"&amp;U$1&amp;"|Input"),IF(COUNTIF(Flows!$M$2:$M$1500,$A15&amp;"|"&amp;U$1&amp;"|Output"),"I/O","IN"),IF(COUNTIF(Flows!$M$2:$M$1500,$A15&amp;"|"&amp;U$1&amp;"|Output"),"OUT",""))</f>
        <v/>
      </c>
      <c r="V15" s="33" t="str">
        <f aca="false">IF(COUNTIF(Flows!$M$2:$M$1500,$A15&amp;"|"&amp;V$1&amp;"|Input"),IF(COUNTIF(Flows!$M$2:$M$1500,$A15&amp;"|"&amp;V$1&amp;"|Output"),"I/O","IN"),IF(COUNTIF(Flows!$M$2:$M$1500,$A15&amp;"|"&amp;V$1&amp;"|Output"),"OUT",""))</f>
        <v/>
      </c>
      <c r="W15" s="33" t="str">
        <f aca="false">IF(COUNTIF(Flows!$M$2:$M$1500,$A15&amp;"|"&amp;W$1&amp;"|Input"),IF(COUNTIF(Flows!$M$2:$M$1500,$A15&amp;"|"&amp;W$1&amp;"|Output"),"I/O","IN"),IF(COUNTIF(Flows!$M$2:$M$1500,$A15&amp;"|"&amp;W$1&amp;"|Output"),"OUT",""))</f>
        <v/>
      </c>
      <c r="X15" s="33" t="str">
        <f aca="false">IF(COUNTIF(Flows!$M$2:$M$1500,$A15&amp;"|"&amp;X$1&amp;"|Input"),IF(COUNTIF(Flows!$M$2:$M$1500,$A15&amp;"|"&amp;X$1&amp;"|Output"),"I/O","IN"),IF(COUNTIF(Flows!$M$2:$M$1500,$A15&amp;"|"&amp;X$1&amp;"|Output"),"OUT",""))</f>
        <v>IN</v>
      </c>
      <c r="Y15" s="33" t="str">
        <f aca="false">IF(COUNTIF(Flows!$M$2:$M$1500,$A15&amp;"|"&amp;Y$1&amp;"|Input"),IF(COUNTIF(Flows!$M$2:$M$1500,$A15&amp;"|"&amp;Y$1&amp;"|Output"),"I/O","IN"),IF(COUNTIF(Flows!$M$2:$M$1500,$A15&amp;"|"&amp;Y$1&amp;"|Output"),"OUT",""))</f>
        <v/>
      </c>
      <c r="Z15" s="33" t="str">
        <f aca="false">IF(COUNTIF(Flows!$M$2:$M$1500,$A15&amp;"|"&amp;Z$1&amp;"|Input"),IF(COUNTIF(Flows!$M$2:$M$1500,$A15&amp;"|"&amp;Z$1&amp;"|Output"),"I/O","IN"),IF(COUNTIF(Flows!$M$2:$M$1500,$A15&amp;"|"&amp;Z$1&amp;"|Output"),"OUT",""))</f>
        <v/>
      </c>
      <c r="AA15" s="33" t="str">
        <f aca="false">IF(COUNTIF(Flows!$M$2:$M$1500,$A15&amp;"|"&amp;AA$1&amp;"|Input"),IF(COUNTIF(Flows!$M$2:$M$1500,$A15&amp;"|"&amp;AA$1&amp;"|Output"),"I/O","IN"),IF(COUNTIF(Flows!$M$2:$M$1500,$A15&amp;"|"&amp;AA$1&amp;"|Output"),"OUT",""))</f>
        <v/>
      </c>
      <c r="AB15" s="33" t="str">
        <f aca="false">IF(COUNTIF(Flows!$M$2:$M$1500,$A15&amp;"|"&amp;AB$1&amp;"|Input"),IF(COUNTIF(Flows!$M$2:$M$1500,$A15&amp;"|"&amp;AB$1&amp;"|Output"),"I/O","IN"),IF(COUNTIF(Flows!$M$2:$M$1500,$A15&amp;"|"&amp;AB$1&amp;"|Output"),"OUT",""))</f>
        <v/>
      </c>
      <c r="AC15" s="33" t="str">
        <f aca="false">IF(COUNTIF(Flows!$M$2:$M$1500,$A15&amp;"|"&amp;AC$1&amp;"|Input"),IF(COUNTIF(Flows!$M$2:$M$1500,$A15&amp;"|"&amp;AC$1&amp;"|Output"),"I/O","IN"),IF(COUNTIF(Flows!$M$2:$M$1500,$A15&amp;"|"&amp;AC$1&amp;"|Output"),"OUT",""))</f>
        <v/>
      </c>
      <c r="AD15" s="33" t="str">
        <f aca="false">IF(COUNTIF(Flows!$M$2:$M$1500,$A15&amp;"|"&amp;AD$1&amp;"|Input"),IF(COUNTIF(Flows!$M$2:$M$1500,$A15&amp;"|"&amp;AD$1&amp;"|Output"),"I/O","IN"),IF(COUNTIF(Flows!$M$2:$M$1500,$A15&amp;"|"&amp;AD$1&amp;"|Output"),"OUT",""))</f>
        <v/>
      </c>
      <c r="AE15" s="33" t="str">
        <f aca="false">IF(COUNTIF(Flows!$M$2:$M$1500,$A15&amp;"|"&amp;AE$1&amp;"|Input"),IF(COUNTIF(Flows!$M$2:$M$1500,$A15&amp;"|"&amp;AE$1&amp;"|Output"),"I/O","IN"),IF(COUNTIF(Flows!$M$2:$M$1500,$A15&amp;"|"&amp;AE$1&amp;"|Output"),"OUT",""))</f>
        <v/>
      </c>
      <c r="AF15" s="33" t="str">
        <f aca="false">IF(COUNTIF(Flows!$M$2:$M$1500,$A15&amp;"|"&amp;AF$1&amp;"|Input"),IF(COUNTIF(Flows!$M$2:$M$1500,$A15&amp;"|"&amp;AF$1&amp;"|Output"),"I/O","IN"),IF(COUNTIF(Flows!$M$2:$M$1500,$A15&amp;"|"&amp;AF$1&amp;"|Output"),"OUT",""))</f>
        <v/>
      </c>
      <c r="AG15" s="33" t="str">
        <f aca="false">IF(COUNTIF(Flows!$M$2:$M$1500,$A15&amp;"|"&amp;AG$1&amp;"|Input"),IF(COUNTIF(Flows!$M$2:$M$1500,$A15&amp;"|"&amp;AG$1&amp;"|Output"),"I/O","IN"),IF(COUNTIF(Flows!$M$2:$M$1500,$A15&amp;"|"&amp;AG$1&amp;"|Output"),"OUT",""))</f>
        <v/>
      </c>
      <c r="AH15" s="33" t="str">
        <f aca="false">IF(COUNTIF(Flows!$M$2:$M$1500,$A15&amp;"|"&amp;AH$1&amp;"|Input"),IF(COUNTIF(Flows!$M$2:$M$1500,$A15&amp;"|"&amp;AH$1&amp;"|Output"),"I/O","IN"),IF(COUNTIF(Flows!$M$2:$M$1500,$A15&amp;"|"&amp;AH$1&amp;"|Output"),"OUT",""))</f>
        <v/>
      </c>
      <c r="AI15" s="33" t="str">
        <f aca="false">IF(COUNTIF(Flows!$M$2:$M$1500,$A15&amp;"|"&amp;AI$1&amp;"|Input"),IF(COUNTIF(Flows!$M$2:$M$1500,$A15&amp;"|"&amp;AI$1&amp;"|Output"),"I/O","IN"),IF(COUNTIF(Flows!$M$2:$M$1500,$A15&amp;"|"&amp;AI$1&amp;"|Output"),"OUT",""))</f>
        <v/>
      </c>
      <c r="AJ15" s="33" t="str">
        <f aca="false">IF(COUNTIF(Flows!$M$2:$M$1500,$A15&amp;"|"&amp;AJ$1&amp;"|Input"),IF(COUNTIF(Flows!$M$2:$M$1500,$A15&amp;"|"&amp;AJ$1&amp;"|Output"),"I/O","IN"),IF(COUNTIF(Flows!$M$2:$M$1500,$A15&amp;"|"&amp;AJ$1&amp;"|Output"),"OUT",""))</f>
        <v/>
      </c>
      <c r="AK15" s="33" t="str">
        <f aca="false">IF(COUNTIF(Flows!$M$2:$M$1500,$A15&amp;"|"&amp;AK$1&amp;"|Input"),IF(COUNTIF(Flows!$M$2:$M$1500,$A15&amp;"|"&amp;AK$1&amp;"|Output"),"I/O","IN"),IF(COUNTIF(Flows!$M$2:$M$1500,$A15&amp;"|"&amp;AK$1&amp;"|Output"),"OUT",""))</f>
        <v/>
      </c>
      <c r="AL15" s="33" t="str">
        <f aca="false">IF(COUNTIF(Flows!$M$2:$M$1500,$A15&amp;"|"&amp;AL$1&amp;"|Input"),IF(COUNTIF(Flows!$M$2:$M$1500,$A15&amp;"|"&amp;AL$1&amp;"|Output"),"I/O","IN"),IF(COUNTIF(Flows!$M$2:$M$1500,$A15&amp;"|"&amp;AL$1&amp;"|Output"),"OUT",""))</f>
        <v/>
      </c>
      <c r="AM15" s="33" t="str">
        <f aca="false">IF(COUNTIF(Flows!$M$2:$M$1500,$A15&amp;"|"&amp;AM$1&amp;"|Input"),IF(COUNTIF(Flows!$M$2:$M$1500,$A15&amp;"|"&amp;AM$1&amp;"|Output"),"I/O","IN"),IF(COUNTIF(Flows!$M$2:$M$1500,$A15&amp;"|"&amp;AM$1&amp;"|Output"),"OUT",""))</f>
        <v/>
      </c>
      <c r="AN15" s="33" t="str">
        <f aca="false">IF(COUNTIF(Flows!$M$2:$M$1500,$A15&amp;"|"&amp;AN$1&amp;"|Input"),IF(COUNTIF(Flows!$M$2:$M$1500,$A15&amp;"|"&amp;AN$1&amp;"|Output"),"I/O","IN"),IF(COUNTIF(Flows!$M$2:$M$1500,$A15&amp;"|"&amp;AN$1&amp;"|Output"),"OUT",""))</f>
        <v/>
      </c>
      <c r="AO15" s="33" t="str">
        <f aca="false">IF(COUNTIF(Flows!$M$2:$M$1500,$A15&amp;"|"&amp;AO$1&amp;"|Input"),IF(COUNTIF(Flows!$M$2:$M$1500,$A15&amp;"|"&amp;AO$1&amp;"|Output"),"I/O","IN"),IF(COUNTIF(Flows!$M$2:$M$1500,$A15&amp;"|"&amp;AO$1&amp;"|Output"),"OUT",""))</f>
        <v/>
      </c>
      <c r="AP15" s="33" t="str">
        <f aca="false">IF(COUNTIF(Flows!$M$2:$M$1500,$A15&amp;"|"&amp;AP$1&amp;"|Input"),IF(COUNTIF(Flows!$M$2:$M$1500,$A15&amp;"|"&amp;AP$1&amp;"|Output"),"I/O","IN"),IF(COUNTIF(Flows!$M$2:$M$1500,$A15&amp;"|"&amp;AP$1&amp;"|Output"),"OUT",""))</f>
        <v/>
      </c>
      <c r="AQ15" s="33" t="str">
        <f aca="false">IF(COUNTIF(Flows!$M$2:$M$1500,$A15&amp;"|"&amp;AQ$1&amp;"|Input"),IF(COUNTIF(Flows!$M$2:$M$1500,$A15&amp;"|"&amp;AQ$1&amp;"|Output"),"I/O","IN"),IF(COUNTIF(Flows!$M$2:$M$1500,$A15&amp;"|"&amp;AQ$1&amp;"|Output"),"OUT",""))</f>
        <v/>
      </c>
      <c r="AR15" s="33" t="str">
        <f aca="false">IF(COUNTIF(Flows!$M$2:$M$1500,$A15&amp;"|"&amp;AR$1&amp;"|Input"),IF(COUNTIF(Flows!$M$2:$M$1500,$A15&amp;"|"&amp;AR$1&amp;"|Output"),"I/O","IN"),IF(COUNTIF(Flows!$M$2:$M$1500,$A15&amp;"|"&amp;AR$1&amp;"|Output"),"OUT",""))</f>
        <v/>
      </c>
      <c r="AS15" s="33" t="str">
        <f aca="false">IF(COUNTIF(Flows!$M$2:$M$1500,$A15&amp;"|"&amp;AS$1&amp;"|Input"),IF(COUNTIF(Flows!$M$2:$M$1500,$A15&amp;"|"&amp;AS$1&amp;"|Output"),"I/O","IN"),IF(COUNTIF(Flows!$M$2:$M$1500,$A15&amp;"|"&amp;AS$1&amp;"|Output"),"OUT",""))</f>
        <v/>
      </c>
      <c r="AT15" s="33" t="str">
        <f aca="false">IF(COUNTIF(Flows!$M$2:$M$1500,$A15&amp;"|"&amp;AT$1&amp;"|Input"),IF(COUNTIF(Flows!$M$2:$M$1500,$A15&amp;"|"&amp;AT$1&amp;"|Output"),"I/O","IN"),IF(COUNTIF(Flows!$M$2:$M$1500,$A15&amp;"|"&amp;AT$1&amp;"|Output"),"OUT",""))</f>
        <v/>
      </c>
      <c r="AU15" s="33" t="str">
        <f aca="false">IF(COUNTIF(Flows!$M$2:$M$1500,$A15&amp;"|"&amp;AU$1&amp;"|Input"),IF(COUNTIF(Flows!$M$2:$M$1500,$A15&amp;"|"&amp;AU$1&amp;"|Output"),"I/O","IN"),IF(COUNTIF(Flows!$M$2:$M$1500,$A15&amp;"|"&amp;AU$1&amp;"|Output"),"OUT",""))</f>
        <v/>
      </c>
      <c r="AV15" s="33" t="str">
        <f aca="false">IF(COUNTIF(Flows!$M$2:$M$1500,$A15&amp;"|"&amp;AV$1&amp;"|Input"),IF(COUNTIF(Flows!$M$2:$M$1500,$A15&amp;"|"&amp;AV$1&amp;"|Output"),"I/O","IN"),IF(COUNTIF(Flows!$M$2:$M$1500,$A15&amp;"|"&amp;AV$1&amp;"|Output"),"OUT",""))</f>
        <v/>
      </c>
      <c r="AW15" s="33" t="str">
        <f aca="false">IF(COUNTIF(Flows!$M$2:$M$1500,$A15&amp;"|"&amp;AW$1&amp;"|Input"),IF(COUNTIF(Flows!$M$2:$M$1500,$A15&amp;"|"&amp;AW$1&amp;"|Output"),"I/O","IN"),IF(COUNTIF(Flows!$M$2:$M$1500,$A15&amp;"|"&amp;AW$1&amp;"|Output"),"OUT",""))</f>
        <v>OUT</v>
      </c>
      <c r="AX15" s="33" t="str">
        <f aca="false">IF(COUNTIF(Flows!$M$2:$M$1500,$A15&amp;"|"&amp;AX$1&amp;"|Input"),IF(COUNTIF(Flows!$M$2:$M$1500,$A15&amp;"|"&amp;AX$1&amp;"|Output"),"I/O","IN"),IF(COUNTIF(Flows!$M$2:$M$1500,$A15&amp;"|"&amp;AX$1&amp;"|Output"),"OUT",""))</f>
        <v/>
      </c>
      <c r="AY15" s="33" t="str">
        <f aca="false">IF(COUNTIF(Flows!$M$2:$M$1500,$A15&amp;"|"&amp;AY$1&amp;"|Input"),IF(COUNTIF(Flows!$M$2:$M$1500,$A15&amp;"|"&amp;AY$1&amp;"|Output"),"I/O","IN"),IF(COUNTIF(Flows!$M$2:$M$1500,$A15&amp;"|"&amp;AY$1&amp;"|Output"),"OUT",""))</f>
        <v/>
      </c>
      <c r="AZ15" s="33" t="str">
        <f aca="false">IF(COUNTIF(Flows!$M$2:$M$1500,$A15&amp;"|"&amp;AZ$1&amp;"|Input"),IF(COUNTIF(Flows!$M$2:$M$1500,$A15&amp;"|"&amp;AZ$1&amp;"|Output"),"I/O","IN"),IF(COUNTIF(Flows!$M$2:$M$1500,$A15&amp;"|"&amp;AZ$1&amp;"|Output"),"OUT",""))</f>
        <v/>
      </c>
      <c r="BA15" s="33" t="str">
        <f aca="false">IF(COUNTIF(Flows!$M$2:$M$1500,$A15&amp;"|"&amp;BA$1&amp;"|Input"),IF(COUNTIF(Flows!$M$2:$M$1500,$A15&amp;"|"&amp;BA$1&amp;"|Output"),"I/O","IN"),IF(COUNTIF(Flows!$M$2:$M$1500,$A15&amp;"|"&amp;BA$1&amp;"|Output"),"OUT",""))</f>
        <v/>
      </c>
      <c r="BB15" s="33" t="str">
        <f aca="false">IF(COUNTIF(Flows!$M$2:$M$1500,$A15&amp;"|"&amp;BB$1&amp;"|Input"),IF(COUNTIF(Flows!$M$2:$M$1500,$A15&amp;"|"&amp;BB$1&amp;"|Output"),"I/O","IN"),IF(COUNTIF(Flows!$M$2:$M$1500,$A15&amp;"|"&amp;BB$1&amp;"|Output"),"OUT",""))</f>
        <v/>
      </c>
      <c r="BC15" s="33" t="str">
        <f aca="false">IF(COUNTIF(Flows!$M$2:$M$1500,$A15&amp;"|"&amp;BC$1&amp;"|Input"),IF(COUNTIF(Flows!$M$2:$M$1500,$A15&amp;"|"&amp;BC$1&amp;"|Output"),"I/O","IN"),IF(COUNTIF(Flows!$M$2:$M$1500,$A15&amp;"|"&amp;BC$1&amp;"|Output"),"OUT",""))</f>
        <v/>
      </c>
      <c r="BD15" s="33" t="str">
        <f aca="false">IF(COUNTIF(Flows!$M$2:$M$1500,$A15&amp;"|"&amp;BD$1&amp;"|Input"),IF(COUNTIF(Flows!$M$2:$M$1500,$A15&amp;"|"&amp;BD$1&amp;"|Output"),"I/O","IN"),IF(COUNTIF(Flows!$M$2:$M$1500,$A15&amp;"|"&amp;BD$1&amp;"|Output"),"OUT",""))</f>
        <v/>
      </c>
      <c r="BE15" s="33" t="str">
        <f aca="false">IF(COUNTIF(Flows!$M$2:$M$1500,$A15&amp;"|"&amp;BE$1&amp;"|Input"),IF(COUNTIF(Flows!$M$2:$M$1500,$A15&amp;"|"&amp;BE$1&amp;"|Output"),"I/O","IN"),IF(COUNTIF(Flows!$M$2:$M$1500,$A15&amp;"|"&amp;BE$1&amp;"|Output"),"OUT",""))</f>
        <v/>
      </c>
      <c r="BF15" s="33" t="str">
        <f aca="false">IF(COUNTIF(Flows!$M$2:$M$1500,$A15&amp;"|"&amp;BF$1&amp;"|Input"),IF(COUNTIF(Flows!$M$2:$M$1500,$A15&amp;"|"&amp;BF$1&amp;"|Output"),"I/O","IN"),IF(COUNTIF(Flows!$M$2:$M$1500,$A15&amp;"|"&amp;BF$1&amp;"|Output"),"OUT",""))</f>
        <v/>
      </c>
      <c r="BG15" s="33" t="str">
        <f aca="false">IF(COUNTIF(Flows!$M$2:$M$1500,$A15&amp;"|"&amp;BG$1&amp;"|Input"),IF(COUNTIF(Flows!$M$2:$M$1500,$A15&amp;"|"&amp;BG$1&amp;"|Output"),"I/O","IN"),IF(COUNTIF(Flows!$M$2:$M$1500,$A15&amp;"|"&amp;BG$1&amp;"|Output"),"OUT",""))</f>
        <v/>
      </c>
      <c r="BH15" s="33" t="str">
        <f aca="false">IF(COUNTIF(Flows!$M$2:$M$1500,$A15&amp;"|"&amp;BH$1&amp;"|Input"),IF(COUNTIF(Flows!$M$2:$M$1500,$A15&amp;"|"&amp;BH$1&amp;"|Output"),"I/O","IN"),IF(COUNTIF(Flows!$M$2:$M$1500,$A15&amp;"|"&amp;BH$1&amp;"|Output"),"OUT",""))</f>
        <v/>
      </c>
      <c r="BI15" s="33" t="str">
        <f aca="false">IF(COUNTIF(Flows!$M$2:$M$1500,$A15&amp;"|"&amp;BI$1&amp;"|Input"),IF(COUNTIF(Flows!$M$2:$M$1500,$A15&amp;"|"&amp;BI$1&amp;"|Output"),"I/O","IN"),IF(COUNTIF(Flows!$M$2:$M$1500,$A15&amp;"|"&amp;BI$1&amp;"|Output"),"OUT",""))</f>
        <v/>
      </c>
      <c r="BJ15" s="33" t="str">
        <f aca="false">IF(COUNTIF(Flows!$M$2:$M$1500,$A15&amp;"|"&amp;BJ$1&amp;"|Input"),IF(COUNTIF(Flows!$M$2:$M$1500,$A15&amp;"|"&amp;BJ$1&amp;"|Output"),"I/O","IN"),IF(COUNTIF(Flows!$M$2:$M$1500,$A15&amp;"|"&amp;BJ$1&amp;"|Output"),"OUT",""))</f>
        <v>OUT</v>
      </c>
      <c r="BK15" s="33" t="str">
        <f aca="false">IF(COUNTIF(Flows!$M$2:$M$1500,$A15&amp;"|"&amp;BK$1&amp;"|Input"),IF(COUNTIF(Flows!$M$2:$M$1500,$A15&amp;"|"&amp;BK$1&amp;"|Output"),"I/O","IN"),IF(COUNTIF(Flows!$M$2:$M$1500,$A15&amp;"|"&amp;BK$1&amp;"|Output"),"OUT",""))</f>
        <v>OUT</v>
      </c>
    </row>
    <row r="16" customFormat="false" ht="15" hidden="false" customHeight="true" outlineLevel="0" collapsed="false">
      <c r="A16" s="6" t="str">
        <f aca="false">Systems!B16</f>
        <v>Baby Chicks</v>
      </c>
      <c r="B16" s="33" t="str">
        <f aca="false">IF(COUNTIF(Flows!$M$2:$M$1500,$A16&amp;"|"&amp;B$1&amp;"|Input"),IF(COUNTIF(Flows!$M$2:$M$1500,$A16&amp;"|"&amp;B$1&amp;"|Output"),"I/O","IN"),IF(COUNTIF(Flows!$M$2:$M$1500,$A16&amp;"|"&amp;B$1&amp;"|Output"),"OUT",""))</f>
        <v>IN</v>
      </c>
      <c r="C16" s="33" t="str">
        <f aca="false">IF(COUNTIF(Flows!$M$2:$M$1500,$A16&amp;"|"&amp;C$1&amp;"|Input"),IF(COUNTIF(Flows!$M$2:$M$1500,$A16&amp;"|"&amp;C$1&amp;"|Output"),"I/O","IN"),IF(COUNTIF(Flows!$M$2:$M$1500,$A16&amp;"|"&amp;C$1&amp;"|Output"),"OUT",""))</f>
        <v/>
      </c>
      <c r="D16" s="33" t="str">
        <f aca="false">IF(COUNTIF(Flows!$M$2:$M$1500,$A16&amp;"|"&amp;D$1&amp;"|Input"),IF(COUNTIF(Flows!$M$2:$M$1500,$A16&amp;"|"&amp;D$1&amp;"|Output"),"I/O","IN"),IF(COUNTIF(Flows!$M$2:$M$1500,$A16&amp;"|"&amp;D$1&amp;"|Output"),"OUT",""))</f>
        <v/>
      </c>
      <c r="E16" s="33" t="str">
        <f aca="false">IF(COUNTIF(Flows!$M$2:$M$1500,$A16&amp;"|"&amp;E$1&amp;"|Input"),IF(COUNTIF(Flows!$M$2:$M$1500,$A16&amp;"|"&amp;E$1&amp;"|Output"),"I/O","IN"),IF(COUNTIF(Flows!$M$2:$M$1500,$A16&amp;"|"&amp;E$1&amp;"|Output"),"OUT",""))</f>
        <v/>
      </c>
      <c r="F16" s="33" t="str">
        <f aca="false">IF(COUNTIF(Flows!$M$2:$M$1500,$A16&amp;"|"&amp;F$1&amp;"|Input"),IF(COUNTIF(Flows!$M$2:$M$1500,$A16&amp;"|"&amp;F$1&amp;"|Output"),"I/O","IN"),IF(COUNTIF(Flows!$M$2:$M$1500,$A16&amp;"|"&amp;F$1&amp;"|Output"),"OUT",""))</f>
        <v/>
      </c>
      <c r="G16" s="33" t="str">
        <f aca="false">IF(COUNTIF(Flows!$M$2:$M$1500,$A16&amp;"|"&amp;G$1&amp;"|Input"),IF(COUNTIF(Flows!$M$2:$M$1500,$A16&amp;"|"&amp;G$1&amp;"|Output"),"I/O","IN"),IF(COUNTIF(Flows!$M$2:$M$1500,$A16&amp;"|"&amp;G$1&amp;"|Output"),"OUT",""))</f>
        <v/>
      </c>
      <c r="H16" s="33" t="str">
        <f aca="false">IF(COUNTIF(Flows!$M$2:$M$1500,$A16&amp;"|"&amp;H$1&amp;"|Input"),IF(COUNTIF(Flows!$M$2:$M$1500,$A16&amp;"|"&amp;H$1&amp;"|Output"),"I/O","IN"),IF(COUNTIF(Flows!$M$2:$M$1500,$A16&amp;"|"&amp;H$1&amp;"|Output"),"OUT",""))</f>
        <v/>
      </c>
      <c r="I16" s="33" t="str">
        <f aca="false">IF(COUNTIF(Flows!$M$2:$M$1500,$A16&amp;"|"&amp;I$1&amp;"|Input"),IF(COUNTIF(Flows!$M$2:$M$1500,$A16&amp;"|"&amp;I$1&amp;"|Output"),"I/O","IN"),IF(COUNTIF(Flows!$M$2:$M$1500,$A16&amp;"|"&amp;I$1&amp;"|Output"),"OUT",""))</f>
        <v/>
      </c>
      <c r="J16" s="33" t="str">
        <f aca="false">IF(COUNTIF(Flows!$M$2:$M$1500,$A16&amp;"|"&amp;J$1&amp;"|Input"),IF(COUNTIF(Flows!$M$2:$M$1500,$A16&amp;"|"&amp;J$1&amp;"|Output"),"I/O","IN"),IF(COUNTIF(Flows!$M$2:$M$1500,$A16&amp;"|"&amp;J$1&amp;"|Output"),"OUT",""))</f>
        <v/>
      </c>
      <c r="K16" s="33" t="str">
        <f aca="false">IF(COUNTIF(Flows!$M$2:$M$1500,$A16&amp;"|"&amp;K$1&amp;"|Input"),IF(COUNTIF(Flows!$M$2:$M$1500,$A16&amp;"|"&amp;K$1&amp;"|Output"),"I/O","IN"),IF(COUNTIF(Flows!$M$2:$M$1500,$A16&amp;"|"&amp;K$1&amp;"|Output"),"OUT",""))</f>
        <v/>
      </c>
      <c r="L16" s="33" t="str">
        <f aca="false">IF(COUNTIF(Flows!$M$2:$M$1500,$A16&amp;"|"&amp;L$1&amp;"|Input"),IF(COUNTIF(Flows!$M$2:$M$1500,$A16&amp;"|"&amp;L$1&amp;"|Output"),"I/O","IN"),IF(COUNTIF(Flows!$M$2:$M$1500,$A16&amp;"|"&amp;L$1&amp;"|Output"),"OUT",""))</f>
        <v/>
      </c>
      <c r="M16" s="33" t="str">
        <f aca="false">IF(COUNTIF(Flows!$M$2:$M$1500,$A16&amp;"|"&amp;M$1&amp;"|Input"),IF(COUNTIF(Flows!$M$2:$M$1500,$A16&amp;"|"&amp;M$1&amp;"|Output"),"I/O","IN"),IF(COUNTIF(Flows!$M$2:$M$1500,$A16&amp;"|"&amp;M$1&amp;"|Output"),"OUT",""))</f>
        <v/>
      </c>
      <c r="N16" s="33" t="str">
        <f aca="false">IF(COUNTIF(Flows!$M$2:$M$1500,$A16&amp;"|"&amp;N$1&amp;"|Input"),IF(COUNTIF(Flows!$M$2:$M$1500,$A16&amp;"|"&amp;N$1&amp;"|Output"),"I/O","IN"),IF(COUNTIF(Flows!$M$2:$M$1500,$A16&amp;"|"&amp;N$1&amp;"|Output"),"OUT",""))</f>
        <v/>
      </c>
      <c r="O16" s="33" t="str">
        <f aca="false">IF(COUNTIF(Flows!$M$2:$M$1500,$A16&amp;"|"&amp;O$1&amp;"|Input"),IF(COUNTIF(Flows!$M$2:$M$1500,$A16&amp;"|"&amp;O$1&amp;"|Output"),"I/O","IN"),IF(COUNTIF(Flows!$M$2:$M$1500,$A16&amp;"|"&amp;O$1&amp;"|Output"),"OUT",""))</f>
        <v/>
      </c>
      <c r="P16" s="33" t="str">
        <f aca="false">IF(COUNTIF(Flows!$M$2:$M$1500,$A16&amp;"|"&amp;P$1&amp;"|Input"),IF(COUNTIF(Flows!$M$2:$M$1500,$A16&amp;"|"&amp;P$1&amp;"|Output"),"I/O","IN"),IF(COUNTIF(Flows!$M$2:$M$1500,$A16&amp;"|"&amp;P$1&amp;"|Output"),"OUT",""))</f>
        <v/>
      </c>
      <c r="Q16" s="33" t="str">
        <f aca="false">IF(COUNTIF(Flows!$M$2:$M$1500,$A16&amp;"|"&amp;Q$1&amp;"|Input"),IF(COUNTIF(Flows!$M$2:$M$1500,$A16&amp;"|"&amp;Q$1&amp;"|Output"),"I/O","IN"),IF(COUNTIF(Flows!$M$2:$M$1500,$A16&amp;"|"&amp;Q$1&amp;"|Output"),"OUT",""))</f>
        <v/>
      </c>
      <c r="R16" s="33" t="str">
        <f aca="false">IF(COUNTIF(Flows!$M$2:$M$1500,$A16&amp;"|"&amp;R$1&amp;"|Input"),IF(COUNTIF(Flows!$M$2:$M$1500,$A16&amp;"|"&amp;R$1&amp;"|Output"),"I/O","IN"),IF(COUNTIF(Flows!$M$2:$M$1500,$A16&amp;"|"&amp;R$1&amp;"|Output"),"OUT",""))</f>
        <v/>
      </c>
      <c r="S16" s="33" t="str">
        <f aca="false">IF(COUNTIF(Flows!$M$2:$M$1500,$A16&amp;"|"&amp;S$1&amp;"|Input"),IF(COUNTIF(Flows!$M$2:$M$1500,$A16&amp;"|"&amp;S$1&amp;"|Output"),"I/O","IN"),IF(COUNTIF(Flows!$M$2:$M$1500,$A16&amp;"|"&amp;S$1&amp;"|Output"),"OUT",""))</f>
        <v/>
      </c>
      <c r="T16" s="33" t="str">
        <f aca="false">IF(COUNTIF(Flows!$M$2:$M$1500,$A16&amp;"|"&amp;T$1&amp;"|Input"),IF(COUNTIF(Flows!$M$2:$M$1500,$A16&amp;"|"&amp;T$1&amp;"|Output"),"I/O","IN"),IF(COUNTIF(Flows!$M$2:$M$1500,$A16&amp;"|"&amp;T$1&amp;"|Output"),"OUT",""))</f>
        <v/>
      </c>
      <c r="U16" s="33" t="str">
        <f aca="false">IF(COUNTIF(Flows!$M$2:$M$1500,$A16&amp;"|"&amp;U$1&amp;"|Input"),IF(COUNTIF(Flows!$M$2:$M$1500,$A16&amp;"|"&amp;U$1&amp;"|Output"),"I/O","IN"),IF(COUNTIF(Flows!$M$2:$M$1500,$A16&amp;"|"&amp;U$1&amp;"|Output"),"OUT",""))</f>
        <v/>
      </c>
      <c r="V16" s="33" t="str">
        <f aca="false">IF(COUNTIF(Flows!$M$2:$M$1500,$A16&amp;"|"&amp;V$1&amp;"|Input"),IF(COUNTIF(Flows!$M$2:$M$1500,$A16&amp;"|"&amp;V$1&amp;"|Output"),"I/O","IN"),IF(COUNTIF(Flows!$M$2:$M$1500,$A16&amp;"|"&amp;V$1&amp;"|Output"),"OUT",""))</f>
        <v/>
      </c>
      <c r="W16" s="33" t="str">
        <f aca="false">IF(COUNTIF(Flows!$M$2:$M$1500,$A16&amp;"|"&amp;W$1&amp;"|Input"),IF(COUNTIF(Flows!$M$2:$M$1500,$A16&amp;"|"&amp;W$1&amp;"|Output"),"I/O","IN"),IF(COUNTIF(Flows!$M$2:$M$1500,$A16&amp;"|"&amp;W$1&amp;"|Output"),"OUT",""))</f>
        <v/>
      </c>
      <c r="X16" s="33" t="str">
        <f aca="false">IF(COUNTIF(Flows!$M$2:$M$1500,$A16&amp;"|"&amp;X$1&amp;"|Input"),IF(COUNTIF(Flows!$M$2:$M$1500,$A16&amp;"|"&amp;X$1&amp;"|Output"),"I/O","IN"),IF(COUNTIF(Flows!$M$2:$M$1500,$A16&amp;"|"&amp;X$1&amp;"|Output"),"OUT",""))</f>
        <v>IN</v>
      </c>
      <c r="Y16" s="33" t="str">
        <f aca="false">IF(COUNTIF(Flows!$M$2:$M$1500,$A16&amp;"|"&amp;Y$1&amp;"|Input"),IF(COUNTIF(Flows!$M$2:$M$1500,$A16&amp;"|"&amp;Y$1&amp;"|Output"),"I/O","IN"),IF(COUNTIF(Flows!$M$2:$M$1500,$A16&amp;"|"&amp;Y$1&amp;"|Output"),"OUT",""))</f>
        <v/>
      </c>
      <c r="Z16" s="33" t="str">
        <f aca="false">IF(COUNTIF(Flows!$M$2:$M$1500,$A16&amp;"|"&amp;Z$1&amp;"|Input"),IF(COUNTIF(Flows!$M$2:$M$1500,$A16&amp;"|"&amp;Z$1&amp;"|Output"),"I/O","IN"),IF(COUNTIF(Flows!$M$2:$M$1500,$A16&amp;"|"&amp;Z$1&amp;"|Output"),"OUT",""))</f>
        <v/>
      </c>
      <c r="AA16" s="33" t="str">
        <f aca="false">IF(COUNTIF(Flows!$M$2:$M$1500,$A16&amp;"|"&amp;AA$1&amp;"|Input"),IF(COUNTIF(Flows!$M$2:$M$1500,$A16&amp;"|"&amp;AA$1&amp;"|Output"),"I/O","IN"),IF(COUNTIF(Flows!$M$2:$M$1500,$A16&amp;"|"&amp;AA$1&amp;"|Output"),"OUT",""))</f>
        <v/>
      </c>
      <c r="AB16" s="33" t="str">
        <f aca="false">IF(COUNTIF(Flows!$M$2:$M$1500,$A16&amp;"|"&amp;AB$1&amp;"|Input"),IF(COUNTIF(Flows!$M$2:$M$1500,$A16&amp;"|"&amp;AB$1&amp;"|Output"),"I/O","IN"),IF(COUNTIF(Flows!$M$2:$M$1500,$A16&amp;"|"&amp;AB$1&amp;"|Output"),"OUT",""))</f>
        <v/>
      </c>
      <c r="AC16" s="33" t="str">
        <f aca="false">IF(COUNTIF(Flows!$M$2:$M$1500,$A16&amp;"|"&amp;AC$1&amp;"|Input"),IF(COUNTIF(Flows!$M$2:$M$1500,$A16&amp;"|"&amp;AC$1&amp;"|Output"),"I/O","IN"),IF(COUNTIF(Flows!$M$2:$M$1500,$A16&amp;"|"&amp;AC$1&amp;"|Output"),"OUT",""))</f>
        <v/>
      </c>
      <c r="AD16" s="33" t="str">
        <f aca="false">IF(COUNTIF(Flows!$M$2:$M$1500,$A16&amp;"|"&amp;AD$1&amp;"|Input"),IF(COUNTIF(Flows!$M$2:$M$1500,$A16&amp;"|"&amp;AD$1&amp;"|Output"),"I/O","IN"),IF(COUNTIF(Flows!$M$2:$M$1500,$A16&amp;"|"&amp;AD$1&amp;"|Output"),"OUT",""))</f>
        <v/>
      </c>
      <c r="AE16" s="33" t="str">
        <f aca="false">IF(COUNTIF(Flows!$M$2:$M$1500,$A16&amp;"|"&amp;AE$1&amp;"|Input"),IF(COUNTIF(Flows!$M$2:$M$1500,$A16&amp;"|"&amp;AE$1&amp;"|Output"),"I/O","IN"),IF(COUNTIF(Flows!$M$2:$M$1500,$A16&amp;"|"&amp;AE$1&amp;"|Output"),"OUT",""))</f>
        <v/>
      </c>
      <c r="AF16" s="33" t="str">
        <f aca="false">IF(COUNTIF(Flows!$M$2:$M$1500,$A16&amp;"|"&amp;AF$1&amp;"|Input"),IF(COUNTIF(Flows!$M$2:$M$1500,$A16&amp;"|"&amp;AF$1&amp;"|Output"),"I/O","IN"),IF(COUNTIF(Flows!$M$2:$M$1500,$A16&amp;"|"&amp;AF$1&amp;"|Output"),"OUT",""))</f>
        <v/>
      </c>
      <c r="AG16" s="33" t="str">
        <f aca="false">IF(COUNTIF(Flows!$M$2:$M$1500,$A16&amp;"|"&amp;AG$1&amp;"|Input"),IF(COUNTIF(Flows!$M$2:$M$1500,$A16&amp;"|"&amp;AG$1&amp;"|Output"),"I/O","IN"),IF(COUNTIF(Flows!$M$2:$M$1500,$A16&amp;"|"&amp;AG$1&amp;"|Output"),"OUT",""))</f>
        <v/>
      </c>
      <c r="AH16" s="33" t="str">
        <f aca="false">IF(COUNTIF(Flows!$M$2:$M$1500,$A16&amp;"|"&amp;AH$1&amp;"|Input"),IF(COUNTIF(Flows!$M$2:$M$1500,$A16&amp;"|"&amp;AH$1&amp;"|Output"),"I/O","IN"),IF(COUNTIF(Flows!$M$2:$M$1500,$A16&amp;"|"&amp;AH$1&amp;"|Output"),"OUT",""))</f>
        <v/>
      </c>
      <c r="AI16" s="33" t="str">
        <f aca="false">IF(COUNTIF(Flows!$M$2:$M$1500,$A16&amp;"|"&amp;AI$1&amp;"|Input"),IF(COUNTIF(Flows!$M$2:$M$1500,$A16&amp;"|"&amp;AI$1&amp;"|Output"),"I/O","IN"),IF(COUNTIF(Flows!$M$2:$M$1500,$A16&amp;"|"&amp;AI$1&amp;"|Output"),"OUT",""))</f>
        <v/>
      </c>
      <c r="AJ16" s="33" t="str">
        <f aca="false">IF(COUNTIF(Flows!$M$2:$M$1500,$A16&amp;"|"&amp;AJ$1&amp;"|Input"),IF(COUNTIF(Flows!$M$2:$M$1500,$A16&amp;"|"&amp;AJ$1&amp;"|Output"),"I/O","IN"),IF(COUNTIF(Flows!$M$2:$M$1500,$A16&amp;"|"&amp;AJ$1&amp;"|Output"),"OUT",""))</f>
        <v/>
      </c>
      <c r="AK16" s="33" t="str">
        <f aca="false">IF(COUNTIF(Flows!$M$2:$M$1500,$A16&amp;"|"&amp;AK$1&amp;"|Input"),IF(COUNTIF(Flows!$M$2:$M$1500,$A16&amp;"|"&amp;AK$1&amp;"|Output"),"I/O","IN"),IF(COUNTIF(Flows!$M$2:$M$1500,$A16&amp;"|"&amp;AK$1&amp;"|Output"),"OUT",""))</f>
        <v/>
      </c>
      <c r="AL16" s="33" t="str">
        <f aca="false">IF(COUNTIF(Flows!$M$2:$M$1500,$A16&amp;"|"&amp;AL$1&amp;"|Input"),IF(COUNTIF(Flows!$M$2:$M$1500,$A16&amp;"|"&amp;AL$1&amp;"|Output"),"I/O","IN"),IF(COUNTIF(Flows!$M$2:$M$1500,$A16&amp;"|"&amp;AL$1&amp;"|Output"),"OUT",""))</f>
        <v/>
      </c>
      <c r="AM16" s="33" t="str">
        <f aca="false">IF(COUNTIF(Flows!$M$2:$M$1500,$A16&amp;"|"&amp;AM$1&amp;"|Input"),IF(COUNTIF(Flows!$M$2:$M$1500,$A16&amp;"|"&amp;AM$1&amp;"|Output"),"I/O","IN"),IF(COUNTIF(Flows!$M$2:$M$1500,$A16&amp;"|"&amp;AM$1&amp;"|Output"),"OUT",""))</f>
        <v/>
      </c>
      <c r="AN16" s="33" t="str">
        <f aca="false">IF(COUNTIF(Flows!$M$2:$M$1500,$A16&amp;"|"&amp;AN$1&amp;"|Input"),IF(COUNTIF(Flows!$M$2:$M$1500,$A16&amp;"|"&amp;AN$1&amp;"|Output"),"I/O","IN"),IF(COUNTIF(Flows!$M$2:$M$1500,$A16&amp;"|"&amp;AN$1&amp;"|Output"),"OUT",""))</f>
        <v/>
      </c>
      <c r="AO16" s="33" t="str">
        <f aca="false">IF(COUNTIF(Flows!$M$2:$M$1500,$A16&amp;"|"&amp;AO$1&amp;"|Input"),IF(COUNTIF(Flows!$M$2:$M$1500,$A16&amp;"|"&amp;AO$1&amp;"|Output"),"I/O","IN"),IF(COUNTIF(Flows!$M$2:$M$1500,$A16&amp;"|"&amp;AO$1&amp;"|Output"),"OUT",""))</f>
        <v/>
      </c>
      <c r="AP16" s="33" t="str">
        <f aca="false">IF(COUNTIF(Flows!$M$2:$M$1500,$A16&amp;"|"&amp;AP$1&amp;"|Input"),IF(COUNTIF(Flows!$M$2:$M$1500,$A16&amp;"|"&amp;AP$1&amp;"|Output"),"I/O","IN"),IF(COUNTIF(Flows!$M$2:$M$1500,$A16&amp;"|"&amp;AP$1&amp;"|Output"),"OUT",""))</f>
        <v/>
      </c>
      <c r="AQ16" s="33" t="str">
        <f aca="false">IF(COUNTIF(Flows!$M$2:$M$1500,$A16&amp;"|"&amp;AQ$1&amp;"|Input"),IF(COUNTIF(Flows!$M$2:$M$1500,$A16&amp;"|"&amp;AQ$1&amp;"|Output"),"I/O","IN"),IF(COUNTIF(Flows!$M$2:$M$1500,$A16&amp;"|"&amp;AQ$1&amp;"|Output"),"OUT",""))</f>
        <v/>
      </c>
      <c r="AR16" s="33" t="str">
        <f aca="false">IF(COUNTIF(Flows!$M$2:$M$1500,$A16&amp;"|"&amp;AR$1&amp;"|Input"),IF(COUNTIF(Flows!$M$2:$M$1500,$A16&amp;"|"&amp;AR$1&amp;"|Output"),"I/O","IN"),IF(COUNTIF(Flows!$M$2:$M$1500,$A16&amp;"|"&amp;AR$1&amp;"|Output"),"OUT",""))</f>
        <v/>
      </c>
      <c r="AS16" s="33" t="str">
        <f aca="false">IF(COUNTIF(Flows!$M$2:$M$1500,$A16&amp;"|"&amp;AS$1&amp;"|Input"),IF(COUNTIF(Flows!$M$2:$M$1500,$A16&amp;"|"&amp;AS$1&amp;"|Output"),"I/O","IN"),IF(COUNTIF(Flows!$M$2:$M$1500,$A16&amp;"|"&amp;AS$1&amp;"|Output"),"OUT",""))</f>
        <v/>
      </c>
      <c r="AT16" s="33" t="str">
        <f aca="false">IF(COUNTIF(Flows!$M$2:$M$1500,$A16&amp;"|"&amp;AT$1&amp;"|Input"),IF(COUNTIF(Flows!$M$2:$M$1500,$A16&amp;"|"&amp;AT$1&amp;"|Output"),"I/O","IN"),IF(COUNTIF(Flows!$M$2:$M$1500,$A16&amp;"|"&amp;AT$1&amp;"|Output"),"OUT",""))</f>
        <v>OUT</v>
      </c>
      <c r="AU16" s="33" t="str">
        <f aca="false">IF(COUNTIF(Flows!$M$2:$M$1500,$A16&amp;"|"&amp;AU$1&amp;"|Input"),IF(COUNTIF(Flows!$M$2:$M$1500,$A16&amp;"|"&amp;AU$1&amp;"|Output"),"I/O","IN"),IF(COUNTIF(Flows!$M$2:$M$1500,$A16&amp;"|"&amp;AU$1&amp;"|Output"),"OUT",""))</f>
        <v/>
      </c>
      <c r="AV16" s="33" t="str">
        <f aca="false">IF(COUNTIF(Flows!$M$2:$M$1500,$A16&amp;"|"&amp;AV$1&amp;"|Input"),IF(COUNTIF(Flows!$M$2:$M$1500,$A16&amp;"|"&amp;AV$1&amp;"|Output"),"I/O","IN"),IF(COUNTIF(Flows!$M$2:$M$1500,$A16&amp;"|"&amp;AV$1&amp;"|Output"),"OUT",""))</f>
        <v/>
      </c>
      <c r="AW16" s="33" t="str">
        <f aca="false">IF(COUNTIF(Flows!$M$2:$M$1500,$A16&amp;"|"&amp;AW$1&amp;"|Input"),IF(COUNTIF(Flows!$M$2:$M$1500,$A16&amp;"|"&amp;AW$1&amp;"|Output"),"I/O","IN"),IF(COUNTIF(Flows!$M$2:$M$1500,$A16&amp;"|"&amp;AW$1&amp;"|Output"),"OUT",""))</f>
        <v/>
      </c>
      <c r="AX16" s="33" t="str">
        <f aca="false">IF(COUNTIF(Flows!$M$2:$M$1500,$A16&amp;"|"&amp;AX$1&amp;"|Input"),IF(COUNTIF(Flows!$M$2:$M$1500,$A16&amp;"|"&amp;AX$1&amp;"|Output"),"I/O","IN"),IF(COUNTIF(Flows!$M$2:$M$1500,$A16&amp;"|"&amp;AX$1&amp;"|Output"),"OUT",""))</f>
        <v/>
      </c>
      <c r="AY16" s="33" t="str">
        <f aca="false">IF(COUNTIF(Flows!$M$2:$M$1500,$A16&amp;"|"&amp;AY$1&amp;"|Input"),IF(COUNTIF(Flows!$M$2:$M$1500,$A16&amp;"|"&amp;AY$1&amp;"|Output"),"I/O","IN"),IF(COUNTIF(Flows!$M$2:$M$1500,$A16&amp;"|"&amp;AY$1&amp;"|Output"),"OUT",""))</f>
        <v/>
      </c>
      <c r="AZ16" s="33" t="str">
        <f aca="false">IF(COUNTIF(Flows!$M$2:$M$1500,$A16&amp;"|"&amp;AZ$1&amp;"|Input"),IF(COUNTIF(Flows!$M$2:$M$1500,$A16&amp;"|"&amp;AZ$1&amp;"|Output"),"I/O","IN"),IF(COUNTIF(Flows!$M$2:$M$1500,$A16&amp;"|"&amp;AZ$1&amp;"|Output"),"OUT",""))</f>
        <v>IN</v>
      </c>
      <c r="BA16" s="33" t="str">
        <f aca="false">IF(COUNTIF(Flows!$M$2:$M$1500,$A16&amp;"|"&amp;BA$1&amp;"|Input"),IF(COUNTIF(Flows!$M$2:$M$1500,$A16&amp;"|"&amp;BA$1&amp;"|Output"),"I/O","IN"),IF(COUNTIF(Flows!$M$2:$M$1500,$A16&amp;"|"&amp;BA$1&amp;"|Output"),"OUT",""))</f>
        <v/>
      </c>
      <c r="BB16" s="33" t="str">
        <f aca="false">IF(COUNTIF(Flows!$M$2:$M$1500,$A16&amp;"|"&amp;BB$1&amp;"|Input"),IF(COUNTIF(Flows!$M$2:$M$1500,$A16&amp;"|"&amp;BB$1&amp;"|Output"),"I/O","IN"),IF(COUNTIF(Flows!$M$2:$M$1500,$A16&amp;"|"&amp;BB$1&amp;"|Output"),"OUT",""))</f>
        <v/>
      </c>
      <c r="BC16" s="33" t="str">
        <f aca="false">IF(COUNTIF(Flows!$M$2:$M$1500,$A16&amp;"|"&amp;BC$1&amp;"|Input"),IF(COUNTIF(Flows!$M$2:$M$1500,$A16&amp;"|"&amp;BC$1&amp;"|Output"),"I/O","IN"),IF(COUNTIF(Flows!$M$2:$M$1500,$A16&amp;"|"&amp;BC$1&amp;"|Output"),"OUT",""))</f>
        <v/>
      </c>
      <c r="BD16" s="33" t="str">
        <f aca="false">IF(COUNTIF(Flows!$M$2:$M$1500,$A16&amp;"|"&amp;BD$1&amp;"|Input"),IF(COUNTIF(Flows!$M$2:$M$1500,$A16&amp;"|"&amp;BD$1&amp;"|Output"),"I/O","IN"),IF(COUNTIF(Flows!$M$2:$M$1500,$A16&amp;"|"&amp;BD$1&amp;"|Output"),"OUT",""))</f>
        <v/>
      </c>
      <c r="BE16" s="33" t="str">
        <f aca="false">IF(COUNTIF(Flows!$M$2:$M$1500,$A16&amp;"|"&amp;BE$1&amp;"|Input"),IF(COUNTIF(Flows!$M$2:$M$1500,$A16&amp;"|"&amp;BE$1&amp;"|Output"),"I/O","IN"),IF(COUNTIF(Flows!$M$2:$M$1500,$A16&amp;"|"&amp;BE$1&amp;"|Output"),"OUT",""))</f>
        <v/>
      </c>
      <c r="BF16" s="33" t="str">
        <f aca="false">IF(COUNTIF(Flows!$M$2:$M$1500,$A16&amp;"|"&amp;BF$1&amp;"|Input"),IF(COUNTIF(Flows!$M$2:$M$1500,$A16&amp;"|"&amp;BF$1&amp;"|Output"),"I/O","IN"),IF(COUNTIF(Flows!$M$2:$M$1500,$A16&amp;"|"&amp;BF$1&amp;"|Output"),"OUT",""))</f>
        <v/>
      </c>
      <c r="BG16" s="33" t="str">
        <f aca="false">IF(COUNTIF(Flows!$M$2:$M$1500,$A16&amp;"|"&amp;BG$1&amp;"|Input"),IF(COUNTIF(Flows!$M$2:$M$1500,$A16&amp;"|"&amp;BG$1&amp;"|Output"),"I/O","IN"),IF(COUNTIF(Flows!$M$2:$M$1500,$A16&amp;"|"&amp;BG$1&amp;"|Output"),"OUT",""))</f>
        <v/>
      </c>
      <c r="BH16" s="33" t="str">
        <f aca="false">IF(COUNTIF(Flows!$M$2:$M$1500,$A16&amp;"|"&amp;BH$1&amp;"|Input"),IF(COUNTIF(Flows!$M$2:$M$1500,$A16&amp;"|"&amp;BH$1&amp;"|Output"),"I/O","IN"),IF(COUNTIF(Flows!$M$2:$M$1500,$A16&amp;"|"&amp;BH$1&amp;"|Output"),"OUT",""))</f>
        <v/>
      </c>
      <c r="BI16" s="33" t="str">
        <f aca="false">IF(COUNTIF(Flows!$M$2:$M$1500,$A16&amp;"|"&amp;BI$1&amp;"|Input"),IF(COUNTIF(Flows!$M$2:$M$1500,$A16&amp;"|"&amp;BI$1&amp;"|Output"),"I/O","IN"),IF(COUNTIF(Flows!$M$2:$M$1500,$A16&amp;"|"&amp;BI$1&amp;"|Output"),"OUT",""))</f>
        <v/>
      </c>
      <c r="BJ16" s="33" t="str">
        <f aca="false">IF(COUNTIF(Flows!$M$2:$M$1500,$A16&amp;"|"&amp;BJ$1&amp;"|Input"),IF(COUNTIF(Flows!$M$2:$M$1500,$A16&amp;"|"&amp;BJ$1&amp;"|Output"),"I/O","IN"),IF(COUNTIF(Flows!$M$2:$M$1500,$A16&amp;"|"&amp;BJ$1&amp;"|Output"),"OUT",""))</f>
        <v/>
      </c>
      <c r="BK16" s="33" t="str">
        <f aca="false">IF(COUNTIF(Flows!$M$2:$M$1500,$A16&amp;"|"&amp;BK$1&amp;"|Input"),IF(COUNTIF(Flows!$M$2:$M$1500,$A16&amp;"|"&amp;BK$1&amp;"|Output"),"I/O","IN"),IF(COUNTIF(Flows!$M$2:$M$1500,$A16&amp;"|"&amp;BK$1&amp;"|Output"),"OUT",""))</f>
        <v/>
      </c>
    </row>
    <row r="17" customFormat="false" ht="15" hidden="false" customHeight="true" outlineLevel="0" collapsed="false">
      <c r="A17" s="6" t="str">
        <f aca="false">Systems!B17</f>
        <v>Beehive + Bee Colony</v>
      </c>
      <c r="B17" s="33" t="str">
        <f aca="false">IF(COUNTIF(Flows!$M$2:$M$1500,$A17&amp;"|"&amp;B$1&amp;"|Input"),IF(COUNTIF(Flows!$M$2:$M$1500,$A17&amp;"|"&amp;B$1&amp;"|Output"),"I/O","IN"),IF(COUNTIF(Flows!$M$2:$M$1500,$A17&amp;"|"&amp;B$1&amp;"|Output"),"OUT",""))</f>
        <v>IN</v>
      </c>
      <c r="C17" s="33" t="str">
        <f aca="false">IF(COUNTIF(Flows!$M$2:$M$1500,$A17&amp;"|"&amp;C$1&amp;"|Input"),IF(COUNTIF(Flows!$M$2:$M$1500,$A17&amp;"|"&amp;C$1&amp;"|Output"),"I/O","IN"),IF(COUNTIF(Flows!$M$2:$M$1500,$A17&amp;"|"&amp;C$1&amp;"|Output"),"OUT",""))</f>
        <v/>
      </c>
      <c r="D17" s="33" t="str">
        <f aca="false">IF(COUNTIF(Flows!$M$2:$M$1500,$A17&amp;"|"&amp;D$1&amp;"|Input"),IF(COUNTIF(Flows!$M$2:$M$1500,$A17&amp;"|"&amp;D$1&amp;"|Output"),"I/O","IN"),IF(COUNTIF(Flows!$M$2:$M$1500,$A17&amp;"|"&amp;D$1&amp;"|Output"),"OUT",""))</f>
        <v/>
      </c>
      <c r="E17" s="33" t="str">
        <f aca="false">IF(COUNTIF(Flows!$M$2:$M$1500,$A17&amp;"|"&amp;E$1&amp;"|Input"),IF(COUNTIF(Flows!$M$2:$M$1500,$A17&amp;"|"&amp;E$1&amp;"|Output"),"I/O","IN"),IF(COUNTIF(Flows!$M$2:$M$1500,$A17&amp;"|"&amp;E$1&amp;"|Output"),"OUT",""))</f>
        <v/>
      </c>
      <c r="F17" s="33" t="str">
        <f aca="false">IF(COUNTIF(Flows!$M$2:$M$1500,$A17&amp;"|"&amp;F$1&amp;"|Input"),IF(COUNTIF(Flows!$M$2:$M$1500,$A17&amp;"|"&amp;F$1&amp;"|Output"),"I/O","IN"),IF(COUNTIF(Flows!$M$2:$M$1500,$A17&amp;"|"&amp;F$1&amp;"|Output"),"OUT",""))</f>
        <v/>
      </c>
      <c r="G17" s="33" t="str">
        <f aca="false">IF(COUNTIF(Flows!$M$2:$M$1500,$A17&amp;"|"&amp;G$1&amp;"|Input"),IF(COUNTIF(Flows!$M$2:$M$1500,$A17&amp;"|"&amp;G$1&amp;"|Output"),"I/O","IN"),IF(COUNTIF(Flows!$M$2:$M$1500,$A17&amp;"|"&amp;G$1&amp;"|Output"),"OUT",""))</f>
        <v/>
      </c>
      <c r="H17" s="33" t="str">
        <f aca="false">IF(COUNTIF(Flows!$M$2:$M$1500,$A17&amp;"|"&amp;H$1&amp;"|Input"),IF(COUNTIF(Flows!$M$2:$M$1500,$A17&amp;"|"&amp;H$1&amp;"|Output"),"I/O","IN"),IF(COUNTIF(Flows!$M$2:$M$1500,$A17&amp;"|"&amp;H$1&amp;"|Output"),"OUT",""))</f>
        <v/>
      </c>
      <c r="I17" s="33" t="str">
        <f aca="false">IF(COUNTIF(Flows!$M$2:$M$1500,$A17&amp;"|"&amp;I$1&amp;"|Input"),IF(COUNTIF(Flows!$M$2:$M$1500,$A17&amp;"|"&amp;I$1&amp;"|Output"),"I/O","IN"),IF(COUNTIF(Flows!$M$2:$M$1500,$A17&amp;"|"&amp;I$1&amp;"|Output"),"OUT",""))</f>
        <v/>
      </c>
      <c r="J17" s="33" t="str">
        <f aca="false">IF(COUNTIF(Flows!$M$2:$M$1500,$A17&amp;"|"&amp;J$1&amp;"|Input"),IF(COUNTIF(Flows!$M$2:$M$1500,$A17&amp;"|"&amp;J$1&amp;"|Output"),"I/O","IN"),IF(COUNTIF(Flows!$M$2:$M$1500,$A17&amp;"|"&amp;J$1&amp;"|Output"),"OUT",""))</f>
        <v/>
      </c>
      <c r="K17" s="33" t="str">
        <f aca="false">IF(COUNTIF(Flows!$M$2:$M$1500,$A17&amp;"|"&amp;K$1&amp;"|Input"),IF(COUNTIF(Flows!$M$2:$M$1500,$A17&amp;"|"&amp;K$1&amp;"|Output"),"I/O","IN"),IF(COUNTIF(Flows!$M$2:$M$1500,$A17&amp;"|"&amp;K$1&amp;"|Output"),"OUT",""))</f>
        <v>OUT</v>
      </c>
      <c r="L17" s="33" t="str">
        <f aca="false">IF(COUNTIF(Flows!$M$2:$M$1500,$A17&amp;"|"&amp;L$1&amp;"|Input"),IF(COUNTIF(Flows!$M$2:$M$1500,$A17&amp;"|"&amp;L$1&amp;"|Output"),"I/O","IN"),IF(COUNTIF(Flows!$M$2:$M$1500,$A17&amp;"|"&amp;L$1&amp;"|Output"),"OUT",""))</f>
        <v/>
      </c>
      <c r="M17" s="33" t="str">
        <f aca="false">IF(COUNTIF(Flows!$M$2:$M$1500,$A17&amp;"|"&amp;M$1&amp;"|Input"),IF(COUNTIF(Flows!$M$2:$M$1500,$A17&amp;"|"&amp;M$1&amp;"|Output"),"I/O","IN"),IF(COUNTIF(Flows!$M$2:$M$1500,$A17&amp;"|"&amp;M$1&amp;"|Output"),"OUT",""))</f>
        <v/>
      </c>
      <c r="N17" s="33" t="str">
        <f aca="false">IF(COUNTIF(Flows!$M$2:$M$1500,$A17&amp;"|"&amp;N$1&amp;"|Input"),IF(COUNTIF(Flows!$M$2:$M$1500,$A17&amp;"|"&amp;N$1&amp;"|Output"),"I/O","IN"),IF(COUNTIF(Flows!$M$2:$M$1500,$A17&amp;"|"&amp;N$1&amp;"|Output"),"OUT",""))</f>
        <v/>
      </c>
      <c r="O17" s="33" t="str">
        <f aca="false">IF(COUNTIF(Flows!$M$2:$M$1500,$A17&amp;"|"&amp;O$1&amp;"|Input"),IF(COUNTIF(Flows!$M$2:$M$1500,$A17&amp;"|"&amp;O$1&amp;"|Output"),"I/O","IN"),IF(COUNTIF(Flows!$M$2:$M$1500,$A17&amp;"|"&amp;O$1&amp;"|Output"),"OUT",""))</f>
        <v/>
      </c>
      <c r="P17" s="33" t="str">
        <f aca="false">IF(COUNTIF(Flows!$M$2:$M$1500,$A17&amp;"|"&amp;P$1&amp;"|Input"),IF(COUNTIF(Flows!$M$2:$M$1500,$A17&amp;"|"&amp;P$1&amp;"|Output"),"I/O","IN"),IF(COUNTIF(Flows!$M$2:$M$1500,$A17&amp;"|"&amp;P$1&amp;"|Output"),"OUT",""))</f>
        <v/>
      </c>
      <c r="Q17" s="33" t="str">
        <f aca="false">IF(COUNTIF(Flows!$M$2:$M$1500,$A17&amp;"|"&amp;Q$1&amp;"|Input"),IF(COUNTIF(Flows!$M$2:$M$1500,$A17&amp;"|"&amp;Q$1&amp;"|Output"),"I/O","IN"),IF(COUNTIF(Flows!$M$2:$M$1500,$A17&amp;"|"&amp;Q$1&amp;"|Output"),"OUT",""))</f>
        <v/>
      </c>
      <c r="R17" s="33" t="str">
        <f aca="false">IF(COUNTIF(Flows!$M$2:$M$1500,$A17&amp;"|"&amp;R$1&amp;"|Input"),IF(COUNTIF(Flows!$M$2:$M$1500,$A17&amp;"|"&amp;R$1&amp;"|Output"),"I/O","IN"),IF(COUNTIF(Flows!$M$2:$M$1500,$A17&amp;"|"&amp;R$1&amp;"|Output"),"OUT",""))</f>
        <v/>
      </c>
      <c r="S17" s="33" t="str">
        <f aca="false">IF(COUNTIF(Flows!$M$2:$M$1500,$A17&amp;"|"&amp;S$1&amp;"|Input"),IF(COUNTIF(Flows!$M$2:$M$1500,$A17&amp;"|"&amp;S$1&amp;"|Output"),"I/O","IN"),IF(COUNTIF(Flows!$M$2:$M$1500,$A17&amp;"|"&amp;S$1&amp;"|Output"),"OUT",""))</f>
        <v/>
      </c>
      <c r="T17" s="33" t="str">
        <f aca="false">IF(COUNTIF(Flows!$M$2:$M$1500,$A17&amp;"|"&amp;T$1&amp;"|Input"),IF(COUNTIF(Flows!$M$2:$M$1500,$A17&amp;"|"&amp;T$1&amp;"|Output"),"I/O","IN"),IF(COUNTIF(Flows!$M$2:$M$1500,$A17&amp;"|"&amp;T$1&amp;"|Output"),"OUT",""))</f>
        <v/>
      </c>
      <c r="U17" s="33" t="str">
        <f aca="false">IF(COUNTIF(Flows!$M$2:$M$1500,$A17&amp;"|"&amp;U$1&amp;"|Input"),IF(COUNTIF(Flows!$M$2:$M$1500,$A17&amp;"|"&amp;U$1&amp;"|Output"),"I/O","IN"),IF(COUNTIF(Flows!$M$2:$M$1500,$A17&amp;"|"&amp;U$1&amp;"|Output"),"OUT",""))</f>
        <v/>
      </c>
      <c r="V17" s="33" t="str">
        <f aca="false">IF(COUNTIF(Flows!$M$2:$M$1500,$A17&amp;"|"&amp;V$1&amp;"|Input"),IF(COUNTIF(Flows!$M$2:$M$1500,$A17&amp;"|"&amp;V$1&amp;"|Output"),"I/O","IN"),IF(COUNTIF(Flows!$M$2:$M$1500,$A17&amp;"|"&amp;V$1&amp;"|Output"),"OUT",""))</f>
        <v/>
      </c>
      <c r="W17" s="33" t="str">
        <f aca="false">IF(COUNTIF(Flows!$M$2:$M$1500,$A17&amp;"|"&amp;W$1&amp;"|Input"),IF(COUNTIF(Flows!$M$2:$M$1500,$A17&amp;"|"&amp;W$1&amp;"|Output"),"I/O","IN"),IF(COUNTIF(Flows!$M$2:$M$1500,$A17&amp;"|"&amp;W$1&amp;"|Output"),"OUT",""))</f>
        <v/>
      </c>
      <c r="X17" s="33" t="str">
        <f aca="false">IF(COUNTIF(Flows!$M$2:$M$1500,$A17&amp;"|"&amp;X$1&amp;"|Input"),IF(COUNTIF(Flows!$M$2:$M$1500,$A17&amp;"|"&amp;X$1&amp;"|Output"),"I/O","IN"),IF(COUNTIF(Flows!$M$2:$M$1500,$A17&amp;"|"&amp;X$1&amp;"|Output"),"OUT",""))</f>
        <v>IN</v>
      </c>
      <c r="Y17" s="33" t="str">
        <f aca="false">IF(COUNTIF(Flows!$M$2:$M$1500,$A17&amp;"|"&amp;Y$1&amp;"|Input"),IF(COUNTIF(Flows!$M$2:$M$1500,$A17&amp;"|"&amp;Y$1&amp;"|Output"),"I/O","IN"),IF(COUNTIF(Flows!$M$2:$M$1500,$A17&amp;"|"&amp;Y$1&amp;"|Output"),"OUT",""))</f>
        <v/>
      </c>
      <c r="Z17" s="33" t="str">
        <f aca="false">IF(COUNTIF(Flows!$M$2:$M$1500,$A17&amp;"|"&amp;Z$1&amp;"|Input"),IF(COUNTIF(Flows!$M$2:$M$1500,$A17&amp;"|"&amp;Z$1&amp;"|Output"),"I/O","IN"),IF(COUNTIF(Flows!$M$2:$M$1500,$A17&amp;"|"&amp;Z$1&amp;"|Output"),"OUT",""))</f>
        <v/>
      </c>
      <c r="AA17" s="33" t="str">
        <f aca="false">IF(COUNTIF(Flows!$M$2:$M$1500,$A17&amp;"|"&amp;AA$1&amp;"|Input"),IF(COUNTIF(Flows!$M$2:$M$1500,$A17&amp;"|"&amp;AA$1&amp;"|Output"),"I/O","IN"),IF(COUNTIF(Flows!$M$2:$M$1500,$A17&amp;"|"&amp;AA$1&amp;"|Output"),"OUT",""))</f>
        <v/>
      </c>
      <c r="AB17" s="33" t="str">
        <f aca="false">IF(COUNTIF(Flows!$M$2:$M$1500,$A17&amp;"|"&amp;AB$1&amp;"|Input"),IF(COUNTIF(Flows!$M$2:$M$1500,$A17&amp;"|"&amp;AB$1&amp;"|Output"),"I/O","IN"),IF(COUNTIF(Flows!$M$2:$M$1500,$A17&amp;"|"&amp;AB$1&amp;"|Output"),"OUT",""))</f>
        <v/>
      </c>
      <c r="AC17" s="33" t="str">
        <f aca="false">IF(COUNTIF(Flows!$M$2:$M$1500,$A17&amp;"|"&amp;AC$1&amp;"|Input"),IF(COUNTIF(Flows!$M$2:$M$1500,$A17&amp;"|"&amp;AC$1&amp;"|Output"),"I/O","IN"),IF(COUNTIF(Flows!$M$2:$M$1500,$A17&amp;"|"&amp;AC$1&amp;"|Output"),"OUT",""))</f>
        <v/>
      </c>
      <c r="AD17" s="33" t="str">
        <f aca="false">IF(COUNTIF(Flows!$M$2:$M$1500,$A17&amp;"|"&amp;AD$1&amp;"|Input"),IF(COUNTIF(Flows!$M$2:$M$1500,$A17&amp;"|"&amp;AD$1&amp;"|Output"),"I/O","IN"),IF(COUNTIF(Flows!$M$2:$M$1500,$A17&amp;"|"&amp;AD$1&amp;"|Output"),"OUT",""))</f>
        <v/>
      </c>
      <c r="AE17" s="33" t="str">
        <f aca="false">IF(COUNTIF(Flows!$M$2:$M$1500,$A17&amp;"|"&amp;AE$1&amp;"|Input"),IF(COUNTIF(Flows!$M$2:$M$1500,$A17&amp;"|"&amp;AE$1&amp;"|Output"),"I/O","IN"),IF(COUNTIF(Flows!$M$2:$M$1500,$A17&amp;"|"&amp;AE$1&amp;"|Output"),"OUT",""))</f>
        <v/>
      </c>
      <c r="AF17" s="33" t="str">
        <f aca="false">IF(COUNTIF(Flows!$M$2:$M$1500,$A17&amp;"|"&amp;AF$1&amp;"|Input"),IF(COUNTIF(Flows!$M$2:$M$1500,$A17&amp;"|"&amp;AF$1&amp;"|Output"),"I/O","IN"),IF(COUNTIF(Flows!$M$2:$M$1500,$A17&amp;"|"&amp;AF$1&amp;"|Output"),"OUT",""))</f>
        <v/>
      </c>
      <c r="AG17" s="33" t="str">
        <f aca="false">IF(COUNTIF(Flows!$M$2:$M$1500,$A17&amp;"|"&amp;AG$1&amp;"|Input"),IF(COUNTIF(Flows!$M$2:$M$1500,$A17&amp;"|"&amp;AG$1&amp;"|Output"),"I/O","IN"),IF(COUNTIF(Flows!$M$2:$M$1500,$A17&amp;"|"&amp;AG$1&amp;"|Output"),"OUT",""))</f>
        <v/>
      </c>
      <c r="AH17" s="33" t="str">
        <f aca="false">IF(COUNTIF(Flows!$M$2:$M$1500,$A17&amp;"|"&amp;AH$1&amp;"|Input"),IF(COUNTIF(Flows!$M$2:$M$1500,$A17&amp;"|"&amp;AH$1&amp;"|Output"),"I/O","IN"),IF(COUNTIF(Flows!$M$2:$M$1500,$A17&amp;"|"&amp;AH$1&amp;"|Output"),"OUT",""))</f>
        <v/>
      </c>
      <c r="AI17" s="33" t="str">
        <f aca="false">IF(COUNTIF(Flows!$M$2:$M$1500,$A17&amp;"|"&amp;AI$1&amp;"|Input"),IF(COUNTIF(Flows!$M$2:$M$1500,$A17&amp;"|"&amp;AI$1&amp;"|Output"),"I/O","IN"),IF(COUNTIF(Flows!$M$2:$M$1500,$A17&amp;"|"&amp;AI$1&amp;"|Output"),"OUT",""))</f>
        <v/>
      </c>
      <c r="AJ17" s="33" t="str">
        <f aca="false">IF(COUNTIF(Flows!$M$2:$M$1500,$A17&amp;"|"&amp;AJ$1&amp;"|Input"),IF(COUNTIF(Flows!$M$2:$M$1500,$A17&amp;"|"&amp;AJ$1&amp;"|Output"),"I/O","IN"),IF(COUNTIF(Flows!$M$2:$M$1500,$A17&amp;"|"&amp;AJ$1&amp;"|Output"),"OUT",""))</f>
        <v/>
      </c>
      <c r="AK17" s="33" t="str">
        <f aca="false">IF(COUNTIF(Flows!$M$2:$M$1500,$A17&amp;"|"&amp;AK$1&amp;"|Input"),IF(COUNTIF(Flows!$M$2:$M$1500,$A17&amp;"|"&amp;AK$1&amp;"|Output"),"I/O","IN"),IF(COUNTIF(Flows!$M$2:$M$1500,$A17&amp;"|"&amp;AK$1&amp;"|Output"),"OUT",""))</f>
        <v/>
      </c>
      <c r="AL17" s="33" t="str">
        <f aca="false">IF(COUNTIF(Flows!$M$2:$M$1500,$A17&amp;"|"&amp;AL$1&amp;"|Input"),IF(COUNTIF(Flows!$M$2:$M$1500,$A17&amp;"|"&amp;AL$1&amp;"|Output"),"I/O","IN"),IF(COUNTIF(Flows!$M$2:$M$1500,$A17&amp;"|"&amp;AL$1&amp;"|Output"),"OUT",""))</f>
        <v/>
      </c>
      <c r="AM17" s="33" t="str">
        <f aca="false">IF(COUNTIF(Flows!$M$2:$M$1500,$A17&amp;"|"&amp;AM$1&amp;"|Input"),IF(COUNTIF(Flows!$M$2:$M$1500,$A17&amp;"|"&amp;AM$1&amp;"|Output"),"I/O","IN"),IF(COUNTIF(Flows!$M$2:$M$1500,$A17&amp;"|"&amp;AM$1&amp;"|Output"),"OUT",""))</f>
        <v/>
      </c>
      <c r="AN17" s="33" t="str">
        <f aca="false">IF(COUNTIF(Flows!$M$2:$M$1500,$A17&amp;"|"&amp;AN$1&amp;"|Input"),IF(COUNTIF(Flows!$M$2:$M$1500,$A17&amp;"|"&amp;AN$1&amp;"|Output"),"I/O","IN"),IF(COUNTIF(Flows!$M$2:$M$1500,$A17&amp;"|"&amp;AN$1&amp;"|Output"),"OUT",""))</f>
        <v/>
      </c>
      <c r="AO17" s="33" t="str">
        <f aca="false">IF(COUNTIF(Flows!$M$2:$M$1500,$A17&amp;"|"&amp;AO$1&amp;"|Input"),IF(COUNTIF(Flows!$M$2:$M$1500,$A17&amp;"|"&amp;AO$1&amp;"|Output"),"I/O","IN"),IF(COUNTIF(Flows!$M$2:$M$1500,$A17&amp;"|"&amp;AO$1&amp;"|Output"),"OUT",""))</f>
        <v/>
      </c>
      <c r="AP17" s="33" t="str">
        <f aca="false">IF(COUNTIF(Flows!$M$2:$M$1500,$A17&amp;"|"&amp;AP$1&amp;"|Input"),IF(COUNTIF(Flows!$M$2:$M$1500,$A17&amp;"|"&amp;AP$1&amp;"|Output"),"I/O","IN"),IF(COUNTIF(Flows!$M$2:$M$1500,$A17&amp;"|"&amp;AP$1&amp;"|Output"),"OUT",""))</f>
        <v/>
      </c>
      <c r="AQ17" s="33" t="str">
        <f aca="false">IF(COUNTIF(Flows!$M$2:$M$1500,$A17&amp;"|"&amp;AQ$1&amp;"|Input"),IF(COUNTIF(Flows!$M$2:$M$1500,$A17&amp;"|"&amp;AQ$1&amp;"|Output"),"I/O","IN"),IF(COUNTIF(Flows!$M$2:$M$1500,$A17&amp;"|"&amp;AQ$1&amp;"|Output"),"OUT",""))</f>
        <v/>
      </c>
      <c r="AR17" s="33" t="str">
        <f aca="false">IF(COUNTIF(Flows!$M$2:$M$1500,$A17&amp;"|"&amp;AR$1&amp;"|Input"),IF(COUNTIF(Flows!$M$2:$M$1500,$A17&amp;"|"&amp;AR$1&amp;"|Output"),"I/O","IN"),IF(COUNTIF(Flows!$M$2:$M$1500,$A17&amp;"|"&amp;AR$1&amp;"|Output"),"OUT",""))</f>
        <v/>
      </c>
      <c r="AS17" s="33" t="str">
        <f aca="false">IF(COUNTIF(Flows!$M$2:$M$1500,$A17&amp;"|"&amp;AS$1&amp;"|Input"),IF(COUNTIF(Flows!$M$2:$M$1500,$A17&amp;"|"&amp;AS$1&amp;"|Output"),"I/O","IN"),IF(COUNTIF(Flows!$M$2:$M$1500,$A17&amp;"|"&amp;AS$1&amp;"|Output"),"OUT",""))</f>
        <v/>
      </c>
      <c r="AT17" s="33" t="str">
        <f aca="false">IF(COUNTIF(Flows!$M$2:$M$1500,$A17&amp;"|"&amp;AT$1&amp;"|Input"),IF(COUNTIF(Flows!$M$2:$M$1500,$A17&amp;"|"&amp;AT$1&amp;"|Output"),"I/O","IN"),IF(COUNTIF(Flows!$M$2:$M$1500,$A17&amp;"|"&amp;AT$1&amp;"|Output"),"OUT",""))</f>
        <v/>
      </c>
      <c r="AU17" s="33" t="str">
        <f aca="false">IF(COUNTIF(Flows!$M$2:$M$1500,$A17&amp;"|"&amp;AU$1&amp;"|Input"),IF(COUNTIF(Flows!$M$2:$M$1500,$A17&amp;"|"&amp;AU$1&amp;"|Output"),"I/O","IN"),IF(COUNTIF(Flows!$M$2:$M$1500,$A17&amp;"|"&amp;AU$1&amp;"|Output"),"OUT",""))</f>
        <v/>
      </c>
      <c r="AV17" s="33" t="str">
        <f aca="false">IF(COUNTIF(Flows!$M$2:$M$1500,$A17&amp;"|"&amp;AV$1&amp;"|Input"),IF(COUNTIF(Flows!$M$2:$M$1500,$A17&amp;"|"&amp;AV$1&amp;"|Output"),"I/O","IN"),IF(COUNTIF(Flows!$M$2:$M$1500,$A17&amp;"|"&amp;AV$1&amp;"|Output"),"OUT",""))</f>
        <v/>
      </c>
      <c r="AW17" s="33" t="str">
        <f aca="false">IF(COUNTIF(Flows!$M$2:$M$1500,$A17&amp;"|"&amp;AW$1&amp;"|Input"),IF(COUNTIF(Flows!$M$2:$M$1500,$A17&amp;"|"&amp;AW$1&amp;"|Output"),"I/O","IN"),IF(COUNTIF(Flows!$M$2:$M$1500,$A17&amp;"|"&amp;AW$1&amp;"|Output"),"OUT",""))</f>
        <v/>
      </c>
      <c r="AX17" s="33" t="str">
        <f aca="false">IF(COUNTIF(Flows!$M$2:$M$1500,$A17&amp;"|"&amp;AX$1&amp;"|Input"),IF(COUNTIF(Flows!$M$2:$M$1500,$A17&amp;"|"&amp;AX$1&amp;"|Output"),"I/O","IN"),IF(COUNTIF(Flows!$M$2:$M$1500,$A17&amp;"|"&amp;AX$1&amp;"|Output"),"OUT",""))</f>
        <v/>
      </c>
      <c r="AY17" s="33" t="str">
        <f aca="false">IF(COUNTIF(Flows!$M$2:$M$1500,$A17&amp;"|"&amp;AY$1&amp;"|Input"),IF(COUNTIF(Flows!$M$2:$M$1500,$A17&amp;"|"&amp;AY$1&amp;"|Output"),"I/O","IN"),IF(COUNTIF(Flows!$M$2:$M$1500,$A17&amp;"|"&amp;AY$1&amp;"|Output"),"OUT",""))</f>
        <v/>
      </c>
      <c r="AZ17" s="33" t="str">
        <f aca="false">IF(COUNTIF(Flows!$M$2:$M$1500,$A17&amp;"|"&amp;AZ$1&amp;"|Input"),IF(COUNTIF(Flows!$M$2:$M$1500,$A17&amp;"|"&amp;AZ$1&amp;"|Output"),"I/O","IN"),IF(COUNTIF(Flows!$M$2:$M$1500,$A17&amp;"|"&amp;AZ$1&amp;"|Output"),"OUT",""))</f>
        <v/>
      </c>
      <c r="BA17" s="33" t="str">
        <f aca="false">IF(COUNTIF(Flows!$M$2:$M$1500,$A17&amp;"|"&amp;BA$1&amp;"|Input"),IF(COUNTIF(Flows!$M$2:$M$1500,$A17&amp;"|"&amp;BA$1&amp;"|Output"),"I/O","IN"),IF(COUNTIF(Flows!$M$2:$M$1500,$A17&amp;"|"&amp;BA$1&amp;"|Output"),"OUT",""))</f>
        <v/>
      </c>
      <c r="BB17" s="33" t="str">
        <f aca="false">IF(COUNTIF(Flows!$M$2:$M$1500,$A17&amp;"|"&amp;BB$1&amp;"|Input"),IF(COUNTIF(Flows!$M$2:$M$1500,$A17&amp;"|"&amp;BB$1&amp;"|Output"),"I/O","IN"),IF(COUNTIF(Flows!$M$2:$M$1500,$A17&amp;"|"&amp;BB$1&amp;"|Output"),"OUT",""))</f>
        <v/>
      </c>
      <c r="BC17" s="33" t="str">
        <f aca="false">IF(COUNTIF(Flows!$M$2:$M$1500,$A17&amp;"|"&amp;BC$1&amp;"|Input"),IF(COUNTIF(Flows!$M$2:$M$1500,$A17&amp;"|"&amp;BC$1&amp;"|Output"),"I/O","IN"),IF(COUNTIF(Flows!$M$2:$M$1500,$A17&amp;"|"&amp;BC$1&amp;"|Output"),"OUT",""))</f>
        <v/>
      </c>
      <c r="BD17" s="33" t="str">
        <f aca="false">IF(COUNTIF(Flows!$M$2:$M$1500,$A17&amp;"|"&amp;BD$1&amp;"|Input"),IF(COUNTIF(Flows!$M$2:$M$1500,$A17&amp;"|"&amp;BD$1&amp;"|Output"),"I/O","IN"),IF(COUNTIF(Flows!$M$2:$M$1500,$A17&amp;"|"&amp;BD$1&amp;"|Output"),"OUT",""))</f>
        <v/>
      </c>
      <c r="BE17" s="33" t="str">
        <f aca="false">IF(COUNTIF(Flows!$M$2:$M$1500,$A17&amp;"|"&amp;BE$1&amp;"|Input"),IF(COUNTIF(Flows!$M$2:$M$1500,$A17&amp;"|"&amp;BE$1&amp;"|Output"),"I/O","IN"),IF(COUNTIF(Flows!$M$2:$M$1500,$A17&amp;"|"&amp;BE$1&amp;"|Output"),"OUT",""))</f>
        <v/>
      </c>
      <c r="BF17" s="33" t="str">
        <f aca="false">IF(COUNTIF(Flows!$M$2:$M$1500,$A17&amp;"|"&amp;BF$1&amp;"|Input"),IF(COUNTIF(Flows!$M$2:$M$1500,$A17&amp;"|"&amp;BF$1&amp;"|Output"),"I/O","IN"),IF(COUNTIF(Flows!$M$2:$M$1500,$A17&amp;"|"&amp;BF$1&amp;"|Output"),"OUT",""))</f>
        <v/>
      </c>
      <c r="BG17" s="33" t="str">
        <f aca="false">IF(COUNTIF(Flows!$M$2:$M$1500,$A17&amp;"|"&amp;BG$1&amp;"|Input"),IF(COUNTIF(Flows!$M$2:$M$1500,$A17&amp;"|"&amp;BG$1&amp;"|Output"),"I/O","IN"),IF(COUNTIF(Flows!$M$2:$M$1500,$A17&amp;"|"&amp;BG$1&amp;"|Output"),"OUT",""))</f>
        <v/>
      </c>
      <c r="BH17" s="33" t="str">
        <f aca="false">IF(COUNTIF(Flows!$M$2:$M$1500,$A17&amp;"|"&amp;BH$1&amp;"|Input"),IF(COUNTIF(Flows!$M$2:$M$1500,$A17&amp;"|"&amp;BH$1&amp;"|Output"),"I/O","IN"),IF(COUNTIF(Flows!$M$2:$M$1500,$A17&amp;"|"&amp;BH$1&amp;"|Output"),"OUT",""))</f>
        <v>OUT</v>
      </c>
      <c r="BI17" s="33" t="str">
        <f aca="false">IF(COUNTIF(Flows!$M$2:$M$1500,$A17&amp;"|"&amp;BI$1&amp;"|Input"),IF(COUNTIF(Flows!$M$2:$M$1500,$A17&amp;"|"&amp;BI$1&amp;"|Output"),"I/O","IN"),IF(COUNTIF(Flows!$M$2:$M$1500,$A17&amp;"|"&amp;BI$1&amp;"|Output"),"OUT",""))</f>
        <v>IN</v>
      </c>
      <c r="BJ17" s="33" t="str">
        <f aca="false">IF(COUNTIF(Flows!$M$2:$M$1500,$A17&amp;"|"&amp;BJ$1&amp;"|Input"),IF(COUNTIF(Flows!$M$2:$M$1500,$A17&amp;"|"&amp;BJ$1&amp;"|Output"),"I/O","IN"),IF(COUNTIF(Flows!$M$2:$M$1500,$A17&amp;"|"&amp;BJ$1&amp;"|Output"),"OUT",""))</f>
        <v/>
      </c>
      <c r="BK17" s="33" t="str">
        <f aca="false">IF(COUNTIF(Flows!$M$2:$M$1500,$A17&amp;"|"&amp;BK$1&amp;"|Input"),IF(COUNTIF(Flows!$M$2:$M$1500,$A17&amp;"|"&amp;BK$1&amp;"|Output"),"I/O","IN"),IF(COUNTIF(Flows!$M$2:$M$1500,$A17&amp;"|"&amp;BK$1&amp;"|Output"),"OUT",""))</f>
        <v/>
      </c>
    </row>
    <row r="18" customFormat="false" ht="15" hidden="false" customHeight="true" outlineLevel="0" collapsed="false">
      <c r="A18" s="6" t="str">
        <f aca="false">Systems!B18</f>
        <v>Black Soldier Fly Protopod (BSF)</v>
      </c>
      <c r="B18" s="33" t="str">
        <f aca="false">IF(COUNTIF(Flows!$M$2:$M$1500,$A18&amp;"|"&amp;B$1&amp;"|Input"),IF(COUNTIF(Flows!$M$2:$M$1500,$A18&amp;"|"&amp;B$1&amp;"|Output"),"I/O","IN"),IF(COUNTIF(Flows!$M$2:$M$1500,$A18&amp;"|"&amp;B$1&amp;"|Output"),"OUT",""))</f>
        <v/>
      </c>
      <c r="C18" s="33" t="str">
        <f aca="false">IF(COUNTIF(Flows!$M$2:$M$1500,$A18&amp;"|"&amp;C$1&amp;"|Input"),IF(COUNTIF(Flows!$M$2:$M$1500,$A18&amp;"|"&amp;C$1&amp;"|Output"),"I/O","IN"),IF(COUNTIF(Flows!$M$2:$M$1500,$A18&amp;"|"&amp;C$1&amp;"|Output"),"OUT",""))</f>
        <v/>
      </c>
      <c r="D18" s="33" t="str">
        <f aca="false">IF(COUNTIF(Flows!$M$2:$M$1500,$A18&amp;"|"&amp;D$1&amp;"|Input"),IF(COUNTIF(Flows!$M$2:$M$1500,$A18&amp;"|"&amp;D$1&amp;"|Output"),"I/O","IN"),IF(COUNTIF(Flows!$M$2:$M$1500,$A18&amp;"|"&amp;D$1&amp;"|Output"),"OUT",""))</f>
        <v/>
      </c>
      <c r="E18" s="33" t="str">
        <f aca="false">IF(COUNTIF(Flows!$M$2:$M$1500,$A18&amp;"|"&amp;E$1&amp;"|Input"),IF(COUNTIF(Flows!$M$2:$M$1500,$A18&amp;"|"&amp;E$1&amp;"|Output"),"I/O","IN"),IF(COUNTIF(Flows!$M$2:$M$1500,$A18&amp;"|"&amp;E$1&amp;"|Output"),"OUT",""))</f>
        <v/>
      </c>
      <c r="F18" s="33" t="str">
        <f aca="false">IF(COUNTIF(Flows!$M$2:$M$1500,$A18&amp;"|"&amp;F$1&amp;"|Input"),IF(COUNTIF(Flows!$M$2:$M$1500,$A18&amp;"|"&amp;F$1&amp;"|Output"),"I/O","IN"),IF(COUNTIF(Flows!$M$2:$M$1500,$A18&amp;"|"&amp;F$1&amp;"|Output"),"OUT",""))</f>
        <v/>
      </c>
      <c r="G18" s="33" t="str">
        <f aca="false">IF(COUNTIF(Flows!$M$2:$M$1500,$A18&amp;"|"&amp;G$1&amp;"|Input"),IF(COUNTIF(Flows!$M$2:$M$1500,$A18&amp;"|"&amp;G$1&amp;"|Output"),"I/O","IN"),IF(COUNTIF(Flows!$M$2:$M$1500,$A18&amp;"|"&amp;G$1&amp;"|Output"),"OUT",""))</f>
        <v/>
      </c>
      <c r="H18" s="33" t="str">
        <f aca="false">IF(COUNTIF(Flows!$M$2:$M$1500,$A18&amp;"|"&amp;H$1&amp;"|Input"),IF(COUNTIF(Flows!$M$2:$M$1500,$A18&amp;"|"&amp;H$1&amp;"|Output"),"I/O","IN"),IF(COUNTIF(Flows!$M$2:$M$1500,$A18&amp;"|"&amp;H$1&amp;"|Output"),"OUT",""))</f>
        <v/>
      </c>
      <c r="I18" s="33" t="str">
        <f aca="false">IF(COUNTIF(Flows!$M$2:$M$1500,$A18&amp;"|"&amp;I$1&amp;"|Input"),IF(COUNTIF(Flows!$M$2:$M$1500,$A18&amp;"|"&amp;I$1&amp;"|Output"),"I/O","IN"),IF(COUNTIF(Flows!$M$2:$M$1500,$A18&amp;"|"&amp;I$1&amp;"|Output"),"OUT",""))</f>
        <v/>
      </c>
      <c r="J18" s="33" t="str">
        <f aca="false">IF(COUNTIF(Flows!$M$2:$M$1500,$A18&amp;"|"&amp;J$1&amp;"|Input"),IF(COUNTIF(Flows!$M$2:$M$1500,$A18&amp;"|"&amp;J$1&amp;"|Output"),"I/O","IN"),IF(COUNTIF(Flows!$M$2:$M$1500,$A18&amp;"|"&amp;J$1&amp;"|Output"),"OUT",""))</f>
        <v/>
      </c>
      <c r="K18" s="33" t="str">
        <f aca="false">IF(COUNTIF(Flows!$M$2:$M$1500,$A18&amp;"|"&amp;K$1&amp;"|Input"),IF(COUNTIF(Flows!$M$2:$M$1500,$A18&amp;"|"&amp;K$1&amp;"|Output"),"I/O","IN"),IF(COUNTIF(Flows!$M$2:$M$1500,$A18&amp;"|"&amp;K$1&amp;"|Output"),"OUT",""))</f>
        <v/>
      </c>
      <c r="L18" s="33" t="str">
        <f aca="false">IF(COUNTIF(Flows!$M$2:$M$1500,$A18&amp;"|"&amp;L$1&amp;"|Input"),IF(COUNTIF(Flows!$M$2:$M$1500,$A18&amp;"|"&amp;L$1&amp;"|Output"),"I/O","IN"),IF(COUNTIF(Flows!$M$2:$M$1500,$A18&amp;"|"&amp;L$1&amp;"|Output"),"OUT",""))</f>
        <v/>
      </c>
      <c r="M18" s="33" t="str">
        <f aca="false">IF(COUNTIF(Flows!$M$2:$M$1500,$A18&amp;"|"&amp;M$1&amp;"|Input"),IF(COUNTIF(Flows!$M$2:$M$1500,$A18&amp;"|"&amp;M$1&amp;"|Output"),"I/O","IN"),IF(COUNTIF(Flows!$M$2:$M$1500,$A18&amp;"|"&amp;M$1&amp;"|Output"),"OUT",""))</f>
        <v/>
      </c>
      <c r="N18" s="33" t="str">
        <f aca="false">IF(COUNTIF(Flows!$M$2:$M$1500,$A18&amp;"|"&amp;N$1&amp;"|Input"),IF(COUNTIF(Flows!$M$2:$M$1500,$A18&amp;"|"&amp;N$1&amp;"|Output"),"I/O","IN"),IF(COUNTIF(Flows!$M$2:$M$1500,$A18&amp;"|"&amp;N$1&amp;"|Output"),"OUT",""))</f>
        <v/>
      </c>
      <c r="O18" s="33" t="str">
        <f aca="false">IF(COUNTIF(Flows!$M$2:$M$1500,$A18&amp;"|"&amp;O$1&amp;"|Input"),IF(COUNTIF(Flows!$M$2:$M$1500,$A18&amp;"|"&amp;O$1&amp;"|Output"),"I/O","IN"),IF(COUNTIF(Flows!$M$2:$M$1500,$A18&amp;"|"&amp;O$1&amp;"|Output"),"OUT",""))</f>
        <v/>
      </c>
      <c r="P18" s="33" t="str">
        <f aca="false">IF(COUNTIF(Flows!$M$2:$M$1500,$A18&amp;"|"&amp;P$1&amp;"|Input"),IF(COUNTIF(Flows!$M$2:$M$1500,$A18&amp;"|"&amp;P$1&amp;"|Output"),"I/O","IN"),IF(COUNTIF(Flows!$M$2:$M$1500,$A18&amp;"|"&amp;P$1&amp;"|Output"),"OUT",""))</f>
        <v/>
      </c>
      <c r="Q18" s="33" t="str">
        <f aca="false">IF(COUNTIF(Flows!$M$2:$M$1500,$A18&amp;"|"&amp;Q$1&amp;"|Input"),IF(COUNTIF(Flows!$M$2:$M$1500,$A18&amp;"|"&amp;Q$1&amp;"|Output"),"I/O","IN"),IF(COUNTIF(Flows!$M$2:$M$1500,$A18&amp;"|"&amp;Q$1&amp;"|Output"),"OUT",""))</f>
        <v/>
      </c>
      <c r="R18" s="33" t="str">
        <f aca="false">IF(COUNTIF(Flows!$M$2:$M$1500,$A18&amp;"|"&amp;R$1&amp;"|Input"),IF(COUNTIF(Flows!$M$2:$M$1500,$A18&amp;"|"&amp;R$1&amp;"|Output"),"I/O","IN"),IF(COUNTIF(Flows!$M$2:$M$1500,$A18&amp;"|"&amp;R$1&amp;"|Output"),"OUT",""))</f>
        <v/>
      </c>
      <c r="S18" s="33" t="str">
        <f aca="false">IF(COUNTIF(Flows!$M$2:$M$1500,$A18&amp;"|"&amp;S$1&amp;"|Input"),IF(COUNTIF(Flows!$M$2:$M$1500,$A18&amp;"|"&amp;S$1&amp;"|Output"),"I/O","IN"),IF(COUNTIF(Flows!$M$2:$M$1500,$A18&amp;"|"&amp;S$1&amp;"|Output"),"OUT",""))</f>
        <v/>
      </c>
      <c r="T18" s="33" t="str">
        <f aca="false">IF(COUNTIF(Flows!$M$2:$M$1500,$A18&amp;"|"&amp;T$1&amp;"|Input"),IF(COUNTIF(Flows!$M$2:$M$1500,$A18&amp;"|"&amp;T$1&amp;"|Output"),"I/O","IN"),IF(COUNTIF(Flows!$M$2:$M$1500,$A18&amp;"|"&amp;T$1&amp;"|Output"),"OUT",""))</f>
        <v/>
      </c>
      <c r="U18" s="33" t="str">
        <f aca="false">IF(COUNTIF(Flows!$M$2:$M$1500,$A18&amp;"|"&amp;U$1&amp;"|Input"),IF(COUNTIF(Flows!$M$2:$M$1500,$A18&amp;"|"&amp;U$1&amp;"|Output"),"I/O","IN"),IF(COUNTIF(Flows!$M$2:$M$1500,$A18&amp;"|"&amp;U$1&amp;"|Output"),"OUT",""))</f>
        <v/>
      </c>
      <c r="V18" s="33" t="str">
        <f aca="false">IF(COUNTIF(Flows!$M$2:$M$1500,$A18&amp;"|"&amp;V$1&amp;"|Input"),IF(COUNTIF(Flows!$M$2:$M$1500,$A18&amp;"|"&amp;V$1&amp;"|Output"),"I/O","IN"),IF(COUNTIF(Flows!$M$2:$M$1500,$A18&amp;"|"&amp;V$1&amp;"|Output"),"OUT",""))</f>
        <v/>
      </c>
      <c r="W18" s="33" t="str">
        <f aca="false">IF(COUNTIF(Flows!$M$2:$M$1500,$A18&amp;"|"&amp;W$1&amp;"|Input"),IF(COUNTIF(Flows!$M$2:$M$1500,$A18&amp;"|"&amp;W$1&amp;"|Output"),"I/O","IN"),IF(COUNTIF(Flows!$M$2:$M$1500,$A18&amp;"|"&amp;W$1&amp;"|Output"),"OUT",""))</f>
        <v/>
      </c>
      <c r="X18" s="33" t="str">
        <f aca="false">IF(COUNTIF(Flows!$M$2:$M$1500,$A18&amp;"|"&amp;X$1&amp;"|Input"),IF(COUNTIF(Flows!$M$2:$M$1500,$A18&amp;"|"&amp;X$1&amp;"|Output"),"I/O","IN"),IF(COUNTIF(Flows!$M$2:$M$1500,$A18&amp;"|"&amp;X$1&amp;"|Output"),"OUT",""))</f>
        <v>IN</v>
      </c>
      <c r="Y18" s="33" t="str">
        <f aca="false">IF(COUNTIF(Flows!$M$2:$M$1500,$A18&amp;"|"&amp;Y$1&amp;"|Input"),IF(COUNTIF(Flows!$M$2:$M$1500,$A18&amp;"|"&amp;Y$1&amp;"|Output"),"I/O","IN"),IF(COUNTIF(Flows!$M$2:$M$1500,$A18&amp;"|"&amp;Y$1&amp;"|Output"),"OUT",""))</f>
        <v/>
      </c>
      <c r="Z18" s="33" t="str">
        <f aca="false">IF(COUNTIF(Flows!$M$2:$M$1500,$A18&amp;"|"&amp;Z$1&amp;"|Input"),IF(COUNTIF(Flows!$M$2:$M$1500,$A18&amp;"|"&amp;Z$1&amp;"|Output"),"I/O","IN"),IF(COUNTIF(Flows!$M$2:$M$1500,$A18&amp;"|"&amp;Z$1&amp;"|Output"),"OUT",""))</f>
        <v/>
      </c>
      <c r="AA18" s="33" t="str">
        <f aca="false">IF(COUNTIF(Flows!$M$2:$M$1500,$A18&amp;"|"&amp;AA$1&amp;"|Input"),IF(COUNTIF(Flows!$M$2:$M$1500,$A18&amp;"|"&amp;AA$1&amp;"|Output"),"I/O","IN"),IF(COUNTIF(Flows!$M$2:$M$1500,$A18&amp;"|"&amp;AA$1&amp;"|Output"),"OUT",""))</f>
        <v/>
      </c>
      <c r="AB18" s="33" t="str">
        <f aca="false">IF(COUNTIF(Flows!$M$2:$M$1500,$A18&amp;"|"&amp;AB$1&amp;"|Input"),IF(COUNTIF(Flows!$M$2:$M$1500,$A18&amp;"|"&amp;AB$1&amp;"|Output"),"I/O","IN"),IF(COUNTIF(Flows!$M$2:$M$1500,$A18&amp;"|"&amp;AB$1&amp;"|Output"),"OUT",""))</f>
        <v/>
      </c>
      <c r="AC18" s="33" t="str">
        <f aca="false">IF(COUNTIF(Flows!$M$2:$M$1500,$A18&amp;"|"&amp;AC$1&amp;"|Input"),IF(COUNTIF(Flows!$M$2:$M$1500,$A18&amp;"|"&amp;AC$1&amp;"|Output"),"I/O","IN"),IF(COUNTIF(Flows!$M$2:$M$1500,$A18&amp;"|"&amp;AC$1&amp;"|Output"),"OUT",""))</f>
        <v/>
      </c>
      <c r="AD18" s="33" t="str">
        <f aca="false">IF(COUNTIF(Flows!$M$2:$M$1500,$A18&amp;"|"&amp;AD$1&amp;"|Input"),IF(COUNTIF(Flows!$M$2:$M$1500,$A18&amp;"|"&amp;AD$1&amp;"|Output"),"I/O","IN"),IF(COUNTIF(Flows!$M$2:$M$1500,$A18&amp;"|"&amp;AD$1&amp;"|Output"),"OUT",""))</f>
        <v/>
      </c>
      <c r="AE18" s="33" t="str">
        <f aca="false">IF(COUNTIF(Flows!$M$2:$M$1500,$A18&amp;"|"&amp;AE$1&amp;"|Input"),IF(COUNTIF(Flows!$M$2:$M$1500,$A18&amp;"|"&amp;AE$1&amp;"|Output"),"I/O","IN"),IF(COUNTIF(Flows!$M$2:$M$1500,$A18&amp;"|"&amp;AE$1&amp;"|Output"),"OUT",""))</f>
        <v/>
      </c>
      <c r="AF18" s="33" t="str">
        <f aca="false">IF(COUNTIF(Flows!$M$2:$M$1500,$A18&amp;"|"&amp;AF$1&amp;"|Input"),IF(COUNTIF(Flows!$M$2:$M$1500,$A18&amp;"|"&amp;AF$1&amp;"|Output"),"I/O","IN"),IF(COUNTIF(Flows!$M$2:$M$1500,$A18&amp;"|"&amp;AF$1&amp;"|Output"),"OUT",""))</f>
        <v/>
      </c>
      <c r="AG18" s="33" t="str">
        <f aca="false">IF(COUNTIF(Flows!$M$2:$M$1500,$A18&amp;"|"&amp;AG$1&amp;"|Input"),IF(COUNTIF(Flows!$M$2:$M$1500,$A18&amp;"|"&amp;AG$1&amp;"|Output"),"I/O","IN"),IF(COUNTIF(Flows!$M$2:$M$1500,$A18&amp;"|"&amp;AG$1&amp;"|Output"),"OUT",""))</f>
        <v/>
      </c>
      <c r="AH18" s="33" t="str">
        <f aca="false">IF(COUNTIF(Flows!$M$2:$M$1500,$A18&amp;"|"&amp;AH$1&amp;"|Input"),IF(COUNTIF(Flows!$M$2:$M$1500,$A18&amp;"|"&amp;AH$1&amp;"|Output"),"I/O","IN"),IF(COUNTIF(Flows!$M$2:$M$1500,$A18&amp;"|"&amp;AH$1&amp;"|Output"),"OUT",""))</f>
        <v/>
      </c>
      <c r="AI18" s="33" t="str">
        <f aca="false">IF(COUNTIF(Flows!$M$2:$M$1500,$A18&amp;"|"&amp;AI$1&amp;"|Input"),IF(COUNTIF(Flows!$M$2:$M$1500,$A18&amp;"|"&amp;AI$1&amp;"|Output"),"I/O","IN"),IF(COUNTIF(Flows!$M$2:$M$1500,$A18&amp;"|"&amp;AI$1&amp;"|Output"),"OUT",""))</f>
        <v/>
      </c>
      <c r="AJ18" s="33" t="str">
        <f aca="false">IF(COUNTIF(Flows!$M$2:$M$1500,$A18&amp;"|"&amp;AJ$1&amp;"|Input"),IF(COUNTIF(Flows!$M$2:$M$1500,$A18&amp;"|"&amp;AJ$1&amp;"|Output"),"I/O","IN"),IF(COUNTIF(Flows!$M$2:$M$1500,$A18&amp;"|"&amp;AJ$1&amp;"|Output"),"OUT",""))</f>
        <v/>
      </c>
      <c r="AK18" s="33" t="str">
        <f aca="false">IF(COUNTIF(Flows!$M$2:$M$1500,$A18&amp;"|"&amp;AK$1&amp;"|Input"),IF(COUNTIF(Flows!$M$2:$M$1500,$A18&amp;"|"&amp;AK$1&amp;"|Output"),"I/O","IN"),IF(COUNTIF(Flows!$M$2:$M$1500,$A18&amp;"|"&amp;AK$1&amp;"|Output"),"OUT",""))</f>
        <v/>
      </c>
      <c r="AL18" s="33" t="str">
        <f aca="false">IF(COUNTIF(Flows!$M$2:$M$1500,$A18&amp;"|"&amp;AL$1&amp;"|Input"),IF(COUNTIF(Flows!$M$2:$M$1500,$A18&amp;"|"&amp;AL$1&amp;"|Output"),"I/O","IN"),IF(COUNTIF(Flows!$M$2:$M$1500,$A18&amp;"|"&amp;AL$1&amp;"|Output"),"OUT",""))</f>
        <v/>
      </c>
      <c r="AM18" s="33" t="str">
        <f aca="false">IF(COUNTIF(Flows!$M$2:$M$1500,$A18&amp;"|"&amp;AM$1&amp;"|Input"),IF(COUNTIF(Flows!$M$2:$M$1500,$A18&amp;"|"&amp;AM$1&amp;"|Output"),"I/O","IN"),IF(COUNTIF(Flows!$M$2:$M$1500,$A18&amp;"|"&amp;AM$1&amp;"|Output"),"OUT",""))</f>
        <v/>
      </c>
      <c r="AN18" s="33" t="str">
        <f aca="false">IF(COUNTIF(Flows!$M$2:$M$1500,$A18&amp;"|"&amp;AN$1&amp;"|Input"),IF(COUNTIF(Flows!$M$2:$M$1500,$A18&amp;"|"&amp;AN$1&amp;"|Output"),"I/O","IN"),IF(COUNTIF(Flows!$M$2:$M$1500,$A18&amp;"|"&amp;AN$1&amp;"|Output"),"OUT",""))</f>
        <v/>
      </c>
      <c r="AO18" s="33" t="str">
        <f aca="false">IF(COUNTIF(Flows!$M$2:$M$1500,$A18&amp;"|"&amp;AO$1&amp;"|Input"),IF(COUNTIF(Flows!$M$2:$M$1500,$A18&amp;"|"&amp;AO$1&amp;"|Output"),"I/O","IN"),IF(COUNTIF(Flows!$M$2:$M$1500,$A18&amp;"|"&amp;AO$1&amp;"|Output"),"OUT",""))</f>
        <v/>
      </c>
      <c r="AP18" s="33" t="str">
        <f aca="false">IF(COUNTIF(Flows!$M$2:$M$1500,$A18&amp;"|"&amp;AP$1&amp;"|Input"),IF(COUNTIF(Flows!$M$2:$M$1500,$A18&amp;"|"&amp;AP$1&amp;"|Output"),"I/O","IN"),IF(COUNTIF(Flows!$M$2:$M$1500,$A18&amp;"|"&amp;AP$1&amp;"|Output"),"OUT",""))</f>
        <v/>
      </c>
      <c r="AQ18" s="33" t="str">
        <f aca="false">IF(COUNTIF(Flows!$M$2:$M$1500,$A18&amp;"|"&amp;AQ$1&amp;"|Input"),IF(COUNTIF(Flows!$M$2:$M$1500,$A18&amp;"|"&amp;AQ$1&amp;"|Output"),"I/O","IN"),IF(COUNTIF(Flows!$M$2:$M$1500,$A18&amp;"|"&amp;AQ$1&amp;"|Output"),"OUT",""))</f>
        <v/>
      </c>
      <c r="AR18" s="33" t="str">
        <f aca="false">IF(COUNTIF(Flows!$M$2:$M$1500,$A18&amp;"|"&amp;AR$1&amp;"|Input"),IF(COUNTIF(Flows!$M$2:$M$1500,$A18&amp;"|"&amp;AR$1&amp;"|Output"),"I/O","IN"),IF(COUNTIF(Flows!$M$2:$M$1500,$A18&amp;"|"&amp;AR$1&amp;"|Output"),"OUT",""))</f>
        <v/>
      </c>
      <c r="AS18" s="33" t="str">
        <f aca="false">IF(COUNTIF(Flows!$M$2:$M$1500,$A18&amp;"|"&amp;AS$1&amp;"|Input"),IF(COUNTIF(Flows!$M$2:$M$1500,$A18&amp;"|"&amp;AS$1&amp;"|Output"),"I/O","IN"),IF(COUNTIF(Flows!$M$2:$M$1500,$A18&amp;"|"&amp;AS$1&amp;"|Output"),"OUT",""))</f>
        <v/>
      </c>
      <c r="AT18" s="33" t="str">
        <f aca="false">IF(COUNTIF(Flows!$M$2:$M$1500,$A18&amp;"|"&amp;AT$1&amp;"|Input"),IF(COUNTIF(Flows!$M$2:$M$1500,$A18&amp;"|"&amp;AT$1&amp;"|Output"),"I/O","IN"),IF(COUNTIF(Flows!$M$2:$M$1500,$A18&amp;"|"&amp;AT$1&amp;"|Output"),"OUT",""))</f>
        <v>OUT</v>
      </c>
      <c r="AU18" s="33" t="str">
        <f aca="false">IF(COUNTIF(Flows!$M$2:$M$1500,$A18&amp;"|"&amp;AU$1&amp;"|Input"),IF(COUNTIF(Flows!$M$2:$M$1500,$A18&amp;"|"&amp;AU$1&amp;"|Output"),"I/O","IN"),IF(COUNTIF(Flows!$M$2:$M$1500,$A18&amp;"|"&amp;AU$1&amp;"|Output"),"OUT",""))</f>
        <v/>
      </c>
      <c r="AV18" s="33" t="str">
        <f aca="false">IF(COUNTIF(Flows!$M$2:$M$1500,$A18&amp;"|"&amp;AV$1&amp;"|Input"),IF(COUNTIF(Flows!$M$2:$M$1500,$A18&amp;"|"&amp;AV$1&amp;"|Output"),"I/O","IN"),IF(COUNTIF(Flows!$M$2:$M$1500,$A18&amp;"|"&amp;AV$1&amp;"|Output"),"OUT",""))</f>
        <v/>
      </c>
      <c r="AW18" s="33" t="str">
        <f aca="false">IF(COUNTIF(Flows!$M$2:$M$1500,$A18&amp;"|"&amp;AW$1&amp;"|Input"),IF(COUNTIF(Flows!$M$2:$M$1500,$A18&amp;"|"&amp;AW$1&amp;"|Output"),"I/O","IN"),IF(COUNTIF(Flows!$M$2:$M$1500,$A18&amp;"|"&amp;AW$1&amp;"|Output"),"OUT",""))</f>
        <v/>
      </c>
      <c r="AX18" s="33" t="str">
        <f aca="false">IF(COUNTIF(Flows!$M$2:$M$1500,$A18&amp;"|"&amp;AX$1&amp;"|Input"),IF(COUNTIF(Flows!$M$2:$M$1500,$A18&amp;"|"&amp;AX$1&amp;"|Output"),"I/O","IN"),IF(COUNTIF(Flows!$M$2:$M$1500,$A18&amp;"|"&amp;AX$1&amp;"|Output"),"OUT",""))</f>
        <v>IN</v>
      </c>
      <c r="AY18" s="33" t="str">
        <f aca="false">IF(COUNTIF(Flows!$M$2:$M$1500,$A18&amp;"|"&amp;AY$1&amp;"|Input"),IF(COUNTIF(Flows!$M$2:$M$1500,$A18&amp;"|"&amp;AY$1&amp;"|Output"),"I/O","IN"),IF(COUNTIF(Flows!$M$2:$M$1500,$A18&amp;"|"&amp;AY$1&amp;"|Output"),"OUT",""))</f>
        <v>IN</v>
      </c>
      <c r="AZ18" s="33" t="str">
        <f aca="false">IF(COUNTIF(Flows!$M$2:$M$1500,$A18&amp;"|"&amp;AZ$1&amp;"|Input"),IF(COUNTIF(Flows!$M$2:$M$1500,$A18&amp;"|"&amp;AZ$1&amp;"|Output"),"I/O","IN"),IF(COUNTIF(Flows!$M$2:$M$1500,$A18&amp;"|"&amp;AZ$1&amp;"|Output"),"OUT",""))</f>
        <v/>
      </c>
      <c r="BA18" s="33" t="str">
        <f aca="false">IF(COUNTIF(Flows!$M$2:$M$1500,$A18&amp;"|"&amp;BA$1&amp;"|Input"),IF(COUNTIF(Flows!$M$2:$M$1500,$A18&amp;"|"&amp;BA$1&amp;"|Output"),"I/O","IN"),IF(COUNTIF(Flows!$M$2:$M$1500,$A18&amp;"|"&amp;BA$1&amp;"|Output"),"OUT",""))</f>
        <v>OUT</v>
      </c>
      <c r="BB18" s="33" t="str">
        <f aca="false">IF(COUNTIF(Flows!$M$2:$M$1500,$A18&amp;"|"&amp;BB$1&amp;"|Input"),IF(COUNTIF(Flows!$M$2:$M$1500,$A18&amp;"|"&amp;BB$1&amp;"|Output"),"I/O","IN"),IF(COUNTIF(Flows!$M$2:$M$1500,$A18&amp;"|"&amp;BB$1&amp;"|Output"),"OUT",""))</f>
        <v/>
      </c>
      <c r="BC18" s="33" t="str">
        <f aca="false">IF(COUNTIF(Flows!$M$2:$M$1500,$A18&amp;"|"&amp;BC$1&amp;"|Input"),IF(COUNTIF(Flows!$M$2:$M$1500,$A18&amp;"|"&amp;BC$1&amp;"|Output"),"I/O","IN"),IF(COUNTIF(Flows!$M$2:$M$1500,$A18&amp;"|"&amp;BC$1&amp;"|Output"),"OUT",""))</f>
        <v/>
      </c>
      <c r="BD18" s="33" t="str">
        <f aca="false">IF(COUNTIF(Flows!$M$2:$M$1500,$A18&amp;"|"&amp;BD$1&amp;"|Input"),IF(COUNTIF(Flows!$M$2:$M$1500,$A18&amp;"|"&amp;BD$1&amp;"|Output"),"I/O","IN"),IF(COUNTIF(Flows!$M$2:$M$1500,$A18&amp;"|"&amp;BD$1&amp;"|Output"),"OUT",""))</f>
        <v/>
      </c>
      <c r="BE18" s="33" t="str">
        <f aca="false">IF(COUNTIF(Flows!$M$2:$M$1500,$A18&amp;"|"&amp;BE$1&amp;"|Input"),IF(COUNTIF(Flows!$M$2:$M$1500,$A18&amp;"|"&amp;BE$1&amp;"|Output"),"I/O","IN"),IF(COUNTIF(Flows!$M$2:$M$1500,$A18&amp;"|"&amp;BE$1&amp;"|Output"),"OUT",""))</f>
        <v/>
      </c>
      <c r="BF18" s="33" t="str">
        <f aca="false">IF(COUNTIF(Flows!$M$2:$M$1500,$A18&amp;"|"&amp;BF$1&amp;"|Input"),IF(COUNTIF(Flows!$M$2:$M$1500,$A18&amp;"|"&amp;BF$1&amp;"|Output"),"I/O","IN"),IF(COUNTIF(Flows!$M$2:$M$1500,$A18&amp;"|"&amp;BF$1&amp;"|Output"),"OUT",""))</f>
        <v/>
      </c>
      <c r="BG18" s="33" t="str">
        <f aca="false">IF(COUNTIF(Flows!$M$2:$M$1500,$A18&amp;"|"&amp;BG$1&amp;"|Input"),IF(COUNTIF(Flows!$M$2:$M$1500,$A18&amp;"|"&amp;BG$1&amp;"|Output"),"I/O","IN"),IF(COUNTIF(Flows!$M$2:$M$1500,$A18&amp;"|"&amp;BG$1&amp;"|Output"),"OUT",""))</f>
        <v/>
      </c>
      <c r="BH18" s="33" t="str">
        <f aca="false">IF(COUNTIF(Flows!$M$2:$M$1500,$A18&amp;"|"&amp;BH$1&amp;"|Input"),IF(COUNTIF(Flows!$M$2:$M$1500,$A18&amp;"|"&amp;BH$1&amp;"|Output"),"I/O","IN"),IF(COUNTIF(Flows!$M$2:$M$1500,$A18&amp;"|"&amp;BH$1&amp;"|Output"),"OUT",""))</f>
        <v/>
      </c>
      <c r="BI18" s="33" t="str">
        <f aca="false">IF(COUNTIF(Flows!$M$2:$M$1500,$A18&amp;"|"&amp;BI$1&amp;"|Input"),IF(COUNTIF(Flows!$M$2:$M$1500,$A18&amp;"|"&amp;BI$1&amp;"|Output"),"I/O","IN"),IF(COUNTIF(Flows!$M$2:$M$1500,$A18&amp;"|"&amp;BI$1&amp;"|Output"),"OUT",""))</f>
        <v/>
      </c>
      <c r="BJ18" s="33" t="str">
        <f aca="false">IF(COUNTIF(Flows!$M$2:$M$1500,$A18&amp;"|"&amp;BJ$1&amp;"|Input"),IF(COUNTIF(Flows!$M$2:$M$1500,$A18&amp;"|"&amp;BJ$1&amp;"|Output"),"I/O","IN"),IF(COUNTIF(Flows!$M$2:$M$1500,$A18&amp;"|"&amp;BJ$1&amp;"|Output"),"OUT",""))</f>
        <v/>
      </c>
      <c r="BK18" s="33" t="str">
        <f aca="false">IF(COUNTIF(Flows!$M$2:$M$1500,$A18&amp;"|"&amp;BK$1&amp;"|Input"),IF(COUNTIF(Flows!$M$2:$M$1500,$A18&amp;"|"&amp;BK$1&amp;"|Output"),"I/O","IN"),IF(COUNTIF(Flows!$M$2:$M$1500,$A18&amp;"|"&amp;BK$1&amp;"|Output"),"OUT",""))</f>
        <v/>
      </c>
    </row>
    <row r="19" customFormat="false" ht="15" hidden="false" customHeight="true" outlineLevel="0" collapsed="false">
      <c r="A19" s="6" t="str">
        <f aca="false">Systems!B19</f>
        <v>Chicken</v>
      </c>
      <c r="B19" s="33" t="str">
        <f aca="false">IF(COUNTIF(Flows!$M$2:$M$1500,$A19&amp;"|"&amp;B$1&amp;"|Input"),IF(COUNTIF(Flows!$M$2:$M$1500,$A19&amp;"|"&amp;B$1&amp;"|Output"),"I/O","IN"),IF(COUNTIF(Flows!$M$2:$M$1500,$A19&amp;"|"&amp;B$1&amp;"|Output"),"OUT",""))</f>
        <v>IN</v>
      </c>
      <c r="C19" s="33" t="str">
        <f aca="false">IF(COUNTIF(Flows!$M$2:$M$1500,$A19&amp;"|"&amp;C$1&amp;"|Input"),IF(COUNTIF(Flows!$M$2:$M$1500,$A19&amp;"|"&amp;C$1&amp;"|Output"),"I/O","IN"),IF(COUNTIF(Flows!$M$2:$M$1500,$A19&amp;"|"&amp;C$1&amp;"|Output"),"OUT",""))</f>
        <v/>
      </c>
      <c r="D19" s="33" t="str">
        <f aca="false">IF(COUNTIF(Flows!$M$2:$M$1500,$A19&amp;"|"&amp;D$1&amp;"|Input"),IF(COUNTIF(Flows!$M$2:$M$1500,$A19&amp;"|"&amp;D$1&amp;"|Output"),"I/O","IN"),IF(COUNTIF(Flows!$M$2:$M$1500,$A19&amp;"|"&amp;D$1&amp;"|Output"),"OUT",""))</f>
        <v/>
      </c>
      <c r="E19" s="33" t="str">
        <f aca="false">IF(COUNTIF(Flows!$M$2:$M$1500,$A19&amp;"|"&amp;E$1&amp;"|Input"),IF(COUNTIF(Flows!$M$2:$M$1500,$A19&amp;"|"&amp;E$1&amp;"|Output"),"I/O","IN"),IF(COUNTIF(Flows!$M$2:$M$1500,$A19&amp;"|"&amp;E$1&amp;"|Output"),"OUT",""))</f>
        <v/>
      </c>
      <c r="F19" s="33" t="str">
        <f aca="false">IF(COUNTIF(Flows!$M$2:$M$1500,$A19&amp;"|"&amp;F$1&amp;"|Input"),IF(COUNTIF(Flows!$M$2:$M$1500,$A19&amp;"|"&amp;F$1&amp;"|Output"),"I/O","IN"),IF(COUNTIF(Flows!$M$2:$M$1500,$A19&amp;"|"&amp;F$1&amp;"|Output"),"OUT",""))</f>
        <v/>
      </c>
      <c r="G19" s="33" t="str">
        <f aca="false">IF(COUNTIF(Flows!$M$2:$M$1500,$A19&amp;"|"&amp;G$1&amp;"|Input"),IF(COUNTIF(Flows!$M$2:$M$1500,$A19&amp;"|"&amp;G$1&amp;"|Output"),"I/O","IN"),IF(COUNTIF(Flows!$M$2:$M$1500,$A19&amp;"|"&amp;G$1&amp;"|Output"),"OUT",""))</f>
        <v/>
      </c>
      <c r="H19" s="33" t="str">
        <f aca="false">IF(COUNTIF(Flows!$M$2:$M$1500,$A19&amp;"|"&amp;H$1&amp;"|Input"),IF(COUNTIF(Flows!$M$2:$M$1500,$A19&amp;"|"&amp;H$1&amp;"|Output"),"I/O","IN"),IF(COUNTIF(Flows!$M$2:$M$1500,$A19&amp;"|"&amp;H$1&amp;"|Output"),"OUT",""))</f>
        <v/>
      </c>
      <c r="I19" s="33" t="str">
        <f aca="false">IF(COUNTIF(Flows!$M$2:$M$1500,$A19&amp;"|"&amp;I$1&amp;"|Input"),IF(COUNTIF(Flows!$M$2:$M$1500,$A19&amp;"|"&amp;I$1&amp;"|Output"),"I/O","IN"),IF(COUNTIF(Flows!$M$2:$M$1500,$A19&amp;"|"&amp;I$1&amp;"|Output"),"OUT",""))</f>
        <v/>
      </c>
      <c r="J19" s="33" t="str">
        <f aca="false">IF(COUNTIF(Flows!$M$2:$M$1500,$A19&amp;"|"&amp;J$1&amp;"|Input"),IF(COUNTIF(Flows!$M$2:$M$1500,$A19&amp;"|"&amp;J$1&amp;"|Output"),"I/O","IN"),IF(COUNTIF(Flows!$M$2:$M$1500,$A19&amp;"|"&amp;J$1&amp;"|Output"),"OUT",""))</f>
        <v>OUT</v>
      </c>
      <c r="K19" s="33" t="str">
        <f aca="false">IF(COUNTIF(Flows!$M$2:$M$1500,$A19&amp;"|"&amp;K$1&amp;"|Input"),IF(COUNTIF(Flows!$M$2:$M$1500,$A19&amp;"|"&amp;K$1&amp;"|Output"),"I/O","IN"),IF(COUNTIF(Flows!$M$2:$M$1500,$A19&amp;"|"&amp;K$1&amp;"|Output"),"OUT",""))</f>
        <v/>
      </c>
      <c r="L19" s="33" t="str">
        <f aca="false">IF(COUNTIF(Flows!$M$2:$M$1500,$A19&amp;"|"&amp;L$1&amp;"|Input"),IF(COUNTIF(Flows!$M$2:$M$1500,$A19&amp;"|"&amp;L$1&amp;"|Output"),"I/O","IN"),IF(COUNTIF(Flows!$M$2:$M$1500,$A19&amp;"|"&amp;L$1&amp;"|Output"),"OUT",""))</f>
        <v/>
      </c>
      <c r="M19" s="33" t="str">
        <f aca="false">IF(COUNTIF(Flows!$M$2:$M$1500,$A19&amp;"|"&amp;M$1&amp;"|Input"),IF(COUNTIF(Flows!$M$2:$M$1500,$A19&amp;"|"&amp;M$1&amp;"|Output"),"I/O","IN"),IF(COUNTIF(Flows!$M$2:$M$1500,$A19&amp;"|"&amp;M$1&amp;"|Output"),"OUT",""))</f>
        <v/>
      </c>
      <c r="N19" s="33" t="str">
        <f aca="false">IF(COUNTIF(Flows!$M$2:$M$1500,$A19&amp;"|"&amp;N$1&amp;"|Input"),IF(COUNTIF(Flows!$M$2:$M$1500,$A19&amp;"|"&amp;N$1&amp;"|Output"),"I/O","IN"),IF(COUNTIF(Flows!$M$2:$M$1500,$A19&amp;"|"&amp;N$1&amp;"|Output"),"OUT",""))</f>
        <v/>
      </c>
      <c r="O19" s="33" t="str">
        <f aca="false">IF(COUNTIF(Flows!$M$2:$M$1500,$A19&amp;"|"&amp;O$1&amp;"|Input"),IF(COUNTIF(Flows!$M$2:$M$1500,$A19&amp;"|"&amp;O$1&amp;"|Output"),"I/O","IN"),IF(COUNTIF(Flows!$M$2:$M$1500,$A19&amp;"|"&amp;O$1&amp;"|Output"),"OUT",""))</f>
        <v/>
      </c>
      <c r="P19" s="33" t="str">
        <f aca="false">IF(COUNTIF(Flows!$M$2:$M$1500,$A19&amp;"|"&amp;P$1&amp;"|Input"),IF(COUNTIF(Flows!$M$2:$M$1500,$A19&amp;"|"&amp;P$1&amp;"|Output"),"I/O","IN"),IF(COUNTIF(Flows!$M$2:$M$1500,$A19&amp;"|"&amp;P$1&amp;"|Output"),"OUT",""))</f>
        <v/>
      </c>
      <c r="Q19" s="33" t="str">
        <f aca="false">IF(COUNTIF(Flows!$M$2:$M$1500,$A19&amp;"|"&amp;Q$1&amp;"|Input"),IF(COUNTIF(Flows!$M$2:$M$1500,$A19&amp;"|"&amp;Q$1&amp;"|Output"),"I/O","IN"),IF(COUNTIF(Flows!$M$2:$M$1500,$A19&amp;"|"&amp;Q$1&amp;"|Output"),"OUT",""))</f>
        <v/>
      </c>
      <c r="R19" s="33" t="str">
        <f aca="false">IF(COUNTIF(Flows!$M$2:$M$1500,$A19&amp;"|"&amp;R$1&amp;"|Input"),IF(COUNTIF(Flows!$M$2:$M$1500,$A19&amp;"|"&amp;R$1&amp;"|Output"),"I/O","IN"),IF(COUNTIF(Flows!$M$2:$M$1500,$A19&amp;"|"&amp;R$1&amp;"|Output"),"OUT",""))</f>
        <v/>
      </c>
      <c r="S19" s="33" t="str">
        <f aca="false">IF(COUNTIF(Flows!$M$2:$M$1500,$A19&amp;"|"&amp;S$1&amp;"|Input"),IF(COUNTIF(Flows!$M$2:$M$1500,$A19&amp;"|"&amp;S$1&amp;"|Output"),"I/O","IN"),IF(COUNTIF(Flows!$M$2:$M$1500,$A19&amp;"|"&amp;S$1&amp;"|Output"),"OUT",""))</f>
        <v/>
      </c>
      <c r="T19" s="33" t="str">
        <f aca="false">IF(COUNTIF(Flows!$M$2:$M$1500,$A19&amp;"|"&amp;T$1&amp;"|Input"),IF(COUNTIF(Flows!$M$2:$M$1500,$A19&amp;"|"&amp;T$1&amp;"|Output"),"I/O","IN"),IF(COUNTIF(Flows!$M$2:$M$1500,$A19&amp;"|"&amp;T$1&amp;"|Output"),"OUT",""))</f>
        <v/>
      </c>
      <c r="U19" s="33" t="str">
        <f aca="false">IF(COUNTIF(Flows!$M$2:$M$1500,$A19&amp;"|"&amp;U$1&amp;"|Input"),IF(COUNTIF(Flows!$M$2:$M$1500,$A19&amp;"|"&amp;U$1&amp;"|Output"),"I/O","IN"),IF(COUNTIF(Flows!$M$2:$M$1500,$A19&amp;"|"&amp;U$1&amp;"|Output"),"OUT",""))</f>
        <v/>
      </c>
      <c r="V19" s="33" t="str">
        <f aca="false">IF(COUNTIF(Flows!$M$2:$M$1500,$A19&amp;"|"&amp;V$1&amp;"|Input"),IF(COUNTIF(Flows!$M$2:$M$1500,$A19&amp;"|"&amp;V$1&amp;"|Output"),"I/O","IN"),IF(COUNTIF(Flows!$M$2:$M$1500,$A19&amp;"|"&amp;V$1&amp;"|Output"),"OUT",""))</f>
        <v/>
      </c>
      <c r="W19" s="33" t="str">
        <f aca="false">IF(COUNTIF(Flows!$M$2:$M$1500,$A19&amp;"|"&amp;W$1&amp;"|Input"),IF(COUNTIF(Flows!$M$2:$M$1500,$A19&amp;"|"&amp;W$1&amp;"|Output"),"I/O","IN"),IF(COUNTIF(Flows!$M$2:$M$1500,$A19&amp;"|"&amp;W$1&amp;"|Output"),"OUT",""))</f>
        <v/>
      </c>
      <c r="X19" s="33" t="str">
        <f aca="false">IF(COUNTIF(Flows!$M$2:$M$1500,$A19&amp;"|"&amp;X$1&amp;"|Input"),IF(COUNTIF(Flows!$M$2:$M$1500,$A19&amp;"|"&amp;X$1&amp;"|Output"),"I/O","IN"),IF(COUNTIF(Flows!$M$2:$M$1500,$A19&amp;"|"&amp;X$1&amp;"|Output"),"OUT",""))</f>
        <v>IN</v>
      </c>
      <c r="Y19" s="33" t="str">
        <f aca="false">IF(COUNTIF(Flows!$M$2:$M$1500,$A19&amp;"|"&amp;Y$1&amp;"|Input"),IF(COUNTIF(Flows!$M$2:$M$1500,$A19&amp;"|"&amp;Y$1&amp;"|Output"),"I/O","IN"),IF(COUNTIF(Flows!$M$2:$M$1500,$A19&amp;"|"&amp;Y$1&amp;"|Output"),"OUT",""))</f>
        <v/>
      </c>
      <c r="Z19" s="33" t="str">
        <f aca="false">IF(COUNTIF(Flows!$M$2:$M$1500,$A19&amp;"|"&amp;Z$1&amp;"|Input"),IF(COUNTIF(Flows!$M$2:$M$1500,$A19&amp;"|"&amp;Z$1&amp;"|Output"),"I/O","IN"),IF(COUNTIF(Flows!$M$2:$M$1500,$A19&amp;"|"&amp;Z$1&amp;"|Output"),"OUT",""))</f>
        <v/>
      </c>
      <c r="AA19" s="33" t="str">
        <f aca="false">IF(COUNTIF(Flows!$M$2:$M$1500,$A19&amp;"|"&amp;AA$1&amp;"|Input"),IF(COUNTIF(Flows!$M$2:$M$1500,$A19&amp;"|"&amp;AA$1&amp;"|Output"),"I/O","IN"),IF(COUNTIF(Flows!$M$2:$M$1500,$A19&amp;"|"&amp;AA$1&amp;"|Output"),"OUT",""))</f>
        <v/>
      </c>
      <c r="AB19" s="33" t="str">
        <f aca="false">IF(COUNTIF(Flows!$M$2:$M$1500,$A19&amp;"|"&amp;AB$1&amp;"|Input"),IF(COUNTIF(Flows!$M$2:$M$1500,$A19&amp;"|"&amp;AB$1&amp;"|Output"),"I/O","IN"),IF(COUNTIF(Flows!$M$2:$M$1500,$A19&amp;"|"&amp;AB$1&amp;"|Output"),"OUT",""))</f>
        <v/>
      </c>
      <c r="AC19" s="33" t="str">
        <f aca="false">IF(COUNTIF(Flows!$M$2:$M$1500,$A19&amp;"|"&amp;AC$1&amp;"|Input"),IF(COUNTIF(Flows!$M$2:$M$1500,$A19&amp;"|"&amp;AC$1&amp;"|Output"),"I/O","IN"),IF(COUNTIF(Flows!$M$2:$M$1500,$A19&amp;"|"&amp;AC$1&amp;"|Output"),"OUT",""))</f>
        <v/>
      </c>
      <c r="AD19" s="33" t="str">
        <f aca="false">IF(COUNTIF(Flows!$M$2:$M$1500,$A19&amp;"|"&amp;AD$1&amp;"|Input"),IF(COUNTIF(Flows!$M$2:$M$1500,$A19&amp;"|"&amp;AD$1&amp;"|Output"),"I/O","IN"),IF(COUNTIF(Flows!$M$2:$M$1500,$A19&amp;"|"&amp;AD$1&amp;"|Output"),"OUT",""))</f>
        <v/>
      </c>
      <c r="AE19" s="33" t="str">
        <f aca="false">IF(COUNTIF(Flows!$M$2:$M$1500,$A19&amp;"|"&amp;AE$1&amp;"|Input"),IF(COUNTIF(Flows!$M$2:$M$1500,$A19&amp;"|"&amp;AE$1&amp;"|Output"),"I/O","IN"),IF(COUNTIF(Flows!$M$2:$M$1500,$A19&amp;"|"&amp;AE$1&amp;"|Output"),"OUT",""))</f>
        <v/>
      </c>
      <c r="AF19" s="33" t="str">
        <f aca="false">IF(COUNTIF(Flows!$M$2:$M$1500,$A19&amp;"|"&amp;AF$1&amp;"|Input"),IF(COUNTIF(Flows!$M$2:$M$1500,$A19&amp;"|"&amp;AF$1&amp;"|Output"),"I/O","IN"),IF(COUNTIF(Flows!$M$2:$M$1500,$A19&amp;"|"&amp;AF$1&amp;"|Output"),"OUT",""))</f>
        <v/>
      </c>
      <c r="AG19" s="33" t="str">
        <f aca="false">IF(COUNTIF(Flows!$M$2:$M$1500,$A19&amp;"|"&amp;AG$1&amp;"|Input"),IF(COUNTIF(Flows!$M$2:$M$1500,$A19&amp;"|"&amp;AG$1&amp;"|Output"),"I/O","IN"),IF(COUNTIF(Flows!$M$2:$M$1500,$A19&amp;"|"&amp;AG$1&amp;"|Output"),"OUT",""))</f>
        <v/>
      </c>
      <c r="AH19" s="33" t="str">
        <f aca="false">IF(COUNTIF(Flows!$M$2:$M$1500,$A19&amp;"|"&amp;AH$1&amp;"|Input"),IF(COUNTIF(Flows!$M$2:$M$1500,$A19&amp;"|"&amp;AH$1&amp;"|Output"),"I/O","IN"),IF(COUNTIF(Flows!$M$2:$M$1500,$A19&amp;"|"&amp;AH$1&amp;"|Output"),"OUT",""))</f>
        <v/>
      </c>
      <c r="AI19" s="33" t="str">
        <f aca="false">IF(COUNTIF(Flows!$M$2:$M$1500,$A19&amp;"|"&amp;AI$1&amp;"|Input"),IF(COUNTIF(Flows!$M$2:$M$1500,$A19&amp;"|"&amp;AI$1&amp;"|Output"),"I/O","IN"),IF(COUNTIF(Flows!$M$2:$M$1500,$A19&amp;"|"&amp;AI$1&amp;"|Output"),"OUT",""))</f>
        <v/>
      </c>
      <c r="AJ19" s="33" t="str">
        <f aca="false">IF(COUNTIF(Flows!$M$2:$M$1500,$A19&amp;"|"&amp;AJ$1&amp;"|Input"),IF(COUNTIF(Flows!$M$2:$M$1500,$A19&amp;"|"&amp;AJ$1&amp;"|Output"),"I/O","IN"),IF(COUNTIF(Flows!$M$2:$M$1500,$A19&amp;"|"&amp;AJ$1&amp;"|Output"),"OUT",""))</f>
        <v/>
      </c>
      <c r="AK19" s="33" t="str">
        <f aca="false">IF(COUNTIF(Flows!$M$2:$M$1500,$A19&amp;"|"&amp;AK$1&amp;"|Input"),IF(COUNTIF(Flows!$M$2:$M$1500,$A19&amp;"|"&amp;AK$1&amp;"|Output"),"I/O","IN"),IF(COUNTIF(Flows!$M$2:$M$1500,$A19&amp;"|"&amp;AK$1&amp;"|Output"),"OUT",""))</f>
        <v/>
      </c>
      <c r="AL19" s="33" t="str">
        <f aca="false">IF(COUNTIF(Flows!$M$2:$M$1500,$A19&amp;"|"&amp;AL$1&amp;"|Input"),IF(COUNTIF(Flows!$M$2:$M$1500,$A19&amp;"|"&amp;AL$1&amp;"|Output"),"I/O","IN"),IF(COUNTIF(Flows!$M$2:$M$1500,$A19&amp;"|"&amp;AL$1&amp;"|Output"),"OUT",""))</f>
        <v/>
      </c>
      <c r="AM19" s="33" t="str">
        <f aca="false">IF(COUNTIF(Flows!$M$2:$M$1500,$A19&amp;"|"&amp;AM$1&amp;"|Input"),IF(COUNTIF(Flows!$M$2:$M$1500,$A19&amp;"|"&amp;AM$1&amp;"|Output"),"I/O","IN"),IF(COUNTIF(Flows!$M$2:$M$1500,$A19&amp;"|"&amp;AM$1&amp;"|Output"),"OUT",""))</f>
        <v/>
      </c>
      <c r="AN19" s="33" t="str">
        <f aca="false">IF(COUNTIF(Flows!$M$2:$M$1500,$A19&amp;"|"&amp;AN$1&amp;"|Input"),IF(COUNTIF(Flows!$M$2:$M$1500,$A19&amp;"|"&amp;AN$1&amp;"|Output"),"I/O","IN"),IF(COUNTIF(Flows!$M$2:$M$1500,$A19&amp;"|"&amp;AN$1&amp;"|Output"),"OUT",""))</f>
        <v/>
      </c>
      <c r="AO19" s="33" t="str">
        <f aca="false">IF(COUNTIF(Flows!$M$2:$M$1500,$A19&amp;"|"&amp;AO$1&amp;"|Input"),IF(COUNTIF(Flows!$M$2:$M$1500,$A19&amp;"|"&amp;AO$1&amp;"|Output"),"I/O","IN"),IF(COUNTIF(Flows!$M$2:$M$1500,$A19&amp;"|"&amp;AO$1&amp;"|Output"),"OUT",""))</f>
        <v/>
      </c>
      <c r="AP19" s="33" t="str">
        <f aca="false">IF(COUNTIF(Flows!$M$2:$M$1500,$A19&amp;"|"&amp;AP$1&amp;"|Input"),IF(COUNTIF(Flows!$M$2:$M$1500,$A19&amp;"|"&amp;AP$1&amp;"|Output"),"I/O","IN"),IF(COUNTIF(Flows!$M$2:$M$1500,$A19&amp;"|"&amp;AP$1&amp;"|Output"),"OUT",""))</f>
        <v>IN</v>
      </c>
      <c r="AQ19" s="33" t="str">
        <f aca="false">IF(COUNTIF(Flows!$M$2:$M$1500,$A19&amp;"|"&amp;AQ$1&amp;"|Input"),IF(COUNTIF(Flows!$M$2:$M$1500,$A19&amp;"|"&amp;AQ$1&amp;"|Output"),"I/O","IN"),IF(COUNTIF(Flows!$M$2:$M$1500,$A19&amp;"|"&amp;AQ$1&amp;"|Output"),"OUT",""))</f>
        <v/>
      </c>
      <c r="AR19" s="33" t="str">
        <f aca="false">IF(COUNTIF(Flows!$M$2:$M$1500,$A19&amp;"|"&amp;AR$1&amp;"|Input"),IF(COUNTIF(Flows!$M$2:$M$1500,$A19&amp;"|"&amp;AR$1&amp;"|Output"),"I/O","IN"),IF(COUNTIF(Flows!$M$2:$M$1500,$A19&amp;"|"&amp;AR$1&amp;"|Output"),"OUT",""))</f>
        <v/>
      </c>
      <c r="AS19" s="33" t="str">
        <f aca="false">IF(COUNTIF(Flows!$M$2:$M$1500,$A19&amp;"|"&amp;AS$1&amp;"|Input"),IF(COUNTIF(Flows!$M$2:$M$1500,$A19&amp;"|"&amp;AS$1&amp;"|Output"),"I/O","IN"),IF(COUNTIF(Flows!$M$2:$M$1500,$A19&amp;"|"&amp;AS$1&amp;"|Output"),"OUT",""))</f>
        <v/>
      </c>
      <c r="AT19" s="33" t="str">
        <f aca="false">IF(COUNTIF(Flows!$M$2:$M$1500,$A19&amp;"|"&amp;AT$1&amp;"|Input"),IF(COUNTIF(Flows!$M$2:$M$1500,$A19&amp;"|"&amp;AT$1&amp;"|Output"),"I/O","IN"),IF(COUNTIF(Flows!$M$2:$M$1500,$A19&amp;"|"&amp;AT$1&amp;"|Output"),"OUT",""))</f>
        <v>OUT</v>
      </c>
      <c r="AU19" s="33" t="str">
        <f aca="false">IF(COUNTIF(Flows!$M$2:$M$1500,$A19&amp;"|"&amp;AU$1&amp;"|Input"),IF(COUNTIF(Flows!$M$2:$M$1500,$A19&amp;"|"&amp;AU$1&amp;"|Output"),"I/O","IN"),IF(COUNTIF(Flows!$M$2:$M$1500,$A19&amp;"|"&amp;AU$1&amp;"|Output"),"OUT",""))</f>
        <v/>
      </c>
      <c r="AV19" s="33" t="str">
        <f aca="false">IF(COUNTIF(Flows!$M$2:$M$1500,$A19&amp;"|"&amp;AV$1&amp;"|Input"),IF(COUNTIF(Flows!$M$2:$M$1500,$A19&amp;"|"&amp;AV$1&amp;"|Output"),"I/O","IN"),IF(COUNTIF(Flows!$M$2:$M$1500,$A19&amp;"|"&amp;AV$1&amp;"|Output"),"OUT",""))</f>
        <v/>
      </c>
      <c r="AW19" s="33" t="str">
        <f aca="false">IF(COUNTIF(Flows!$M$2:$M$1500,$A19&amp;"|"&amp;AW$1&amp;"|Input"),IF(COUNTIF(Flows!$M$2:$M$1500,$A19&amp;"|"&amp;AW$1&amp;"|Output"),"I/O","IN"),IF(COUNTIF(Flows!$M$2:$M$1500,$A19&amp;"|"&amp;AW$1&amp;"|Output"),"OUT",""))</f>
        <v/>
      </c>
      <c r="AX19" s="33" t="str">
        <f aca="false">IF(COUNTIF(Flows!$M$2:$M$1500,$A19&amp;"|"&amp;AX$1&amp;"|Input"),IF(COUNTIF(Flows!$M$2:$M$1500,$A19&amp;"|"&amp;AX$1&amp;"|Output"),"I/O","IN"),IF(COUNTIF(Flows!$M$2:$M$1500,$A19&amp;"|"&amp;AX$1&amp;"|Output"),"OUT",""))</f>
        <v>IN</v>
      </c>
      <c r="AY19" s="33" t="str">
        <f aca="false">IF(COUNTIF(Flows!$M$2:$M$1500,$A19&amp;"|"&amp;AY$1&amp;"|Input"),IF(COUNTIF(Flows!$M$2:$M$1500,$A19&amp;"|"&amp;AY$1&amp;"|Output"),"I/O","IN"),IF(COUNTIF(Flows!$M$2:$M$1500,$A19&amp;"|"&amp;AY$1&amp;"|Output"),"OUT",""))</f>
        <v/>
      </c>
      <c r="AZ19" s="33" t="str">
        <f aca="false">IF(COUNTIF(Flows!$M$2:$M$1500,$A19&amp;"|"&amp;AZ$1&amp;"|Input"),IF(COUNTIF(Flows!$M$2:$M$1500,$A19&amp;"|"&amp;AZ$1&amp;"|Output"),"I/O","IN"),IF(COUNTIF(Flows!$M$2:$M$1500,$A19&amp;"|"&amp;AZ$1&amp;"|Output"),"OUT",""))</f>
        <v>IN</v>
      </c>
      <c r="BA19" s="33" t="str">
        <f aca="false">IF(COUNTIF(Flows!$M$2:$M$1500,$A19&amp;"|"&amp;BA$1&amp;"|Input"),IF(COUNTIF(Flows!$M$2:$M$1500,$A19&amp;"|"&amp;BA$1&amp;"|Output"),"I/O","IN"),IF(COUNTIF(Flows!$M$2:$M$1500,$A19&amp;"|"&amp;BA$1&amp;"|Output"),"OUT",""))</f>
        <v>IN</v>
      </c>
      <c r="BB19" s="33" t="str">
        <f aca="false">IF(COUNTIF(Flows!$M$2:$M$1500,$A19&amp;"|"&amp;BB$1&amp;"|Input"),IF(COUNTIF(Flows!$M$2:$M$1500,$A19&amp;"|"&amp;BB$1&amp;"|Output"),"I/O","IN"),IF(COUNTIF(Flows!$M$2:$M$1500,$A19&amp;"|"&amp;BB$1&amp;"|Output"),"OUT",""))</f>
        <v/>
      </c>
      <c r="BC19" s="33" t="str">
        <f aca="false">IF(COUNTIF(Flows!$M$2:$M$1500,$A19&amp;"|"&amp;BC$1&amp;"|Input"),IF(COUNTIF(Flows!$M$2:$M$1500,$A19&amp;"|"&amp;BC$1&amp;"|Output"),"I/O","IN"),IF(COUNTIF(Flows!$M$2:$M$1500,$A19&amp;"|"&amp;BC$1&amp;"|Output"),"OUT",""))</f>
        <v/>
      </c>
      <c r="BD19" s="33" t="str">
        <f aca="false">IF(COUNTIF(Flows!$M$2:$M$1500,$A19&amp;"|"&amp;BD$1&amp;"|Input"),IF(COUNTIF(Flows!$M$2:$M$1500,$A19&amp;"|"&amp;BD$1&amp;"|Output"),"I/O","IN"),IF(COUNTIF(Flows!$M$2:$M$1500,$A19&amp;"|"&amp;BD$1&amp;"|Output"),"OUT",""))</f>
        <v/>
      </c>
      <c r="BE19" s="33" t="str">
        <f aca="false">IF(COUNTIF(Flows!$M$2:$M$1500,$A19&amp;"|"&amp;BE$1&amp;"|Input"),IF(COUNTIF(Flows!$M$2:$M$1500,$A19&amp;"|"&amp;BE$1&amp;"|Output"),"I/O","IN"),IF(COUNTIF(Flows!$M$2:$M$1500,$A19&amp;"|"&amp;BE$1&amp;"|Output"),"OUT",""))</f>
        <v/>
      </c>
      <c r="BF19" s="33" t="str">
        <f aca="false">IF(COUNTIF(Flows!$M$2:$M$1500,$A19&amp;"|"&amp;BF$1&amp;"|Input"),IF(COUNTIF(Flows!$M$2:$M$1500,$A19&amp;"|"&amp;BF$1&amp;"|Output"),"I/O","IN"),IF(COUNTIF(Flows!$M$2:$M$1500,$A19&amp;"|"&amp;BF$1&amp;"|Output"),"OUT",""))</f>
        <v/>
      </c>
      <c r="BG19" s="33" t="str">
        <f aca="false">IF(COUNTIF(Flows!$M$2:$M$1500,$A19&amp;"|"&amp;BG$1&amp;"|Input"),IF(COUNTIF(Flows!$M$2:$M$1500,$A19&amp;"|"&amp;BG$1&amp;"|Output"),"I/O","IN"),IF(COUNTIF(Flows!$M$2:$M$1500,$A19&amp;"|"&amp;BG$1&amp;"|Output"),"OUT",""))</f>
        <v/>
      </c>
      <c r="BH19" s="33" t="str">
        <f aca="false">IF(COUNTIF(Flows!$M$2:$M$1500,$A19&amp;"|"&amp;BH$1&amp;"|Input"),IF(COUNTIF(Flows!$M$2:$M$1500,$A19&amp;"|"&amp;BH$1&amp;"|Output"),"I/O","IN"),IF(COUNTIF(Flows!$M$2:$M$1500,$A19&amp;"|"&amp;BH$1&amp;"|Output"),"OUT",""))</f>
        <v/>
      </c>
      <c r="BI19" s="33" t="str">
        <f aca="false">IF(COUNTIF(Flows!$M$2:$M$1500,$A19&amp;"|"&amp;BI$1&amp;"|Input"),IF(COUNTIF(Flows!$M$2:$M$1500,$A19&amp;"|"&amp;BI$1&amp;"|Output"),"I/O","IN"),IF(COUNTIF(Flows!$M$2:$M$1500,$A19&amp;"|"&amp;BI$1&amp;"|Output"),"OUT",""))</f>
        <v/>
      </c>
      <c r="BJ19" s="33" t="str">
        <f aca="false">IF(COUNTIF(Flows!$M$2:$M$1500,$A19&amp;"|"&amp;BJ$1&amp;"|Input"),IF(COUNTIF(Flows!$M$2:$M$1500,$A19&amp;"|"&amp;BJ$1&amp;"|Output"),"I/O","IN"),IF(COUNTIF(Flows!$M$2:$M$1500,$A19&amp;"|"&amp;BJ$1&amp;"|Output"),"OUT",""))</f>
        <v/>
      </c>
      <c r="BK19" s="33" t="str">
        <f aca="false">IF(COUNTIF(Flows!$M$2:$M$1500,$A19&amp;"|"&amp;BK$1&amp;"|Input"),IF(COUNTIF(Flows!$M$2:$M$1500,$A19&amp;"|"&amp;BK$1&amp;"|Output"),"I/O","IN"),IF(COUNTIF(Flows!$M$2:$M$1500,$A19&amp;"|"&amp;BK$1&amp;"|Output"),"OUT",""))</f>
        <v/>
      </c>
    </row>
    <row r="20" customFormat="false" ht="15" hidden="false" customHeight="true" outlineLevel="0" collapsed="false">
      <c r="A20" s="6" t="str">
        <f aca="false">Systems!B20</f>
        <v>Aptera Electric Vehicle (Solar Charge)</v>
      </c>
      <c r="B20" s="33" t="str">
        <f aca="false">IF(COUNTIF(Flows!$M$2:$M$1500,$A20&amp;"|"&amp;B$1&amp;"|Input"),IF(COUNTIF(Flows!$M$2:$M$1500,$A20&amp;"|"&amp;B$1&amp;"|Output"),"I/O","IN"),IF(COUNTIF(Flows!$M$2:$M$1500,$A20&amp;"|"&amp;B$1&amp;"|Output"),"OUT",""))</f>
        <v/>
      </c>
      <c r="C20" s="33" t="str">
        <f aca="false">IF(COUNTIF(Flows!$M$2:$M$1500,$A20&amp;"|"&amp;C$1&amp;"|Input"),IF(COUNTIF(Flows!$M$2:$M$1500,$A20&amp;"|"&amp;C$1&amp;"|Output"),"I/O","IN"),IF(COUNTIF(Flows!$M$2:$M$1500,$A20&amp;"|"&amp;C$1&amp;"|Output"),"OUT",""))</f>
        <v/>
      </c>
      <c r="D20" s="33" t="str">
        <f aca="false">IF(COUNTIF(Flows!$M$2:$M$1500,$A20&amp;"|"&amp;D$1&amp;"|Input"),IF(COUNTIF(Flows!$M$2:$M$1500,$A20&amp;"|"&amp;D$1&amp;"|Output"),"I/O","IN"),IF(COUNTIF(Flows!$M$2:$M$1500,$A20&amp;"|"&amp;D$1&amp;"|Output"),"OUT",""))</f>
        <v/>
      </c>
      <c r="E20" s="33" t="str">
        <f aca="false">IF(COUNTIF(Flows!$M$2:$M$1500,$A20&amp;"|"&amp;E$1&amp;"|Input"),IF(COUNTIF(Flows!$M$2:$M$1500,$A20&amp;"|"&amp;E$1&amp;"|Output"),"I/O","IN"),IF(COUNTIF(Flows!$M$2:$M$1500,$A20&amp;"|"&amp;E$1&amp;"|Output"),"OUT",""))</f>
        <v/>
      </c>
      <c r="F20" s="33" t="str">
        <f aca="false">IF(COUNTIF(Flows!$M$2:$M$1500,$A20&amp;"|"&amp;F$1&amp;"|Input"),IF(COUNTIF(Flows!$M$2:$M$1500,$A20&amp;"|"&amp;F$1&amp;"|Output"),"I/O","IN"),IF(COUNTIF(Flows!$M$2:$M$1500,$A20&amp;"|"&amp;F$1&amp;"|Output"),"OUT",""))</f>
        <v/>
      </c>
      <c r="G20" s="33" t="str">
        <f aca="false">IF(COUNTIF(Flows!$M$2:$M$1500,$A20&amp;"|"&amp;G$1&amp;"|Input"),IF(COUNTIF(Flows!$M$2:$M$1500,$A20&amp;"|"&amp;G$1&amp;"|Output"),"I/O","IN"),IF(COUNTIF(Flows!$M$2:$M$1500,$A20&amp;"|"&amp;G$1&amp;"|Output"),"OUT",""))</f>
        <v/>
      </c>
      <c r="H20" s="33" t="str">
        <f aca="false">IF(COUNTIF(Flows!$M$2:$M$1500,$A20&amp;"|"&amp;H$1&amp;"|Input"),IF(COUNTIF(Flows!$M$2:$M$1500,$A20&amp;"|"&amp;H$1&amp;"|Output"),"I/O","IN"),IF(COUNTIF(Flows!$M$2:$M$1500,$A20&amp;"|"&amp;H$1&amp;"|Output"),"OUT",""))</f>
        <v/>
      </c>
      <c r="I20" s="33" t="str">
        <f aca="false">IF(COUNTIF(Flows!$M$2:$M$1500,$A20&amp;"|"&amp;I$1&amp;"|Input"),IF(COUNTIF(Flows!$M$2:$M$1500,$A20&amp;"|"&amp;I$1&amp;"|Output"),"I/O","IN"),IF(COUNTIF(Flows!$M$2:$M$1500,$A20&amp;"|"&amp;I$1&amp;"|Output"),"OUT",""))</f>
        <v/>
      </c>
      <c r="J20" s="33" t="str">
        <f aca="false">IF(COUNTIF(Flows!$M$2:$M$1500,$A20&amp;"|"&amp;J$1&amp;"|Input"),IF(COUNTIF(Flows!$M$2:$M$1500,$A20&amp;"|"&amp;J$1&amp;"|Output"),"I/O","IN"),IF(COUNTIF(Flows!$M$2:$M$1500,$A20&amp;"|"&amp;J$1&amp;"|Output"),"OUT",""))</f>
        <v/>
      </c>
      <c r="K20" s="33" t="str">
        <f aca="false">IF(COUNTIF(Flows!$M$2:$M$1500,$A20&amp;"|"&amp;K$1&amp;"|Input"),IF(COUNTIF(Flows!$M$2:$M$1500,$A20&amp;"|"&amp;K$1&amp;"|Output"),"I/O","IN"),IF(COUNTIF(Flows!$M$2:$M$1500,$A20&amp;"|"&amp;K$1&amp;"|Output"),"OUT",""))</f>
        <v/>
      </c>
      <c r="L20" s="33" t="str">
        <f aca="false">IF(COUNTIF(Flows!$M$2:$M$1500,$A20&amp;"|"&amp;L$1&amp;"|Input"),IF(COUNTIF(Flows!$M$2:$M$1500,$A20&amp;"|"&amp;L$1&amp;"|Output"),"I/O","IN"),IF(COUNTIF(Flows!$M$2:$M$1500,$A20&amp;"|"&amp;L$1&amp;"|Output"),"OUT",""))</f>
        <v/>
      </c>
      <c r="M20" s="33" t="str">
        <f aca="false">IF(COUNTIF(Flows!$M$2:$M$1500,$A20&amp;"|"&amp;M$1&amp;"|Input"),IF(COUNTIF(Flows!$M$2:$M$1500,$A20&amp;"|"&amp;M$1&amp;"|Output"),"I/O","IN"),IF(COUNTIF(Flows!$M$2:$M$1500,$A20&amp;"|"&amp;M$1&amp;"|Output"),"OUT",""))</f>
        <v/>
      </c>
      <c r="N20" s="33" t="str">
        <f aca="false">IF(COUNTIF(Flows!$M$2:$M$1500,$A20&amp;"|"&amp;N$1&amp;"|Input"),IF(COUNTIF(Flows!$M$2:$M$1500,$A20&amp;"|"&amp;N$1&amp;"|Output"),"I/O","IN"),IF(COUNTIF(Flows!$M$2:$M$1500,$A20&amp;"|"&amp;N$1&amp;"|Output"),"OUT",""))</f>
        <v/>
      </c>
      <c r="O20" s="33" t="str">
        <f aca="false">IF(COUNTIF(Flows!$M$2:$M$1500,$A20&amp;"|"&amp;O$1&amp;"|Input"),IF(COUNTIF(Flows!$M$2:$M$1500,$A20&amp;"|"&amp;O$1&amp;"|Output"),"I/O","IN"),IF(COUNTIF(Flows!$M$2:$M$1500,$A20&amp;"|"&amp;O$1&amp;"|Output"),"OUT",""))</f>
        <v/>
      </c>
      <c r="P20" s="33" t="str">
        <f aca="false">IF(COUNTIF(Flows!$M$2:$M$1500,$A20&amp;"|"&amp;P$1&amp;"|Input"),IF(COUNTIF(Flows!$M$2:$M$1500,$A20&amp;"|"&amp;P$1&amp;"|Output"),"I/O","IN"),IF(COUNTIF(Flows!$M$2:$M$1500,$A20&amp;"|"&amp;P$1&amp;"|Output"),"OUT",""))</f>
        <v/>
      </c>
      <c r="Q20" s="33" t="str">
        <f aca="false">IF(COUNTIF(Flows!$M$2:$M$1500,$A20&amp;"|"&amp;Q$1&amp;"|Input"),IF(COUNTIF(Flows!$M$2:$M$1500,$A20&amp;"|"&amp;Q$1&amp;"|Output"),"I/O","IN"),IF(COUNTIF(Flows!$M$2:$M$1500,$A20&amp;"|"&amp;Q$1&amp;"|Output"),"OUT",""))</f>
        <v/>
      </c>
      <c r="R20" s="33" t="str">
        <f aca="false">IF(COUNTIF(Flows!$M$2:$M$1500,$A20&amp;"|"&amp;R$1&amp;"|Input"),IF(COUNTIF(Flows!$M$2:$M$1500,$A20&amp;"|"&amp;R$1&amp;"|Output"),"I/O","IN"),IF(COUNTIF(Flows!$M$2:$M$1500,$A20&amp;"|"&amp;R$1&amp;"|Output"),"OUT",""))</f>
        <v/>
      </c>
      <c r="S20" s="33" t="str">
        <f aca="false">IF(COUNTIF(Flows!$M$2:$M$1500,$A20&amp;"|"&amp;S$1&amp;"|Input"),IF(COUNTIF(Flows!$M$2:$M$1500,$A20&amp;"|"&amp;S$1&amp;"|Output"),"I/O","IN"),IF(COUNTIF(Flows!$M$2:$M$1500,$A20&amp;"|"&amp;S$1&amp;"|Output"),"OUT",""))</f>
        <v>IN</v>
      </c>
      <c r="T20" s="33" t="str">
        <f aca="false">IF(COUNTIF(Flows!$M$2:$M$1500,$A20&amp;"|"&amp;T$1&amp;"|Input"),IF(COUNTIF(Flows!$M$2:$M$1500,$A20&amp;"|"&amp;T$1&amp;"|Output"),"I/O","IN"),IF(COUNTIF(Flows!$M$2:$M$1500,$A20&amp;"|"&amp;T$1&amp;"|Output"),"OUT",""))</f>
        <v>OUT</v>
      </c>
      <c r="U20" s="33" t="str">
        <f aca="false">IF(COUNTIF(Flows!$M$2:$M$1500,$A20&amp;"|"&amp;U$1&amp;"|Input"),IF(COUNTIF(Flows!$M$2:$M$1500,$A20&amp;"|"&amp;U$1&amp;"|Output"),"I/O","IN"),IF(COUNTIF(Flows!$M$2:$M$1500,$A20&amp;"|"&amp;U$1&amp;"|Output"),"OUT",""))</f>
        <v/>
      </c>
      <c r="V20" s="33" t="str">
        <f aca="false">IF(COUNTIF(Flows!$M$2:$M$1500,$A20&amp;"|"&amp;V$1&amp;"|Input"),IF(COUNTIF(Flows!$M$2:$M$1500,$A20&amp;"|"&amp;V$1&amp;"|Output"),"I/O","IN"),IF(COUNTIF(Flows!$M$2:$M$1500,$A20&amp;"|"&amp;V$1&amp;"|Output"),"OUT",""))</f>
        <v/>
      </c>
      <c r="W20" s="33" t="str">
        <f aca="false">IF(COUNTIF(Flows!$M$2:$M$1500,$A20&amp;"|"&amp;W$1&amp;"|Input"),IF(COUNTIF(Flows!$M$2:$M$1500,$A20&amp;"|"&amp;W$1&amp;"|Output"),"I/O","IN"),IF(COUNTIF(Flows!$M$2:$M$1500,$A20&amp;"|"&amp;W$1&amp;"|Output"),"OUT",""))</f>
        <v/>
      </c>
      <c r="X20" s="33" t="str">
        <f aca="false">IF(COUNTIF(Flows!$M$2:$M$1500,$A20&amp;"|"&amp;X$1&amp;"|Input"),IF(COUNTIF(Flows!$M$2:$M$1500,$A20&amp;"|"&amp;X$1&amp;"|Output"),"I/O","IN"),IF(COUNTIF(Flows!$M$2:$M$1500,$A20&amp;"|"&amp;X$1&amp;"|Output"),"OUT",""))</f>
        <v>IN</v>
      </c>
      <c r="Y20" s="33" t="str">
        <f aca="false">IF(COUNTIF(Flows!$M$2:$M$1500,$A20&amp;"|"&amp;Y$1&amp;"|Input"),IF(COUNTIF(Flows!$M$2:$M$1500,$A20&amp;"|"&amp;Y$1&amp;"|Output"),"I/O","IN"),IF(COUNTIF(Flows!$M$2:$M$1500,$A20&amp;"|"&amp;Y$1&amp;"|Output"),"OUT",""))</f>
        <v>IN</v>
      </c>
      <c r="Z20" s="33" t="str">
        <f aca="false">IF(COUNTIF(Flows!$M$2:$M$1500,$A20&amp;"|"&amp;Z$1&amp;"|Input"),IF(COUNTIF(Flows!$M$2:$M$1500,$A20&amp;"|"&amp;Z$1&amp;"|Output"),"I/O","IN"),IF(COUNTIF(Flows!$M$2:$M$1500,$A20&amp;"|"&amp;Z$1&amp;"|Output"),"OUT",""))</f>
        <v>IN</v>
      </c>
      <c r="AA20" s="33" t="str">
        <f aca="false">IF(COUNTIF(Flows!$M$2:$M$1500,$A20&amp;"|"&amp;AA$1&amp;"|Input"),IF(COUNTIF(Flows!$M$2:$M$1500,$A20&amp;"|"&amp;AA$1&amp;"|Output"),"I/O","IN"),IF(COUNTIF(Flows!$M$2:$M$1500,$A20&amp;"|"&amp;AA$1&amp;"|Output"),"OUT",""))</f>
        <v/>
      </c>
      <c r="AB20" s="33" t="str">
        <f aca="false">IF(COUNTIF(Flows!$M$2:$M$1500,$A20&amp;"|"&amp;AB$1&amp;"|Input"),IF(COUNTIF(Flows!$M$2:$M$1500,$A20&amp;"|"&amp;AB$1&amp;"|Output"),"I/O","IN"),IF(COUNTIF(Flows!$M$2:$M$1500,$A20&amp;"|"&amp;AB$1&amp;"|Output"),"OUT",""))</f>
        <v/>
      </c>
      <c r="AC20" s="33" t="str">
        <f aca="false">IF(COUNTIF(Flows!$M$2:$M$1500,$A20&amp;"|"&amp;AC$1&amp;"|Input"),IF(COUNTIF(Flows!$M$2:$M$1500,$A20&amp;"|"&amp;AC$1&amp;"|Output"),"I/O","IN"),IF(COUNTIF(Flows!$M$2:$M$1500,$A20&amp;"|"&amp;AC$1&amp;"|Output"),"OUT",""))</f>
        <v/>
      </c>
      <c r="AD20" s="33" t="str">
        <f aca="false">IF(COUNTIF(Flows!$M$2:$M$1500,$A20&amp;"|"&amp;AD$1&amp;"|Input"),IF(COUNTIF(Flows!$M$2:$M$1500,$A20&amp;"|"&amp;AD$1&amp;"|Output"),"I/O","IN"),IF(COUNTIF(Flows!$M$2:$M$1500,$A20&amp;"|"&amp;AD$1&amp;"|Output"),"OUT",""))</f>
        <v/>
      </c>
      <c r="AE20" s="33" t="str">
        <f aca="false">IF(COUNTIF(Flows!$M$2:$M$1500,$A20&amp;"|"&amp;AE$1&amp;"|Input"),IF(COUNTIF(Flows!$M$2:$M$1500,$A20&amp;"|"&amp;AE$1&amp;"|Output"),"I/O","IN"),IF(COUNTIF(Flows!$M$2:$M$1500,$A20&amp;"|"&amp;AE$1&amp;"|Output"),"OUT",""))</f>
        <v/>
      </c>
      <c r="AF20" s="33" t="str">
        <f aca="false">IF(COUNTIF(Flows!$M$2:$M$1500,$A20&amp;"|"&amp;AF$1&amp;"|Input"),IF(COUNTIF(Flows!$M$2:$M$1500,$A20&amp;"|"&amp;AF$1&amp;"|Output"),"I/O","IN"),IF(COUNTIF(Flows!$M$2:$M$1500,$A20&amp;"|"&amp;AF$1&amp;"|Output"),"OUT",""))</f>
        <v/>
      </c>
      <c r="AG20" s="33" t="str">
        <f aca="false">IF(COUNTIF(Flows!$M$2:$M$1500,$A20&amp;"|"&amp;AG$1&amp;"|Input"),IF(COUNTIF(Flows!$M$2:$M$1500,$A20&amp;"|"&amp;AG$1&amp;"|Output"),"I/O","IN"),IF(COUNTIF(Flows!$M$2:$M$1500,$A20&amp;"|"&amp;AG$1&amp;"|Output"),"OUT",""))</f>
        <v/>
      </c>
      <c r="AH20" s="33" t="str">
        <f aca="false">IF(COUNTIF(Flows!$M$2:$M$1500,$A20&amp;"|"&amp;AH$1&amp;"|Input"),IF(COUNTIF(Flows!$M$2:$M$1500,$A20&amp;"|"&amp;AH$1&amp;"|Output"),"I/O","IN"),IF(COUNTIF(Flows!$M$2:$M$1500,$A20&amp;"|"&amp;AH$1&amp;"|Output"),"OUT",""))</f>
        <v/>
      </c>
      <c r="AI20" s="33" t="str">
        <f aca="false">IF(COUNTIF(Flows!$M$2:$M$1500,$A20&amp;"|"&amp;AI$1&amp;"|Input"),IF(COUNTIF(Flows!$M$2:$M$1500,$A20&amp;"|"&amp;AI$1&amp;"|Output"),"I/O","IN"),IF(COUNTIF(Flows!$M$2:$M$1500,$A20&amp;"|"&amp;AI$1&amp;"|Output"),"OUT",""))</f>
        <v/>
      </c>
      <c r="AJ20" s="33" t="str">
        <f aca="false">IF(COUNTIF(Flows!$M$2:$M$1500,$A20&amp;"|"&amp;AJ$1&amp;"|Input"),IF(COUNTIF(Flows!$M$2:$M$1500,$A20&amp;"|"&amp;AJ$1&amp;"|Output"),"I/O","IN"),IF(COUNTIF(Flows!$M$2:$M$1500,$A20&amp;"|"&amp;AJ$1&amp;"|Output"),"OUT",""))</f>
        <v/>
      </c>
      <c r="AK20" s="33" t="str">
        <f aca="false">IF(COUNTIF(Flows!$M$2:$M$1500,$A20&amp;"|"&amp;AK$1&amp;"|Input"),IF(COUNTIF(Flows!$M$2:$M$1500,$A20&amp;"|"&amp;AK$1&amp;"|Output"),"I/O","IN"),IF(COUNTIF(Flows!$M$2:$M$1500,$A20&amp;"|"&amp;AK$1&amp;"|Output"),"OUT",""))</f>
        <v/>
      </c>
      <c r="AL20" s="33" t="str">
        <f aca="false">IF(COUNTIF(Flows!$M$2:$M$1500,$A20&amp;"|"&amp;AL$1&amp;"|Input"),IF(COUNTIF(Flows!$M$2:$M$1500,$A20&amp;"|"&amp;AL$1&amp;"|Output"),"I/O","IN"),IF(COUNTIF(Flows!$M$2:$M$1500,$A20&amp;"|"&amp;AL$1&amp;"|Output"),"OUT",""))</f>
        <v/>
      </c>
      <c r="AM20" s="33" t="str">
        <f aca="false">IF(COUNTIF(Flows!$M$2:$M$1500,$A20&amp;"|"&amp;AM$1&amp;"|Input"),IF(COUNTIF(Flows!$M$2:$M$1500,$A20&amp;"|"&amp;AM$1&amp;"|Output"),"I/O","IN"),IF(COUNTIF(Flows!$M$2:$M$1500,$A20&amp;"|"&amp;AM$1&amp;"|Output"),"OUT",""))</f>
        <v/>
      </c>
      <c r="AN20" s="33" t="str">
        <f aca="false">IF(COUNTIF(Flows!$M$2:$M$1500,$A20&amp;"|"&amp;AN$1&amp;"|Input"),IF(COUNTIF(Flows!$M$2:$M$1500,$A20&amp;"|"&amp;AN$1&amp;"|Output"),"I/O","IN"),IF(COUNTIF(Flows!$M$2:$M$1500,$A20&amp;"|"&amp;AN$1&amp;"|Output"),"OUT",""))</f>
        <v/>
      </c>
      <c r="AO20" s="33" t="str">
        <f aca="false">IF(COUNTIF(Flows!$M$2:$M$1500,$A20&amp;"|"&amp;AO$1&amp;"|Input"),IF(COUNTIF(Flows!$M$2:$M$1500,$A20&amp;"|"&amp;AO$1&amp;"|Output"),"I/O","IN"),IF(COUNTIF(Flows!$M$2:$M$1500,$A20&amp;"|"&amp;AO$1&amp;"|Output"),"OUT",""))</f>
        <v/>
      </c>
      <c r="AP20" s="33" t="str">
        <f aca="false">IF(COUNTIF(Flows!$M$2:$M$1500,$A20&amp;"|"&amp;AP$1&amp;"|Input"),IF(COUNTIF(Flows!$M$2:$M$1500,$A20&amp;"|"&amp;AP$1&amp;"|Output"),"I/O","IN"),IF(COUNTIF(Flows!$M$2:$M$1500,$A20&amp;"|"&amp;AP$1&amp;"|Output"),"OUT",""))</f>
        <v/>
      </c>
      <c r="AQ20" s="33" t="str">
        <f aca="false">IF(COUNTIF(Flows!$M$2:$M$1500,$A20&amp;"|"&amp;AQ$1&amp;"|Input"),IF(COUNTIF(Flows!$M$2:$M$1500,$A20&amp;"|"&amp;AQ$1&amp;"|Output"),"I/O","IN"),IF(COUNTIF(Flows!$M$2:$M$1500,$A20&amp;"|"&amp;AQ$1&amp;"|Output"),"OUT",""))</f>
        <v/>
      </c>
      <c r="AR20" s="33" t="str">
        <f aca="false">IF(COUNTIF(Flows!$M$2:$M$1500,$A20&amp;"|"&amp;AR$1&amp;"|Input"),IF(COUNTIF(Flows!$M$2:$M$1500,$A20&amp;"|"&amp;AR$1&amp;"|Output"),"I/O","IN"),IF(COUNTIF(Flows!$M$2:$M$1500,$A20&amp;"|"&amp;AR$1&amp;"|Output"),"OUT",""))</f>
        <v/>
      </c>
      <c r="AS20" s="33" t="str">
        <f aca="false">IF(COUNTIF(Flows!$M$2:$M$1500,$A20&amp;"|"&amp;AS$1&amp;"|Input"),IF(COUNTIF(Flows!$M$2:$M$1500,$A20&amp;"|"&amp;AS$1&amp;"|Output"),"I/O","IN"),IF(COUNTIF(Flows!$M$2:$M$1500,$A20&amp;"|"&amp;AS$1&amp;"|Output"),"OUT",""))</f>
        <v/>
      </c>
      <c r="AT20" s="33" t="str">
        <f aca="false">IF(COUNTIF(Flows!$M$2:$M$1500,$A20&amp;"|"&amp;AT$1&amp;"|Input"),IF(COUNTIF(Flows!$M$2:$M$1500,$A20&amp;"|"&amp;AT$1&amp;"|Output"),"I/O","IN"),IF(COUNTIF(Flows!$M$2:$M$1500,$A20&amp;"|"&amp;AT$1&amp;"|Output"),"OUT",""))</f>
        <v/>
      </c>
      <c r="AU20" s="33" t="str">
        <f aca="false">IF(COUNTIF(Flows!$M$2:$M$1500,$A20&amp;"|"&amp;AU$1&amp;"|Input"),IF(COUNTIF(Flows!$M$2:$M$1500,$A20&amp;"|"&amp;AU$1&amp;"|Output"),"I/O","IN"),IF(COUNTIF(Flows!$M$2:$M$1500,$A20&amp;"|"&amp;AU$1&amp;"|Output"),"OUT",""))</f>
        <v/>
      </c>
      <c r="AV20" s="33" t="str">
        <f aca="false">IF(COUNTIF(Flows!$M$2:$M$1500,$A20&amp;"|"&amp;AV$1&amp;"|Input"),IF(COUNTIF(Flows!$M$2:$M$1500,$A20&amp;"|"&amp;AV$1&amp;"|Output"),"I/O","IN"),IF(COUNTIF(Flows!$M$2:$M$1500,$A20&amp;"|"&amp;AV$1&amp;"|Output"),"OUT",""))</f>
        <v/>
      </c>
      <c r="AW20" s="33" t="str">
        <f aca="false">IF(COUNTIF(Flows!$M$2:$M$1500,$A20&amp;"|"&amp;AW$1&amp;"|Input"),IF(COUNTIF(Flows!$M$2:$M$1500,$A20&amp;"|"&amp;AW$1&amp;"|Output"),"I/O","IN"),IF(COUNTIF(Flows!$M$2:$M$1500,$A20&amp;"|"&amp;AW$1&amp;"|Output"),"OUT",""))</f>
        <v/>
      </c>
      <c r="AX20" s="33" t="str">
        <f aca="false">IF(COUNTIF(Flows!$M$2:$M$1500,$A20&amp;"|"&amp;AX$1&amp;"|Input"),IF(COUNTIF(Flows!$M$2:$M$1500,$A20&amp;"|"&amp;AX$1&amp;"|Output"),"I/O","IN"),IF(COUNTIF(Flows!$M$2:$M$1500,$A20&amp;"|"&amp;AX$1&amp;"|Output"),"OUT",""))</f>
        <v/>
      </c>
      <c r="AY20" s="33" t="str">
        <f aca="false">IF(COUNTIF(Flows!$M$2:$M$1500,$A20&amp;"|"&amp;AY$1&amp;"|Input"),IF(COUNTIF(Flows!$M$2:$M$1500,$A20&amp;"|"&amp;AY$1&amp;"|Output"),"I/O","IN"),IF(COUNTIF(Flows!$M$2:$M$1500,$A20&amp;"|"&amp;AY$1&amp;"|Output"),"OUT",""))</f>
        <v/>
      </c>
      <c r="AZ20" s="33" t="str">
        <f aca="false">IF(COUNTIF(Flows!$M$2:$M$1500,$A20&amp;"|"&amp;AZ$1&amp;"|Input"),IF(COUNTIF(Flows!$M$2:$M$1500,$A20&amp;"|"&amp;AZ$1&amp;"|Output"),"I/O","IN"),IF(COUNTIF(Flows!$M$2:$M$1500,$A20&amp;"|"&amp;AZ$1&amp;"|Output"),"OUT",""))</f>
        <v/>
      </c>
      <c r="BA20" s="33" t="str">
        <f aca="false">IF(COUNTIF(Flows!$M$2:$M$1500,$A20&amp;"|"&amp;BA$1&amp;"|Input"),IF(COUNTIF(Flows!$M$2:$M$1500,$A20&amp;"|"&amp;BA$1&amp;"|Output"),"I/O","IN"),IF(COUNTIF(Flows!$M$2:$M$1500,$A20&amp;"|"&amp;BA$1&amp;"|Output"),"OUT",""))</f>
        <v/>
      </c>
      <c r="BB20" s="33" t="str">
        <f aca="false">IF(COUNTIF(Flows!$M$2:$M$1500,$A20&amp;"|"&amp;BB$1&amp;"|Input"),IF(COUNTIF(Flows!$M$2:$M$1500,$A20&amp;"|"&amp;BB$1&amp;"|Output"),"I/O","IN"),IF(COUNTIF(Flows!$M$2:$M$1500,$A20&amp;"|"&amp;BB$1&amp;"|Output"),"OUT",""))</f>
        <v/>
      </c>
      <c r="BC20" s="33" t="str">
        <f aca="false">IF(COUNTIF(Flows!$M$2:$M$1500,$A20&amp;"|"&amp;BC$1&amp;"|Input"),IF(COUNTIF(Flows!$M$2:$M$1500,$A20&amp;"|"&amp;BC$1&amp;"|Output"),"I/O","IN"),IF(COUNTIF(Flows!$M$2:$M$1500,$A20&amp;"|"&amp;BC$1&amp;"|Output"),"OUT",""))</f>
        <v/>
      </c>
      <c r="BD20" s="33" t="str">
        <f aca="false">IF(COUNTIF(Flows!$M$2:$M$1500,$A20&amp;"|"&amp;BD$1&amp;"|Input"),IF(COUNTIF(Flows!$M$2:$M$1500,$A20&amp;"|"&amp;BD$1&amp;"|Output"),"I/O","IN"),IF(COUNTIF(Flows!$M$2:$M$1500,$A20&amp;"|"&amp;BD$1&amp;"|Output"),"OUT",""))</f>
        <v/>
      </c>
      <c r="BE20" s="33" t="str">
        <f aca="false">IF(COUNTIF(Flows!$M$2:$M$1500,$A20&amp;"|"&amp;BE$1&amp;"|Input"),IF(COUNTIF(Flows!$M$2:$M$1500,$A20&amp;"|"&amp;BE$1&amp;"|Output"),"I/O","IN"),IF(COUNTIF(Flows!$M$2:$M$1500,$A20&amp;"|"&amp;BE$1&amp;"|Output"),"OUT",""))</f>
        <v/>
      </c>
      <c r="BF20" s="33" t="str">
        <f aca="false">IF(COUNTIF(Flows!$M$2:$M$1500,$A20&amp;"|"&amp;BF$1&amp;"|Input"),IF(COUNTIF(Flows!$M$2:$M$1500,$A20&amp;"|"&amp;BF$1&amp;"|Output"),"I/O","IN"),IF(COUNTIF(Flows!$M$2:$M$1500,$A20&amp;"|"&amp;BF$1&amp;"|Output"),"OUT",""))</f>
        <v/>
      </c>
      <c r="BG20" s="33" t="str">
        <f aca="false">IF(COUNTIF(Flows!$M$2:$M$1500,$A20&amp;"|"&amp;BG$1&amp;"|Input"),IF(COUNTIF(Flows!$M$2:$M$1500,$A20&amp;"|"&amp;BG$1&amp;"|Output"),"I/O","IN"),IF(COUNTIF(Flows!$M$2:$M$1500,$A20&amp;"|"&amp;BG$1&amp;"|Output"),"OUT",""))</f>
        <v/>
      </c>
      <c r="BH20" s="33" t="str">
        <f aca="false">IF(COUNTIF(Flows!$M$2:$M$1500,$A20&amp;"|"&amp;BH$1&amp;"|Input"),IF(COUNTIF(Flows!$M$2:$M$1500,$A20&amp;"|"&amp;BH$1&amp;"|Output"),"I/O","IN"),IF(COUNTIF(Flows!$M$2:$M$1500,$A20&amp;"|"&amp;BH$1&amp;"|Output"),"OUT",""))</f>
        <v/>
      </c>
      <c r="BI20" s="33" t="str">
        <f aca="false">IF(COUNTIF(Flows!$M$2:$M$1500,$A20&amp;"|"&amp;BI$1&amp;"|Input"),IF(COUNTIF(Flows!$M$2:$M$1500,$A20&amp;"|"&amp;BI$1&amp;"|Output"),"I/O","IN"),IF(COUNTIF(Flows!$M$2:$M$1500,$A20&amp;"|"&amp;BI$1&amp;"|Output"),"OUT",""))</f>
        <v/>
      </c>
      <c r="BJ20" s="33" t="str">
        <f aca="false">IF(COUNTIF(Flows!$M$2:$M$1500,$A20&amp;"|"&amp;BJ$1&amp;"|Input"),IF(COUNTIF(Flows!$M$2:$M$1500,$A20&amp;"|"&amp;BJ$1&amp;"|Output"),"I/O","IN"),IF(COUNTIF(Flows!$M$2:$M$1500,$A20&amp;"|"&amp;BJ$1&amp;"|Output"),"OUT",""))</f>
        <v/>
      </c>
      <c r="BK20" s="33" t="str">
        <f aca="false">IF(COUNTIF(Flows!$M$2:$M$1500,$A20&amp;"|"&amp;BK$1&amp;"|Input"),IF(COUNTIF(Flows!$M$2:$M$1500,$A20&amp;"|"&amp;BK$1&amp;"|Output"),"I/O","IN"),IF(COUNTIF(Flows!$M$2:$M$1500,$A20&amp;"|"&amp;BK$1&amp;"|Output"),"OUT",""))</f>
        <v/>
      </c>
    </row>
    <row r="21" customFormat="false" ht="15" hidden="false" customHeight="true" outlineLevel="0" collapsed="false">
      <c r="A21" s="6" t="str">
        <f aca="false">Systems!B21</f>
        <v>Average American Vehicle</v>
      </c>
      <c r="B21" s="33" t="str">
        <f aca="false">IF(COUNTIF(Flows!$M$2:$M$1500,$A21&amp;"|"&amp;B$1&amp;"|Input"),IF(COUNTIF(Flows!$M$2:$M$1500,$A21&amp;"|"&amp;B$1&amp;"|Output"),"I/O","IN"),IF(COUNTIF(Flows!$M$2:$M$1500,$A21&amp;"|"&amp;B$1&amp;"|Output"),"OUT",""))</f>
        <v/>
      </c>
      <c r="C21" s="33" t="str">
        <f aca="false">IF(COUNTIF(Flows!$M$2:$M$1500,$A21&amp;"|"&amp;C$1&amp;"|Input"),IF(COUNTIF(Flows!$M$2:$M$1500,$A21&amp;"|"&amp;C$1&amp;"|Output"),"I/O","IN"),IF(COUNTIF(Flows!$M$2:$M$1500,$A21&amp;"|"&amp;C$1&amp;"|Output"),"OUT",""))</f>
        <v/>
      </c>
      <c r="D21" s="33" t="str">
        <f aca="false">IF(COUNTIF(Flows!$M$2:$M$1500,$A21&amp;"|"&amp;D$1&amp;"|Input"),IF(COUNTIF(Flows!$M$2:$M$1500,$A21&amp;"|"&amp;D$1&amp;"|Output"),"I/O","IN"),IF(COUNTIF(Flows!$M$2:$M$1500,$A21&amp;"|"&amp;D$1&amp;"|Output"),"OUT",""))</f>
        <v/>
      </c>
      <c r="E21" s="33" t="str">
        <f aca="false">IF(COUNTIF(Flows!$M$2:$M$1500,$A21&amp;"|"&amp;E$1&amp;"|Input"),IF(COUNTIF(Flows!$M$2:$M$1500,$A21&amp;"|"&amp;E$1&amp;"|Output"),"I/O","IN"),IF(COUNTIF(Flows!$M$2:$M$1500,$A21&amp;"|"&amp;E$1&amp;"|Output"),"OUT",""))</f>
        <v/>
      </c>
      <c r="F21" s="33" t="str">
        <f aca="false">IF(COUNTIF(Flows!$M$2:$M$1500,$A21&amp;"|"&amp;F$1&amp;"|Input"),IF(COUNTIF(Flows!$M$2:$M$1500,$A21&amp;"|"&amp;F$1&amp;"|Output"),"I/O","IN"),IF(COUNTIF(Flows!$M$2:$M$1500,$A21&amp;"|"&amp;F$1&amp;"|Output"),"OUT",""))</f>
        <v/>
      </c>
      <c r="G21" s="33" t="str">
        <f aca="false">IF(COUNTIF(Flows!$M$2:$M$1500,$A21&amp;"|"&amp;G$1&amp;"|Input"),IF(COUNTIF(Flows!$M$2:$M$1500,$A21&amp;"|"&amp;G$1&amp;"|Output"),"I/O","IN"),IF(COUNTIF(Flows!$M$2:$M$1500,$A21&amp;"|"&amp;G$1&amp;"|Output"),"OUT",""))</f>
        <v/>
      </c>
      <c r="H21" s="33" t="str">
        <f aca="false">IF(COUNTIF(Flows!$M$2:$M$1500,$A21&amp;"|"&amp;H$1&amp;"|Input"),IF(COUNTIF(Flows!$M$2:$M$1500,$A21&amp;"|"&amp;H$1&amp;"|Output"),"I/O","IN"),IF(COUNTIF(Flows!$M$2:$M$1500,$A21&amp;"|"&amp;H$1&amp;"|Output"),"OUT",""))</f>
        <v/>
      </c>
      <c r="I21" s="33" t="str">
        <f aca="false">IF(COUNTIF(Flows!$M$2:$M$1500,$A21&amp;"|"&amp;I$1&amp;"|Input"),IF(COUNTIF(Flows!$M$2:$M$1500,$A21&amp;"|"&amp;I$1&amp;"|Output"),"I/O","IN"),IF(COUNTIF(Flows!$M$2:$M$1500,$A21&amp;"|"&amp;I$1&amp;"|Output"),"OUT",""))</f>
        <v/>
      </c>
      <c r="J21" s="33" t="str">
        <f aca="false">IF(COUNTIF(Flows!$M$2:$M$1500,$A21&amp;"|"&amp;J$1&amp;"|Input"),IF(COUNTIF(Flows!$M$2:$M$1500,$A21&amp;"|"&amp;J$1&amp;"|Output"),"I/O","IN"),IF(COUNTIF(Flows!$M$2:$M$1500,$A21&amp;"|"&amp;J$1&amp;"|Output"),"OUT",""))</f>
        <v/>
      </c>
      <c r="K21" s="33" t="str">
        <f aca="false">IF(COUNTIF(Flows!$M$2:$M$1500,$A21&amp;"|"&amp;K$1&amp;"|Input"),IF(COUNTIF(Flows!$M$2:$M$1500,$A21&amp;"|"&amp;K$1&amp;"|Output"),"I/O","IN"),IF(COUNTIF(Flows!$M$2:$M$1500,$A21&amp;"|"&amp;K$1&amp;"|Output"),"OUT",""))</f>
        <v/>
      </c>
      <c r="L21" s="33" t="str">
        <f aca="false">IF(COUNTIF(Flows!$M$2:$M$1500,$A21&amp;"|"&amp;L$1&amp;"|Input"),IF(COUNTIF(Flows!$M$2:$M$1500,$A21&amp;"|"&amp;L$1&amp;"|Output"),"I/O","IN"),IF(COUNTIF(Flows!$M$2:$M$1500,$A21&amp;"|"&amp;L$1&amp;"|Output"),"OUT",""))</f>
        <v/>
      </c>
      <c r="M21" s="33" t="str">
        <f aca="false">IF(COUNTIF(Flows!$M$2:$M$1500,$A21&amp;"|"&amp;M$1&amp;"|Input"),IF(COUNTIF(Flows!$M$2:$M$1500,$A21&amp;"|"&amp;M$1&amp;"|Output"),"I/O","IN"),IF(COUNTIF(Flows!$M$2:$M$1500,$A21&amp;"|"&amp;M$1&amp;"|Output"),"OUT",""))</f>
        <v/>
      </c>
      <c r="N21" s="33" t="str">
        <f aca="false">IF(COUNTIF(Flows!$M$2:$M$1500,$A21&amp;"|"&amp;N$1&amp;"|Input"),IF(COUNTIF(Flows!$M$2:$M$1500,$A21&amp;"|"&amp;N$1&amp;"|Output"),"I/O","IN"),IF(COUNTIF(Flows!$M$2:$M$1500,$A21&amp;"|"&amp;N$1&amp;"|Output"),"OUT",""))</f>
        <v/>
      </c>
      <c r="O21" s="33" t="str">
        <f aca="false">IF(COUNTIF(Flows!$M$2:$M$1500,$A21&amp;"|"&amp;O$1&amp;"|Input"),IF(COUNTIF(Flows!$M$2:$M$1500,$A21&amp;"|"&amp;O$1&amp;"|Output"),"I/O","IN"),IF(COUNTIF(Flows!$M$2:$M$1500,$A21&amp;"|"&amp;O$1&amp;"|Output"),"OUT",""))</f>
        <v/>
      </c>
      <c r="P21" s="33" t="str">
        <f aca="false">IF(COUNTIF(Flows!$M$2:$M$1500,$A21&amp;"|"&amp;P$1&amp;"|Input"),IF(COUNTIF(Flows!$M$2:$M$1500,$A21&amp;"|"&amp;P$1&amp;"|Output"),"I/O","IN"),IF(COUNTIF(Flows!$M$2:$M$1500,$A21&amp;"|"&amp;P$1&amp;"|Output"),"OUT",""))</f>
        <v/>
      </c>
      <c r="Q21" s="33" t="str">
        <f aca="false">IF(COUNTIF(Flows!$M$2:$M$1500,$A21&amp;"|"&amp;Q$1&amp;"|Input"),IF(COUNTIF(Flows!$M$2:$M$1500,$A21&amp;"|"&amp;Q$1&amp;"|Output"),"I/O","IN"),IF(COUNTIF(Flows!$M$2:$M$1500,$A21&amp;"|"&amp;Q$1&amp;"|Output"),"OUT",""))</f>
        <v/>
      </c>
      <c r="R21" s="33" t="str">
        <f aca="false">IF(COUNTIF(Flows!$M$2:$M$1500,$A21&amp;"|"&amp;R$1&amp;"|Input"),IF(COUNTIF(Flows!$M$2:$M$1500,$A21&amp;"|"&amp;R$1&amp;"|Output"),"I/O","IN"),IF(COUNTIF(Flows!$M$2:$M$1500,$A21&amp;"|"&amp;R$1&amp;"|Output"),"OUT",""))</f>
        <v/>
      </c>
      <c r="S21" s="33" t="str">
        <f aca="false">IF(COUNTIF(Flows!$M$2:$M$1500,$A21&amp;"|"&amp;S$1&amp;"|Input"),IF(COUNTIF(Flows!$M$2:$M$1500,$A21&amp;"|"&amp;S$1&amp;"|Output"),"I/O","IN"),IF(COUNTIF(Flows!$M$2:$M$1500,$A21&amp;"|"&amp;S$1&amp;"|Output"),"OUT",""))</f>
        <v/>
      </c>
      <c r="T21" s="33" t="str">
        <f aca="false">IF(COUNTIF(Flows!$M$2:$M$1500,$A21&amp;"|"&amp;T$1&amp;"|Input"),IF(COUNTIF(Flows!$M$2:$M$1500,$A21&amp;"|"&amp;T$1&amp;"|Output"),"I/O","IN"),IF(COUNTIF(Flows!$M$2:$M$1500,$A21&amp;"|"&amp;T$1&amp;"|Output"),"OUT",""))</f>
        <v>OUT</v>
      </c>
      <c r="U21" s="33" t="str">
        <f aca="false">IF(COUNTIF(Flows!$M$2:$M$1500,$A21&amp;"|"&amp;U$1&amp;"|Input"),IF(COUNTIF(Flows!$M$2:$M$1500,$A21&amp;"|"&amp;U$1&amp;"|Output"),"I/O","IN"),IF(COUNTIF(Flows!$M$2:$M$1500,$A21&amp;"|"&amp;U$1&amp;"|Output"),"OUT",""))</f>
        <v/>
      </c>
      <c r="V21" s="33" t="str">
        <f aca="false">IF(COUNTIF(Flows!$M$2:$M$1500,$A21&amp;"|"&amp;V$1&amp;"|Input"),IF(COUNTIF(Flows!$M$2:$M$1500,$A21&amp;"|"&amp;V$1&amp;"|Output"),"I/O","IN"),IF(COUNTIF(Flows!$M$2:$M$1500,$A21&amp;"|"&amp;V$1&amp;"|Output"),"OUT",""))</f>
        <v/>
      </c>
      <c r="W21" s="33" t="str">
        <f aca="false">IF(COUNTIF(Flows!$M$2:$M$1500,$A21&amp;"|"&amp;W$1&amp;"|Input"),IF(COUNTIF(Flows!$M$2:$M$1500,$A21&amp;"|"&amp;W$1&amp;"|Output"),"I/O","IN"),IF(COUNTIF(Flows!$M$2:$M$1500,$A21&amp;"|"&amp;W$1&amp;"|Output"),"OUT",""))</f>
        <v/>
      </c>
      <c r="X21" s="33" t="str">
        <f aca="false">IF(COUNTIF(Flows!$M$2:$M$1500,$A21&amp;"|"&amp;X$1&amp;"|Input"),IF(COUNTIF(Flows!$M$2:$M$1500,$A21&amp;"|"&amp;X$1&amp;"|Output"),"I/O","IN"),IF(COUNTIF(Flows!$M$2:$M$1500,$A21&amp;"|"&amp;X$1&amp;"|Output"),"OUT",""))</f>
        <v>IN</v>
      </c>
      <c r="Y21" s="33" t="str">
        <f aca="false">IF(COUNTIF(Flows!$M$2:$M$1500,$A21&amp;"|"&amp;Y$1&amp;"|Input"),IF(COUNTIF(Flows!$M$2:$M$1500,$A21&amp;"|"&amp;Y$1&amp;"|Output"),"I/O","IN"),IF(COUNTIF(Flows!$M$2:$M$1500,$A21&amp;"|"&amp;Y$1&amp;"|Output"),"OUT",""))</f>
        <v>IN</v>
      </c>
      <c r="Z21" s="33" t="str">
        <f aca="false">IF(COUNTIF(Flows!$M$2:$M$1500,$A21&amp;"|"&amp;Z$1&amp;"|Input"),IF(COUNTIF(Flows!$M$2:$M$1500,$A21&amp;"|"&amp;Z$1&amp;"|Output"),"I/O","IN"),IF(COUNTIF(Flows!$M$2:$M$1500,$A21&amp;"|"&amp;Z$1&amp;"|Output"),"OUT",""))</f>
        <v/>
      </c>
      <c r="AA21" s="33" t="str">
        <f aca="false">IF(COUNTIF(Flows!$M$2:$M$1500,$A21&amp;"|"&amp;AA$1&amp;"|Input"),IF(COUNTIF(Flows!$M$2:$M$1500,$A21&amp;"|"&amp;AA$1&amp;"|Output"),"I/O","IN"),IF(COUNTIF(Flows!$M$2:$M$1500,$A21&amp;"|"&amp;AA$1&amp;"|Output"),"OUT",""))</f>
        <v/>
      </c>
      <c r="AB21" s="33" t="str">
        <f aca="false">IF(COUNTIF(Flows!$M$2:$M$1500,$A21&amp;"|"&amp;AB$1&amp;"|Input"),IF(COUNTIF(Flows!$M$2:$M$1500,$A21&amp;"|"&amp;AB$1&amp;"|Output"),"I/O","IN"),IF(COUNTIF(Flows!$M$2:$M$1500,$A21&amp;"|"&amp;AB$1&amp;"|Output"),"OUT",""))</f>
        <v/>
      </c>
      <c r="AC21" s="33" t="str">
        <f aca="false">IF(COUNTIF(Flows!$M$2:$M$1500,$A21&amp;"|"&amp;AC$1&amp;"|Input"),IF(COUNTIF(Flows!$M$2:$M$1500,$A21&amp;"|"&amp;AC$1&amp;"|Output"),"I/O","IN"),IF(COUNTIF(Flows!$M$2:$M$1500,$A21&amp;"|"&amp;AC$1&amp;"|Output"),"OUT",""))</f>
        <v/>
      </c>
      <c r="AD21" s="33" t="str">
        <f aca="false">IF(COUNTIF(Flows!$M$2:$M$1500,$A21&amp;"|"&amp;AD$1&amp;"|Input"),IF(COUNTIF(Flows!$M$2:$M$1500,$A21&amp;"|"&amp;AD$1&amp;"|Output"),"I/O","IN"),IF(COUNTIF(Flows!$M$2:$M$1500,$A21&amp;"|"&amp;AD$1&amp;"|Output"),"OUT",""))</f>
        <v/>
      </c>
      <c r="AE21" s="33" t="str">
        <f aca="false">IF(COUNTIF(Flows!$M$2:$M$1500,$A21&amp;"|"&amp;AE$1&amp;"|Input"),IF(COUNTIF(Flows!$M$2:$M$1500,$A21&amp;"|"&amp;AE$1&amp;"|Output"),"I/O","IN"),IF(COUNTIF(Flows!$M$2:$M$1500,$A21&amp;"|"&amp;AE$1&amp;"|Output"),"OUT",""))</f>
        <v/>
      </c>
      <c r="AF21" s="33" t="str">
        <f aca="false">IF(COUNTIF(Flows!$M$2:$M$1500,$A21&amp;"|"&amp;AF$1&amp;"|Input"),IF(COUNTIF(Flows!$M$2:$M$1500,$A21&amp;"|"&amp;AF$1&amp;"|Output"),"I/O","IN"),IF(COUNTIF(Flows!$M$2:$M$1500,$A21&amp;"|"&amp;AF$1&amp;"|Output"),"OUT",""))</f>
        <v/>
      </c>
      <c r="AG21" s="33" t="str">
        <f aca="false">IF(COUNTIF(Flows!$M$2:$M$1500,$A21&amp;"|"&amp;AG$1&amp;"|Input"),IF(COUNTIF(Flows!$M$2:$M$1500,$A21&amp;"|"&amp;AG$1&amp;"|Output"),"I/O","IN"),IF(COUNTIF(Flows!$M$2:$M$1500,$A21&amp;"|"&amp;AG$1&amp;"|Output"),"OUT",""))</f>
        <v/>
      </c>
      <c r="AH21" s="33" t="str">
        <f aca="false">IF(COUNTIF(Flows!$M$2:$M$1500,$A21&amp;"|"&amp;AH$1&amp;"|Input"),IF(COUNTIF(Flows!$M$2:$M$1500,$A21&amp;"|"&amp;AH$1&amp;"|Output"),"I/O","IN"),IF(COUNTIF(Flows!$M$2:$M$1500,$A21&amp;"|"&amp;AH$1&amp;"|Output"),"OUT",""))</f>
        <v/>
      </c>
      <c r="AI21" s="33" t="str">
        <f aca="false">IF(COUNTIF(Flows!$M$2:$M$1500,$A21&amp;"|"&amp;AI$1&amp;"|Input"),IF(COUNTIF(Flows!$M$2:$M$1500,$A21&amp;"|"&amp;AI$1&amp;"|Output"),"I/O","IN"),IF(COUNTIF(Flows!$M$2:$M$1500,$A21&amp;"|"&amp;AI$1&amp;"|Output"),"OUT",""))</f>
        <v/>
      </c>
      <c r="AJ21" s="33" t="str">
        <f aca="false">IF(COUNTIF(Flows!$M$2:$M$1500,$A21&amp;"|"&amp;AJ$1&amp;"|Input"),IF(COUNTIF(Flows!$M$2:$M$1500,$A21&amp;"|"&amp;AJ$1&amp;"|Output"),"I/O","IN"),IF(COUNTIF(Flows!$M$2:$M$1500,$A21&amp;"|"&amp;AJ$1&amp;"|Output"),"OUT",""))</f>
        <v/>
      </c>
      <c r="AK21" s="33" t="str">
        <f aca="false">IF(COUNTIF(Flows!$M$2:$M$1500,$A21&amp;"|"&amp;AK$1&amp;"|Input"),IF(COUNTIF(Flows!$M$2:$M$1500,$A21&amp;"|"&amp;AK$1&amp;"|Output"),"I/O","IN"),IF(COUNTIF(Flows!$M$2:$M$1500,$A21&amp;"|"&amp;AK$1&amp;"|Output"),"OUT",""))</f>
        <v/>
      </c>
      <c r="AL21" s="33" t="str">
        <f aca="false">IF(COUNTIF(Flows!$M$2:$M$1500,$A21&amp;"|"&amp;AL$1&amp;"|Input"),IF(COUNTIF(Flows!$M$2:$M$1500,$A21&amp;"|"&amp;AL$1&amp;"|Output"),"I/O","IN"),IF(COUNTIF(Flows!$M$2:$M$1500,$A21&amp;"|"&amp;AL$1&amp;"|Output"),"OUT",""))</f>
        <v/>
      </c>
      <c r="AM21" s="33" t="str">
        <f aca="false">IF(COUNTIF(Flows!$M$2:$M$1500,$A21&amp;"|"&amp;AM$1&amp;"|Input"),IF(COUNTIF(Flows!$M$2:$M$1500,$A21&amp;"|"&amp;AM$1&amp;"|Output"),"I/O","IN"),IF(COUNTIF(Flows!$M$2:$M$1500,$A21&amp;"|"&amp;AM$1&amp;"|Output"),"OUT",""))</f>
        <v/>
      </c>
      <c r="AN21" s="33" t="str">
        <f aca="false">IF(COUNTIF(Flows!$M$2:$M$1500,$A21&amp;"|"&amp;AN$1&amp;"|Input"),IF(COUNTIF(Flows!$M$2:$M$1500,$A21&amp;"|"&amp;AN$1&amp;"|Output"),"I/O","IN"),IF(COUNTIF(Flows!$M$2:$M$1500,$A21&amp;"|"&amp;AN$1&amp;"|Output"),"OUT",""))</f>
        <v/>
      </c>
      <c r="AO21" s="33" t="str">
        <f aca="false">IF(COUNTIF(Flows!$M$2:$M$1500,$A21&amp;"|"&amp;AO$1&amp;"|Input"),IF(COUNTIF(Flows!$M$2:$M$1500,$A21&amp;"|"&amp;AO$1&amp;"|Output"),"I/O","IN"),IF(COUNTIF(Flows!$M$2:$M$1500,$A21&amp;"|"&amp;AO$1&amp;"|Output"),"OUT",""))</f>
        <v/>
      </c>
      <c r="AP21" s="33" t="str">
        <f aca="false">IF(COUNTIF(Flows!$M$2:$M$1500,$A21&amp;"|"&amp;AP$1&amp;"|Input"),IF(COUNTIF(Flows!$M$2:$M$1500,$A21&amp;"|"&amp;AP$1&amp;"|Output"),"I/O","IN"),IF(COUNTIF(Flows!$M$2:$M$1500,$A21&amp;"|"&amp;AP$1&amp;"|Output"),"OUT",""))</f>
        <v/>
      </c>
      <c r="AQ21" s="33" t="str">
        <f aca="false">IF(COUNTIF(Flows!$M$2:$M$1500,$A21&amp;"|"&amp;AQ$1&amp;"|Input"),IF(COUNTIF(Flows!$M$2:$M$1500,$A21&amp;"|"&amp;AQ$1&amp;"|Output"),"I/O","IN"),IF(COUNTIF(Flows!$M$2:$M$1500,$A21&amp;"|"&amp;AQ$1&amp;"|Output"),"OUT",""))</f>
        <v/>
      </c>
      <c r="AR21" s="33" t="str">
        <f aca="false">IF(COUNTIF(Flows!$M$2:$M$1500,$A21&amp;"|"&amp;AR$1&amp;"|Input"),IF(COUNTIF(Flows!$M$2:$M$1500,$A21&amp;"|"&amp;AR$1&amp;"|Output"),"I/O","IN"),IF(COUNTIF(Flows!$M$2:$M$1500,$A21&amp;"|"&amp;AR$1&amp;"|Output"),"OUT",""))</f>
        <v/>
      </c>
      <c r="AS21" s="33" t="str">
        <f aca="false">IF(COUNTIF(Flows!$M$2:$M$1500,$A21&amp;"|"&amp;AS$1&amp;"|Input"),IF(COUNTIF(Flows!$M$2:$M$1500,$A21&amp;"|"&amp;AS$1&amp;"|Output"),"I/O","IN"),IF(COUNTIF(Flows!$M$2:$M$1500,$A21&amp;"|"&amp;AS$1&amp;"|Output"),"OUT",""))</f>
        <v/>
      </c>
      <c r="AT21" s="33" t="str">
        <f aca="false">IF(COUNTIF(Flows!$M$2:$M$1500,$A21&amp;"|"&amp;AT$1&amp;"|Input"),IF(COUNTIF(Flows!$M$2:$M$1500,$A21&amp;"|"&amp;AT$1&amp;"|Output"),"I/O","IN"),IF(COUNTIF(Flows!$M$2:$M$1500,$A21&amp;"|"&amp;AT$1&amp;"|Output"),"OUT",""))</f>
        <v/>
      </c>
      <c r="AU21" s="33" t="str">
        <f aca="false">IF(COUNTIF(Flows!$M$2:$M$1500,$A21&amp;"|"&amp;AU$1&amp;"|Input"),IF(COUNTIF(Flows!$M$2:$M$1500,$A21&amp;"|"&amp;AU$1&amp;"|Output"),"I/O","IN"),IF(COUNTIF(Flows!$M$2:$M$1500,$A21&amp;"|"&amp;AU$1&amp;"|Output"),"OUT",""))</f>
        <v/>
      </c>
      <c r="AV21" s="33" t="str">
        <f aca="false">IF(COUNTIF(Flows!$M$2:$M$1500,$A21&amp;"|"&amp;AV$1&amp;"|Input"),IF(COUNTIF(Flows!$M$2:$M$1500,$A21&amp;"|"&amp;AV$1&amp;"|Output"),"I/O","IN"),IF(COUNTIF(Flows!$M$2:$M$1500,$A21&amp;"|"&amp;AV$1&amp;"|Output"),"OUT",""))</f>
        <v/>
      </c>
      <c r="AW21" s="33" t="str">
        <f aca="false">IF(COUNTIF(Flows!$M$2:$M$1500,$A21&amp;"|"&amp;AW$1&amp;"|Input"),IF(COUNTIF(Flows!$M$2:$M$1500,$A21&amp;"|"&amp;AW$1&amp;"|Output"),"I/O","IN"),IF(COUNTIF(Flows!$M$2:$M$1500,$A21&amp;"|"&amp;AW$1&amp;"|Output"),"OUT",""))</f>
        <v/>
      </c>
      <c r="AX21" s="33" t="str">
        <f aca="false">IF(COUNTIF(Flows!$M$2:$M$1500,$A21&amp;"|"&amp;AX$1&amp;"|Input"),IF(COUNTIF(Flows!$M$2:$M$1500,$A21&amp;"|"&amp;AX$1&amp;"|Output"),"I/O","IN"),IF(COUNTIF(Flows!$M$2:$M$1500,$A21&amp;"|"&amp;AX$1&amp;"|Output"),"OUT",""))</f>
        <v/>
      </c>
      <c r="AY21" s="33" t="str">
        <f aca="false">IF(COUNTIF(Flows!$M$2:$M$1500,$A21&amp;"|"&amp;AY$1&amp;"|Input"),IF(COUNTIF(Flows!$M$2:$M$1500,$A21&amp;"|"&amp;AY$1&amp;"|Output"),"I/O","IN"),IF(COUNTIF(Flows!$M$2:$M$1500,$A21&amp;"|"&amp;AY$1&amp;"|Output"),"OUT",""))</f>
        <v/>
      </c>
      <c r="AZ21" s="33" t="str">
        <f aca="false">IF(COUNTIF(Flows!$M$2:$M$1500,$A21&amp;"|"&amp;AZ$1&amp;"|Input"),IF(COUNTIF(Flows!$M$2:$M$1500,$A21&amp;"|"&amp;AZ$1&amp;"|Output"),"I/O","IN"),IF(COUNTIF(Flows!$M$2:$M$1500,$A21&amp;"|"&amp;AZ$1&amp;"|Output"),"OUT",""))</f>
        <v/>
      </c>
      <c r="BA21" s="33" t="str">
        <f aca="false">IF(COUNTIF(Flows!$M$2:$M$1500,$A21&amp;"|"&amp;BA$1&amp;"|Input"),IF(COUNTIF(Flows!$M$2:$M$1500,$A21&amp;"|"&amp;BA$1&amp;"|Output"),"I/O","IN"),IF(COUNTIF(Flows!$M$2:$M$1500,$A21&amp;"|"&amp;BA$1&amp;"|Output"),"OUT",""))</f>
        <v/>
      </c>
      <c r="BB21" s="33" t="str">
        <f aca="false">IF(COUNTIF(Flows!$M$2:$M$1500,$A21&amp;"|"&amp;BB$1&amp;"|Input"),IF(COUNTIF(Flows!$M$2:$M$1500,$A21&amp;"|"&amp;BB$1&amp;"|Output"),"I/O","IN"),IF(COUNTIF(Flows!$M$2:$M$1500,$A21&amp;"|"&amp;BB$1&amp;"|Output"),"OUT",""))</f>
        <v/>
      </c>
      <c r="BC21" s="33" t="str">
        <f aca="false">IF(COUNTIF(Flows!$M$2:$M$1500,$A21&amp;"|"&amp;BC$1&amp;"|Input"),IF(COUNTIF(Flows!$M$2:$M$1500,$A21&amp;"|"&amp;BC$1&amp;"|Output"),"I/O","IN"),IF(COUNTIF(Flows!$M$2:$M$1500,$A21&amp;"|"&amp;BC$1&amp;"|Output"),"OUT",""))</f>
        <v/>
      </c>
      <c r="BD21" s="33" t="str">
        <f aca="false">IF(COUNTIF(Flows!$M$2:$M$1500,$A21&amp;"|"&amp;BD$1&amp;"|Input"),IF(COUNTIF(Flows!$M$2:$M$1500,$A21&amp;"|"&amp;BD$1&amp;"|Output"),"I/O","IN"),IF(COUNTIF(Flows!$M$2:$M$1500,$A21&amp;"|"&amp;BD$1&amp;"|Output"),"OUT",""))</f>
        <v/>
      </c>
      <c r="BE21" s="33" t="str">
        <f aca="false">IF(COUNTIF(Flows!$M$2:$M$1500,$A21&amp;"|"&amp;BE$1&amp;"|Input"),IF(COUNTIF(Flows!$M$2:$M$1500,$A21&amp;"|"&amp;BE$1&amp;"|Output"),"I/O","IN"),IF(COUNTIF(Flows!$M$2:$M$1500,$A21&amp;"|"&amp;BE$1&amp;"|Output"),"OUT",""))</f>
        <v>IN</v>
      </c>
      <c r="BF21" s="33" t="str">
        <f aca="false">IF(COUNTIF(Flows!$M$2:$M$1500,$A21&amp;"|"&amp;BF$1&amp;"|Input"),IF(COUNTIF(Flows!$M$2:$M$1500,$A21&amp;"|"&amp;BF$1&amp;"|Output"),"I/O","IN"),IF(COUNTIF(Flows!$M$2:$M$1500,$A21&amp;"|"&amp;BF$1&amp;"|Output"),"OUT",""))</f>
        <v/>
      </c>
      <c r="BG21" s="33" t="str">
        <f aca="false">IF(COUNTIF(Flows!$M$2:$M$1500,$A21&amp;"|"&amp;BG$1&amp;"|Input"),IF(COUNTIF(Flows!$M$2:$M$1500,$A21&amp;"|"&amp;BG$1&amp;"|Output"),"I/O","IN"),IF(COUNTIF(Flows!$M$2:$M$1500,$A21&amp;"|"&amp;BG$1&amp;"|Output"),"OUT",""))</f>
        <v/>
      </c>
      <c r="BH21" s="33" t="str">
        <f aca="false">IF(COUNTIF(Flows!$M$2:$M$1500,$A21&amp;"|"&amp;BH$1&amp;"|Input"),IF(COUNTIF(Flows!$M$2:$M$1500,$A21&amp;"|"&amp;BH$1&amp;"|Output"),"I/O","IN"),IF(COUNTIF(Flows!$M$2:$M$1500,$A21&amp;"|"&amp;BH$1&amp;"|Output"),"OUT",""))</f>
        <v/>
      </c>
      <c r="BI21" s="33" t="str">
        <f aca="false">IF(COUNTIF(Flows!$M$2:$M$1500,$A21&amp;"|"&amp;BI$1&amp;"|Input"),IF(COUNTIF(Flows!$M$2:$M$1500,$A21&amp;"|"&amp;BI$1&amp;"|Output"),"I/O","IN"),IF(COUNTIF(Flows!$M$2:$M$1500,$A21&amp;"|"&amp;BI$1&amp;"|Output"),"OUT",""))</f>
        <v/>
      </c>
      <c r="BJ21" s="33" t="str">
        <f aca="false">IF(COUNTIF(Flows!$M$2:$M$1500,$A21&amp;"|"&amp;BJ$1&amp;"|Input"),IF(COUNTIF(Flows!$M$2:$M$1500,$A21&amp;"|"&amp;BJ$1&amp;"|Output"),"I/O","IN"),IF(COUNTIF(Flows!$M$2:$M$1500,$A21&amp;"|"&amp;BJ$1&amp;"|Output"),"OUT",""))</f>
        <v/>
      </c>
      <c r="BK21" s="33" t="str">
        <f aca="false">IF(COUNTIF(Flows!$M$2:$M$1500,$A21&amp;"|"&amp;BK$1&amp;"|Input"),IF(COUNTIF(Flows!$M$2:$M$1500,$A21&amp;"|"&amp;BK$1&amp;"|Output"),"I/O","IN"),IF(COUNTIF(Flows!$M$2:$M$1500,$A21&amp;"|"&amp;BK$1&amp;"|Output"),"OUT",""))</f>
        <v/>
      </c>
    </row>
    <row r="22" customFormat="false" ht="15" hidden="false" customHeight="true" outlineLevel="0" collapsed="false">
      <c r="A22" s="6" t="str">
        <f aca="false">Systems!B22</f>
        <v>Bike</v>
      </c>
      <c r="B22" s="33" t="str">
        <f aca="false">IF(COUNTIF(Flows!$M$2:$M$1500,$A22&amp;"|"&amp;B$1&amp;"|Input"),IF(COUNTIF(Flows!$M$2:$M$1500,$A22&amp;"|"&amp;B$1&amp;"|Output"),"I/O","IN"),IF(COUNTIF(Flows!$M$2:$M$1500,$A22&amp;"|"&amp;B$1&amp;"|Output"),"OUT",""))</f>
        <v/>
      </c>
      <c r="C22" s="33" t="str">
        <f aca="false">IF(COUNTIF(Flows!$M$2:$M$1500,$A22&amp;"|"&amp;C$1&amp;"|Input"),IF(COUNTIF(Flows!$M$2:$M$1500,$A22&amp;"|"&amp;C$1&amp;"|Output"),"I/O","IN"),IF(COUNTIF(Flows!$M$2:$M$1500,$A22&amp;"|"&amp;C$1&amp;"|Output"),"OUT",""))</f>
        <v/>
      </c>
      <c r="D22" s="33" t="str">
        <f aca="false">IF(COUNTIF(Flows!$M$2:$M$1500,$A22&amp;"|"&amp;D$1&amp;"|Input"),IF(COUNTIF(Flows!$M$2:$M$1500,$A22&amp;"|"&amp;D$1&amp;"|Output"),"I/O","IN"),IF(COUNTIF(Flows!$M$2:$M$1500,$A22&amp;"|"&amp;D$1&amp;"|Output"),"OUT",""))</f>
        <v/>
      </c>
      <c r="E22" s="33" t="str">
        <f aca="false">IF(COUNTIF(Flows!$M$2:$M$1500,$A22&amp;"|"&amp;E$1&amp;"|Input"),IF(COUNTIF(Flows!$M$2:$M$1500,$A22&amp;"|"&amp;E$1&amp;"|Output"),"I/O","IN"),IF(COUNTIF(Flows!$M$2:$M$1500,$A22&amp;"|"&amp;E$1&amp;"|Output"),"OUT",""))</f>
        <v/>
      </c>
      <c r="F22" s="33" t="str">
        <f aca="false">IF(COUNTIF(Flows!$M$2:$M$1500,$A22&amp;"|"&amp;F$1&amp;"|Input"),IF(COUNTIF(Flows!$M$2:$M$1500,$A22&amp;"|"&amp;F$1&amp;"|Output"),"I/O","IN"),IF(COUNTIF(Flows!$M$2:$M$1500,$A22&amp;"|"&amp;F$1&amp;"|Output"),"OUT",""))</f>
        <v>IN</v>
      </c>
      <c r="G22" s="33" t="str">
        <f aca="false">IF(COUNTIF(Flows!$M$2:$M$1500,$A22&amp;"|"&amp;G$1&amp;"|Input"),IF(COUNTIF(Flows!$M$2:$M$1500,$A22&amp;"|"&amp;G$1&amp;"|Output"),"I/O","IN"),IF(COUNTIF(Flows!$M$2:$M$1500,$A22&amp;"|"&amp;G$1&amp;"|Output"),"OUT",""))</f>
        <v/>
      </c>
      <c r="H22" s="33" t="str">
        <f aca="false">IF(COUNTIF(Flows!$M$2:$M$1500,$A22&amp;"|"&amp;H$1&amp;"|Input"),IF(COUNTIF(Flows!$M$2:$M$1500,$A22&amp;"|"&amp;H$1&amp;"|Output"),"I/O","IN"),IF(COUNTIF(Flows!$M$2:$M$1500,$A22&amp;"|"&amp;H$1&amp;"|Output"),"OUT",""))</f>
        <v/>
      </c>
      <c r="I22" s="33" t="str">
        <f aca="false">IF(COUNTIF(Flows!$M$2:$M$1500,$A22&amp;"|"&amp;I$1&amp;"|Input"),IF(COUNTIF(Flows!$M$2:$M$1500,$A22&amp;"|"&amp;I$1&amp;"|Output"),"I/O","IN"),IF(COUNTIF(Flows!$M$2:$M$1500,$A22&amp;"|"&amp;I$1&amp;"|Output"),"OUT",""))</f>
        <v/>
      </c>
      <c r="J22" s="33" t="str">
        <f aca="false">IF(COUNTIF(Flows!$M$2:$M$1500,$A22&amp;"|"&amp;J$1&amp;"|Input"),IF(COUNTIF(Flows!$M$2:$M$1500,$A22&amp;"|"&amp;J$1&amp;"|Output"),"I/O","IN"),IF(COUNTIF(Flows!$M$2:$M$1500,$A22&amp;"|"&amp;J$1&amp;"|Output"),"OUT",""))</f>
        <v/>
      </c>
      <c r="K22" s="33" t="str">
        <f aca="false">IF(COUNTIF(Flows!$M$2:$M$1500,$A22&amp;"|"&amp;K$1&amp;"|Input"),IF(COUNTIF(Flows!$M$2:$M$1500,$A22&amp;"|"&amp;K$1&amp;"|Output"),"I/O","IN"),IF(COUNTIF(Flows!$M$2:$M$1500,$A22&amp;"|"&amp;K$1&amp;"|Output"),"OUT",""))</f>
        <v/>
      </c>
      <c r="L22" s="33" t="str">
        <f aca="false">IF(COUNTIF(Flows!$M$2:$M$1500,$A22&amp;"|"&amp;L$1&amp;"|Input"),IF(COUNTIF(Flows!$M$2:$M$1500,$A22&amp;"|"&amp;L$1&amp;"|Output"),"I/O","IN"),IF(COUNTIF(Flows!$M$2:$M$1500,$A22&amp;"|"&amp;L$1&amp;"|Output"),"OUT",""))</f>
        <v/>
      </c>
      <c r="M22" s="33" t="str">
        <f aca="false">IF(COUNTIF(Flows!$M$2:$M$1500,$A22&amp;"|"&amp;M$1&amp;"|Input"),IF(COUNTIF(Flows!$M$2:$M$1500,$A22&amp;"|"&amp;M$1&amp;"|Output"),"I/O","IN"),IF(COUNTIF(Flows!$M$2:$M$1500,$A22&amp;"|"&amp;M$1&amp;"|Output"),"OUT",""))</f>
        <v/>
      </c>
      <c r="N22" s="33" t="str">
        <f aca="false">IF(COUNTIF(Flows!$M$2:$M$1500,$A22&amp;"|"&amp;N$1&amp;"|Input"),IF(COUNTIF(Flows!$M$2:$M$1500,$A22&amp;"|"&amp;N$1&amp;"|Output"),"I/O","IN"),IF(COUNTIF(Flows!$M$2:$M$1500,$A22&amp;"|"&amp;N$1&amp;"|Output"),"OUT",""))</f>
        <v/>
      </c>
      <c r="O22" s="33" t="str">
        <f aca="false">IF(COUNTIF(Flows!$M$2:$M$1500,$A22&amp;"|"&amp;O$1&amp;"|Input"),IF(COUNTIF(Flows!$M$2:$M$1500,$A22&amp;"|"&amp;O$1&amp;"|Output"),"I/O","IN"),IF(COUNTIF(Flows!$M$2:$M$1500,$A22&amp;"|"&amp;O$1&amp;"|Output"),"OUT",""))</f>
        <v/>
      </c>
      <c r="P22" s="33" t="str">
        <f aca="false">IF(COUNTIF(Flows!$M$2:$M$1500,$A22&amp;"|"&amp;P$1&amp;"|Input"),IF(COUNTIF(Flows!$M$2:$M$1500,$A22&amp;"|"&amp;P$1&amp;"|Output"),"I/O","IN"),IF(COUNTIF(Flows!$M$2:$M$1500,$A22&amp;"|"&amp;P$1&amp;"|Output"),"OUT",""))</f>
        <v/>
      </c>
      <c r="Q22" s="33" t="str">
        <f aca="false">IF(COUNTIF(Flows!$M$2:$M$1500,$A22&amp;"|"&amp;Q$1&amp;"|Input"),IF(COUNTIF(Flows!$M$2:$M$1500,$A22&amp;"|"&amp;Q$1&amp;"|Output"),"I/O","IN"),IF(COUNTIF(Flows!$M$2:$M$1500,$A22&amp;"|"&amp;Q$1&amp;"|Output"),"OUT",""))</f>
        <v/>
      </c>
      <c r="R22" s="33" t="str">
        <f aca="false">IF(COUNTIF(Flows!$M$2:$M$1500,$A22&amp;"|"&amp;R$1&amp;"|Input"),IF(COUNTIF(Flows!$M$2:$M$1500,$A22&amp;"|"&amp;R$1&amp;"|Output"),"I/O","IN"),IF(COUNTIF(Flows!$M$2:$M$1500,$A22&amp;"|"&amp;R$1&amp;"|Output"),"OUT",""))</f>
        <v/>
      </c>
      <c r="S22" s="33" t="str">
        <f aca="false">IF(COUNTIF(Flows!$M$2:$M$1500,$A22&amp;"|"&amp;S$1&amp;"|Input"),IF(COUNTIF(Flows!$M$2:$M$1500,$A22&amp;"|"&amp;S$1&amp;"|Output"),"I/O","IN"),IF(COUNTIF(Flows!$M$2:$M$1500,$A22&amp;"|"&amp;S$1&amp;"|Output"),"OUT",""))</f>
        <v/>
      </c>
      <c r="T22" s="33" t="str">
        <f aca="false">IF(COUNTIF(Flows!$M$2:$M$1500,$A22&amp;"|"&amp;T$1&amp;"|Input"),IF(COUNTIF(Flows!$M$2:$M$1500,$A22&amp;"|"&amp;T$1&amp;"|Output"),"I/O","IN"),IF(COUNTIF(Flows!$M$2:$M$1500,$A22&amp;"|"&amp;T$1&amp;"|Output"),"OUT",""))</f>
        <v>OUT</v>
      </c>
      <c r="U22" s="33" t="str">
        <f aca="false">IF(COUNTIF(Flows!$M$2:$M$1500,$A22&amp;"|"&amp;U$1&amp;"|Input"),IF(COUNTIF(Flows!$M$2:$M$1500,$A22&amp;"|"&amp;U$1&amp;"|Output"),"I/O","IN"),IF(COUNTIF(Flows!$M$2:$M$1500,$A22&amp;"|"&amp;U$1&amp;"|Output"),"OUT",""))</f>
        <v/>
      </c>
      <c r="V22" s="33" t="str">
        <f aca="false">IF(COUNTIF(Flows!$M$2:$M$1500,$A22&amp;"|"&amp;V$1&amp;"|Input"),IF(COUNTIF(Flows!$M$2:$M$1500,$A22&amp;"|"&amp;V$1&amp;"|Output"),"I/O","IN"),IF(COUNTIF(Flows!$M$2:$M$1500,$A22&amp;"|"&amp;V$1&amp;"|Output"),"OUT",""))</f>
        <v/>
      </c>
      <c r="W22" s="33" t="str">
        <f aca="false">IF(COUNTIF(Flows!$M$2:$M$1500,$A22&amp;"|"&amp;W$1&amp;"|Input"),IF(COUNTIF(Flows!$M$2:$M$1500,$A22&amp;"|"&amp;W$1&amp;"|Output"),"I/O","IN"),IF(COUNTIF(Flows!$M$2:$M$1500,$A22&amp;"|"&amp;W$1&amp;"|Output"),"OUT",""))</f>
        <v/>
      </c>
      <c r="X22" s="33" t="str">
        <f aca="false">IF(COUNTIF(Flows!$M$2:$M$1500,$A22&amp;"|"&amp;X$1&amp;"|Input"),IF(COUNTIF(Flows!$M$2:$M$1500,$A22&amp;"|"&amp;X$1&amp;"|Output"),"I/O","IN"),IF(COUNTIF(Flows!$M$2:$M$1500,$A22&amp;"|"&amp;X$1&amp;"|Output"),"OUT",""))</f>
        <v>IN</v>
      </c>
      <c r="Y22" s="33" t="str">
        <f aca="false">IF(COUNTIF(Flows!$M$2:$M$1500,$A22&amp;"|"&amp;Y$1&amp;"|Input"),IF(COUNTIF(Flows!$M$2:$M$1500,$A22&amp;"|"&amp;Y$1&amp;"|Output"),"I/O","IN"),IF(COUNTIF(Flows!$M$2:$M$1500,$A22&amp;"|"&amp;Y$1&amp;"|Output"),"OUT",""))</f>
        <v/>
      </c>
      <c r="Z22" s="33" t="str">
        <f aca="false">IF(COUNTIF(Flows!$M$2:$M$1500,$A22&amp;"|"&amp;Z$1&amp;"|Input"),IF(COUNTIF(Flows!$M$2:$M$1500,$A22&amp;"|"&amp;Z$1&amp;"|Output"),"I/O","IN"),IF(COUNTIF(Flows!$M$2:$M$1500,$A22&amp;"|"&amp;Z$1&amp;"|Output"),"OUT",""))</f>
        <v/>
      </c>
      <c r="AA22" s="33" t="str">
        <f aca="false">IF(COUNTIF(Flows!$M$2:$M$1500,$A22&amp;"|"&amp;AA$1&amp;"|Input"),IF(COUNTIF(Flows!$M$2:$M$1500,$A22&amp;"|"&amp;AA$1&amp;"|Output"),"I/O","IN"),IF(COUNTIF(Flows!$M$2:$M$1500,$A22&amp;"|"&amp;AA$1&amp;"|Output"),"OUT",""))</f>
        <v/>
      </c>
      <c r="AB22" s="33" t="str">
        <f aca="false">IF(COUNTIF(Flows!$M$2:$M$1500,$A22&amp;"|"&amp;AB$1&amp;"|Input"),IF(COUNTIF(Flows!$M$2:$M$1500,$A22&amp;"|"&amp;AB$1&amp;"|Output"),"I/O","IN"),IF(COUNTIF(Flows!$M$2:$M$1500,$A22&amp;"|"&amp;AB$1&amp;"|Output"),"OUT",""))</f>
        <v/>
      </c>
      <c r="AC22" s="33" t="str">
        <f aca="false">IF(COUNTIF(Flows!$M$2:$M$1500,$A22&amp;"|"&amp;AC$1&amp;"|Input"),IF(COUNTIF(Flows!$M$2:$M$1500,$A22&amp;"|"&amp;AC$1&amp;"|Output"),"I/O","IN"),IF(COUNTIF(Flows!$M$2:$M$1500,$A22&amp;"|"&amp;AC$1&amp;"|Output"),"OUT",""))</f>
        <v/>
      </c>
      <c r="AD22" s="33" t="str">
        <f aca="false">IF(COUNTIF(Flows!$M$2:$M$1500,$A22&amp;"|"&amp;AD$1&amp;"|Input"),IF(COUNTIF(Flows!$M$2:$M$1500,$A22&amp;"|"&amp;AD$1&amp;"|Output"),"I/O","IN"),IF(COUNTIF(Flows!$M$2:$M$1500,$A22&amp;"|"&amp;AD$1&amp;"|Output"),"OUT",""))</f>
        <v/>
      </c>
      <c r="AE22" s="33" t="str">
        <f aca="false">IF(COUNTIF(Flows!$M$2:$M$1500,$A22&amp;"|"&amp;AE$1&amp;"|Input"),IF(COUNTIF(Flows!$M$2:$M$1500,$A22&amp;"|"&amp;AE$1&amp;"|Output"),"I/O","IN"),IF(COUNTIF(Flows!$M$2:$M$1500,$A22&amp;"|"&amp;AE$1&amp;"|Output"),"OUT",""))</f>
        <v/>
      </c>
      <c r="AF22" s="33" t="str">
        <f aca="false">IF(COUNTIF(Flows!$M$2:$M$1500,$A22&amp;"|"&amp;AF$1&amp;"|Input"),IF(COUNTIF(Flows!$M$2:$M$1500,$A22&amp;"|"&amp;AF$1&amp;"|Output"),"I/O","IN"),IF(COUNTIF(Flows!$M$2:$M$1500,$A22&amp;"|"&amp;AF$1&amp;"|Output"),"OUT",""))</f>
        <v/>
      </c>
      <c r="AG22" s="33" t="str">
        <f aca="false">IF(COUNTIF(Flows!$M$2:$M$1500,$A22&amp;"|"&amp;AG$1&amp;"|Input"),IF(COUNTIF(Flows!$M$2:$M$1500,$A22&amp;"|"&amp;AG$1&amp;"|Output"),"I/O","IN"),IF(COUNTIF(Flows!$M$2:$M$1500,$A22&amp;"|"&amp;AG$1&amp;"|Output"),"OUT",""))</f>
        <v/>
      </c>
      <c r="AH22" s="33" t="str">
        <f aca="false">IF(COUNTIF(Flows!$M$2:$M$1500,$A22&amp;"|"&amp;AH$1&amp;"|Input"),IF(COUNTIF(Flows!$M$2:$M$1500,$A22&amp;"|"&amp;AH$1&amp;"|Output"),"I/O","IN"),IF(COUNTIF(Flows!$M$2:$M$1500,$A22&amp;"|"&amp;AH$1&amp;"|Output"),"OUT",""))</f>
        <v>IN</v>
      </c>
      <c r="AI22" s="33" t="str">
        <f aca="false">IF(COUNTIF(Flows!$M$2:$M$1500,$A22&amp;"|"&amp;AI$1&amp;"|Input"),IF(COUNTIF(Flows!$M$2:$M$1500,$A22&amp;"|"&amp;AI$1&amp;"|Output"),"I/O","IN"),IF(COUNTIF(Flows!$M$2:$M$1500,$A22&amp;"|"&amp;AI$1&amp;"|Output"),"OUT",""))</f>
        <v/>
      </c>
      <c r="AJ22" s="33" t="str">
        <f aca="false">IF(COUNTIF(Flows!$M$2:$M$1500,$A22&amp;"|"&amp;AJ$1&amp;"|Input"),IF(COUNTIF(Flows!$M$2:$M$1500,$A22&amp;"|"&amp;AJ$1&amp;"|Output"),"I/O","IN"),IF(COUNTIF(Flows!$M$2:$M$1500,$A22&amp;"|"&amp;AJ$1&amp;"|Output"),"OUT",""))</f>
        <v/>
      </c>
      <c r="AK22" s="33" t="str">
        <f aca="false">IF(COUNTIF(Flows!$M$2:$M$1500,$A22&amp;"|"&amp;AK$1&amp;"|Input"),IF(COUNTIF(Flows!$M$2:$M$1500,$A22&amp;"|"&amp;AK$1&amp;"|Output"),"I/O","IN"),IF(COUNTIF(Flows!$M$2:$M$1500,$A22&amp;"|"&amp;AK$1&amp;"|Output"),"OUT",""))</f>
        <v/>
      </c>
      <c r="AL22" s="33" t="str">
        <f aca="false">IF(COUNTIF(Flows!$M$2:$M$1500,$A22&amp;"|"&amp;AL$1&amp;"|Input"),IF(COUNTIF(Flows!$M$2:$M$1500,$A22&amp;"|"&amp;AL$1&amp;"|Output"),"I/O","IN"),IF(COUNTIF(Flows!$M$2:$M$1500,$A22&amp;"|"&amp;AL$1&amp;"|Output"),"OUT",""))</f>
        <v/>
      </c>
      <c r="AM22" s="33" t="str">
        <f aca="false">IF(COUNTIF(Flows!$M$2:$M$1500,$A22&amp;"|"&amp;AM$1&amp;"|Input"),IF(COUNTIF(Flows!$M$2:$M$1500,$A22&amp;"|"&amp;AM$1&amp;"|Output"),"I/O","IN"),IF(COUNTIF(Flows!$M$2:$M$1500,$A22&amp;"|"&amp;AM$1&amp;"|Output"),"OUT",""))</f>
        <v/>
      </c>
      <c r="AN22" s="33" t="str">
        <f aca="false">IF(COUNTIF(Flows!$M$2:$M$1500,$A22&amp;"|"&amp;AN$1&amp;"|Input"),IF(COUNTIF(Flows!$M$2:$M$1500,$A22&amp;"|"&amp;AN$1&amp;"|Output"),"I/O","IN"),IF(COUNTIF(Flows!$M$2:$M$1500,$A22&amp;"|"&amp;AN$1&amp;"|Output"),"OUT",""))</f>
        <v/>
      </c>
      <c r="AO22" s="33" t="str">
        <f aca="false">IF(COUNTIF(Flows!$M$2:$M$1500,$A22&amp;"|"&amp;AO$1&amp;"|Input"),IF(COUNTIF(Flows!$M$2:$M$1500,$A22&amp;"|"&amp;AO$1&amp;"|Output"),"I/O","IN"),IF(COUNTIF(Flows!$M$2:$M$1500,$A22&amp;"|"&amp;AO$1&amp;"|Output"),"OUT",""))</f>
        <v/>
      </c>
      <c r="AP22" s="33" t="str">
        <f aca="false">IF(COUNTIF(Flows!$M$2:$M$1500,$A22&amp;"|"&amp;AP$1&amp;"|Input"),IF(COUNTIF(Flows!$M$2:$M$1500,$A22&amp;"|"&amp;AP$1&amp;"|Output"),"I/O","IN"),IF(COUNTIF(Flows!$M$2:$M$1500,$A22&amp;"|"&amp;AP$1&amp;"|Output"),"OUT",""))</f>
        <v/>
      </c>
      <c r="AQ22" s="33" t="str">
        <f aca="false">IF(COUNTIF(Flows!$M$2:$M$1500,$A22&amp;"|"&amp;AQ$1&amp;"|Input"),IF(COUNTIF(Flows!$M$2:$M$1500,$A22&amp;"|"&amp;AQ$1&amp;"|Output"),"I/O","IN"),IF(COUNTIF(Flows!$M$2:$M$1500,$A22&amp;"|"&amp;AQ$1&amp;"|Output"),"OUT",""))</f>
        <v/>
      </c>
      <c r="AR22" s="33" t="str">
        <f aca="false">IF(COUNTIF(Flows!$M$2:$M$1500,$A22&amp;"|"&amp;AR$1&amp;"|Input"),IF(COUNTIF(Flows!$M$2:$M$1500,$A22&amp;"|"&amp;AR$1&amp;"|Output"),"I/O","IN"),IF(COUNTIF(Flows!$M$2:$M$1500,$A22&amp;"|"&amp;AR$1&amp;"|Output"),"OUT",""))</f>
        <v/>
      </c>
      <c r="AS22" s="33" t="str">
        <f aca="false">IF(COUNTIF(Flows!$M$2:$M$1500,$A22&amp;"|"&amp;AS$1&amp;"|Input"),IF(COUNTIF(Flows!$M$2:$M$1500,$A22&amp;"|"&amp;AS$1&amp;"|Output"),"I/O","IN"),IF(COUNTIF(Flows!$M$2:$M$1500,$A22&amp;"|"&amp;AS$1&amp;"|Output"),"OUT",""))</f>
        <v/>
      </c>
      <c r="AT22" s="33" t="str">
        <f aca="false">IF(COUNTIF(Flows!$M$2:$M$1500,$A22&amp;"|"&amp;AT$1&amp;"|Input"),IF(COUNTIF(Flows!$M$2:$M$1500,$A22&amp;"|"&amp;AT$1&amp;"|Output"),"I/O","IN"),IF(COUNTIF(Flows!$M$2:$M$1500,$A22&amp;"|"&amp;AT$1&amp;"|Output"),"OUT",""))</f>
        <v/>
      </c>
      <c r="AU22" s="33" t="str">
        <f aca="false">IF(COUNTIF(Flows!$M$2:$M$1500,$A22&amp;"|"&amp;AU$1&amp;"|Input"),IF(COUNTIF(Flows!$M$2:$M$1500,$A22&amp;"|"&amp;AU$1&amp;"|Output"),"I/O","IN"),IF(COUNTIF(Flows!$M$2:$M$1500,$A22&amp;"|"&amp;AU$1&amp;"|Output"),"OUT",""))</f>
        <v/>
      </c>
      <c r="AV22" s="33" t="str">
        <f aca="false">IF(COUNTIF(Flows!$M$2:$M$1500,$A22&amp;"|"&amp;AV$1&amp;"|Input"),IF(COUNTIF(Flows!$M$2:$M$1500,$A22&amp;"|"&amp;AV$1&amp;"|Output"),"I/O","IN"),IF(COUNTIF(Flows!$M$2:$M$1500,$A22&amp;"|"&amp;AV$1&amp;"|Output"),"OUT",""))</f>
        <v/>
      </c>
      <c r="AW22" s="33" t="str">
        <f aca="false">IF(COUNTIF(Flows!$M$2:$M$1500,$A22&amp;"|"&amp;AW$1&amp;"|Input"),IF(COUNTIF(Flows!$M$2:$M$1500,$A22&amp;"|"&amp;AW$1&amp;"|Output"),"I/O","IN"),IF(COUNTIF(Flows!$M$2:$M$1500,$A22&amp;"|"&amp;AW$1&amp;"|Output"),"OUT",""))</f>
        <v/>
      </c>
      <c r="AX22" s="33" t="str">
        <f aca="false">IF(COUNTIF(Flows!$M$2:$M$1500,$A22&amp;"|"&amp;AX$1&amp;"|Input"),IF(COUNTIF(Flows!$M$2:$M$1500,$A22&amp;"|"&amp;AX$1&amp;"|Output"),"I/O","IN"),IF(COUNTIF(Flows!$M$2:$M$1500,$A22&amp;"|"&amp;AX$1&amp;"|Output"),"OUT",""))</f>
        <v/>
      </c>
      <c r="AY22" s="33" t="str">
        <f aca="false">IF(COUNTIF(Flows!$M$2:$M$1500,$A22&amp;"|"&amp;AY$1&amp;"|Input"),IF(COUNTIF(Flows!$M$2:$M$1500,$A22&amp;"|"&amp;AY$1&amp;"|Output"),"I/O","IN"),IF(COUNTIF(Flows!$M$2:$M$1500,$A22&amp;"|"&amp;AY$1&amp;"|Output"),"OUT",""))</f>
        <v/>
      </c>
      <c r="AZ22" s="33" t="str">
        <f aca="false">IF(COUNTIF(Flows!$M$2:$M$1500,$A22&amp;"|"&amp;AZ$1&amp;"|Input"),IF(COUNTIF(Flows!$M$2:$M$1500,$A22&amp;"|"&amp;AZ$1&amp;"|Output"),"I/O","IN"),IF(COUNTIF(Flows!$M$2:$M$1500,$A22&amp;"|"&amp;AZ$1&amp;"|Output"),"OUT",""))</f>
        <v/>
      </c>
      <c r="BA22" s="33" t="str">
        <f aca="false">IF(COUNTIF(Flows!$M$2:$M$1500,$A22&amp;"|"&amp;BA$1&amp;"|Input"),IF(COUNTIF(Flows!$M$2:$M$1500,$A22&amp;"|"&amp;BA$1&amp;"|Output"),"I/O","IN"),IF(COUNTIF(Flows!$M$2:$M$1500,$A22&amp;"|"&amp;BA$1&amp;"|Output"),"OUT",""))</f>
        <v/>
      </c>
      <c r="BB22" s="33" t="str">
        <f aca="false">IF(COUNTIF(Flows!$M$2:$M$1500,$A22&amp;"|"&amp;BB$1&amp;"|Input"),IF(COUNTIF(Flows!$M$2:$M$1500,$A22&amp;"|"&amp;BB$1&amp;"|Output"),"I/O","IN"),IF(COUNTIF(Flows!$M$2:$M$1500,$A22&amp;"|"&amp;BB$1&amp;"|Output"),"OUT",""))</f>
        <v/>
      </c>
      <c r="BC22" s="33" t="str">
        <f aca="false">IF(COUNTIF(Flows!$M$2:$M$1500,$A22&amp;"|"&amp;BC$1&amp;"|Input"),IF(COUNTIF(Flows!$M$2:$M$1500,$A22&amp;"|"&amp;BC$1&amp;"|Output"),"I/O","IN"),IF(COUNTIF(Flows!$M$2:$M$1500,$A22&amp;"|"&amp;BC$1&amp;"|Output"),"OUT",""))</f>
        <v/>
      </c>
      <c r="BD22" s="33" t="str">
        <f aca="false">IF(COUNTIF(Flows!$M$2:$M$1500,$A22&amp;"|"&amp;BD$1&amp;"|Input"),IF(COUNTIF(Flows!$M$2:$M$1500,$A22&amp;"|"&amp;BD$1&amp;"|Output"),"I/O","IN"),IF(COUNTIF(Flows!$M$2:$M$1500,$A22&amp;"|"&amp;BD$1&amp;"|Output"),"OUT",""))</f>
        <v/>
      </c>
      <c r="BE22" s="33" t="str">
        <f aca="false">IF(COUNTIF(Flows!$M$2:$M$1500,$A22&amp;"|"&amp;BE$1&amp;"|Input"),IF(COUNTIF(Flows!$M$2:$M$1500,$A22&amp;"|"&amp;BE$1&amp;"|Output"),"I/O","IN"),IF(COUNTIF(Flows!$M$2:$M$1500,$A22&amp;"|"&amp;BE$1&amp;"|Output"),"OUT",""))</f>
        <v/>
      </c>
      <c r="BF22" s="33" t="str">
        <f aca="false">IF(COUNTIF(Flows!$M$2:$M$1500,$A22&amp;"|"&amp;BF$1&amp;"|Input"),IF(COUNTIF(Flows!$M$2:$M$1500,$A22&amp;"|"&amp;BF$1&amp;"|Output"),"I/O","IN"),IF(COUNTIF(Flows!$M$2:$M$1500,$A22&amp;"|"&amp;BF$1&amp;"|Output"),"OUT",""))</f>
        <v/>
      </c>
      <c r="BG22" s="33" t="str">
        <f aca="false">IF(COUNTIF(Flows!$M$2:$M$1500,$A22&amp;"|"&amp;BG$1&amp;"|Input"),IF(COUNTIF(Flows!$M$2:$M$1500,$A22&amp;"|"&amp;BG$1&amp;"|Output"),"I/O","IN"),IF(COUNTIF(Flows!$M$2:$M$1500,$A22&amp;"|"&amp;BG$1&amp;"|Output"),"OUT",""))</f>
        <v/>
      </c>
      <c r="BH22" s="33" t="str">
        <f aca="false">IF(COUNTIF(Flows!$M$2:$M$1500,$A22&amp;"|"&amp;BH$1&amp;"|Input"),IF(COUNTIF(Flows!$M$2:$M$1500,$A22&amp;"|"&amp;BH$1&amp;"|Output"),"I/O","IN"),IF(COUNTIF(Flows!$M$2:$M$1500,$A22&amp;"|"&amp;BH$1&amp;"|Output"),"OUT",""))</f>
        <v/>
      </c>
      <c r="BI22" s="33" t="str">
        <f aca="false">IF(COUNTIF(Flows!$M$2:$M$1500,$A22&amp;"|"&amp;BI$1&amp;"|Input"),IF(COUNTIF(Flows!$M$2:$M$1500,$A22&amp;"|"&amp;BI$1&amp;"|Output"),"I/O","IN"),IF(COUNTIF(Flows!$M$2:$M$1500,$A22&amp;"|"&amp;BI$1&amp;"|Output"),"OUT",""))</f>
        <v/>
      </c>
      <c r="BJ22" s="33" t="str">
        <f aca="false">IF(COUNTIF(Flows!$M$2:$M$1500,$A22&amp;"|"&amp;BJ$1&amp;"|Input"),IF(COUNTIF(Flows!$M$2:$M$1500,$A22&amp;"|"&amp;BJ$1&amp;"|Output"),"I/O","IN"),IF(COUNTIF(Flows!$M$2:$M$1500,$A22&amp;"|"&amp;BJ$1&amp;"|Output"),"OUT",""))</f>
        <v/>
      </c>
      <c r="BK22" s="33" t="str">
        <f aca="false">IF(COUNTIF(Flows!$M$2:$M$1500,$A22&amp;"|"&amp;BK$1&amp;"|Input"),IF(COUNTIF(Flows!$M$2:$M$1500,$A22&amp;"|"&amp;BK$1&amp;"|Output"),"I/O","IN"),IF(COUNTIF(Flows!$M$2:$M$1500,$A22&amp;"|"&amp;BK$1&amp;"|Output"),"OUT",""))</f>
        <v>OUT</v>
      </c>
    </row>
    <row r="23" customFormat="false" ht="15" hidden="false" customHeight="true" outlineLevel="0" collapsed="false">
      <c r="A23" s="6" t="str">
        <f aca="false">Systems!B23</f>
        <v>Drinking Water Filter</v>
      </c>
      <c r="B23" s="33" t="str">
        <f aca="false">IF(COUNTIF(Flows!$M$2:$M$1500,$A23&amp;"|"&amp;B$1&amp;"|Input"),IF(COUNTIF(Flows!$M$2:$M$1500,$A23&amp;"|"&amp;B$1&amp;"|Output"),"I/O","IN"),IF(COUNTIF(Flows!$M$2:$M$1500,$A23&amp;"|"&amp;B$1&amp;"|Output"),"OUT",""))</f>
        <v>IN</v>
      </c>
      <c r="C23" s="33" t="str">
        <f aca="false">IF(COUNTIF(Flows!$M$2:$M$1500,$A23&amp;"|"&amp;C$1&amp;"|Input"),IF(COUNTIF(Flows!$M$2:$M$1500,$A23&amp;"|"&amp;C$1&amp;"|Output"),"I/O","IN"),IF(COUNTIF(Flows!$M$2:$M$1500,$A23&amp;"|"&amp;C$1&amp;"|Output"),"OUT",""))</f>
        <v>OUT</v>
      </c>
      <c r="D23" s="33" t="str">
        <f aca="false">IF(COUNTIF(Flows!$M$2:$M$1500,$A23&amp;"|"&amp;D$1&amp;"|Input"),IF(COUNTIF(Flows!$M$2:$M$1500,$A23&amp;"|"&amp;D$1&amp;"|Output"),"I/O","IN"),IF(COUNTIF(Flows!$M$2:$M$1500,$A23&amp;"|"&amp;D$1&amp;"|Output"),"OUT",""))</f>
        <v/>
      </c>
      <c r="E23" s="33" t="str">
        <f aca="false">IF(COUNTIF(Flows!$M$2:$M$1500,$A23&amp;"|"&amp;E$1&amp;"|Input"),IF(COUNTIF(Flows!$M$2:$M$1500,$A23&amp;"|"&amp;E$1&amp;"|Output"),"I/O","IN"),IF(COUNTIF(Flows!$M$2:$M$1500,$A23&amp;"|"&amp;E$1&amp;"|Output"),"OUT",""))</f>
        <v/>
      </c>
      <c r="F23" s="33" t="str">
        <f aca="false">IF(COUNTIF(Flows!$M$2:$M$1500,$A23&amp;"|"&amp;F$1&amp;"|Input"),IF(COUNTIF(Flows!$M$2:$M$1500,$A23&amp;"|"&amp;F$1&amp;"|Output"),"I/O","IN"),IF(COUNTIF(Flows!$M$2:$M$1500,$A23&amp;"|"&amp;F$1&amp;"|Output"),"OUT",""))</f>
        <v/>
      </c>
      <c r="G23" s="33" t="str">
        <f aca="false">IF(COUNTIF(Flows!$M$2:$M$1500,$A23&amp;"|"&amp;G$1&amp;"|Input"),IF(COUNTIF(Flows!$M$2:$M$1500,$A23&amp;"|"&amp;G$1&amp;"|Output"),"I/O","IN"),IF(COUNTIF(Flows!$M$2:$M$1500,$A23&amp;"|"&amp;G$1&amp;"|Output"),"OUT",""))</f>
        <v/>
      </c>
      <c r="H23" s="33" t="str">
        <f aca="false">IF(COUNTIF(Flows!$M$2:$M$1500,$A23&amp;"|"&amp;H$1&amp;"|Input"),IF(COUNTIF(Flows!$M$2:$M$1500,$A23&amp;"|"&amp;H$1&amp;"|Output"),"I/O","IN"),IF(COUNTIF(Flows!$M$2:$M$1500,$A23&amp;"|"&amp;H$1&amp;"|Output"),"OUT",""))</f>
        <v/>
      </c>
      <c r="I23" s="33" t="str">
        <f aca="false">IF(COUNTIF(Flows!$M$2:$M$1500,$A23&amp;"|"&amp;I$1&amp;"|Input"),IF(COUNTIF(Flows!$M$2:$M$1500,$A23&amp;"|"&amp;I$1&amp;"|Output"),"I/O","IN"),IF(COUNTIF(Flows!$M$2:$M$1500,$A23&amp;"|"&amp;I$1&amp;"|Output"),"OUT",""))</f>
        <v/>
      </c>
      <c r="J23" s="33" t="str">
        <f aca="false">IF(COUNTIF(Flows!$M$2:$M$1500,$A23&amp;"|"&amp;J$1&amp;"|Input"),IF(COUNTIF(Flows!$M$2:$M$1500,$A23&amp;"|"&amp;J$1&amp;"|Output"),"I/O","IN"),IF(COUNTIF(Flows!$M$2:$M$1500,$A23&amp;"|"&amp;J$1&amp;"|Output"),"OUT",""))</f>
        <v/>
      </c>
      <c r="K23" s="33" t="str">
        <f aca="false">IF(COUNTIF(Flows!$M$2:$M$1500,$A23&amp;"|"&amp;K$1&amp;"|Input"),IF(COUNTIF(Flows!$M$2:$M$1500,$A23&amp;"|"&amp;K$1&amp;"|Output"),"I/O","IN"),IF(COUNTIF(Flows!$M$2:$M$1500,$A23&amp;"|"&amp;K$1&amp;"|Output"),"OUT",""))</f>
        <v/>
      </c>
      <c r="L23" s="33" t="str">
        <f aca="false">IF(COUNTIF(Flows!$M$2:$M$1500,$A23&amp;"|"&amp;L$1&amp;"|Input"),IF(COUNTIF(Flows!$M$2:$M$1500,$A23&amp;"|"&amp;L$1&amp;"|Output"),"I/O","IN"),IF(COUNTIF(Flows!$M$2:$M$1500,$A23&amp;"|"&amp;L$1&amp;"|Output"),"OUT",""))</f>
        <v/>
      </c>
      <c r="M23" s="33" t="str">
        <f aca="false">IF(COUNTIF(Flows!$M$2:$M$1500,$A23&amp;"|"&amp;M$1&amp;"|Input"),IF(COUNTIF(Flows!$M$2:$M$1500,$A23&amp;"|"&amp;M$1&amp;"|Output"),"I/O","IN"),IF(COUNTIF(Flows!$M$2:$M$1500,$A23&amp;"|"&amp;M$1&amp;"|Output"),"OUT",""))</f>
        <v/>
      </c>
      <c r="N23" s="33" t="str">
        <f aca="false">IF(COUNTIF(Flows!$M$2:$M$1500,$A23&amp;"|"&amp;N$1&amp;"|Input"),IF(COUNTIF(Flows!$M$2:$M$1500,$A23&amp;"|"&amp;N$1&amp;"|Output"),"I/O","IN"),IF(COUNTIF(Flows!$M$2:$M$1500,$A23&amp;"|"&amp;N$1&amp;"|Output"),"OUT",""))</f>
        <v/>
      </c>
      <c r="O23" s="33" t="str">
        <f aca="false">IF(COUNTIF(Flows!$M$2:$M$1500,$A23&amp;"|"&amp;O$1&amp;"|Input"),IF(COUNTIF(Flows!$M$2:$M$1500,$A23&amp;"|"&amp;O$1&amp;"|Output"),"I/O","IN"),IF(COUNTIF(Flows!$M$2:$M$1500,$A23&amp;"|"&amp;O$1&amp;"|Output"),"OUT",""))</f>
        <v/>
      </c>
      <c r="P23" s="33" t="str">
        <f aca="false">IF(COUNTIF(Flows!$M$2:$M$1500,$A23&amp;"|"&amp;P$1&amp;"|Input"),IF(COUNTIF(Flows!$M$2:$M$1500,$A23&amp;"|"&amp;P$1&amp;"|Output"),"I/O","IN"),IF(COUNTIF(Flows!$M$2:$M$1500,$A23&amp;"|"&amp;P$1&amp;"|Output"),"OUT",""))</f>
        <v/>
      </c>
      <c r="Q23" s="33" t="str">
        <f aca="false">IF(COUNTIF(Flows!$M$2:$M$1500,$A23&amp;"|"&amp;Q$1&amp;"|Input"),IF(COUNTIF(Flows!$M$2:$M$1500,$A23&amp;"|"&amp;Q$1&amp;"|Output"),"I/O","IN"),IF(COUNTIF(Flows!$M$2:$M$1500,$A23&amp;"|"&amp;Q$1&amp;"|Output"),"OUT",""))</f>
        <v/>
      </c>
      <c r="R23" s="33" t="str">
        <f aca="false">IF(COUNTIF(Flows!$M$2:$M$1500,$A23&amp;"|"&amp;R$1&amp;"|Input"),IF(COUNTIF(Flows!$M$2:$M$1500,$A23&amp;"|"&amp;R$1&amp;"|Output"),"I/O","IN"),IF(COUNTIF(Flows!$M$2:$M$1500,$A23&amp;"|"&amp;R$1&amp;"|Output"),"OUT",""))</f>
        <v/>
      </c>
      <c r="S23" s="33" t="str">
        <f aca="false">IF(COUNTIF(Flows!$M$2:$M$1500,$A23&amp;"|"&amp;S$1&amp;"|Input"),IF(COUNTIF(Flows!$M$2:$M$1500,$A23&amp;"|"&amp;S$1&amp;"|Output"),"I/O","IN"),IF(COUNTIF(Flows!$M$2:$M$1500,$A23&amp;"|"&amp;S$1&amp;"|Output"),"OUT",""))</f>
        <v/>
      </c>
      <c r="T23" s="33" t="str">
        <f aca="false">IF(COUNTIF(Flows!$M$2:$M$1500,$A23&amp;"|"&amp;T$1&amp;"|Input"),IF(COUNTIF(Flows!$M$2:$M$1500,$A23&amp;"|"&amp;T$1&amp;"|Output"),"I/O","IN"),IF(COUNTIF(Flows!$M$2:$M$1500,$A23&amp;"|"&amp;T$1&amp;"|Output"),"OUT",""))</f>
        <v/>
      </c>
      <c r="U23" s="33" t="str">
        <f aca="false">IF(COUNTIF(Flows!$M$2:$M$1500,$A23&amp;"|"&amp;U$1&amp;"|Input"),IF(COUNTIF(Flows!$M$2:$M$1500,$A23&amp;"|"&amp;U$1&amp;"|Output"),"I/O","IN"),IF(COUNTIF(Flows!$M$2:$M$1500,$A23&amp;"|"&amp;U$1&amp;"|Output"),"OUT",""))</f>
        <v/>
      </c>
      <c r="V23" s="33" t="str">
        <f aca="false">IF(COUNTIF(Flows!$M$2:$M$1500,$A23&amp;"|"&amp;V$1&amp;"|Input"),IF(COUNTIF(Flows!$M$2:$M$1500,$A23&amp;"|"&amp;V$1&amp;"|Output"),"I/O","IN"),IF(COUNTIF(Flows!$M$2:$M$1500,$A23&amp;"|"&amp;V$1&amp;"|Output"),"OUT",""))</f>
        <v/>
      </c>
      <c r="W23" s="33" t="str">
        <f aca="false">IF(COUNTIF(Flows!$M$2:$M$1500,$A23&amp;"|"&amp;W$1&amp;"|Input"),IF(COUNTIF(Flows!$M$2:$M$1500,$A23&amp;"|"&amp;W$1&amp;"|Output"),"I/O","IN"),IF(COUNTIF(Flows!$M$2:$M$1500,$A23&amp;"|"&amp;W$1&amp;"|Output"),"OUT",""))</f>
        <v/>
      </c>
      <c r="X23" s="33" t="str">
        <f aca="false">IF(COUNTIF(Flows!$M$2:$M$1500,$A23&amp;"|"&amp;X$1&amp;"|Input"),IF(COUNTIF(Flows!$M$2:$M$1500,$A23&amp;"|"&amp;X$1&amp;"|Output"),"I/O","IN"),IF(COUNTIF(Flows!$M$2:$M$1500,$A23&amp;"|"&amp;X$1&amp;"|Output"),"OUT",""))</f>
        <v>IN</v>
      </c>
      <c r="Y23" s="33" t="str">
        <f aca="false">IF(COUNTIF(Flows!$M$2:$M$1500,$A23&amp;"|"&amp;Y$1&amp;"|Input"),IF(COUNTIF(Flows!$M$2:$M$1500,$A23&amp;"|"&amp;Y$1&amp;"|Output"),"I/O","IN"),IF(COUNTIF(Flows!$M$2:$M$1500,$A23&amp;"|"&amp;Y$1&amp;"|Output"),"OUT",""))</f>
        <v/>
      </c>
      <c r="Z23" s="33" t="str">
        <f aca="false">IF(COUNTIF(Flows!$M$2:$M$1500,$A23&amp;"|"&amp;Z$1&amp;"|Input"),IF(COUNTIF(Flows!$M$2:$M$1500,$A23&amp;"|"&amp;Z$1&amp;"|Output"),"I/O","IN"),IF(COUNTIF(Flows!$M$2:$M$1500,$A23&amp;"|"&amp;Z$1&amp;"|Output"),"OUT",""))</f>
        <v/>
      </c>
      <c r="AA23" s="33" t="str">
        <f aca="false">IF(COUNTIF(Flows!$M$2:$M$1500,$A23&amp;"|"&amp;AA$1&amp;"|Input"),IF(COUNTIF(Flows!$M$2:$M$1500,$A23&amp;"|"&amp;AA$1&amp;"|Output"),"I/O","IN"),IF(COUNTIF(Flows!$M$2:$M$1500,$A23&amp;"|"&amp;AA$1&amp;"|Output"),"OUT",""))</f>
        <v/>
      </c>
      <c r="AB23" s="33" t="str">
        <f aca="false">IF(COUNTIF(Flows!$M$2:$M$1500,$A23&amp;"|"&amp;AB$1&amp;"|Input"),IF(COUNTIF(Flows!$M$2:$M$1500,$A23&amp;"|"&amp;AB$1&amp;"|Output"),"I/O","IN"),IF(COUNTIF(Flows!$M$2:$M$1500,$A23&amp;"|"&amp;AB$1&amp;"|Output"),"OUT",""))</f>
        <v/>
      </c>
      <c r="AC23" s="33" t="str">
        <f aca="false">IF(COUNTIF(Flows!$M$2:$M$1500,$A23&amp;"|"&amp;AC$1&amp;"|Input"),IF(COUNTIF(Flows!$M$2:$M$1500,$A23&amp;"|"&amp;AC$1&amp;"|Output"),"I/O","IN"),IF(COUNTIF(Flows!$M$2:$M$1500,$A23&amp;"|"&amp;AC$1&amp;"|Output"),"OUT",""))</f>
        <v/>
      </c>
      <c r="AD23" s="33" t="str">
        <f aca="false">IF(COUNTIF(Flows!$M$2:$M$1500,$A23&amp;"|"&amp;AD$1&amp;"|Input"),IF(COUNTIF(Flows!$M$2:$M$1500,$A23&amp;"|"&amp;AD$1&amp;"|Output"),"I/O","IN"),IF(COUNTIF(Flows!$M$2:$M$1500,$A23&amp;"|"&amp;AD$1&amp;"|Output"),"OUT",""))</f>
        <v/>
      </c>
      <c r="AE23" s="33" t="str">
        <f aca="false">IF(COUNTIF(Flows!$M$2:$M$1500,$A23&amp;"|"&amp;AE$1&amp;"|Input"),IF(COUNTIF(Flows!$M$2:$M$1500,$A23&amp;"|"&amp;AE$1&amp;"|Output"),"I/O","IN"),IF(COUNTIF(Flows!$M$2:$M$1500,$A23&amp;"|"&amp;AE$1&amp;"|Output"),"OUT",""))</f>
        <v/>
      </c>
      <c r="AF23" s="33" t="str">
        <f aca="false">IF(COUNTIF(Flows!$M$2:$M$1500,$A23&amp;"|"&amp;AF$1&amp;"|Input"),IF(COUNTIF(Flows!$M$2:$M$1500,$A23&amp;"|"&amp;AF$1&amp;"|Output"),"I/O","IN"),IF(COUNTIF(Flows!$M$2:$M$1500,$A23&amp;"|"&amp;AF$1&amp;"|Output"),"OUT",""))</f>
        <v/>
      </c>
      <c r="AG23" s="33" t="str">
        <f aca="false">IF(COUNTIF(Flows!$M$2:$M$1500,$A23&amp;"|"&amp;AG$1&amp;"|Input"),IF(COUNTIF(Flows!$M$2:$M$1500,$A23&amp;"|"&amp;AG$1&amp;"|Output"),"I/O","IN"),IF(COUNTIF(Flows!$M$2:$M$1500,$A23&amp;"|"&amp;AG$1&amp;"|Output"),"OUT",""))</f>
        <v/>
      </c>
      <c r="AH23" s="33" t="str">
        <f aca="false">IF(COUNTIF(Flows!$M$2:$M$1500,$A23&amp;"|"&amp;AH$1&amp;"|Input"),IF(COUNTIF(Flows!$M$2:$M$1500,$A23&amp;"|"&amp;AH$1&amp;"|Output"),"I/O","IN"),IF(COUNTIF(Flows!$M$2:$M$1500,$A23&amp;"|"&amp;AH$1&amp;"|Output"),"OUT",""))</f>
        <v/>
      </c>
      <c r="AI23" s="33" t="str">
        <f aca="false">IF(COUNTIF(Flows!$M$2:$M$1500,$A23&amp;"|"&amp;AI$1&amp;"|Input"),IF(COUNTIF(Flows!$M$2:$M$1500,$A23&amp;"|"&amp;AI$1&amp;"|Output"),"I/O","IN"),IF(COUNTIF(Flows!$M$2:$M$1500,$A23&amp;"|"&amp;AI$1&amp;"|Output"),"OUT",""))</f>
        <v/>
      </c>
      <c r="AJ23" s="33" t="str">
        <f aca="false">IF(COUNTIF(Flows!$M$2:$M$1500,$A23&amp;"|"&amp;AJ$1&amp;"|Input"),IF(COUNTIF(Flows!$M$2:$M$1500,$A23&amp;"|"&amp;AJ$1&amp;"|Output"),"I/O","IN"),IF(COUNTIF(Flows!$M$2:$M$1500,$A23&amp;"|"&amp;AJ$1&amp;"|Output"),"OUT",""))</f>
        <v/>
      </c>
      <c r="AK23" s="33" t="str">
        <f aca="false">IF(COUNTIF(Flows!$M$2:$M$1500,$A23&amp;"|"&amp;AK$1&amp;"|Input"),IF(COUNTIF(Flows!$M$2:$M$1500,$A23&amp;"|"&amp;AK$1&amp;"|Output"),"I/O","IN"),IF(COUNTIF(Flows!$M$2:$M$1500,$A23&amp;"|"&amp;AK$1&amp;"|Output"),"OUT",""))</f>
        <v/>
      </c>
      <c r="AL23" s="33" t="str">
        <f aca="false">IF(COUNTIF(Flows!$M$2:$M$1500,$A23&amp;"|"&amp;AL$1&amp;"|Input"),IF(COUNTIF(Flows!$M$2:$M$1500,$A23&amp;"|"&amp;AL$1&amp;"|Output"),"I/O","IN"),IF(COUNTIF(Flows!$M$2:$M$1500,$A23&amp;"|"&amp;AL$1&amp;"|Output"),"OUT",""))</f>
        <v/>
      </c>
      <c r="AM23" s="33" t="str">
        <f aca="false">IF(COUNTIF(Flows!$M$2:$M$1500,$A23&amp;"|"&amp;AM$1&amp;"|Input"),IF(COUNTIF(Flows!$M$2:$M$1500,$A23&amp;"|"&amp;AM$1&amp;"|Output"),"I/O","IN"),IF(COUNTIF(Flows!$M$2:$M$1500,$A23&amp;"|"&amp;AM$1&amp;"|Output"),"OUT",""))</f>
        <v/>
      </c>
      <c r="AN23" s="33" t="str">
        <f aca="false">IF(COUNTIF(Flows!$M$2:$M$1500,$A23&amp;"|"&amp;AN$1&amp;"|Input"),IF(COUNTIF(Flows!$M$2:$M$1500,$A23&amp;"|"&amp;AN$1&amp;"|Output"),"I/O","IN"),IF(COUNTIF(Flows!$M$2:$M$1500,$A23&amp;"|"&amp;AN$1&amp;"|Output"),"OUT",""))</f>
        <v/>
      </c>
      <c r="AO23" s="33" t="str">
        <f aca="false">IF(COUNTIF(Flows!$M$2:$M$1500,$A23&amp;"|"&amp;AO$1&amp;"|Input"),IF(COUNTIF(Flows!$M$2:$M$1500,$A23&amp;"|"&amp;AO$1&amp;"|Output"),"I/O","IN"),IF(COUNTIF(Flows!$M$2:$M$1500,$A23&amp;"|"&amp;AO$1&amp;"|Output"),"OUT",""))</f>
        <v/>
      </c>
      <c r="AP23" s="33" t="str">
        <f aca="false">IF(COUNTIF(Flows!$M$2:$M$1500,$A23&amp;"|"&amp;AP$1&amp;"|Input"),IF(COUNTIF(Flows!$M$2:$M$1500,$A23&amp;"|"&amp;AP$1&amp;"|Output"),"I/O","IN"),IF(COUNTIF(Flows!$M$2:$M$1500,$A23&amp;"|"&amp;AP$1&amp;"|Output"),"OUT",""))</f>
        <v/>
      </c>
      <c r="AQ23" s="33" t="str">
        <f aca="false">IF(COUNTIF(Flows!$M$2:$M$1500,$A23&amp;"|"&amp;AQ$1&amp;"|Input"),IF(COUNTIF(Flows!$M$2:$M$1500,$A23&amp;"|"&amp;AQ$1&amp;"|Output"),"I/O","IN"),IF(COUNTIF(Flows!$M$2:$M$1500,$A23&amp;"|"&amp;AQ$1&amp;"|Output"),"OUT",""))</f>
        <v/>
      </c>
      <c r="AR23" s="33" t="str">
        <f aca="false">IF(COUNTIF(Flows!$M$2:$M$1500,$A23&amp;"|"&amp;AR$1&amp;"|Input"),IF(COUNTIF(Flows!$M$2:$M$1500,$A23&amp;"|"&amp;AR$1&amp;"|Output"),"I/O","IN"),IF(COUNTIF(Flows!$M$2:$M$1500,$A23&amp;"|"&amp;AR$1&amp;"|Output"),"OUT",""))</f>
        <v/>
      </c>
      <c r="AS23" s="33" t="str">
        <f aca="false">IF(COUNTIF(Flows!$M$2:$M$1500,$A23&amp;"|"&amp;AS$1&amp;"|Input"),IF(COUNTIF(Flows!$M$2:$M$1500,$A23&amp;"|"&amp;AS$1&amp;"|Output"),"I/O","IN"),IF(COUNTIF(Flows!$M$2:$M$1500,$A23&amp;"|"&amp;AS$1&amp;"|Output"),"OUT",""))</f>
        <v/>
      </c>
      <c r="AT23" s="33" t="str">
        <f aca="false">IF(COUNTIF(Flows!$M$2:$M$1500,$A23&amp;"|"&amp;AT$1&amp;"|Input"),IF(COUNTIF(Flows!$M$2:$M$1500,$A23&amp;"|"&amp;AT$1&amp;"|Output"),"I/O","IN"),IF(COUNTIF(Flows!$M$2:$M$1500,$A23&amp;"|"&amp;AT$1&amp;"|Output"),"OUT",""))</f>
        <v/>
      </c>
      <c r="AU23" s="33" t="str">
        <f aca="false">IF(COUNTIF(Flows!$M$2:$M$1500,$A23&amp;"|"&amp;AU$1&amp;"|Input"),IF(COUNTIF(Flows!$M$2:$M$1500,$A23&amp;"|"&amp;AU$1&amp;"|Output"),"I/O","IN"),IF(COUNTIF(Flows!$M$2:$M$1500,$A23&amp;"|"&amp;AU$1&amp;"|Output"),"OUT",""))</f>
        <v/>
      </c>
      <c r="AV23" s="33" t="str">
        <f aca="false">IF(COUNTIF(Flows!$M$2:$M$1500,$A23&amp;"|"&amp;AV$1&amp;"|Input"),IF(COUNTIF(Flows!$M$2:$M$1500,$A23&amp;"|"&amp;AV$1&amp;"|Output"),"I/O","IN"),IF(COUNTIF(Flows!$M$2:$M$1500,$A23&amp;"|"&amp;AV$1&amp;"|Output"),"OUT",""))</f>
        <v/>
      </c>
      <c r="AW23" s="33" t="str">
        <f aca="false">IF(COUNTIF(Flows!$M$2:$M$1500,$A23&amp;"|"&amp;AW$1&amp;"|Input"),IF(COUNTIF(Flows!$M$2:$M$1500,$A23&amp;"|"&amp;AW$1&amp;"|Output"),"I/O","IN"),IF(COUNTIF(Flows!$M$2:$M$1500,$A23&amp;"|"&amp;AW$1&amp;"|Output"),"OUT",""))</f>
        <v/>
      </c>
      <c r="AX23" s="33" t="str">
        <f aca="false">IF(COUNTIF(Flows!$M$2:$M$1500,$A23&amp;"|"&amp;AX$1&amp;"|Input"),IF(COUNTIF(Flows!$M$2:$M$1500,$A23&amp;"|"&amp;AX$1&amp;"|Output"),"I/O","IN"),IF(COUNTIF(Flows!$M$2:$M$1500,$A23&amp;"|"&amp;AX$1&amp;"|Output"),"OUT",""))</f>
        <v/>
      </c>
      <c r="AY23" s="33" t="str">
        <f aca="false">IF(COUNTIF(Flows!$M$2:$M$1500,$A23&amp;"|"&amp;AY$1&amp;"|Input"),IF(COUNTIF(Flows!$M$2:$M$1500,$A23&amp;"|"&amp;AY$1&amp;"|Output"),"I/O","IN"),IF(COUNTIF(Flows!$M$2:$M$1500,$A23&amp;"|"&amp;AY$1&amp;"|Output"),"OUT",""))</f>
        <v/>
      </c>
      <c r="AZ23" s="33" t="str">
        <f aca="false">IF(COUNTIF(Flows!$M$2:$M$1500,$A23&amp;"|"&amp;AZ$1&amp;"|Input"),IF(COUNTIF(Flows!$M$2:$M$1500,$A23&amp;"|"&amp;AZ$1&amp;"|Output"),"I/O","IN"),IF(COUNTIF(Flows!$M$2:$M$1500,$A23&amp;"|"&amp;AZ$1&amp;"|Output"),"OUT",""))</f>
        <v/>
      </c>
      <c r="BA23" s="33" t="str">
        <f aca="false">IF(COUNTIF(Flows!$M$2:$M$1500,$A23&amp;"|"&amp;BA$1&amp;"|Input"),IF(COUNTIF(Flows!$M$2:$M$1500,$A23&amp;"|"&amp;BA$1&amp;"|Output"),"I/O","IN"),IF(COUNTIF(Flows!$M$2:$M$1500,$A23&amp;"|"&amp;BA$1&amp;"|Output"),"OUT",""))</f>
        <v/>
      </c>
      <c r="BB23" s="33" t="str">
        <f aca="false">IF(COUNTIF(Flows!$M$2:$M$1500,$A23&amp;"|"&amp;BB$1&amp;"|Input"),IF(COUNTIF(Flows!$M$2:$M$1500,$A23&amp;"|"&amp;BB$1&amp;"|Output"),"I/O","IN"),IF(COUNTIF(Flows!$M$2:$M$1500,$A23&amp;"|"&amp;BB$1&amp;"|Output"),"OUT",""))</f>
        <v/>
      </c>
      <c r="BC23" s="33" t="str">
        <f aca="false">IF(COUNTIF(Flows!$M$2:$M$1500,$A23&amp;"|"&amp;BC$1&amp;"|Input"),IF(COUNTIF(Flows!$M$2:$M$1500,$A23&amp;"|"&amp;BC$1&amp;"|Output"),"I/O","IN"),IF(COUNTIF(Flows!$M$2:$M$1500,$A23&amp;"|"&amp;BC$1&amp;"|Output"),"OUT",""))</f>
        <v/>
      </c>
      <c r="BD23" s="33" t="str">
        <f aca="false">IF(COUNTIF(Flows!$M$2:$M$1500,$A23&amp;"|"&amp;BD$1&amp;"|Input"),IF(COUNTIF(Flows!$M$2:$M$1500,$A23&amp;"|"&amp;BD$1&amp;"|Output"),"I/O","IN"),IF(COUNTIF(Flows!$M$2:$M$1500,$A23&amp;"|"&amp;BD$1&amp;"|Output"),"OUT",""))</f>
        <v/>
      </c>
      <c r="BE23" s="33" t="str">
        <f aca="false">IF(COUNTIF(Flows!$M$2:$M$1500,$A23&amp;"|"&amp;BE$1&amp;"|Input"),IF(COUNTIF(Flows!$M$2:$M$1500,$A23&amp;"|"&amp;BE$1&amp;"|Output"),"I/O","IN"),IF(COUNTIF(Flows!$M$2:$M$1500,$A23&amp;"|"&amp;BE$1&amp;"|Output"),"OUT",""))</f>
        <v/>
      </c>
      <c r="BF23" s="33" t="str">
        <f aca="false">IF(COUNTIF(Flows!$M$2:$M$1500,$A23&amp;"|"&amp;BF$1&amp;"|Input"),IF(COUNTIF(Flows!$M$2:$M$1500,$A23&amp;"|"&amp;BF$1&amp;"|Output"),"I/O","IN"),IF(COUNTIF(Flows!$M$2:$M$1500,$A23&amp;"|"&amp;BF$1&amp;"|Output"),"OUT",""))</f>
        <v/>
      </c>
      <c r="BG23" s="33" t="str">
        <f aca="false">IF(COUNTIF(Flows!$M$2:$M$1500,$A23&amp;"|"&amp;BG$1&amp;"|Input"),IF(COUNTIF(Flows!$M$2:$M$1500,$A23&amp;"|"&amp;BG$1&amp;"|Output"),"I/O","IN"),IF(COUNTIF(Flows!$M$2:$M$1500,$A23&amp;"|"&amp;BG$1&amp;"|Output"),"OUT",""))</f>
        <v/>
      </c>
      <c r="BH23" s="33" t="str">
        <f aca="false">IF(COUNTIF(Flows!$M$2:$M$1500,$A23&amp;"|"&amp;BH$1&amp;"|Input"),IF(COUNTIF(Flows!$M$2:$M$1500,$A23&amp;"|"&amp;BH$1&amp;"|Output"),"I/O","IN"),IF(COUNTIF(Flows!$M$2:$M$1500,$A23&amp;"|"&amp;BH$1&amp;"|Output"),"OUT",""))</f>
        <v/>
      </c>
      <c r="BI23" s="33" t="str">
        <f aca="false">IF(COUNTIF(Flows!$M$2:$M$1500,$A23&amp;"|"&amp;BI$1&amp;"|Input"),IF(COUNTIF(Flows!$M$2:$M$1500,$A23&amp;"|"&amp;BI$1&amp;"|Output"),"I/O","IN"),IF(COUNTIF(Flows!$M$2:$M$1500,$A23&amp;"|"&amp;BI$1&amp;"|Output"),"OUT",""))</f>
        <v/>
      </c>
      <c r="BJ23" s="33" t="str">
        <f aca="false">IF(COUNTIF(Flows!$M$2:$M$1500,$A23&amp;"|"&amp;BJ$1&amp;"|Input"),IF(COUNTIF(Flows!$M$2:$M$1500,$A23&amp;"|"&amp;BJ$1&amp;"|Output"),"I/O","IN"),IF(COUNTIF(Flows!$M$2:$M$1500,$A23&amp;"|"&amp;BJ$1&amp;"|Output"),"OUT",""))</f>
        <v/>
      </c>
      <c r="BK23" s="33" t="str">
        <f aca="false">IF(COUNTIF(Flows!$M$2:$M$1500,$A23&amp;"|"&amp;BK$1&amp;"|Input"),IF(COUNTIF(Flows!$M$2:$M$1500,$A23&amp;"|"&amp;BK$1&amp;"|Output"),"I/O","IN"),IF(COUNTIF(Flows!$M$2:$M$1500,$A23&amp;"|"&amp;BK$1&amp;"|Output"),"OUT",""))</f>
        <v/>
      </c>
    </row>
    <row r="24" customFormat="false" ht="15" hidden="false" customHeight="true" outlineLevel="0" collapsed="false">
      <c r="A24" s="6" t="str">
        <f aca="false">Systems!B24</f>
        <v>GoSun Water Filter</v>
      </c>
      <c r="B24" s="33" t="str">
        <f aca="false">IF(COUNTIF(Flows!$M$2:$M$1500,$A24&amp;"|"&amp;B$1&amp;"|Input"),IF(COUNTIF(Flows!$M$2:$M$1500,$A24&amp;"|"&amp;B$1&amp;"|Output"),"I/O","IN"),IF(COUNTIF(Flows!$M$2:$M$1500,$A24&amp;"|"&amp;B$1&amp;"|Output"),"OUT",""))</f>
        <v>IN</v>
      </c>
      <c r="C24" s="33" t="str">
        <f aca="false">IF(COUNTIF(Flows!$M$2:$M$1500,$A24&amp;"|"&amp;C$1&amp;"|Input"),IF(COUNTIF(Flows!$M$2:$M$1500,$A24&amp;"|"&amp;C$1&amp;"|Output"),"I/O","IN"),IF(COUNTIF(Flows!$M$2:$M$1500,$A24&amp;"|"&amp;C$1&amp;"|Output"),"OUT",""))</f>
        <v>OUT</v>
      </c>
      <c r="D24" s="33" t="str">
        <f aca="false">IF(COUNTIF(Flows!$M$2:$M$1500,$A24&amp;"|"&amp;D$1&amp;"|Input"),IF(COUNTIF(Flows!$M$2:$M$1500,$A24&amp;"|"&amp;D$1&amp;"|Output"),"I/O","IN"),IF(COUNTIF(Flows!$M$2:$M$1500,$A24&amp;"|"&amp;D$1&amp;"|Output"),"OUT",""))</f>
        <v/>
      </c>
      <c r="E24" s="33" t="str">
        <f aca="false">IF(COUNTIF(Flows!$M$2:$M$1500,$A24&amp;"|"&amp;E$1&amp;"|Input"),IF(COUNTIF(Flows!$M$2:$M$1500,$A24&amp;"|"&amp;E$1&amp;"|Output"),"I/O","IN"),IF(COUNTIF(Flows!$M$2:$M$1500,$A24&amp;"|"&amp;E$1&amp;"|Output"),"OUT",""))</f>
        <v/>
      </c>
      <c r="F24" s="33" t="str">
        <f aca="false">IF(COUNTIF(Flows!$M$2:$M$1500,$A24&amp;"|"&amp;F$1&amp;"|Input"),IF(COUNTIF(Flows!$M$2:$M$1500,$A24&amp;"|"&amp;F$1&amp;"|Output"),"I/O","IN"),IF(COUNTIF(Flows!$M$2:$M$1500,$A24&amp;"|"&amp;F$1&amp;"|Output"),"OUT",""))</f>
        <v/>
      </c>
      <c r="G24" s="33" t="str">
        <f aca="false">IF(COUNTIF(Flows!$M$2:$M$1500,$A24&amp;"|"&amp;G$1&amp;"|Input"),IF(COUNTIF(Flows!$M$2:$M$1500,$A24&amp;"|"&amp;G$1&amp;"|Output"),"I/O","IN"),IF(COUNTIF(Flows!$M$2:$M$1500,$A24&amp;"|"&amp;G$1&amp;"|Output"),"OUT",""))</f>
        <v/>
      </c>
      <c r="H24" s="33" t="str">
        <f aca="false">IF(COUNTIF(Flows!$M$2:$M$1500,$A24&amp;"|"&amp;H$1&amp;"|Input"),IF(COUNTIF(Flows!$M$2:$M$1500,$A24&amp;"|"&amp;H$1&amp;"|Output"),"I/O","IN"),IF(COUNTIF(Flows!$M$2:$M$1500,$A24&amp;"|"&amp;H$1&amp;"|Output"),"OUT",""))</f>
        <v/>
      </c>
      <c r="I24" s="33" t="str">
        <f aca="false">IF(COUNTIF(Flows!$M$2:$M$1500,$A24&amp;"|"&amp;I$1&amp;"|Input"),IF(COUNTIF(Flows!$M$2:$M$1500,$A24&amp;"|"&amp;I$1&amp;"|Output"),"I/O","IN"),IF(COUNTIF(Flows!$M$2:$M$1500,$A24&amp;"|"&amp;I$1&amp;"|Output"),"OUT",""))</f>
        <v/>
      </c>
      <c r="J24" s="33" t="str">
        <f aca="false">IF(COUNTIF(Flows!$M$2:$M$1500,$A24&amp;"|"&amp;J$1&amp;"|Input"),IF(COUNTIF(Flows!$M$2:$M$1500,$A24&amp;"|"&amp;J$1&amp;"|Output"),"I/O","IN"),IF(COUNTIF(Flows!$M$2:$M$1500,$A24&amp;"|"&amp;J$1&amp;"|Output"),"OUT",""))</f>
        <v/>
      </c>
      <c r="K24" s="33" t="str">
        <f aca="false">IF(COUNTIF(Flows!$M$2:$M$1500,$A24&amp;"|"&amp;K$1&amp;"|Input"),IF(COUNTIF(Flows!$M$2:$M$1500,$A24&amp;"|"&amp;K$1&amp;"|Output"),"I/O","IN"),IF(COUNTIF(Flows!$M$2:$M$1500,$A24&amp;"|"&amp;K$1&amp;"|Output"),"OUT",""))</f>
        <v/>
      </c>
      <c r="L24" s="33" t="str">
        <f aca="false">IF(COUNTIF(Flows!$M$2:$M$1500,$A24&amp;"|"&amp;L$1&amp;"|Input"),IF(COUNTIF(Flows!$M$2:$M$1500,$A24&amp;"|"&amp;L$1&amp;"|Output"),"I/O","IN"),IF(COUNTIF(Flows!$M$2:$M$1500,$A24&amp;"|"&amp;L$1&amp;"|Output"),"OUT",""))</f>
        <v/>
      </c>
      <c r="M24" s="33" t="str">
        <f aca="false">IF(COUNTIF(Flows!$M$2:$M$1500,$A24&amp;"|"&amp;M$1&amp;"|Input"),IF(COUNTIF(Flows!$M$2:$M$1500,$A24&amp;"|"&amp;M$1&amp;"|Output"),"I/O","IN"),IF(COUNTIF(Flows!$M$2:$M$1500,$A24&amp;"|"&amp;M$1&amp;"|Output"),"OUT",""))</f>
        <v/>
      </c>
      <c r="N24" s="33" t="str">
        <f aca="false">IF(COUNTIF(Flows!$M$2:$M$1500,$A24&amp;"|"&amp;N$1&amp;"|Input"),IF(COUNTIF(Flows!$M$2:$M$1500,$A24&amp;"|"&amp;N$1&amp;"|Output"),"I/O","IN"),IF(COUNTIF(Flows!$M$2:$M$1500,$A24&amp;"|"&amp;N$1&amp;"|Output"),"OUT",""))</f>
        <v/>
      </c>
      <c r="O24" s="33" t="str">
        <f aca="false">IF(COUNTIF(Flows!$M$2:$M$1500,$A24&amp;"|"&amp;O$1&amp;"|Input"),IF(COUNTIF(Flows!$M$2:$M$1500,$A24&amp;"|"&amp;O$1&amp;"|Output"),"I/O","IN"),IF(COUNTIF(Flows!$M$2:$M$1500,$A24&amp;"|"&amp;O$1&amp;"|Output"),"OUT",""))</f>
        <v/>
      </c>
      <c r="P24" s="33" t="str">
        <f aca="false">IF(COUNTIF(Flows!$M$2:$M$1500,$A24&amp;"|"&amp;P$1&amp;"|Input"),IF(COUNTIF(Flows!$M$2:$M$1500,$A24&amp;"|"&amp;P$1&amp;"|Output"),"I/O","IN"),IF(COUNTIF(Flows!$M$2:$M$1500,$A24&amp;"|"&amp;P$1&amp;"|Output"),"OUT",""))</f>
        <v/>
      </c>
      <c r="Q24" s="33" t="str">
        <f aca="false">IF(COUNTIF(Flows!$M$2:$M$1500,$A24&amp;"|"&amp;Q$1&amp;"|Input"),IF(COUNTIF(Flows!$M$2:$M$1500,$A24&amp;"|"&amp;Q$1&amp;"|Output"),"I/O","IN"),IF(COUNTIF(Flows!$M$2:$M$1500,$A24&amp;"|"&amp;Q$1&amp;"|Output"),"OUT",""))</f>
        <v/>
      </c>
      <c r="R24" s="33" t="str">
        <f aca="false">IF(COUNTIF(Flows!$M$2:$M$1500,$A24&amp;"|"&amp;R$1&amp;"|Input"),IF(COUNTIF(Flows!$M$2:$M$1500,$A24&amp;"|"&amp;R$1&amp;"|Output"),"I/O","IN"),IF(COUNTIF(Flows!$M$2:$M$1500,$A24&amp;"|"&amp;R$1&amp;"|Output"),"OUT",""))</f>
        <v/>
      </c>
      <c r="S24" s="33" t="str">
        <f aca="false">IF(COUNTIF(Flows!$M$2:$M$1500,$A24&amp;"|"&amp;S$1&amp;"|Input"),IF(COUNTIF(Flows!$M$2:$M$1500,$A24&amp;"|"&amp;S$1&amp;"|Output"),"I/O","IN"),IF(COUNTIF(Flows!$M$2:$M$1500,$A24&amp;"|"&amp;S$1&amp;"|Output"),"OUT",""))</f>
        <v/>
      </c>
      <c r="T24" s="33" t="str">
        <f aca="false">IF(COUNTIF(Flows!$M$2:$M$1500,$A24&amp;"|"&amp;T$1&amp;"|Input"),IF(COUNTIF(Flows!$M$2:$M$1500,$A24&amp;"|"&amp;T$1&amp;"|Output"),"I/O","IN"),IF(COUNTIF(Flows!$M$2:$M$1500,$A24&amp;"|"&amp;T$1&amp;"|Output"),"OUT",""))</f>
        <v/>
      </c>
      <c r="U24" s="33" t="str">
        <f aca="false">IF(COUNTIF(Flows!$M$2:$M$1500,$A24&amp;"|"&amp;U$1&amp;"|Input"),IF(COUNTIF(Flows!$M$2:$M$1500,$A24&amp;"|"&amp;U$1&amp;"|Output"),"I/O","IN"),IF(COUNTIF(Flows!$M$2:$M$1500,$A24&amp;"|"&amp;U$1&amp;"|Output"),"OUT",""))</f>
        <v/>
      </c>
      <c r="V24" s="33" t="str">
        <f aca="false">IF(COUNTIF(Flows!$M$2:$M$1500,$A24&amp;"|"&amp;V$1&amp;"|Input"),IF(COUNTIF(Flows!$M$2:$M$1500,$A24&amp;"|"&amp;V$1&amp;"|Output"),"I/O","IN"),IF(COUNTIF(Flows!$M$2:$M$1500,$A24&amp;"|"&amp;V$1&amp;"|Output"),"OUT",""))</f>
        <v/>
      </c>
      <c r="W24" s="33" t="str">
        <f aca="false">IF(COUNTIF(Flows!$M$2:$M$1500,$A24&amp;"|"&amp;W$1&amp;"|Input"),IF(COUNTIF(Flows!$M$2:$M$1500,$A24&amp;"|"&amp;W$1&amp;"|Output"),"I/O","IN"),IF(COUNTIF(Flows!$M$2:$M$1500,$A24&amp;"|"&amp;W$1&amp;"|Output"),"OUT",""))</f>
        <v/>
      </c>
      <c r="X24" s="33" t="str">
        <f aca="false">IF(COUNTIF(Flows!$M$2:$M$1500,$A24&amp;"|"&amp;X$1&amp;"|Input"),IF(COUNTIF(Flows!$M$2:$M$1500,$A24&amp;"|"&amp;X$1&amp;"|Output"),"I/O","IN"),IF(COUNTIF(Flows!$M$2:$M$1500,$A24&amp;"|"&amp;X$1&amp;"|Output"),"OUT",""))</f>
        <v>IN</v>
      </c>
      <c r="Y24" s="33" t="str">
        <f aca="false">IF(COUNTIF(Flows!$M$2:$M$1500,$A24&amp;"|"&amp;Y$1&amp;"|Input"),IF(COUNTIF(Flows!$M$2:$M$1500,$A24&amp;"|"&amp;Y$1&amp;"|Output"),"I/O","IN"),IF(COUNTIF(Flows!$M$2:$M$1500,$A24&amp;"|"&amp;Y$1&amp;"|Output"),"OUT",""))</f>
        <v/>
      </c>
      <c r="Z24" s="33" t="str">
        <f aca="false">IF(COUNTIF(Flows!$M$2:$M$1500,$A24&amp;"|"&amp;Z$1&amp;"|Input"),IF(COUNTIF(Flows!$M$2:$M$1500,$A24&amp;"|"&amp;Z$1&amp;"|Output"),"I/O","IN"),IF(COUNTIF(Flows!$M$2:$M$1500,$A24&amp;"|"&amp;Z$1&amp;"|Output"),"OUT",""))</f>
        <v>IN</v>
      </c>
      <c r="AA24" s="33" t="str">
        <f aca="false">IF(COUNTIF(Flows!$M$2:$M$1500,$A24&amp;"|"&amp;AA$1&amp;"|Input"),IF(COUNTIF(Flows!$M$2:$M$1500,$A24&amp;"|"&amp;AA$1&amp;"|Output"),"I/O","IN"),IF(COUNTIF(Flows!$M$2:$M$1500,$A24&amp;"|"&amp;AA$1&amp;"|Output"),"OUT",""))</f>
        <v/>
      </c>
      <c r="AB24" s="33" t="str">
        <f aca="false">IF(COUNTIF(Flows!$M$2:$M$1500,$A24&amp;"|"&amp;AB$1&amp;"|Input"),IF(COUNTIF(Flows!$M$2:$M$1500,$A24&amp;"|"&amp;AB$1&amp;"|Output"),"I/O","IN"),IF(COUNTIF(Flows!$M$2:$M$1500,$A24&amp;"|"&amp;AB$1&amp;"|Output"),"OUT",""))</f>
        <v/>
      </c>
      <c r="AC24" s="33" t="str">
        <f aca="false">IF(COUNTIF(Flows!$M$2:$M$1500,$A24&amp;"|"&amp;AC$1&amp;"|Input"),IF(COUNTIF(Flows!$M$2:$M$1500,$A24&amp;"|"&amp;AC$1&amp;"|Output"),"I/O","IN"),IF(COUNTIF(Flows!$M$2:$M$1500,$A24&amp;"|"&amp;AC$1&amp;"|Output"),"OUT",""))</f>
        <v/>
      </c>
      <c r="AD24" s="33" t="str">
        <f aca="false">IF(COUNTIF(Flows!$M$2:$M$1500,$A24&amp;"|"&amp;AD$1&amp;"|Input"),IF(COUNTIF(Flows!$M$2:$M$1500,$A24&amp;"|"&amp;AD$1&amp;"|Output"),"I/O","IN"),IF(COUNTIF(Flows!$M$2:$M$1500,$A24&amp;"|"&amp;AD$1&amp;"|Output"),"OUT",""))</f>
        <v/>
      </c>
      <c r="AE24" s="33" t="str">
        <f aca="false">IF(COUNTIF(Flows!$M$2:$M$1500,$A24&amp;"|"&amp;AE$1&amp;"|Input"),IF(COUNTIF(Flows!$M$2:$M$1500,$A24&amp;"|"&amp;AE$1&amp;"|Output"),"I/O","IN"),IF(COUNTIF(Flows!$M$2:$M$1500,$A24&amp;"|"&amp;AE$1&amp;"|Output"),"OUT",""))</f>
        <v/>
      </c>
      <c r="AF24" s="33" t="str">
        <f aca="false">IF(COUNTIF(Flows!$M$2:$M$1500,$A24&amp;"|"&amp;AF$1&amp;"|Input"),IF(COUNTIF(Flows!$M$2:$M$1500,$A24&amp;"|"&amp;AF$1&amp;"|Output"),"I/O","IN"),IF(COUNTIF(Flows!$M$2:$M$1500,$A24&amp;"|"&amp;AF$1&amp;"|Output"),"OUT",""))</f>
        <v/>
      </c>
      <c r="AG24" s="33" t="str">
        <f aca="false">IF(COUNTIF(Flows!$M$2:$M$1500,$A24&amp;"|"&amp;AG$1&amp;"|Input"),IF(COUNTIF(Flows!$M$2:$M$1500,$A24&amp;"|"&amp;AG$1&amp;"|Output"),"I/O","IN"),IF(COUNTIF(Flows!$M$2:$M$1500,$A24&amp;"|"&amp;AG$1&amp;"|Output"),"OUT",""))</f>
        <v/>
      </c>
      <c r="AH24" s="33" t="str">
        <f aca="false">IF(COUNTIF(Flows!$M$2:$M$1500,$A24&amp;"|"&amp;AH$1&amp;"|Input"),IF(COUNTIF(Flows!$M$2:$M$1500,$A24&amp;"|"&amp;AH$1&amp;"|Output"),"I/O","IN"),IF(COUNTIF(Flows!$M$2:$M$1500,$A24&amp;"|"&amp;AH$1&amp;"|Output"),"OUT",""))</f>
        <v/>
      </c>
      <c r="AI24" s="33" t="str">
        <f aca="false">IF(COUNTIF(Flows!$M$2:$M$1500,$A24&amp;"|"&amp;AI$1&amp;"|Input"),IF(COUNTIF(Flows!$M$2:$M$1500,$A24&amp;"|"&amp;AI$1&amp;"|Output"),"I/O","IN"),IF(COUNTIF(Flows!$M$2:$M$1500,$A24&amp;"|"&amp;AI$1&amp;"|Output"),"OUT",""))</f>
        <v/>
      </c>
      <c r="AJ24" s="33" t="str">
        <f aca="false">IF(COUNTIF(Flows!$M$2:$M$1500,$A24&amp;"|"&amp;AJ$1&amp;"|Input"),IF(COUNTIF(Flows!$M$2:$M$1500,$A24&amp;"|"&amp;AJ$1&amp;"|Output"),"I/O","IN"),IF(COUNTIF(Flows!$M$2:$M$1500,$A24&amp;"|"&amp;AJ$1&amp;"|Output"),"OUT",""))</f>
        <v/>
      </c>
      <c r="AK24" s="33" t="str">
        <f aca="false">IF(COUNTIF(Flows!$M$2:$M$1500,$A24&amp;"|"&amp;AK$1&amp;"|Input"),IF(COUNTIF(Flows!$M$2:$M$1500,$A24&amp;"|"&amp;AK$1&amp;"|Output"),"I/O","IN"),IF(COUNTIF(Flows!$M$2:$M$1500,$A24&amp;"|"&amp;AK$1&amp;"|Output"),"OUT",""))</f>
        <v/>
      </c>
      <c r="AL24" s="33" t="str">
        <f aca="false">IF(COUNTIF(Flows!$M$2:$M$1500,$A24&amp;"|"&amp;AL$1&amp;"|Input"),IF(COUNTIF(Flows!$M$2:$M$1500,$A24&amp;"|"&amp;AL$1&amp;"|Output"),"I/O","IN"),IF(COUNTIF(Flows!$M$2:$M$1500,$A24&amp;"|"&amp;AL$1&amp;"|Output"),"OUT",""))</f>
        <v/>
      </c>
      <c r="AM24" s="33" t="str">
        <f aca="false">IF(COUNTIF(Flows!$M$2:$M$1500,$A24&amp;"|"&amp;AM$1&amp;"|Input"),IF(COUNTIF(Flows!$M$2:$M$1500,$A24&amp;"|"&amp;AM$1&amp;"|Output"),"I/O","IN"),IF(COUNTIF(Flows!$M$2:$M$1500,$A24&amp;"|"&amp;AM$1&amp;"|Output"),"OUT",""))</f>
        <v/>
      </c>
      <c r="AN24" s="33" t="str">
        <f aca="false">IF(COUNTIF(Flows!$M$2:$M$1500,$A24&amp;"|"&amp;AN$1&amp;"|Input"),IF(COUNTIF(Flows!$M$2:$M$1500,$A24&amp;"|"&amp;AN$1&amp;"|Output"),"I/O","IN"),IF(COUNTIF(Flows!$M$2:$M$1500,$A24&amp;"|"&amp;AN$1&amp;"|Output"),"OUT",""))</f>
        <v/>
      </c>
      <c r="AO24" s="33" t="str">
        <f aca="false">IF(COUNTIF(Flows!$M$2:$M$1500,$A24&amp;"|"&amp;AO$1&amp;"|Input"),IF(COUNTIF(Flows!$M$2:$M$1500,$A24&amp;"|"&amp;AO$1&amp;"|Output"),"I/O","IN"),IF(COUNTIF(Flows!$M$2:$M$1500,$A24&amp;"|"&amp;AO$1&amp;"|Output"),"OUT",""))</f>
        <v/>
      </c>
      <c r="AP24" s="33" t="str">
        <f aca="false">IF(COUNTIF(Flows!$M$2:$M$1500,$A24&amp;"|"&amp;AP$1&amp;"|Input"),IF(COUNTIF(Flows!$M$2:$M$1500,$A24&amp;"|"&amp;AP$1&amp;"|Output"),"I/O","IN"),IF(COUNTIF(Flows!$M$2:$M$1500,$A24&amp;"|"&amp;AP$1&amp;"|Output"),"OUT",""))</f>
        <v/>
      </c>
      <c r="AQ24" s="33" t="str">
        <f aca="false">IF(COUNTIF(Flows!$M$2:$M$1500,$A24&amp;"|"&amp;AQ$1&amp;"|Input"),IF(COUNTIF(Flows!$M$2:$M$1500,$A24&amp;"|"&amp;AQ$1&amp;"|Output"),"I/O","IN"),IF(COUNTIF(Flows!$M$2:$M$1500,$A24&amp;"|"&amp;AQ$1&amp;"|Output"),"OUT",""))</f>
        <v/>
      </c>
      <c r="AR24" s="33" t="str">
        <f aca="false">IF(COUNTIF(Flows!$M$2:$M$1500,$A24&amp;"|"&amp;AR$1&amp;"|Input"),IF(COUNTIF(Flows!$M$2:$M$1500,$A24&amp;"|"&amp;AR$1&amp;"|Output"),"I/O","IN"),IF(COUNTIF(Flows!$M$2:$M$1500,$A24&amp;"|"&amp;AR$1&amp;"|Output"),"OUT",""))</f>
        <v/>
      </c>
      <c r="AS24" s="33" t="str">
        <f aca="false">IF(COUNTIF(Flows!$M$2:$M$1500,$A24&amp;"|"&amp;AS$1&amp;"|Input"),IF(COUNTIF(Flows!$M$2:$M$1500,$A24&amp;"|"&amp;AS$1&amp;"|Output"),"I/O","IN"),IF(COUNTIF(Flows!$M$2:$M$1500,$A24&amp;"|"&amp;AS$1&amp;"|Output"),"OUT",""))</f>
        <v/>
      </c>
      <c r="AT24" s="33" t="str">
        <f aca="false">IF(COUNTIF(Flows!$M$2:$M$1500,$A24&amp;"|"&amp;AT$1&amp;"|Input"),IF(COUNTIF(Flows!$M$2:$M$1500,$A24&amp;"|"&amp;AT$1&amp;"|Output"),"I/O","IN"),IF(COUNTIF(Flows!$M$2:$M$1500,$A24&amp;"|"&amp;AT$1&amp;"|Output"),"OUT",""))</f>
        <v/>
      </c>
      <c r="AU24" s="33" t="str">
        <f aca="false">IF(COUNTIF(Flows!$M$2:$M$1500,$A24&amp;"|"&amp;AU$1&amp;"|Input"),IF(COUNTIF(Flows!$M$2:$M$1500,$A24&amp;"|"&amp;AU$1&amp;"|Output"),"I/O","IN"),IF(COUNTIF(Flows!$M$2:$M$1500,$A24&amp;"|"&amp;AU$1&amp;"|Output"),"OUT",""))</f>
        <v/>
      </c>
      <c r="AV24" s="33" t="str">
        <f aca="false">IF(COUNTIF(Flows!$M$2:$M$1500,$A24&amp;"|"&amp;AV$1&amp;"|Input"),IF(COUNTIF(Flows!$M$2:$M$1500,$A24&amp;"|"&amp;AV$1&amp;"|Output"),"I/O","IN"),IF(COUNTIF(Flows!$M$2:$M$1500,$A24&amp;"|"&amp;AV$1&amp;"|Output"),"OUT",""))</f>
        <v/>
      </c>
      <c r="AW24" s="33" t="str">
        <f aca="false">IF(COUNTIF(Flows!$M$2:$M$1500,$A24&amp;"|"&amp;AW$1&amp;"|Input"),IF(COUNTIF(Flows!$M$2:$M$1500,$A24&amp;"|"&amp;AW$1&amp;"|Output"),"I/O","IN"),IF(COUNTIF(Flows!$M$2:$M$1500,$A24&amp;"|"&amp;AW$1&amp;"|Output"),"OUT",""))</f>
        <v/>
      </c>
      <c r="AX24" s="33" t="str">
        <f aca="false">IF(COUNTIF(Flows!$M$2:$M$1500,$A24&amp;"|"&amp;AX$1&amp;"|Input"),IF(COUNTIF(Flows!$M$2:$M$1500,$A24&amp;"|"&amp;AX$1&amp;"|Output"),"I/O","IN"),IF(COUNTIF(Flows!$M$2:$M$1500,$A24&amp;"|"&amp;AX$1&amp;"|Output"),"OUT",""))</f>
        <v/>
      </c>
      <c r="AY24" s="33" t="str">
        <f aca="false">IF(COUNTIF(Flows!$M$2:$M$1500,$A24&amp;"|"&amp;AY$1&amp;"|Input"),IF(COUNTIF(Flows!$M$2:$M$1500,$A24&amp;"|"&amp;AY$1&amp;"|Output"),"I/O","IN"),IF(COUNTIF(Flows!$M$2:$M$1500,$A24&amp;"|"&amp;AY$1&amp;"|Output"),"OUT",""))</f>
        <v/>
      </c>
      <c r="AZ24" s="33" t="str">
        <f aca="false">IF(COUNTIF(Flows!$M$2:$M$1500,$A24&amp;"|"&amp;AZ$1&amp;"|Input"),IF(COUNTIF(Flows!$M$2:$M$1500,$A24&amp;"|"&amp;AZ$1&amp;"|Output"),"I/O","IN"),IF(COUNTIF(Flows!$M$2:$M$1500,$A24&amp;"|"&amp;AZ$1&amp;"|Output"),"OUT",""))</f>
        <v/>
      </c>
      <c r="BA24" s="33" t="str">
        <f aca="false">IF(COUNTIF(Flows!$M$2:$M$1500,$A24&amp;"|"&amp;BA$1&amp;"|Input"),IF(COUNTIF(Flows!$M$2:$M$1500,$A24&amp;"|"&amp;BA$1&amp;"|Output"),"I/O","IN"),IF(COUNTIF(Flows!$M$2:$M$1500,$A24&amp;"|"&amp;BA$1&amp;"|Output"),"OUT",""))</f>
        <v/>
      </c>
      <c r="BB24" s="33" t="str">
        <f aca="false">IF(COUNTIF(Flows!$M$2:$M$1500,$A24&amp;"|"&amp;BB$1&amp;"|Input"),IF(COUNTIF(Flows!$M$2:$M$1500,$A24&amp;"|"&amp;BB$1&amp;"|Output"),"I/O","IN"),IF(COUNTIF(Flows!$M$2:$M$1500,$A24&amp;"|"&amp;BB$1&amp;"|Output"),"OUT",""))</f>
        <v/>
      </c>
      <c r="BC24" s="33" t="str">
        <f aca="false">IF(COUNTIF(Flows!$M$2:$M$1500,$A24&amp;"|"&amp;BC$1&amp;"|Input"),IF(COUNTIF(Flows!$M$2:$M$1500,$A24&amp;"|"&amp;BC$1&amp;"|Output"),"I/O","IN"),IF(COUNTIF(Flows!$M$2:$M$1500,$A24&amp;"|"&amp;BC$1&amp;"|Output"),"OUT",""))</f>
        <v/>
      </c>
      <c r="BD24" s="33" t="str">
        <f aca="false">IF(COUNTIF(Flows!$M$2:$M$1500,$A24&amp;"|"&amp;BD$1&amp;"|Input"),IF(COUNTIF(Flows!$M$2:$M$1500,$A24&amp;"|"&amp;BD$1&amp;"|Output"),"I/O","IN"),IF(COUNTIF(Flows!$M$2:$M$1500,$A24&amp;"|"&amp;BD$1&amp;"|Output"),"OUT",""))</f>
        <v/>
      </c>
      <c r="BE24" s="33" t="str">
        <f aca="false">IF(COUNTIF(Flows!$M$2:$M$1500,$A24&amp;"|"&amp;BE$1&amp;"|Input"),IF(COUNTIF(Flows!$M$2:$M$1500,$A24&amp;"|"&amp;BE$1&amp;"|Output"),"I/O","IN"),IF(COUNTIF(Flows!$M$2:$M$1500,$A24&amp;"|"&amp;BE$1&amp;"|Output"),"OUT",""))</f>
        <v/>
      </c>
      <c r="BF24" s="33" t="str">
        <f aca="false">IF(COUNTIF(Flows!$M$2:$M$1500,$A24&amp;"|"&amp;BF$1&amp;"|Input"),IF(COUNTIF(Flows!$M$2:$M$1500,$A24&amp;"|"&amp;BF$1&amp;"|Output"),"I/O","IN"),IF(COUNTIF(Flows!$M$2:$M$1500,$A24&amp;"|"&amp;BF$1&amp;"|Output"),"OUT",""))</f>
        <v/>
      </c>
      <c r="BG24" s="33" t="str">
        <f aca="false">IF(COUNTIF(Flows!$M$2:$M$1500,$A24&amp;"|"&amp;BG$1&amp;"|Input"),IF(COUNTIF(Flows!$M$2:$M$1500,$A24&amp;"|"&amp;BG$1&amp;"|Output"),"I/O","IN"),IF(COUNTIF(Flows!$M$2:$M$1500,$A24&amp;"|"&amp;BG$1&amp;"|Output"),"OUT",""))</f>
        <v/>
      </c>
      <c r="BH24" s="33" t="str">
        <f aca="false">IF(COUNTIF(Flows!$M$2:$M$1500,$A24&amp;"|"&amp;BH$1&amp;"|Input"),IF(COUNTIF(Flows!$M$2:$M$1500,$A24&amp;"|"&amp;BH$1&amp;"|Output"),"I/O","IN"),IF(COUNTIF(Flows!$M$2:$M$1500,$A24&amp;"|"&amp;BH$1&amp;"|Output"),"OUT",""))</f>
        <v/>
      </c>
      <c r="BI24" s="33" t="str">
        <f aca="false">IF(COUNTIF(Flows!$M$2:$M$1500,$A24&amp;"|"&amp;BI$1&amp;"|Input"),IF(COUNTIF(Flows!$M$2:$M$1500,$A24&amp;"|"&amp;BI$1&amp;"|Output"),"I/O","IN"),IF(COUNTIF(Flows!$M$2:$M$1500,$A24&amp;"|"&amp;BI$1&amp;"|Output"),"OUT",""))</f>
        <v/>
      </c>
      <c r="BJ24" s="33" t="str">
        <f aca="false">IF(COUNTIF(Flows!$M$2:$M$1500,$A24&amp;"|"&amp;BJ$1&amp;"|Input"),IF(COUNTIF(Flows!$M$2:$M$1500,$A24&amp;"|"&amp;BJ$1&amp;"|Output"),"I/O","IN"),IF(COUNTIF(Flows!$M$2:$M$1500,$A24&amp;"|"&amp;BJ$1&amp;"|Output"),"OUT",""))</f>
        <v/>
      </c>
      <c r="BK24" s="33" t="str">
        <f aca="false">IF(COUNTIF(Flows!$M$2:$M$1500,$A24&amp;"|"&amp;BK$1&amp;"|Input"),IF(COUNTIF(Flows!$M$2:$M$1500,$A24&amp;"|"&amp;BK$1&amp;"|Output"),"I/O","IN"),IF(COUNTIF(Flows!$M$2:$M$1500,$A24&amp;"|"&amp;BK$1&amp;"|Output"),"OUT",""))</f>
        <v/>
      </c>
    </row>
    <row r="25" customFormat="false" ht="15" hidden="false" customHeight="true" outlineLevel="0" collapsed="false">
      <c r="A25" s="6" t="str">
        <f aca="false">Systems!B25</f>
        <v>Rainwater Collection System + Cistern (550 Gallons)</v>
      </c>
      <c r="B25" s="33" t="str">
        <f aca="false">IF(COUNTIF(Flows!$M$2:$M$1500,$A25&amp;"|"&amp;B$1&amp;"|Input"),IF(COUNTIF(Flows!$M$2:$M$1500,$A25&amp;"|"&amp;B$1&amp;"|Output"),"I/O","IN"),IF(COUNTIF(Flows!$M$2:$M$1500,$A25&amp;"|"&amp;B$1&amp;"|Output"),"OUT",""))</f>
        <v>OUT</v>
      </c>
      <c r="C25" s="33" t="str">
        <f aca="false">IF(COUNTIF(Flows!$M$2:$M$1500,$A25&amp;"|"&amp;C$1&amp;"|Input"),IF(COUNTIF(Flows!$M$2:$M$1500,$A25&amp;"|"&amp;C$1&amp;"|Output"),"I/O","IN"),IF(COUNTIF(Flows!$M$2:$M$1500,$A25&amp;"|"&amp;C$1&amp;"|Output"),"OUT",""))</f>
        <v/>
      </c>
      <c r="D25" s="33" t="str">
        <f aca="false">IF(COUNTIF(Flows!$M$2:$M$1500,$A25&amp;"|"&amp;D$1&amp;"|Input"),IF(COUNTIF(Flows!$M$2:$M$1500,$A25&amp;"|"&amp;D$1&amp;"|Output"),"I/O","IN"),IF(COUNTIF(Flows!$M$2:$M$1500,$A25&amp;"|"&amp;D$1&amp;"|Output"),"OUT",""))</f>
        <v/>
      </c>
      <c r="E25" s="33" t="str">
        <f aca="false">IF(COUNTIF(Flows!$M$2:$M$1500,$A25&amp;"|"&amp;E$1&amp;"|Input"),IF(COUNTIF(Flows!$M$2:$M$1500,$A25&amp;"|"&amp;E$1&amp;"|Output"),"I/O","IN"),IF(COUNTIF(Flows!$M$2:$M$1500,$A25&amp;"|"&amp;E$1&amp;"|Output"),"OUT",""))</f>
        <v/>
      </c>
      <c r="F25" s="33" t="str">
        <f aca="false">IF(COUNTIF(Flows!$M$2:$M$1500,$A25&amp;"|"&amp;F$1&amp;"|Input"),IF(COUNTIF(Flows!$M$2:$M$1500,$A25&amp;"|"&amp;F$1&amp;"|Output"),"I/O","IN"),IF(COUNTIF(Flows!$M$2:$M$1500,$A25&amp;"|"&amp;F$1&amp;"|Output"),"OUT",""))</f>
        <v/>
      </c>
      <c r="G25" s="33" t="str">
        <f aca="false">IF(COUNTIF(Flows!$M$2:$M$1500,$A25&amp;"|"&amp;G$1&amp;"|Input"),IF(COUNTIF(Flows!$M$2:$M$1500,$A25&amp;"|"&amp;G$1&amp;"|Output"),"I/O","IN"),IF(COUNTIF(Flows!$M$2:$M$1500,$A25&amp;"|"&amp;G$1&amp;"|Output"),"OUT",""))</f>
        <v/>
      </c>
      <c r="H25" s="33" t="str">
        <f aca="false">IF(COUNTIF(Flows!$M$2:$M$1500,$A25&amp;"|"&amp;H$1&amp;"|Input"),IF(COUNTIF(Flows!$M$2:$M$1500,$A25&amp;"|"&amp;H$1&amp;"|Output"),"I/O","IN"),IF(COUNTIF(Flows!$M$2:$M$1500,$A25&amp;"|"&amp;H$1&amp;"|Output"),"OUT",""))</f>
        <v/>
      </c>
      <c r="I25" s="33" t="str">
        <f aca="false">IF(COUNTIF(Flows!$M$2:$M$1500,$A25&amp;"|"&amp;I$1&amp;"|Input"),IF(COUNTIF(Flows!$M$2:$M$1500,$A25&amp;"|"&amp;I$1&amp;"|Output"),"I/O","IN"),IF(COUNTIF(Flows!$M$2:$M$1500,$A25&amp;"|"&amp;I$1&amp;"|Output"),"OUT",""))</f>
        <v/>
      </c>
      <c r="J25" s="33" t="str">
        <f aca="false">IF(COUNTIF(Flows!$M$2:$M$1500,$A25&amp;"|"&amp;J$1&amp;"|Input"),IF(COUNTIF(Flows!$M$2:$M$1500,$A25&amp;"|"&amp;J$1&amp;"|Output"),"I/O","IN"),IF(COUNTIF(Flows!$M$2:$M$1500,$A25&amp;"|"&amp;J$1&amp;"|Output"),"OUT",""))</f>
        <v/>
      </c>
      <c r="K25" s="33" t="str">
        <f aca="false">IF(COUNTIF(Flows!$M$2:$M$1500,$A25&amp;"|"&amp;K$1&amp;"|Input"),IF(COUNTIF(Flows!$M$2:$M$1500,$A25&amp;"|"&amp;K$1&amp;"|Output"),"I/O","IN"),IF(COUNTIF(Flows!$M$2:$M$1500,$A25&amp;"|"&amp;K$1&amp;"|Output"),"OUT",""))</f>
        <v/>
      </c>
      <c r="L25" s="33" t="str">
        <f aca="false">IF(COUNTIF(Flows!$M$2:$M$1500,$A25&amp;"|"&amp;L$1&amp;"|Input"),IF(COUNTIF(Flows!$M$2:$M$1500,$A25&amp;"|"&amp;L$1&amp;"|Output"),"I/O","IN"),IF(COUNTIF(Flows!$M$2:$M$1500,$A25&amp;"|"&amp;L$1&amp;"|Output"),"OUT",""))</f>
        <v/>
      </c>
      <c r="M25" s="33" t="str">
        <f aca="false">IF(COUNTIF(Flows!$M$2:$M$1500,$A25&amp;"|"&amp;M$1&amp;"|Input"),IF(COUNTIF(Flows!$M$2:$M$1500,$A25&amp;"|"&amp;M$1&amp;"|Output"),"I/O","IN"),IF(COUNTIF(Flows!$M$2:$M$1500,$A25&amp;"|"&amp;M$1&amp;"|Output"),"OUT",""))</f>
        <v/>
      </c>
      <c r="N25" s="33" t="str">
        <f aca="false">IF(COUNTIF(Flows!$M$2:$M$1500,$A25&amp;"|"&amp;N$1&amp;"|Input"),IF(COUNTIF(Flows!$M$2:$M$1500,$A25&amp;"|"&amp;N$1&amp;"|Output"),"I/O","IN"),IF(COUNTIF(Flows!$M$2:$M$1500,$A25&amp;"|"&amp;N$1&amp;"|Output"),"OUT",""))</f>
        <v/>
      </c>
      <c r="O25" s="33" t="str">
        <f aca="false">IF(COUNTIF(Flows!$M$2:$M$1500,$A25&amp;"|"&amp;O$1&amp;"|Input"),IF(COUNTIF(Flows!$M$2:$M$1500,$A25&amp;"|"&amp;O$1&amp;"|Output"),"I/O","IN"),IF(COUNTIF(Flows!$M$2:$M$1500,$A25&amp;"|"&amp;O$1&amp;"|Output"),"OUT",""))</f>
        <v/>
      </c>
      <c r="P25" s="33" t="str">
        <f aca="false">IF(COUNTIF(Flows!$M$2:$M$1500,$A25&amp;"|"&amp;P$1&amp;"|Input"),IF(COUNTIF(Flows!$M$2:$M$1500,$A25&amp;"|"&amp;P$1&amp;"|Output"),"I/O","IN"),IF(COUNTIF(Flows!$M$2:$M$1500,$A25&amp;"|"&amp;P$1&amp;"|Output"),"OUT",""))</f>
        <v/>
      </c>
      <c r="Q25" s="33" t="str">
        <f aca="false">IF(COUNTIF(Flows!$M$2:$M$1500,$A25&amp;"|"&amp;Q$1&amp;"|Input"),IF(COUNTIF(Flows!$M$2:$M$1500,$A25&amp;"|"&amp;Q$1&amp;"|Output"),"I/O","IN"),IF(COUNTIF(Flows!$M$2:$M$1500,$A25&amp;"|"&amp;Q$1&amp;"|Output"),"OUT",""))</f>
        <v/>
      </c>
      <c r="R25" s="33" t="str">
        <f aca="false">IF(COUNTIF(Flows!$M$2:$M$1500,$A25&amp;"|"&amp;R$1&amp;"|Input"),IF(COUNTIF(Flows!$M$2:$M$1500,$A25&amp;"|"&amp;R$1&amp;"|Output"),"I/O","IN"),IF(COUNTIF(Flows!$M$2:$M$1500,$A25&amp;"|"&amp;R$1&amp;"|Output"),"OUT",""))</f>
        <v/>
      </c>
      <c r="S25" s="33" t="str">
        <f aca="false">IF(COUNTIF(Flows!$M$2:$M$1500,$A25&amp;"|"&amp;S$1&amp;"|Input"),IF(COUNTIF(Flows!$M$2:$M$1500,$A25&amp;"|"&amp;S$1&amp;"|Output"),"I/O","IN"),IF(COUNTIF(Flows!$M$2:$M$1500,$A25&amp;"|"&amp;S$1&amp;"|Output"),"OUT",""))</f>
        <v/>
      </c>
      <c r="T25" s="33" t="str">
        <f aca="false">IF(COUNTIF(Flows!$M$2:$M$1500,$A25&amp;"|"&amp;T$1&amp;"|Input"),IF(COUNTIF(Flows!$M$2:$M$1500,$A25&amp;"|"&amp;T$1&amp;"|Output"),"I/O","IN"),IF(COUNTIF(Flows!$M$2:$M$1500,$A25&amp;"|"&amp;T$1&amp;"|Output"),"OUT",""))</f>
        <v/>
      </c>
      <c r="U25" s="33" t="str">
        <f aca="false">IF(COUNTIF(Flows!$M$2:$M$1500,$A25&amp;"|"&amp;U$1&amp;"|Input"),IF(COUNTIF(Flows!$M$2:$M$1500,$A25&amp;"|"&amp;U$1&amp;"|Output"),"I/O","IN"),IF(COUNTIF(Flows!$M$2:$M$1500,$A25&amp;"|"&amp;U$1&amp;"|Output"),"OUT",""))</f>
        <v/>
      </c>
      <c r="V25" s="33" t="str">
        <f aca="false">IF(COUNTIF(Flows!$M$2:$M$1500,$A25&amp;"|"&amp;V$1&amp;"|Input"),IF(COUNTIF(Flows!$M$2:$M$1500,$A25&amp;"|"&amp;V$1&amp;"|Output"),"I/O","IN"),IF(COUNTIF(Flows!$M$2:$M$1500,$A25&amp;"|"&amp;V$1&amp;"|Output"),"OUT",""))</f>
        <v/>
      </c>
      <c r="W25" s="33" t="str">
        <f aca="false">IF(COUNTIF(Flows!$M$2:$M$1500,$A25&amp;"|"&amp;W$1&amp;"|Input"),IF(COUNTIF(Flows!$M$2:$M$1500,$A25&amp;"|"&amp;W$1&amp;"|Output"),"I/O","IN"),IF(COUNTIF(Flows!$M$2:$M$1500,$A25&amp;"|"&amp;W$1&amp;"|Output"),"OUT",""))</f>
        <v/>
      </c>
      <c r="X25" s="33" t="str">
        <f aca="false">IF(COUNTIF(Flows!$M$2:$M$1500,$A25&amp;"|"&amp;X$1&amp;"|Input"),IF(COUNTIF(Flows!$M$2:$M$1500,$A25&amp;"|"&amp;X$1&amp;"|Output"),"I/O","IN"),IF(COUNTIF(Flows!$M$2:$M$1500,$A25&amp;"|"&amp;X$1&amp;"|Output"),"OUT",""))</f>
        <v>IN</v>
      </c>
      <c r="Y25" s="33" t="str">
        <f aca="false">IF(COUNTIF(Flows!$M$2:$M$1500,$A25&amp;"|"&amp;Y$1&amp;"|Input"),IF(COUNTIF(Flows!$M$2:$M$1500,$A25&amp;"|"&amp;Y$1&amp;"|Output"),"I/O","IN"),IF(COUNTIF(Flows!$M$2:$M$1500,$A25&amp;"|"&amp;Y$1&amp;"|Output"),"OUT",""))</f>
        <v/>
      </c>
      <c r="Z25" s="33" t="str">
        <f aca="false">IF(COUNTIF(Flows!$M$2:$M$1500,$A25&amp;"|"&amp;Z$1&amp;"|Input"),IF(COUNTIF(Flows!$M$2:$M$1500,$A25&amp;"|"&amp;Z$1&amp;"|Output"),"I/O","IN"),IF(COUNTIF(Flows!$M$2:$M$1500,$A25&amp;"|"&amp;Z$1&amp;"|Output"),"OUT",""))</f>
        <v/>
      </c>
      <c r="AA25" s="33" t="str">
        <f aca="false">IF(COUNTIF(Flows!$M$2:$M$1500,$A25&amp;"|"&amp;AA$1&amp;"|Input"),IF(COUNTIF(Flows!$M$2:$M$1500,$A25&amp;"|"&amp;AA$1&amp;"|Output"),"I/O","IN"),IF(COUNTIF(Flows!$M$2:$M$1500,$A25&amp;"|"&amp;AA$1&amp;"|Output"),"OUT",""))</f>
        <v>IN</v>
      </c>
      <c r="AB25" s="33" t="str">
        <f aca="false">IF(COUNTIF(Flows!$M$2:$M$1500,$A25&amp;"|"&amp;AB$1&amp;"|Input"),IF(COUNTIF(Flows!$M$2:$M$1500,$A25&amp;"|"&amp;AB$1&amp;"|Output"),"I/O","IN"),IF(COUNTIF(Flows!$M$2:$M$1500,$A25&amp;"|"&amp;AB$1&amp;"|Output"),"OUT",""))</f>
        <v/>
      </c>
      <c r="AC25" s="33" t="str">
        <f aca="false">IF(COUNTIF(Flows!$M$2:$M$1500,$A25&amp;"|"&amp;AC$1&amp;"|Input"),IF(COUNTIF(Flows!$M$2:$M$1500,$A25&amp;"|"&amp;AC$1&amp;"|Output"),"I/O","IN"),IF(COUNTIF(Flows!$M$2:$M$1500,$A25&amp;"|"&amp;AC$1&amp;"|Output"),"OUT",""))</f>
        <v/>
      </c>
      <c r="AD25" s="33" t="str">
        <f aca="false">IF(COUNTIF(Flows!$M$2:$M$1500,$A25&amp;"|"&amp;AD$1&amp;"|Input"),IF(COUNTIF(Flows!$M$2:$M$1500,$A25&amp;"|"&amp;AD$1&amp;"|Output"),"I/O","IN"),IF(COUNTIF(Flows!$M$2:$M$1500,$A25&amp;"|"&amp;AD$1&amp;"|Output"),"OUT",""))</f>
        <v>IN</v>
      </c>
      <c r="AE25" s="33" t="str">
        <f aca="false">IF(COUNTIF(Flows!$M$2:$M$1500,$A25&amp;"|"&amp;AE$1&amp;"|Input"),IF(COUNTIF(Flows!$M$2:$M$1500,$A25&amp;"|"&amp;AE$1&amp;"|Output"),"I/O","IN"),IF(COUNTIF(Flows!$M$2:$M$1500,$A25&amp;"|"&amp;AE$1&amp;"|Output"),"OUT",""))</f>
        <v>OUT</v>
      </c>
      <c r="AF25" s="33" t="str">
        <f aca="false">IF(COUNTIF(Flows!$M$2:$M$1500,$A25&amp;"|"&amp;AF$1&amp;"|Input"),IF(COUNTIF(Flows!$M$2:$M$1500,$A25&amp;"|"&amp;AF$1&amp;"|Output"),"I/O","IN"),IF(COUNTIF(Flows!$M$2:$M$1500,$A25&amp;"|"&amp;AF$1&amp;"|Output"),"OUT",""))</f>
        <v/>
      </c>
      <c r="AG25" s="33" t="str">
        <f aca="false">IF(COUNTIF(Flows!$M$2:$M$1500,$A25&amp;"|"&amp;AG$1&amp;"|Input"),IF(COUNTIF(Flows!$M$2:$M$1500,$A25&amp;"|"&amp;AG$1&amp;"|Output"),"I/O","IN"),IF(COUNTIF(Flows!$M$2:$M$1500,$A25&amp;"|"&amp;AG$1&amp;"|Output"),"OUT",""))</f>
        <v/>
      </c>
      <c r="AH25" s="33" t="str">
        <f aca="false">IF(COUNTIF(Flows!$M$2:$M$1500,$A25&amp;"|"&amp;AH$1&amp;"|Input"),IF(COUNTIF(Flows!$M$2:$M$1500,$A25&amp;"|"&amp;AH$1&amp;"|Output"),"I/O","IN"),IF(COUNTIF(Flows!$M$2:$M$1500,$A25&amp;"|"&amp;AH$1&amp;"|Output"),"OUT",""))</f>
        <v/>
      </c>
      <c r="AI25" s="33" t="str">
        <f aca="false">IF(COUNTIF(Flows!$M$2:$M$1500,$A25&amp;"|"&amp;AI$1&amp;"|Input"),IF(COUNTIF(Flows!$M$2:$M$1500,$A25&amp;"|"&amp;AI$1&amp;"|Output"),"I/O","IN"),IF(COUNTIF(Flows!$M$2:$M$1500,$A25&amp;"|"&amp;AI$1&amp;"|Output"),"OUT",""))</f>
        <v/>
      </c>
      <c r="AJ25" s="33" t="str">
        <f aca="false">IF(COUNTIF(Flows!$M$2:$M$1500,$A25&amp;"|"&amp;AJ$1&amp;"|Input"),IF(COUNTIF(Flows!$M$2:$M$1500,$A25&amp;"|"&amp;AJ$1&amp;"|Output"),"I/O","IN"),IF(COUNTIF(Flows!$M$2:$M$1500,$A25&amp;"|"&amp;AJ$1&amp;"|Output"),"OUT",""))</f>
        <v/>
      </c>
      <c r="AK25" s="33" t="str">
        <f aca="false">IF(COUNTIF(Flows!$M$2:$M$1500,$A25&amp;"|"&amp;AK$1&amp;"|Input"),IF(COUNTIF(Flows!$M$2:$M$1500,$A25&amp;"|"&amp;AK$1&amp;"|Output"),"I/O","IN"),IF(COUNTIF(Flows!$M$2:$M$1500,$A25&amp;"|"&amp;AK$1&amp;"|Output"),"OUT",""))</f>
        <v/>
      </c>
      <c r="AL25" s="33" t="str">
        <f aca="false">IF(COUNTIF(Flows!$M$2:$M$1500,$A25&amp;"|"&amp;AL$1&amp;"|Input"),IF(COUNTIF(Flows!$M$2:$M$1500,$A25&amp;"|"&amp;AL$1&amp;"|Output"),"I/O","IN"),IF(COUNTIF(Flows!$M$2:$M$1500,$A25&amp;"|"&amp;AL$1&amp;"|Output"),"OUT",""))</f>
        <v/>
      </c>
      <c r="AM25" s="33" t="str">
        <f aca="false">IF(COUNTIF(Flows!$M$2:$M$1500,$A25&amp;"|"&amp;AM$1&amp;"|Input"),IF(COUNTIF(Flows!$M$2:$M$1500,$A25&amp;"|"&amp;AM$1&amp;"|Output"),"I/O","IN"),IF(COUNTIF(Flows!$M$2:$M$1500,$A25&amp;"|"&amp;AM$1&amp;"|Output"),"OUT",""))</f>
        <v/>
      </c>
      <c r="AN25" s="33" t="str">
        <f aca="false">IF(COUNTIF(Flows!$M$2:$M$1500,$A25&amp;"|"&amp;AN$1&amp;"|Input"),IF(COUNTIF(Flows!$M$2:$M$1500,$A25&amp;"|"&amp;AN$1&amp;"|Output"),"I/O","IN"),IF(COUNTIF(Flows!$M$2:$M$1500,$A25&amp;"|"&amp;AN$1&amp;"|Output"),"OUT",""))</f>
        <v/>
      </c>
      <c r="AO25" s="33" t="str">
        <f aca="false">IF(COUNTIF(Flows!$M$2:$M$1500,$A25&amp;"|"&amp;AO$1&amp;"|Input"),IF(COUNTIF(Flows!$M$2:$M$1500,$A25&amp;"|"&amp;AO$1&amp;"|Output"),"I/O","IN"),IF(COUNTIF(Flows!$M$2:$M$1500,$A25&amp;"|"&amp;AO$1&amp;"|Output"),"OUT",""))</f>
        <v/>
      </c>
      <c r="AP25" s="33" t="str">
        <f aca="false">IF(COUNTIF(Flows!$M$2:$M$1500,$A25&amp;"|"&amp;AP$1&amp;"|Input"),IF(COUNTIF(Flows!$M$2:$M$1500,$A25&amp;"|"&amp;AP$1&amp;"|Output"),"I/O","IN"),IF(COUNTIF(Flows!$M$2:$M$1500,$A25&amp;"|"&amp;AP$1&amp;"|Output"),"OUT",""))</f>
        <v/>
      </c>
      <c r="AQ25" s="33" t="str">
        <f aca="false">IF(COUNTIF(Flows!$M$2:$M$1500,$A25&amp;"|"&amp;AQ$1&amp;"|Input"),IF(COUNTIF(Flows!$M$2:$M$1500,$A25&amp;"|"&amp;AQ$1&amp;"|Output"),"I/O","IN"),IF(COUNTIF(Flows!$M$2:$M$1500,$A25&amp;"|"&amp;AQ$1&amp;"|Output"),"OUT",""))</f>
        <v/>
      </c>
      <c r="AR25" s="33" t="str">
        <f aca="false">IF(COUNTIF(Flows!$M$2:$M$1500,$A25&amp;"|"&amp;AR$1&amp;"|Input"),IF(COUNTIF(Flows!$M$2:$M$1500,$A25&amp;"|"&amp;AR$1&amp;"|Output"),"I/O","IN"),IF(COUNTIF(Flows!$M$2:$M$1500,$A25&amp;"|"&amp;AR$1&amp;"|Output"),"OUT",""))</f>
        <v/>
      </c>
      <c r="AS25" s="33" t="str">
        <f aca="false">IF(COUNTIF(Flows!$M$2:$M$1500,$A25&amp;"|"&amp;AS$1&amp;"|Input"),IF(COUNTIF(Flows!$M$2:$M$1500,$A25&amp;"|"&amp;AS$1&amp;"|Output"),"I/O","IN"),IF(COUNTIF(Flows!$M$2:$M$1500,$A25&amp;"|"&amp;AS$1&amp;"|Output"),"OUT",""))</f>
        <v/>
      </c>
      <c r="AT25" s="33" t="str">
        <f aca="false">IF(COUNTIF(Flows!$M$2:$M$1500,$A25&amp;"|"&amp;AT$1&amp;"|Input"),IF(COUNTIF(Flows!$M$2:$M$1500,$A25&amp;"|"&amp;AT$1&amp;"|Output"),"I/O","IN"),IF(COUNTIF(Flows!$M$2:$M$1500,$A25&amp;"|"&amp;AT$1&amp;"|Output"),"OUT",""))</f>
        <v/>
      </c>
      <c r="AU25" s="33" t="str">
        <f aca="false">IF(COUNTIF(Flows!$M$2:$M$1500,$A25&amp;"|"&amp;AU$1&amp;"|Input"),IF(COUNTIF(Flows!$M$2:$M$1500,$A25&amp;"|"&amp;AU$1&amp;"|Output"),"I/O","IN"),IF(COUNTIF(Flows!$M$2:$M$1500,$A25&amp;"|"&amp;AU$1&amp;"|Output"),"OUT",""))</f>
        <v/>
      </c>
      <c r="AV25" s="33" t="str">
        <f aca="false">IF(COUNTIF(Flows!$M$2:$M$1500,$A25&amp;"|"&amp;AV$1&amp;"|Input"),IF(COUNTIF(Flows!$M$2:$M$1500,$A25&amp;"|"&amp;AV$1&amp;"|Output"),"I/O","IN"),IF(COUNTIF(Flows!$M$2:$M$1500,$A25&amp;"|"&amp;AV$1&amp;"|Output"),"OUT",""))</f>
        <v/>
      </c>
      <c r="AW25" s="33" t="str">
        <f aca="false">IF(COUNTIF(Flows!$M$2:$M$1500,$A25&amp;"|"&amp;AW$1&amp;"|Input"),IF(COUNTIF(Flows!$M$2:$M$1500,$A25&amp;"|"&amp;AW$1&amp;"|Output"),"I/O","IN"),IF(COUNTIF(Flows!$M$2:$M$1500,$A25&amp;"|"&amp;AW$1&amp;"|Output"),"OUT",""))</f>
        <v/>
      </c>
      <c r="AX25" s="33" t="str">
        <f aca="false">IF(COUNTIF(Flows!$M$2:$M$1500,$A25&amp;"|"&amp;AX$1&amp;"|Input"),IF(COUNTIF(Flows!$M$2:$M$1500,$A25&amp;"|"&amp;AX$1&amp;"|Output"),"I/O","IN"),IF(COUNTIF(Flows!$M$2:$M$1500,$A25&amp;"|"&amp;AX$1&amp;"|Output"),"OUT",""))</f>
        <v/>
      </c>
      <c r="AY25" s="33" t="str">
        <f aca="false">IF(COUNTIF(Flows!$M$2:$M$1500,$A25&amp;"|"&amp;AY$1&amp;"|Input"),IF(COUNTIF(Flows!$M$2:$M$1500,$A25&amp;"|"&amp;AY$1&amp;"|Output"),"I/O","IN"),IF(COUNTIF(Flows!$M$2:$M$1500,$A25&amp;"|"&amp;AY$1&amp;"|Output"),"OUT",""))</f>
        <v/>
      </c>
      <c r="AZ25" s="33" t="str">
        <f aca="false">IF(COUNTIF(Flows!$M$2:$M$1500,$A25&amp;"|"&amp;AZ$1&amp;"|Input"),IF(COUNTIF(Flows!$M$2:$M$1500,$A25&amp;"|"&amp;AZ$1&amp;"|Output"),"I/O","IN"),IF(COUNTIF(Flows!$M$2:$M$1500,$A25&amp;"|"&amp;AZ$1&amp;"|Output"),"OUT",""))</f>
        <v/>
      </c>
      <c r="BA25" s="33" t="str">
        <f aca="false">IF(COUNTIF(Flows!$M$2:$M$1500,$A25&amp;"|"&amp;BA$1&amp;"|Input"),IF(COUNTIF(Flows!$M$2:$M$1500,$A25&amp;"|"&amp;BA$1&amp;"|Output"),"I/O","IN"),IF(COUNTIF(Flows!$M$2:$M$1500,$A25&amp;"|"&amp;BA$1&amp;"|Output"),"OUT",""))</f>
        <v/>
      </c>
      <c r="BB25" s="33" t="str">
        <f aca="false">IF(COUNTIF(Flows!$M$2:$M$1500,$A25&amp;"|"&amp;BB$1&amp;"|Input"),IF(COUNTIF(Flows!$M$2:$M$1500,$A25&amp;"|"&amp;BB$1&amp;"|Output"),"I/O","IN"),IF(COUNTIF(Flows!$M$2:$M$1500,$A25&amp;"|"&amp;BB$1&amp;"|Output"),"OUT",""))</f>
        <v/>
      </c>
      <c r="BC25" s="33" t="str">
        <f aca="false">IF(COUNTIF(Flows!$M$2:$M$1500,$A25&amp;"|"&amp;BC$1&amp;"|Input"),IF(COUNTIF(Flows!$M$2:$M$1500,$A25&amp;"|"&amp;BC$1&amp;"|Output"),"I/O","IN"),IF(COUNTIF(Flows!$M$2:$M$1500,$A25&amp;"|"&amp;BC$1&amp;"|Output"),"OUT",""))</f>
        <v/>
      </c>
      <c r="BD25" s="33" t="str">
        <f aca="false">IF(COUNTIF(Flows!$M$2:$M$1500,$A25&amp;"|"&amp;BD$1&amp;"|Input"),IF(COUNTIF(Flows!$M$2:$M$1500,$A25&amp;"|"&amp;BD$1&amp;"|Output"),"I/O","IN"),IF(COUNTIF(Flows!$M$2:$M$1500,$A25&amp;"|"&amp;BD$1&amp;"|Output"),"OUT",""))</f>
        <v/>
      </c>
      <c r="BE25" s="33" t="str">
        <f aca="false">IF(COUNTIF(Flows!$M$2:$M$1500,$A25&amp;"|"&amp;BE$1&amp;"|Input"),IF(COUNTIF(Flows!$M$2:$M$1500,$A25&amp;"|"&amp;BE$1&amp;"|Output"),"I/O","IN"),IF(COUNTIF(Flows!$M$2:$M$1500,$A25&amp;"|"&amp;BE$1&amp;"|Output"),"OUT",""))</f>
        <v/>
      </c>
      <c r="BF25" s="33" t="str">
        <f aca="false">IF(COUNTIF(Flows!$M$2:$M$1500,$A25&amp;"|"&amp;BF$1&amp;"|Input"),IF(COUNTIF(Flows!$M$2:$M$1500,$A25&amp;"|"&amp;BF$1&amp;"|Output"),"I/O","IN"),IF(COUNTIF(Flows!$M$2:$M$1500,$A25&amp;"|"&amp;BF$1&amp;"|Output"),"OUT",""))</f>
        <v/>
      </c>
      <c r="BG25" s="33" t="str">
        <f aca="false">IF(COUNTIF(Flows!$M$2:$M$1500,$A25&amp;"|"&amp;BG$1&amp;"|Input"),IF(COUNTIF(Flows!$M$2:$M$1500,$A25&amp;"|"&amp;BG$1&amp;"|Output"),"I/O","IN"),IF(COUNTIF(Flows!$M$2:$M$1500,$A25&amp;"|"&amp;BG$1&amp;"|Output"),"OUT",""))</f>
        <v/>
      </c>
      <c r="BH25" s="33" t="str">
        <f aca="false">IF(COUNTIF(Flows!$M$2:$M$1500,$A25&amp;"|"&amp;BH$1&amp;"|Input"),IF(COUNTIF(Flows!$M$2:$M$1500,$A25&amp;"|"&amp;BH$1&amp;"|Output"),"I/O","IN"),IF(COUNTIF(Flows!$M$2:$M$1500,$A25&amp;"|"&amp;BH$1&amp;"|Output"),"OUT",""))</f>
        <v/>
      </c>
      <c r="BI25" s="33" t="str">
        <f aca="false">IF(COUNTIF(Flows!$M$2:$M$1500,$A25&amp;"|"&amp;BI$1&amp;"|Input"),IF(COUNTIF(Flows!$M$2:$M$1500,$A25&amp;"|"&amp;BI$1&amp;"|Output"),"I/O","IN"),IF(COUNTIF(Flows!$M$2:$M$1500,$A25&amp;"|"&amp;BI$1&amp;"|Output"),"OUT",""))</f>
        <v/>
      </c>
      <c r="BJ25" s="33" t="str">
        <f aca="false">IF(COUNTIF(Flows!$M$2:$M$1500,$A25&amp;"|"&amp;BJ$1&amp;"|Input"),IF(COUNTIF(Flows!$M$2:$M$1500,$A25&amp;"|"&amp;BJ$1&amp;"|Output"),"I/O","IN"),IF(COUNTIF(Flows!$M$2:$M$1500,$A25&amp;"|"&amp;BJ$1&amp;"|Output"),"OUT",""))</f>
        <v/>
      </c>
      <c r="BK25" s="33" t="str">
        <f aca="false">IF(COUNTIF(Flows!$M$2:$M$1500,$A25&amp;"|"&amp;BK$1&amp;"|Input"),IF(COUNTIF(Flows!$M$2:$M$1500,$A25&amp;"|"&amp;BK$1&amp;"|Output"),"I/O","IN"),IF(COUNTIF(Flows!$M$2:$M$1500,$A25&amp;"|"&amp;BK$1&amp;"|Output"),"OUT",""))</f>
        <v/>
      </c>
    </row>
    <row r="26" customFormat="false" ht="15" hidden="false" customHeight="true" outlineLevel="0" collapsed="false">
      <c r="A26" s="6" t="str">
        <f aca="false">Systems!B26</f>
        <v>Solar Hot Water Heater</v>
      </c>
      <c r="B26" s="33" t="str">
        <f aca="false">IF(COUNTIF(Flows!$M$2:$M$1500,$A26&amp;"|"&amp;B$1&amp;"|Input"),IF(COUNTIF(Flows!$M$2:$M$1500,$A26&amp;"|"&amp;B$1&amp;"|Output"),"I/O","IN"),IF(COUNTIF(Flows!$M$2:$M$1500,$A26&amp;"|"&amp;B$1&amp;"|Output"),"OUT",""))</f>
        <v>IN</v>
      </c>
      <c r="C26" s="33" t="str">
        <f aca="false">IF(COUNTIF(Flows!$M$2:$M$1500,$A26&amp;"|"&amp;C$1&amp;"|Input"),IF(COUNTIF(Flows!$M$2:$M$1500,$A26&amp;"|"&amp;C$1&amp;"|Output"),"I/O","IN"),IF(COUNTIF(Flows!$M$2:$M$1500,$A26&amp;"|"&amp;C$1&amp;"|Output"),"OUT",""))</f>
        <v/>
      </c>
      <c r="D26" s="33" t="str">
        <f aca="false">IF(COUNTIF(Flows!$M$2:$M$1500,$A26&amp;"|"&amp;D$1&amp;"|Input"),IF(COUNTIF(Flows!$M$2:$M$1500,$A26&amp;"|"&amp;D$1&amp;"|Output"),"I/O","IN"),IF(COUNTIF(Flows!$M$2:$M$1500,$A26&amp;"|"&amp;D$1&amp;"|Output"),"OUT",""))</f>
        <v>OUT</v>
      </c>
      <c r="E26" s="33" t="str">
        <f aca="false">IF(COUNTIF(Flows!$M$2:$M$1500,$A26&amp;"|"&amp;E$1&amp;"|Input"),IF(COUNTIF(Flows!$M$2:$M$1500,$A26&amp;"|"&amp;E$1&amp;"|Output"),"I/O","IN"),IF(COUNTIF(Flows!$M$2:$M$1500,$A26&amp;"|"&amp;E$1&amp;"|Output"),"OUT",""))</f>
        <v/>
      </c>
      <c r="F26" s="33" t="str">
        <f aca="false">IF(COUNTIF(Flows!$M$2:$M$1500,$A26&amp;"|"&amp;F$1&amp;"|Input"),IF(COUNTIF(Flows!$M$2:$M$1500,$A26&amp;"|"&amp;F$1&amp;"|Output"),"I/O","IN"),IF(COUNTIF(Flows!$M$2:$M$1500,$A26&amp;"|"&amp;F$1&amp;"|Output"),"OUT",""))</f>
        <v/>
      </c>
      <c r="G26" s="33" t="str">
        <f aca="false">IF(COUNTIF(Flows!$M$2:$M$1500,$A26&amp;"|"&amp;G$1&amp;"|Input"),IF(COUNTIF(Flows!$M$2:$M$1500,$A26&amp;"|"&amp;G$1&amp;"|Output"),"I/O","IN"),IF(COUNTIF(Flows!$M$2:$M$1500,$A26&amp;"|"&amp;G$1&amp;"|Output"),"OUT",""))</f>
        <v/>
      </c>
      <c r="H26" s="33" t="str">
        <f aca="false">IF(COUNTIF(Flows!$M$2:$M$1500,$A26&amp;"|"&amp;H$1&amp;"|Input"),IF(COUNTIF(Flows!$M$2:$M$1500,$A26&amp;"|"&amp;H$1&amp;"|Output"),"I/O","IN"),IF(COUNTIF(Flows!$M$2:$M$1500,$A26&amp;"|"&amp;H$1&amp;"|Output"),"OUT",""))</f>
        <v/>
      </c>
      <c r="I26" s="33" t="str">
        <f aca="false">IF(COUNTIF(Flows!$M$2:$M$1500,$A26&amp;"|"&amp;I$1&amp;"|Input"),IF(COUNTIF(Flows!$M$2:$M$1500,$A26&amp;"|"&amp;I$1&amp;"|Output"),"I/O","IN"),IF(COUNTIF(Flows!$M$2:$M$1500,$A26&amp;"|"&amp;I$1&amp;"|Output"),"OUT",""))</f>
        <v/>
      </c>
      <c r="J26" s="33" t="str">
        <f aca="false">IF(COUNTIF(Flows!$M$2:$M$1500,$A26&amp;"|"&amp;J$1&amp;"|Input"),IF(COUNTIF(Flows!$M$2:$M$1500,$A26&amp;"|"&amp;J$1&amp;"|Output"),"I/O","IN"),IF(COUNTIF(Flows!$M$2:$M$1500,$A26&amp;"|"&amp;J$1&amp;"|Output"),"OUT",""))</f>
        <v/>
      </c>
      <c r="K26" s="33" t="str">
        <f aca="false">IF(COUNTIF(Flows!$M$2:$M$1500,$A26&amp;"|"&amp;K$1&amp;"|Input"),IF(COUNTIF(Flows!$M$2:$M$1500,$A26&amp;"|"&amp;K$1&amp;"|Output"),"I/O","IN"),IF(COUNTIF(Flows!$M$2:$M$1500,$A26&amp;"|"&amp;K$1&amp;"|Output"),"OUT",""))</f>
        <v/>
      </c>
      <c r="L26" s="33" t="str">
        <f aca="false">IF(COUNTIF(Flows!$M$2:$M$1500,$A26&amp;"|"&amp;L$1&amp;"|Input"),IF(COUNTIF(Flows!$M$2:$M$1500,$A26&amp;"|"&amp;L$1&amp;"|Output"),"I/O","IN"),IF(COUNTIF(Flows!$M$2:$M$1500,$A26&amp;"|"&amp;L$1&amp;"|Output"),"OUT",""))</f>
        <v/>
      </c>
      <c r="M26" s="33" t="str">
        <f aca="false">IF(COUNTIF(Flows!$M$2:$M$1500,$A26&amp;"|"&amp;M$1&amp;"|Input"),IF(COUNTIF(Flows!$M$2:$M$1500,$A26&amp;"|"&amp;M$1&amp;"|Output"),"I/O","IN"),IF(COUNTIF(Flows!$M$2:$M$1500,$A26&amp;"|"&amp;M$1&amp;"|Output"),"OUT",""))</f>
        <v/>
      </c>
      <c r="N26" s="33" t="str">
        <f aca="false">IF(COUNTIF(Flows!$M$2:$M$1500,$A26&amp;"|"&amp;N$1&amp;"|Input"),IF(COUNTIF(Flows!$M$2:$M$1500,$A26&amp;"|"&amp;N$1&amp;"|Output"),"I/O","IN"),IF(COUNTIF(Flows!$M$2:$M$1500,$A26&amp;"|"&amp;N$1&amp;"|Output"),"OUT",""))</f>
        <v/>
      </c>
      <c r="O26" s="33" t="str">
        <f aca="false">IF(COUNTIF(Flows!$M$2:$M$1500,$A26&amp;"|"&amp;O$1&amp;"|Input"),IF(COUNTIF(Flows!$M$2:$M$1500,$A26&amp;"|"&amp;O$1&amp;"|Output"),"I/O","IN"),IF(COUNTIF(Flows!$M$2:$M$1500,$A26&amp;"|"&amp;O$1&amp;"|Output"),"OUT",""))</f>
        <v/>
      </c>
      <c r="P26" s="33" t="str">
        <f aca="false">IF(COUNTIF(Flows!$M$2:$M$1500,$A26&amp;"|"&amp;P$1&amp;"|Input"),IF(COUNTIF(Flows!$M$2:$M$1500,$A26&amp;"|"&amp;P$1&amp;"|Output"),"I/O","IN"),IF(COUNTIF(Flows!$M$2:$M$1500,$A26&amp;"|"&amp;P$1&amp;"|Output"),"OUT",""))</f>
        <v/>
      </c>
      <c r="Q26" s="33" t="str">
        <f aca="false">IF(COUNTIF(Flows!$M$2:$M$1500,$A26&amp;"|"&amp;Q$1&amp;"|Input"),IF(COUNTIF(Flows!$M$2:$M$1500,$A26&amp;"|"&amp;Q$1&amp;"|Output"),"I/O","IN"),IF(COUNTIF(Flows!$M$2:$M$1500,$A26&amp;"|"&amp;Q$1&amp;"|Output"),"OUT",""))</f>
        <v/>
      </c>
      <c r="R26" s="33" t="str">
        <f aca="false">IF(COUNTIF(Flows!$M$2:$M$1500,$A26&amp;"|"&amp;R$1&amp;"|Input"),IF(COUNTIF(Flows!$M$2:$M$1500,$A26&amp;"|"&amp;R$1&amp;"|Output"),"I/O","IN"),IF(COUNTIF(Flows!$M$2:$M$1500,$A26&amp;"|"&amp;R$1&amp;"|Output"),"OUT",""))</f>
        <v/>
      </c>
      <c r="S26" s="33" t="str">
        <f aca="false">IF(COUNTIF(Flows!$M$2:$M$1500,$A26&amp;"|"&amp;S$1&amp;"|Input"),IF(COUNTIF(Flows!$M$2:$M$1500,$A26&amp;"|"&amp;S$1&amp;"|Output"),"I/O","IN"),IF(COUNTIF(Flows!$M$2:$M$1500,$A26&amp;"|"&amp;S$1&amp;"|Output"),"OUT",""))</f>
        <v/>
      </c>
      <c r="T26" s="33" t="str">
        <f aca="false">IF(COUNTIF(Flows!$M$2:$M$1500,$A26&amp;"|"&amp;T$1&amp;"|Input"),IF(COUNTIF(Flows!$M$2:$M$1500,$A26&amp;"|"&amp;T$1&amp;"|Output"),"I/O","IN"),IF(COUNTIF(Flows!$M$2:$M$1500,$A26&amp;"|"&amp;T$1&amp;"|Output"),"OUT",""))</f>
        <v/>
      </c>
      <c r="U26" s="33" t="str">
        <f aca="false">IF(COUNTIF(Flows!$M$2:$M$1500,$A26&amp;"|"&amp;U$1&amp;"|Input"),IF(COUNTIF(Flows!$M$2:$M$1500,$A26&amp;"|"&amp;U$1&amp;"|Output"),"I/O","IN"),IF(COUNTIF(Flows!$M$2:$M$1500,$A26&amp;"|"&amp;U$1&amp;"|Output"),"OUT",""))</f>
        <v/>
      </c>
      <c r="V26" s="33" t="str">
        <f aca="false">IF(COUNTIF(Flows!$M$2:$M$1500,$A26&amp;"|"&amp;V$1&amp;"|Input"),IF(COUNTIF(Flows!$M$2:$M$1500,$A26&amp;"|"&amp;V$1&amp;"|Output"),"I/O","IN"),IF(COUNTIF(Flows!$M$2:$M$1500,$A26&amp;"|"&amp;V$1&amp;"|Output"),"OUT",""))</f>
        <v/>
      </c>
      <c r="W26" s="33" t="str">
        <f aca="false">IF(COUNTIF(Flows!$M$2:$M$1500,$A26&amp;"|"&amp;W$1&amp;"|Input"),IF(COUNTIF(Flows!$M$2:$M$1500,$A26&amp;"|"&amp;W$1&amp;"|Output"),"I/O","IN"),IF(COUNTIF(Flows!$M$2:$M$1500,$A26&amp;"|"&amp;W$1&amp;"|Output"),"OUT",""))</f>
        <v/>
      </c>
      <c r="X26" s="33" t="str">
        <f aca="false">IF(COUNTIF(Flows!$M$2:$M$1500,$A26&amp;"|"&amp;X$1&amp;"|Input"),IF(COUNTIF(Flows!$M$2:$M$1500,$A26&amp;"|"&amp;X$1&amp;"|Output"),"I/O","IN"),IF(COUNTIF(Flows!$M$2:$M$1500,$A26&amp;"|"&amp;X$1&amp;"|Output"),"OUT",""))</f>
        <v>IN</v>
      </c>
      <c r="Y26" s="33" t="str">
        <f aca="false">IF(COUNTIF(Flows!$M$2:$M$1500,$A26&amp;"|"&amp;Y$1&amp;"|Input"),IF(COUNTIF(Flows!$M$2:$M$1500,$A26&amp;"|"&amp;Y$1&amp;"|Output"),"I/O","IN"),IF(COUNTIF(Flows!$M$2:$M$1500,$A26&amp;"|"&amp;Y$1&amp;"|Output"),"OUT",""))</f>
        <v/>
      </c>
      <c r="Z26" s="33" t="str">
        <f aca="false">IF(COUNTIF(Flows!$M$2:$M$1500,$A26&amp;"|"&amp;Z$1&amp;"|Input"),IF(COUNTIF(Flows!$M$2:$M$1500,$A26&amp;"|"&amp;Z$1&amp;"|Output"),"I/O","IN"),IF(COUNTIF(Flows!$M$2:$M$1500,$A26&amp;"|"&amp;Z$1&amp;"|Output"),"OUT",""))</f>
        <v>IN</v>
      </c>
      <c r="AA26" s="33" t="str">
        <f aca="false">IF(COUNTIF(Flows!$M$2:$M$1500,$A26&amp;"|"&amp;AA$1&amp;"|Input"),IF(COUNTIF(Flows!$M$2:$M$1500,$A26&amp;"|"&amp;AA$1&amp;"|Output"),"I/O","IN"),IF(COUNTIF(Flows!$M$2:$M$1500,$A26&amp;"|"&amp;AA$1&amp;"|Output"),"OUT",""))</f>
        <v/>
      </c>
      <c r="AB26" s="33" t="str">
        <f aca="false">IF(COUNTIF(Flows!$M$2:$M$1500,$A26&amp;"|"&amp;AB$1&amp;"|Input"),IF(COUNTIF(Flows!$M$2:$M$1500,$A26&amp;"|"&amp;AB$1&amp;"|Output"),"I/O","IN"),IF(COUNTIF(Flows!$M$2:$M$1500,$A26&amp;"|"&amp;AB$1&amp;"|Output"),"OUT",""))</f>
        <v/>
      </c>
      <c r="AC26" s="33" t="str">
        <f aca="false">IF(COUNTIF(Flows!$M$2:$M$1500,$A26&amp;"|"&amp;AC$1&amp;"|Input"),IF(COUNTIF(Flows!$M$2:$M$1500,$A26&amp;"|"&amp;AC$1&amp;"|Output"),"I/O","IN"),IF(COUNTIF(Flows!$M$2:$M$1500,$A26&amp;"|"&amp;AC$1&amp;"|Output"),"OUT",""))</f>
        <v/>
      </c>
      <c r="AD26" s="33" t="str">
        <f aca="false">IF(COUNTIF(Flows!$M$2:$M$1500,$A26&amp;"|"&amp;AD$1&amp;"|Input"),IF(COUNTIF(Flows!$M$2:$M$1500,$A26&amp;"|"&amp;AD$1&amp;"|Output"),"I/O","IN"),IF(COUNTIF(Flows!$M$2:$M$1500,$A26&amp;"|"&amp;AD$1&amp;"|Output"),"OUT",""))</f>
        <v/>
      </c>
      <c r="AE26" s="33" t="str">
        <f aca="false">IF(COUNTIF(Flows!$M$2:$M$1500,$A26&amp;"|"&amp;AE$1&amp;"|Input"),IF(COUNTIF(Flows!$M$2:$M$1500,$A26&amp;"|"&amp;AE$1&amp;"|Output"),"I/O","IN"),IF(COUNTIF(Flows!$M$2:$M$1500,$A26&amp;"|"&amp;AE$1&amp;"|Output"),"OUT",""))</f>
        <v/>
      </c>
      <c r="AF26" s="33" t="str">
        <f aca="false">IF(COUNTIF(Flows!$M$2:$M$1500,$A26&amp;"|"&amp;AF$1&amp;"|Input"),IF(COUNTIF(Flows!$M$2:$M$1500,$A26&amp;"|"&amp;AF$1&amp;"|Output"),"I/O","IN"),IF(COUNTIF(Flows!$M$2:$M$1500,$A26&amp;"|"&amp;AF$1&amp;"|Output"),"OUT",""))</f>
        <v/>
      </c>
      <c r="AG26" s="33" t="str">
        <f aca="false">IF(COUNTIF(Flows!$M$2:$M$1500,$A26&amp;"|"&amp;AG$1&amp;"|Input"),IF(COUNTIF(Flows!$M$2:$M$1500,$A26&amp;"|"&amp;AG$1&amp;"|Output"),"I/O","IN"),IF(COUNTIF(Flows!$M$2:$M$1500,$A26&amp;"|"&amp;AG$1&amp;"|Output"),"OUT",""))</f>
        <v/>
      </c>
      <c r="AH26" s="33" t="str">
        <f aca="false">IF(COUNTIF(Flows!$M$2:$M$1500,$A26&amp;"|"&amp;AH$1&amp;"|Input"),IF(COUNTIF(Flows!$M$2:$M$1500,$A26&amp;"|"&amp;AH$1&amp;"|Output"),"I/O","IN"),IF(COUNTIF(Flows!$M$2:$M$1500,$A26&amp;"|"&amp;AH$1&amp;"|Output"),"OUT",""))</f>
        <v/>
      </c>
      <c r="AI26" s="33" t="str">
        <f aca="false">IF(COUNTIF(Flows!$M$2:$M$1500,$A26&amp;"|"&amp;AI$1&amp;"|Input"),IF(COUNTIF(Flows!$M$2:$M$1500,$A26&amp;"|"&amp;AI$1&amp;"|Output"),"I/O","IN"),IF(COUNTIF(Flows!$M$2:$M$1500,$A26&amp;"|"&amp;AI$1&amp;"|Output"),"OUT",""))</f>
        <v/>
      </c>
      <c r="AJ26" s="33" t="str">
        <f aca="false">IF(COUNTIF(Flows!$M$2:$M$1500,$A26&amp;"|"&amp;AJ$1&amp;"|Input"),IF(COUNTIF(Flows!$M$2:$M$1500,$A26&amp;"|"&amp;AJ$1&amp;"|Output"),"I/O","IN"),IF(COUNTIF(Flows!$M$2:$M$1500,$A26&amp;"|"&amp;AJ$1&amp;"|Output"),"OUT",""))</f>
        <v/>
      </c>
      <c r="AK26" s="33" t="str">
        <f aca="false">IF(COUNTIF(Flows!$M$2:$M$1500,$A26&amp;"|"&amp;AK$1&amp;"|Input"),IF(COUNTIF(Flows!$M$2:$M$1500,$A26&amp;"|"&amp;AK$1&amp;"|Output"),"I/O","IN"),IF(COUNTIF(Flows!$M$2:$M$1500,$A26&amp;"|"&amp;AK$1&amp;"|Output"),"OUT",""))</f>
        <v/>
      </c>
      <c r="AL26" s="33" t="str">
        <f aca="false">IF(COUNTIF(Flows!$M$2:$M$1500,$A26&amp;"|"&amp;AL$1&amp;"|Input"),IF(COUNTIF(Flows!$M$2:$M$1500,$A26&amp;"|"&amp;AL$1&amp;"|Output"),"I/O","IN"),IF(COUNTIF(Flows!$M$2:$M$1500,$A26&amp;"|"&amp;AL$1&amp;"|Output"),"OUT",""))</f>
        <v/>
      </c>
      <c r="AM26" s="33" t="str">
        <f aca="false">IF(COUNTIF(Flows!$M$2:$M$1500,$A26&amp;"|"&amp;AM$1&amp;"|Input"),IF(COUNTIF(Flows!$M$2:$M$1500,$A26&amp;"|"&amp;AM$1&amp;"|Output"),"I/O","IN"),IF(COUNTIF(Flows!$M$2:$M$1500,$A26&amp;"|"&amp;AM$1&amp;"|Output"),"OUT",""))</f>
        <v/>
      </c>
      <c r="AN26" s="33" t="str">
        <f aca="false">IF(COUNTIF(Flows!$M$2:$M$1500,$A26&amp;"|"&amp;AN$1&amp;"|Input"),IF(COUNTIF(Flows!$M$2:$M$1500,$A26&amp;"|"&amp;AN$1&amp;"|Output"),"I/O","IN"),IF(COUNTIF(Flows!$M$2:$M$1500,$A26&amp;"|"&amp;AN$1&amp;"|Output"),"OUT",""))</f>
        <v/>
      </c>
      <c r="AO26" s="33" t="str">
        <f aca="false">IF(COUNTIF(Flows!$M$2:$M$1500,$A26&amp;"|"&amp;AO$1&amp;"|Input"),IF(COUNTIF(Flows!$M$2:$M$1500,$A26&amp;"|"&amp;AO$1&amp;"|Output"),"I/O","IN"),IF(COUNTIF(Flows!$M$2:$M$1500,$A26&amp;"|"&amp;AO$1&amp;"|Output"),"OUT",""))</f>
        <v/>
      </c>
      <c r="AP26" s="33" t="str">
        <f aca="false">IF(COUNTIF(Flows!$M$2:$M$1500,$A26&amp;"|"&amp;AP$1&amp;"|Input"),IF(COUNTIF(Flows!$M$2:$M$1500,$A26&amp;"|"&amp;AP$1&amp;"|Output"),"I/O","IN"),IF(COUNTIF(Flows!$M$2:$M$1500,$A26&amp;"|"&amp;AP$1&amp;"|Output"),"OUT",""))</f>
        <v/>
      </c>
      <c r="AQ26" s="33" t="str">
        <f aca="false">IF(COUNTIF(Flows!$M$2:$M$1500,$A26&amp;"|"&amp;AQ$1&amp;"|Input"),IF(COUNTIF(Flows!$M$2:$M$1500,$A26&amp;"|"&amp;AQ$1&amp;"|Output"),"I/O","IN"),IF(COUNTIF(Flows!$M$2:$M$1500,$A26&amp;"|"&amp;AQ$1&amp;"|Output"),"OUT",""))</f>
        <v/>
      </c>
      <c r="AR26" s="33" t="str">
        <f aca="false">IF(COUNTIF(Flows!$M$2:$M$1500,$A26&amp;"|"&amp;AR$1&amp;"|Input"),IF(COUNTIF(Flows!$M$2:$M$1500,$A26&amp;"|"&amp;AR$1&amp;"|Output"),"I/O","IN"),IF(COUNTIF(Flows!$M$2:$M$1500,$A26&amp;"|"&amp;AR$1&amp;"|Output"),"OUT",""))</f>
        <v/>
      </c>
      <c r="AS26" s="33" t="str">
        <f aca="false">IF(COUNTIF(Flows!$M$2:$M$1500,$A26&amp;"|"&amp;AS$1&amp;"|Input"),IF(COUNTIF(Flows!$M$2:$M$1500,$A26&amp;"|"&amp;AS$1&amp;"|Output"),"I/O","IN"),IF(COUNTIF(Flows!$M$2:$M$1500,$A26&amp;"|"&amp;AS$1&amp;"|Output"),"OUT",""))</f>
        <v/>
      </c>
      <c r="AT26" s="33" t="str">
        <f aca="false">IF(COUNTIF(Flows!$M$2:$M$1500,$A26&amp;"|"&amp;AT$1&amp;"|Input"),IF(COUNTIF(Flows!$M$2:$M$1500,$A26&amp;"|"&amp;AT$1&amp;"|Output"),"I/O","IN"),IF(COUNTIF(Flows!$M$2:$M$1500,$A26&amp;"|"&amp;AT$1&amp;"|Output"),"OUT",""))</f>
        <v/>
      </c>
      <c r="AU26" s="33" t="str">
        <f aca="false">IF(COUNTIF(Flows!$M$2:$M$1500,$A26&amp;"|"&amp;AU$1&amp;"|Input"),IF(COUNTIF(Flows!$M$2:$M$1500,$A26&amp;"|"&amp;AU$1&amp;"|Output"),"I/O","IN"),IF(COUNTIF(Flows!$M$2:$M$1500,$A26&amp;"|"&amp;AU$1&amp;"|Output"),"OUT",""))</f>
        <v/>
      </c>
      <c r="AV26" s="33" t="str">
        <f aca="false">IF(COUNTIF(Flows!$M$2:$M$1500,$A26&amp;"|"&amp;AV$1&amp;"|Input"),IF(COUNTIF(Flows!$M$2:$M$1500,$A26&amp;"|"&amp;AV$1&amp;"|Output"),"I/O","IN"),IF(COUNTIF(Flows!$M$2:$M$1500,$A26&amp;"|"&amp;AV$1&amp;"|Output"),"OUT",""))</f>
        <v/>
      </c>
      <c r="AW26" s="33" t="str">
        <f aca="false">IF(COUNTIF(Flows!$M$2:$M$1500,$A26&amp;"|"&amp;AW$1&amp;"|Input"),IF(COUNTIF(Flows!$M$2:$M$1500,$A26&amp;"|"&amp;AW$1&amp;"|Output"),"I/O","IN"),IF(COUNTIF(Flows!$M$2:$M$1500,$A26&amp;"|"&amp;AW$1&amp;"|Output"),"OUT",""))</f>
        <v/>
      </c>
      <c r="AX26" s="33" t="str">
        <f aca="false">IF(COUNTIF(Flows!$M$2:$M$1500,$A26&amp;"|"&amp;AX$1&amp;"|Input"),IF(COUNTIF(Flows!$M$2:$M$1500,$A26&amp;"|"&amp;AX$1&amp;"|Output"),"I/O","IN"),IF(COUNTIF(Flows!$M$2:$M$1500,$A26&amp;"|"&amp;AX$1&amp;"|Output"),"OUT",""))</f>
        <v/>
      </c>
      <c r="AY26" s="33" t="str">
        <f aca="false">IF(COUNTIF(Flows!$M$2:$M$1500,$A26&amp;"|"&amp;AY$1&amp;"|Input"),IF(COUNTIF(Flows!$M$2:$M$1500,$A26&amp;"|"&amp;AY$1&amp;"|Output"),"I/O","IN"),IF(COUNTIF(Flows!$M$2:$M$1500,$A26&amp;"|"&amp;AY$1&amp;"|Output"),"OUT",""))</f>
        <v/>
      </c>
      <c r="AZ26" s="33" t="str">
        <f aca="false">IF(COUNTIF(Flows!$M$2:$M$1500,$A26&amp;"|"&amp;AZ$1&amp;"|Input"),IF(COUNTIF(Flows!$M$2:$M$1500,$A26&amp;"|"&amp;AZ$1&amp;"|Output"),"I/O","IN"),IF(COUNTIF(Flows!$M$2:$M$1500,$A26&amp;"|"&amp;AZ$1&amp;"|Output"),"OUT",""))</f>
        <v/>
      </c>
      <c r="BA26" s="33" t="str">
        <f aca="false">IF(COUNTIF(Flows!$M$2:$M$1500,$A26&amp;"|"&amp;BA$1&amp;"|Input"),IF(COUNTIF(Flows!$M$2:$M$1500,$A26&amp;"|"&amp;BA$1&amp;"|Output"),"I/O","IN"),IF(COUNTIF(Flows!$M$2:$M$1500,$A26&amp;"|"&amp;BA$1&amp;"|Output"),"OUT",""))</f>
        <v/>
      </c>
      <c r="BB26" s="33" t="str">
        <f aca="false">IF(COUNTIF(Flows!$M$2:$M$1500,$A26&amp;"|"&amp;BB$1&amp;"|Input"),IF(COUNTIF(Flows!$M$2:$M$1500,$A26&amp;"|"&amp;BB$1&amp;"|Output"),"I/O","IN"),IF(COUNTIF(Flows!$M$2:$M$1500,$A26&amp;"|"&amp;BB$1&amp;"|Output"),"OUT",""))</f>
        <v/>
      </c>
      <c r="BC26" s="33" t="str">
        <f aca="false">IF(COUNTIF(Flows!$M$2:$M$1500,$A26&amp;"|"&amp;BC$1&amp;"|Input"),IF(COUNTIF(Flows!$M$2:$M$1500,$A26&amp;"|"&amp;BC$1&amp;"|Output"),"I/O","IN"),IF(COUNTIF(Flows!$M$2:$M$1500,$A26&amp;"|"&amp;BC$1&amp;"|Output"),"OUT",""))</f>
        <v/>
      </c>
      <c r="BD26" s="33" t="str">
        <f aca="false">IF(COUNTIF(Flows!$M$2:$M$1500,$A26&amp;"|"&amp;BD$1&amp;"|Input"),IF(COUNTIF(Flows!$M$2:$M$1500,$A26&amp;"|"&amp;BD$1&amp;"|Output"),"I/O","IN"),IF(COUNTIF(Flows!$M$2:$M$1500,$A26&amp;"|"&amp;BD$1&amp;"|Output"),"OUT",""))</f>
        <v/>
      </c>
      <c r="BE26" s="33" t="str">
        <f aca="false">IF(COUNTIF(Flows!$M$2:$M$1500,$A26&amp;"|"&amp;BE$1&amp;"|Input"),IF(COUNTIF(Flows!$M$2:$M$1500,$A26&amp;"|"&amp;BE$1&amp;"|Output"),"I/O","IN"),IF(COUNTIF(Flows!$M$2:$M$1500,$A26&amp;"|"&amp;BE$1&amp;"|Output"),"OUT",""))</f>
        <v/>
      </c>
      <c r="BF26" s="33" t="str">
        <f aca="false">IF(COUNTIF(Flows!$M$2:$M$1500,$A26&amp;"|"&amp;BF$1&amp;"|Input"),IF(COUNTIF(Flows!$M$2:$M$1500,$A26&amp;"|"&amp;BF$1&amp;"|Output"),"I/O","IN"),IF(COUNTIF(Flows!$M$2:$M$1500,$A26&amp;"|"&amp;BF$1&amp;"|Output"),"OUT",""))</f>
        <v/>
      </c>
      <c r="BG26" s="33" t="str">
        <f aca="false">IF(COUNTIF(Flows!$M$2:$M$1500,$A26&amp;"|"&amp;BG$1&amp;"|Input"),IF(COUNTIF(Flows!$M$2:$M$1500,$A26&amp;"|"&amp;BG$1&amp;"|Output"),"I/O","IN"),IF(COUNTIF(Flows!$M$2:$M$1500,$A26&amp;"|"&amp;BG$1&amp;"|Output"),"OUT",""))</f>
        <v/>
      </c>
      <c r="BH26" s="33" t="str">
        <f aca="false">IF(COUNTIF(Flows!$M$2:$M$1500,$A26&amp;"|"&amp;BH$1&amp;"|Input"),IF(COUNTIF(Flows!$M$2:$M$1500,$A26&amp;"|"&amp;BH$1&amp;"|Output"),"I/O","IN"),IF(COUNTIF(Flows!$M$2:$M$1500,$A26&amp;"|"&amp;BH$1&amp;"|Output"),"OUT",""))</f>
        <v/>
      </c>
      <c r="BI26" s="33" t="str">
        <f aca="false">IF(COUNTIF(Flows!$M$2:$M$1500,$A26&amp;"|"&amp;BI$1&amp;"|Input"),IF(COUNTIF(Flows!$M$2:$M$1500,$A26&amp;"|"&amp;BI$1&amp;"|Output"),"I/O","IN"),IF(COUNTIF(Flows!$M$2:$M$1500,$A26&amp;"|"&amp;BI$1&amp;"|Output"),"OUT",""))</f>
        <v/>
      </c>
      <c r="BJ26" s="33" t="str">
        <f aca="false">IF(COUNTIF(Flows!$M$2:$M$1500,$A26&amp;"|"&amp;BJ$1&amp;"|Input"),IF(COUNTIF(Flows!$M$2:$M$1500,$A26&amp;"|"&amp;BJ$1&amp;"|Output"),"I/O","IN"),IF(COUNTIF(Flows!$M$2:$M$1500,$A26&amp;"|"&amp;BJ$1&amp;"|Output"),"OUT",""))</f>
        <v/>
      </c>
      <c r="BK26" s="33" t="str">
        <f aca="false">IF(COUNTIF(Flows!$M$2:$M$1500,$A26&amp;"|"&amp;BK$1&amp;"|Input"),IF(COUNTIF(Flows!$M$2:$M$1500,$A26&amp;"|"&amp;BK$1&amp;"|Output"),"I/O","IN"),IF(COUNTIF(Flows!$M$2:$M$1500,$A26&amp;"|"&amp;BK$1&amp;"|Output"),"OUT",""))</f>
        <v/>
      </c>
    </row>
    <row r="27" customFormat="false" ht="15" hidden="false" customHeight="true" outlineLevel="0" collapsed="false">
      <c r="A27" s="6" t="str">
        <f aca="false">Systems!B27</f>
        <v>WaterDrop Water Filter</v>
      </c>
      <c r="B27" s="33" t="str">
        <f aca="false">IF(COUNTIF(Flows!$M$2:$M$1500,$A27&amp;"|"&amp;B$1&amp;"|Input"),IF(COUNTIF(Flows!$M$2:$M$1500,$A27&amp;"|"&amp;B$1&amp;"|Output"),"I/O","IN"),IF(COUNTIF(Flows!$M$2:$M$1500,$A27&amp;"|"&amp;B$1&amp;"|Output"),"OUT",""))</f>
        <v>IN</v>
      </c>
      <c r="C27" s="33" t="str">
        <f aca="false">IF(COUNTIF(Flows!$M$2:$M$1500,$A27&amp;"|"&amp;C$1&amp;"|Input"),IF(COUNTIF(Flows!$M$2:$M$1500,$A27&amp;"|"&amp;C$1&amp;"|Output"),"I/O","IN"),IF(COUNTIF(Flows!$M$2:$M$1500,$A27&amp;"|"&amp;C$1&amp;"|Output"),"OUT",""))</f>
        <v>OUT</v>
      </c>
      <c r="D27" s="33" t="str">
        <f aca="false">IF(COUNTIF(Flows!$M$2:$M$1500,$A27&amp;"|"&amp;D$1&amp;"|Input"),IF(COUNTIF(Flows!$M$2:$M$1500,$A27&amp;"|"&amp;D$1&amp;"|Output"),"I/O","IN"),IF(COUNTIF(Flows!$M$2:$M$1500,$A27&amp;"|"&amp;D$1&amp;"|Output"),"OUT",""))</f>
        <v/>
      </c>
      <c r="E27" s="33" t="str">
        <f aca="false">IF(COUNTIF(Flows!$M$2:$M$1500,$A27&amp;"|"&amp;E$1&amp;"|Input"),IF(COUNTIF(Flows!$M$2:$M$1500,$A27&amp;"|"&amp;E$1&amp;"|Output"),"I/O","IN"),IF(COUNTIF(Flows!$M$2:$M$1500,$A27&amp;"|"&amp;E$1&amp;"|Output"),"OUT",""))</f>
        <v>OUT</v>
      </c>
      <c r="F27" s="33" t="str">
        <f aca="false">IF(COUNTIF(Flows!$M$2:$M$1500,$A27&amp;"|"&amp;F$1&amp;"|Input"),IF(COUNTIF(Flows!$M$2:$M$1500,$A27&amp;"|"&amp;F$1&amp;"|Output"),"I/O","IN"),IF(COUNTIF(Flows!$M$2:$M$1500,$A27&amp;"|"&amp;F$1&amp;"|Output"),"OUT",""))</f>
        <v/>
      </c>
      <c r="G27" s="33" t="str">
        <f aca="false">IF(COUNTIF(Flows!$M$2:$M$1500,$A27&amp;"|"&amp;G$1&amp;"|Input"),IF(COUNTIF(Flows!$M$2:$M$1500,$A27&amp;"|"&amp;G$1&amp;"|Output"),"I/O","IN"),IF(COUNTIF(Flows!$M$2:$M$1500,$A27&amp;"|"&amp;G$1&amp;"|Output"),"OUT",""))</f>
        <v/>
      </c>
      <c r="H27" s="33" t="str">
        <f aca="false">IF(COUNTIF(Flows!$M$2:$M$1500,$A27&amp;"|"&amp;H$1&amp;"|Input"),IF(COUNTIF(Flows!$M$2:$M$1500,$A27&amp;"|"&amp;H$1&amp;"|Output"),"I/O","IN"),IF(COUNTIF(Flows!$M$2:$M$1500,$A27&amp;"|"&amp;H$1&amp;"|Output"),"OUT",""))</f>
        <v/>
      </c>
      <c r="I27" s="33" t="str">
        <f aca="false">IF(COUNTIF(Flows!$M$2:$M$1500,$A27&amp;"|"&amp;I$1&amp;"|Input"),IF(COUNTIF(Flows!$M$2:$M$1500,$A27&amp;"|"&amp;I$1&amp;"|Output"),"I/O","IN"),IF(COUNTIF(Flows!$M$2:$M$1500,$A27&amp;"|"&amp;I$1&amp;"|Output"),"OUT",""))</f>
        <v/>
      </c>
      <c r="J27" s="33" t="str">
        <f aca="false">IF(COUNTIF(Flows!$M$2:$M$1500,$A27&amp;"|"&amp;J$1&amp;"|Input"),IF(COUNTIF(Flows!$M$2:$M$1500,$A27&amp;"|"&amp;J$1&amp;"|Output"),"I/O","IN"),IF(COUNTIF(Flows!$M$2:$M$1500,$A27&amp;"|"&amp;J$1&amp;"|Output"),"OUT",""))</f>
        <v/>
      </c>
      <c r="K27" s="33" t="str">
        <f aca="false">IF(COUNTIF(Flows!$M$2:$M$1500,$A27&amp;"|"&amp;K$1&amp;"|Input"),IF(COUNTIF(Flows!$M$2:$M$1500,$A27&amp;"|"&amp;K$1&amp;"|Output"),"I/O","IN"),IF(COUNTIF(Flows!$M$2:$M$1500,$A27&amp;"|"&amp;K$1&amp;"|Output"),"OUT",""))</f>
        <v/>
      </c>
      <c r="L27" s="33" t="str">
        <f aca="false">IF(COUNTIF(Flows!$M$2:$M$1500,$A27&amp;"|"&amp;L$1&amp;"|Input"),IF(COUNTIF(Flows!$M$2:$M$1500,$A27&amp;"|"&amp;L$1&amp;"|Output"),"I/O","IN"),IF(COUNTIF(Flows!$M$2:$M$1500,$A27&amp;"|"&amp;L$1&amp;"|Output"),"OUT",""))</f>
        <v/>
      </c>
      <c r="M27" s="33" t="str">
        <f aca="false">IF(COUNTIF(Flows!$M$2:$M$1500,$A27&amp;"|"&amp;M$1&amp;"|Input"),IF(COUNTIF(Flows!$M$2:$M$1500,$A27&amp;"|"&amp;M$1&amp;"|Output"),"I/O","IN"),IF(COUNTIF(Flows!$M$2:$M$1500,$A27&amp;"|"&amp;M$1&amp;"|Output"),"OUT",""))</f>
        <v/>
      </c>
      <c r="N27" s="33" t="str">
        <f aca="false">IF(COUNTIF(Flows!$M$2:$M$1500,$A27&amp;"|"&amp;N$1&amp;"|Input"),IF(COUNTIF(Flows!$M$2:$M$1500,$A27&amp;"|"&amp;N$1&amp;"|Output"),"I/O","IN"),IF(COUNTIF(Flows!$M$2:$M$1500,$A27&amp;"|"&amp;N$1&amp;"|Output"),"OUT",""))</f>
        <v/>
      </c>
      <c r="O27" s="33" t="str">
        <f aca="false">IF(COUNTIF(Flows!$M$2:$M$1500,$A27&amp;"|"&amp;O$1&amp;"|Input"),IF(COUNTIF(Flows!$M$2:$M$1500,$A27&amp;"|"&amp;O$1&amp;"|Output"),"I/O","IN"),IF(COUNTIF(Flows!$M$2:$M$1500,$A27&amp;"|"&amp;O$1&amp;"|Output"),"OUT",""))</f>
        <v/>
      </c>
      <c r="P27" s="33" t="str">
        <f aca="false">IF(COUNTIF(Flows!$M$2:$M$1500,$A27&amp;"|"&amp;P$1&amp;"|Input"),IF(COUNTIF(Flows!$M$2:$M$1500,$A27&amp;"|"&amp;P$1&amp;"|Output"),"I/O","IN"),IF(COUNTIF(Flows!$M$2:$M$1500,$A27&amp;"|"&amp;P$1&amp;"|Output"),"OUT",""))</f>
        <v/>
      </c>
      <c r="Q27" s="33" t="str">
        <f aca="false">IF(COUNTIF(Flows!$M$2:$M$1500,$A27&amp;"|"&amp;Q$1&amp;"|Input"),IF(COUNTIF(Flows!$M$2:$M$1500,$A27&amp;"|"&amp;Q$1&amp;"|Output"),"I/O","IN"),IF(COUNTIF(Flows!$M$2:$M$1500,$A27&amp;"|"&amp;Q$1&amp;"|Output"),"OUT",""))</f>
        <v/>
      </c>
      <c r="R27" s="33" t="str">
        <f aca="false">IF(COUNTIF(Flows!$M$2:$M$1500,$A27&amp;"|"&amp;R$1&amp;"|Input"),IF(COUNTIF(Flows!$M$2:$M$1500,$A27&amp;"|"&amp;R$1&amp;"|Output"),"I/O","IN"),IF(COUNTIF(Flows!$M$2:$M$1500,$A27&amp;"|"&amp;R$1&amp;"|Output"),"OUT",""))</f>
        <v/>
      </c>
      <c r="S27" s="33" t="str">
        <f aca="false">IF(COUNTIF(Flows!$M$2:$M$1500,$A27&amp;"|"&amp;S$1&amp;"|Input"),IF(COUNTIF(Flows!$M$2:$M$1500,$A27&amp;"|"&amp;S$1&amp;"|Output"),"I/O","IN"),IF(COUNTIF(Flows!$M$2:$M$1500,$A27&amp;"|"&amp;S$1&amp;"|Output"),"OUT",""))</f>
        <v>IN</v>
      </c>
      <c r="T27" s="33" t="str">
        <f aca="false">IF(COUNTIF(Flows!$M$2:$M$1500,$A27&amp;"|"&amp;T$1&amp;"|Input"),IF(COUNTIF(Flows!$M$2:$M$1500,$A27&amp;"|"&amp;T$1&amp;"|Output"),"I/O","IN"),IF(COUNTIF(Flows!$M$2:$M$1500,$A27&amp;"|"&amp;T$1&amp;"|Output"),"OUT",""))</f>
        <v/>
      </c>
      <c r="U27" s="33" t="str">
        <f aca="false">IF(COUNTIF(Flows!$M$2:$M$1500,$A27&amp;"|"&amp;U$1&amp;"|Input"),IF(COUNTIF(Flows!$M$2:$M$1500,$A27&amp;"|"&amp;U$1&amp;"|Output"),"I/O","IN"),IF(COUNTIF(Flows!$M$2:$M$1500,$A27&amp;"|"&amp;U$1&amp;"|Output"),"OUT",""))</f>
        <v/>
      </c>
      <c r="V27" s="33" t="str">
        <f aca="false">IF(COUNTIF(Flows!$M$2:$M$1500,$A27&amp;"|"&amp;V$1&amp;"|Input"),IF(COUNTIF(Flows!$M$2:$M$1500,$A27&amp;"|"&amp;V$1&amp;"|Output"),"I/O","IN"),IF(COUNTIF(Flows!$M$2:$M$1500,$A27&amp;"|"&amp;V$1&amp;"|Output"),"OUT",""))</f>
        <v/>
      </c>
      <c r="W27" s="33" t="str">
        <f aca="false">IF(COUNTIF(Flows!$M$2:$M$1500,$A27&amp;"|"&amp;W$1&amp;"|Input"),IF(COUNTIF(Flows!$M$2:$M$1500,$A27&amp;"|"&amp;W$1&amp;"|Output"),"I/O","IN"),IF(COUNTIF(Flows!$M$2:$M$1500,$A27&amp;"|"&amp;W$1&amp;"|Output"),"OUT",""))</f>
        <v/>
      </c>
      <c r="X27" s="33" t="str">
        <f aca="false">IF(COUNTIF(Flows!$M$2:$M$1500,$A27&amp;"|"&amp;X$1&amp;"|Input"),IF(COUNTIF(Flows!$M$2:$M$1500,$A27&amp;"|"&amp;X$1&amp;"|Output"),"I/O","IN"),IF(COUNTIF(Flows!$M$2:$M$1500,$A27&amp;"|"&amp;X$1&amp;"|Output"),"OUT",""))</f>
        <v>IN</v>
      </c>
      <c r="Y27" s="33" t="str">
        <f aca="false">IF(COUNTIF(Flows!$M$2:$M$1500,$A27&amp;"|"&amp;Y$1&amp;"|Input"),IF(COUNTIF(Flows!$M$2:$M$1500,$A27&amp;"|"&amp;Y$1&amp;"|Output"),"I/O","IN"),IF(COUNTIF(Flows!$M$2:$M$1500,$A27&amp;"|"&amp;Y$1&amp;"|Output"),"OUT",""))</f>
        <v/>
      </c>
      <c r="Z27" s="33" t="str">
        <f aca="false">IF(COUNTIF(Flows!$M$2:$M$1500,$A27&amp;"|"&amp;Z$1&amp;"|Input"),IF(COUNTIF(Flows!$M$2:$M$1500,$A27&amp;"|"&amp;Z$1&amp;"|Output"),"I/O","IN"),IF(COUNTIF(Flows!$M$2:$M$1500,$A27&amp;"|"&amp;Z$1&amp;"|Output"),"OUT",""))</f>
        <v/>
      </c>
      <c r="AA27" s="33" t="str">
        <f aca="false">IF(COUNTIF(Flows!$M$2:$M$1500,$A27&amp;"|"&amp;AA$1&amp;"|Input"),IF(COUNTIF(Flows!$M$2:$M$1500,$A27&amp;"|"&amp;AA$1&amp;"|Output"),"I/O","IN"),IF(COUNTIF(Flows!$M$2:$M$1500,$A27&amp;"|"&amp;AA$1&amp;"|Output"),"OUT",""))</f>
        <v/>
      </c>
      <c r="AB27" s="33" t="str">
        <f aca="false">IF(COUNTIF(Flows!$M$2:$M$1500,$A27&amp;"|"&amp;AB$1&amp;"|Input"),IF(COUNTIF(Flows!$M$2:$M$1500,$A27&amp;"|"&amp;AB$1&amp;"|Output"),"I/O","IN"),IF(COUNTIF(Flows!$M$2:$M$1500,$A27&amp;"|"&amp;AB$1&amp;"|Output"),"OUT",""))</f>
        <v/>
      </c>
      <c r="AC27" s="33" t="str">
        <f aca="false">IF(COUNTIF(Flows!$M$2:$M$1500,$A27&amp;"|"&amp;AC$1&amp;"|Input"),IF(COUNTIF(Flows!$M$2:$M$1500,$A27&amp;"|"&amp;AC$1&amp;"|Output"),"I/O","IN"),IF(COUNTIF(Flows!$M$2:$M$1500,$A27&amp;"|"&amp;AC$1&amp;"|Output"),"OUT",""))</f>
        <v/>
      </c>
      <c r="AD27" s="33" t="str">
        <f aca="false">IF(COUNTIF(Flows!$M$2:$M$1500,$A27&amp;"|"&amp;AD$1&amp;"|Input"),IF(COUNTIF(Flows!$M$2:$M$1500,$A27&amp;"|"&amp;AD$1&amp;"|Output"),"I/O","IN"),IF(COUNTIF(Flows!$M$2:$M$1500,$A27&amp;"|"&amp;AD$1&amp;"|Output"),"OUT",""))</f>
        <v/>
      </c>
      <c r="AE27" s="33" t="str">
        <f aca="false">IF(COUNTIF(Flows!$M$2:$M$1500,$A27&amp;"|"&amp;AE$1&amp;"|Input"),IF(COUNTIF(Flows!$M$2:$M$1500,$A27&amp;"|"&amp;AE$1&amp;"|Output"),"I/O","IN"),IF(COUNTIF(Flows!$M$2:$M$1500,$A27&amp;"|"&amp;AE$1&amp;"|Output"),"OUT",""))</f>
        <v/>
      </c>
      <c r="AF27" s="33" t="str">
        <f aca="false">IF(COUNTIF(Flows!$M$2:$M$1500,$A27&amp;"|"&amp;AF$1&amp;"|Input"),IF(COUNTIF(Flows!$M$2:$M$1500,$A27&amp;"|"&amp;AF$1&amp;"|Output"),"I/O","IN"),IF(COUNTIF(Flows!$M$2:$M$1500,$A27&amp;"|"&amp;AF$1&amp;"|Output"),"OUT",""))</f>
        <v/>
      </c>
      <c r="AG27" s="33" t="str">
        <f aca="false">IF(COUNTIF(Flows!$M$2:$M$1500,$A27&amp;"|"&amp;AG$1&amp;"|Input"),IF(COUNTIF(Flows!$M$2:$M$1500,$A27&amp;"|"&amp;AG$1&amp;"|Output"),"I/O","IN"),IF(COUNTIF(Flows!$M$2:$M$1500,$A27&amp;"|"&amp;AG$1&amp;"|Output"),"OUT",""))</f>
        <v/>
      </c>
      <c r="AH27" s="33" t="str">
        <f aca="false">IF(COUNTIF(Flows!$M$2:$M$1500,$A27&amp;"|"&amp;AH$1&amp;"|Input"),IF(COUNTIF(Flows!$M$2:$M$1500,$A27&amp;"|"&amp;AH$1&amp;"|Output"),"I/O","IN"),IF(COUNTIF(Flows!$M$2:$M$1500,$A27&amp;"|"&amp;AH$1&amp;"|Output"),"OUT",""))</f>
        <v/>
      </c>
      <c r="AI27" s="33" t="str">
        <f aca="false">IF(COUNTIF(Flows!$M$2:$M$1500,$A27&amp;"|"&amp;AI$1&amp;"|Input"),IF(COUNTIF(Flows!$M$2:$M$1500,$A27&amp;"|"&amp;AI$1&amp;"|Output"),"I/O","IN"),IF(COUNTIF(Flows!$M$2:$M$1500,$A27&amp;"|"&amp;AI$1&amp;"|Output"),"OUT",""))</f>
        <v/>
      </c>
      <c r="AJ27" s="33" t="str">
        <f aca="false">IF(COUNTIF(Flows!$M$2:$M$1500,$A27&amp;"|"&amp;AJ$1&amp;"|Input"),IF(COUNTIF(Flows!$M$2:$M$1500,$A27&amp;"|"&amp;AJ$1&amp;"|Output"),"I/O","IN"),IF(COUNTIF(Flows!$M$2:$M$1500,$A27&amp;"|"&amp;AJ$1&amp;"|Output"),"OUT",""))</f>
        <v/>
      </c>
      <c r="AK27" s="33" t="str">
        <f aca="false">IF(COUNTIF(Flows!$M$2:$M$1500,$A27&amp;"|"&amp;AK$1&amp;"|Input"),IF(COUNTIF(Flows!$M$2:$M$1500,$A27&amp;"|"&amp;AK$1&amp;"|Output"),"I/O","IN"),IF(COUNTIF(Flows!$M$2:$M$1500,$A27&amp;"|"&amp;AK$1&amp;"|Output"),"OUT",""))</f>
        <v/>
      </c>
      <c r="AL27" s="33" t="str">
        <f aca="false">IF(COUNTIF(Flows!$M$2:$M$1500,$A27&amp;"|"&amp;AL$1&amp;"|Input"),IF(COUNTIF(Flows!$M$2:$M$1500,$A27&amp;"|"&amp;AL$1&amp;"|Output"),"I/O","IN"),IF(COUNTIF(Flows!$M$2:$M$1500,$A27&amp;"|"&amp;AL$1&amp;"|Output"),"OUT",""))</f>
        <v/>
      </c>
      <c r="AM27" s="33" t="str">
        <f aca="false">IF(COUNTIF(Flows!$M$2:$M$1500,$A27&amp;"|"&amp;AM$1&amp;"|Input"),IF(COUNTIF(Flows!$M$2:$M$1500,$A27&amp;"|"&amp;AM$1&amp;"|Output"),"I/O","IN"),IF(COUNTIF(Flows!$M$2:$M$1500,$A27&amp;"|"&amp;AM$1&amp;"|Output"),"OUT",""))</f>
        <v/>
      </c>
      <c r="AN27" s="33" t="str">
        <f aca="false">IF(COUNTIF(Flows!$M$2:$M$1500,$A27&amp;"|"&amp;AN$1&amp;"|Input"),IF(COUNTIF(Flows!$M$2:$M$1500,$A27&amp;"|"&amp;AN$1&amp;"|Output"),"I/O","IN"),IF(COUNTIF(Flows!$M$2:$M$1500,$A27&amp;"|"&amp;AN$1&amp;"|Output"),"OUT",""))</f>
        <v/>
      </c>
      <c r="AO27" s="33" t="str">
        <f aca="false">IF(COUNTIF(Flows!$M$2:$M$1500,$A27&amp;"|"&amp;AO$1&amp;"|Input"),IF(COUNTIF(Flows!$M$2:$M$1500,$A27&amp;"|"&amp;AO$1&amp;"|Output"),"I/O","IN"),IF(COUNTIF(Flows!$M$2:$M$1500,$A27&amp;"|"&amp;AO$1&amp;"|Output"),"OUT",""))</f>
        <v/>
      </c>
      <c r="AP27" s="33" t="str">
        <f aca="false">IF(COUNTIF(Flows!$M$2:$M$1500,$A27&amp;"|"&amp;AP$1&amp;"|Input"),IF(COUNTIF(Flows!$M$2:$M$1500,$A27&amp;"|"&amp;AP$1&amp;"|Output"),"I/O","IN"),IF(COUNTIF(Flows!$M$2:$M$1500,$A27&amp;"|"&amp;AP$1&amp;"|Output"),"OUT",""))</f>
        <v/>
      </c>
      <c r="AQ27" s="33" t="str">
        <f aca="false">IF(COUNTIF(Flows!$M$2:$M$1500,$A27&amp;"|"&amp;AQ$1&amp;"|Input"),IF(COUNTIF(Flows!$M$2:$M$1500,$A27&amp;"|"&amp;AQ$1&amp;"|Output"),"I/O","IN"),IF(COUNTIF(Flows!$M$2:$M$1500,$A27&amp;"|"&amp;AQ$1&amp;"|Output"),"OUT",""))</f>
        <v/>
      </c>
      <c r="AR27" s="33" t="str">
        <f aca="false">IF(COUNTIF(Flows!$M$2:$M$1500,$A27&amp;"|"&amp;AR$1&amp;"|Input"),IF(COUNTIF(Flows!$M$2:$M$1500,$A27&amp;"|"&amp;AR$1&amp;"|Output"),"I/O","IN"),IF(COUNTIF(Flows!$M$2:$M$1500,$A27&amp;"|"&amp;AR$1&amp;"|Output"),"OUT",""))</f>
        <v/>
      </c>
      <c r="AS27" s="33" t="str">
        <f aca="false">IF(COUNTIF(Flows!$M$2:$M$1500,$A27&amp;"|"&amp;AS$1&amp;"|Input"),IF(COUNTIF(Flows!$M$2:$M$1500,$A27&amp;"|"&amp;AS$1&amp;"|Output"),"I/O","IN"),IF(COUNTIF(Flows!$M$2:$M$1500,$A27&amp;"|"&amp;AS$1&amp;"|Output"),"OUT",""))</f>
        <v/>
      </c>
      <c r="AT27" s="33" t="str">
        <f aca="false">IF(COUNTIF(Flows!$M$2:$M$1500,$A27&amp;"|"&amp;AT$1&amp;"|Input"),IF(COUNTIF(Flows!$M$2:$M$1500,$A27&amp;"|"&amp;AT$1&amp;"|Output"),"I/O","IN"),IF(COUNTIF(Flows!$M$2:$M$1500,$A27&amp;"|"&amp;AT$1&amp;"|Output"),"OUT",""))</f>
        <v/>
      </c>
      <c r="AU27" s="33" t="str">
        <f aca="false">IF(COUNTIF(Flows!$M$2:$M$1500,$A27&amp;"|"&amp;AU$1&amp;"|Input"),IF(COUNTIF(Flows!$M$2:$M$1500,$A27&amp;"|"&amp;AU$1&amp;"|Output"),"I/O","IN"),IF(COUNTIF(Flows!$M$2:$M$1500,$A27&amp;"|"&amp;AU$1&amp;"|Output"),"OUT",""))</f>
        <v/>
      </c>
      <c r="AV27" s="33" t="str">
        <f aca="false">IF(COUNTIF(Flows!$M$2:$M$1500,$A27&amp;"|"&amp;AV$1&amp;"|Input"),IF(COUNTIF(Flows!$M$2:$M$1500,$A27&amp;"|"&amp;AV$1&amp;"|Output"),"I/O","IN"),IF(COUNTIF(Flows!$M$2:$M$1500,$A27&amp;"|"&amp;AV$1&amp;"|Output"),"OUT",""))</f>
        <v/>
      </c>
      <c r="AW27" s="33" t="str">
        <f aca="false">IF(COUNTIF(Flows!$M$2:$M$1500,$A27&amp;"|"&amp;AW$1&amp;"|Input"),IF(COUNTIF(Flows!$M$2:$M$1500,$A27&amp;"|"&amp;AW$1&amp;"|Output"),"I/O","IN"),IF(COUNTIF(Flows!$M$2:$M$1500,$A27&amp;"|"&amp;AW$1&amp;"|Output"),"OUT",""))</f>
        <v/>
      </c>
      <c r="AX27" s="33" t="str">
        <f aca="false">IF(COUNTIF(Flows!$M$2:$M$1500,$A27&amp;"|"&amp;AX$1&amp;"|Input"),IF(COUNTIF(Flows!$M$2:$M$1500,$A27&amp;"|"&amp;AX$1&amp;"|Output"),"I/O","IN"),IF(COUNTIF(Flows!$M$2:$M$1500,$A27&amp;"|"&amp;AX$1&amp;"|Output"),"OUT",""))</f>
        <v/>
      </c>
      <c r="AY27" s="33" t="str">
        <f aca="false">IF(COUNTIF(Flows!$M$2:$M$1500,$A27&amp;"|"&amp;AY$1&amp;"|Input"),IF(COUNTIF(Flows!$M$2:$M$1500,$A27&amp;"|"&amp;AY$1&amp;"|Output"),"I/O","IN"),IF(COUNTIF(Flows!$M$2:$M$1500,$A27&amp;"|"&amp;AY$1&amp;"|Output"),"OUT",""))</f>
        <v/>
      </c>
      <c r="AZ27" s="33" t="str">
        <f aca="false">IF(COUNTIF(Flows!$M$2:$M$1500,$A27&amp;"|"&amp;AZ$1&amp;"|Input"),IF(COUNTIF(Flows!$M$2:$M$1500,$A27&amp;"|"&amp;AZ$1&amp;"|Output"),"I/O","IN"),IF(COUNTIF(Flows!$M$2:$M$1500,$A27&amp;"|"&amp;AZ$1&amp;"|Output"),"OUT",""))</f>
        <v/>
      </c>
      <c r="BA27" s="33" t="str">
        <f aca="false">IF(COUNTIF(Flows!$M$2:$M$1500,$A27&amp;"|"&amp;BA$1&amp;"|Input"),IF(COUNTIF(Flows!$M$2:$M$1500,$A27&amp;"|"&amp;BA$1&amp;"|Output"),"I/O","IN"),IF(COUNTIF(Flows!$M$2:$M$1500,$A27&amp;"|"&amp;BA$1&amp;"|Output"),"OUT",""))</f>
        <v/>
      </c>
      <c r="BB27" s="33" t="str">
        <f aca="false">IF(COUNTIF(Flows!$M$2:$M$1500,$A27&amp;"|"&amp;BB$1&amp;"|Input"),IF(COUNTIF(Flows!$M$2:$M$1500,$A27&amp;"|"&amp;BB$1&amp;"|Output"),"I/O","IN"),IF(COUNTIF(Flows!$M$2:$M$1500,$A27&amp;"|"&amp;BB$1&amp;"|Output"),"OUT",""))</f>
        <v/>
      </c>
      <c r="BC27" s="33" t="str">
        <f aca="false">IF(COUNTIF(Flows!$M$2:$M$1500,$A27&amp;"|"&amp;BC$1&amp;"|Input"),IF(COUNTIF(Flows!$M$2:$M$1500,$A27&amp;"|"&amp;BC$1&amp;"|Output"),"I/O","IN"),IF(COUNTIF(Flows!$M$2:$M$1500,$A27&amp;"|"&amp;BC$1&amp;"|Output"),"OUT",""))</f>
        <v/>
      </c>
      <c r="BD27" s="33" t="str">
        <f aca="false">IF(COUNTIF(Flows!$M$2:$M$1500,$A27&amp;"|"&amp;BD$1&amp;"|Input"),IF(COUNTIF(Flows!$M$2:$M$1500,$A27&amp;"|"&amp;BD$1&amp;"|Output"),"I/O","IN"),IF(COUNTIF(Flows!$M$2:$M$1500,$A27&amp;"|"&amp;BD$1&amp;"|Output"),"OUT",""))</f>
        <v/>
      </c>
      <c r="BE27" s="33" t="str">
        <f aca="false">IF(COUNTIF(Flows!$M$2:$M$1500,$A27&amp;"|"&amp;BE$1&amp;"|Input"),IF(COUNTIF(Flows!$M$2:$M$1500,$A27&amp;"|"&amp;BE$1&amp;"|Output"),"I/O","IN"),IF(COUNTIF(Flows!$M$2:$M$1500,$A27&amp;"|"&amp;BE$1&amp;"|Output"),"OUT",""))</f>
        <v/>
      </c>
      <c r="BF27" s="33" t="str">
        <f aca="false">IF(COUNTIF(Flows!$M$2:$M$1500,$A27&amp;"|"&amp;BF$1&amp;"|Input"),IF(COUNTIF(Flows!$M$2:$M$1500,$A27&amp;"|"&amp;BF$1&amp;"|Output"),"I/O","IN"),IF(COUNTIF(Flows!$M$2:$M$1500,$A27&amp;"|"&amp;BF$1&amp;"|Output"),"OUT",""))</f>
        <v/>
      </c>
      <c r="BG27" s="33" t="str">
        <f aca="false">IF(COUNTIF(Flows!$M$2:$M$1500,$A27&amp;"|"&amp;BG$1&amp;"|Input"),IF(COUNTIF(Flows!$M$2:$M$1500,$A27&amp;"|"&amp;BG$1&amp;"|Output"),"I/O","IN"),IF(COUNTIF(Flows!$M$2:$M$1500,$A27&amp;"|"&amp;BG$1&amp;"|Output"),"OUT",""))</f>
        <v/>
      </c>
      <c r="BH27" s="33" t="str">
        <f aca="false">IF(COUNTIF(Flows!$M$2:$M$1500,$A27&amp;"|"&amp;BH$1&amp;"|Input"),IF(COUNTIF(Flows!$M$2:$M$1500,$A27&amp;"|"&amp;BH$1&amp;"|Output"),"I/O","IN"),IF(COUNTIF(Flows!$M$2:$M$1500,$A27&amp;"|"&amp;BH$1&amp;"|Output"),"OUT",""))</f>
        <v/>
      </c>
      <c r="BI27" s="33" t="str">
        <f aca="false">IF(COUNTIF(Flows!$M$2:$M$1500,$A27&amp;"|"&amp;BI$1&amp;"|Input"),IF(COUNTIF(Flows!$M$2:$M$1500,$A27&amp;"|"&amp;BI$1&amp;"|Output"),"I/O","IN"),IF(COUNTIF(Flows!$M$2:$M$1500,$A27&amp;"|"&amp;BI$1&amp;"|Output"),"OUT",""))</f>
        <v/>
      </c>
      <c r="BJ27" s="33" t="str">
        <f aca="false">IF(COUNTIF(Flows!$M$2:$M$1500,$A27&amp;"|"&amp;BJ$1&amp;"|Input"),IF(COUNTIF(Flows!$M$2:$M$1500,$A27&amp;"|"&amp;BJ$1&amp;"|Output"),"I/O","IN"),IF(COUNTIF(Flows!$M$2:$M$1500,$A27&amp;"|"&amp;BJ$1&amp;"|Output"),"OUT",""))</f>
        <v/>
      </c>
      <c r="BK27" s="33" t="str">
        <f aca="false">IF(COUNTIF(Flows!$M$2:$M$1500,$A27&amp;"|"&amp;BK$1&amp;"|Input"),IF(COUNTIF(Flows!$M$2:$M$1500,$A27&amp;"|"&amp;BK$1&amp;"|Output"),"I/O","IN"),IF(COUNTIF(Flows!$M$2:$M$1500,$A27&amp;"|"&amp;BK$1&amp;"|Output"),"OUT",""))</f>
        <v/>
      </c>
    </row>
    <row r="28" customFormat="false" ht="15" hidden="false" customHeight="true" outlineLevel="0" collapsed="false">
      <c r="A28" s="6" t="str">
        <f aca="false">Systems!B28</f>
        <v>Average Job</v>
      </c>
      <c r="B28" s="33" t="str">
        <f aca="false">IF(COUNTIF(Flows!$M$2:$M$1500,$A28&amp;"|"&amp;B$1&amp;"|Input"),IF(COUNTIF(Flows!$M$2:$M$1500,$A28&amp;"|"&amp;B$1&amp;"|Output"),"I/O","IN"),IF(COUNTIF(Flows!$M$2:$M$1500,$A28&amp;"|"&amp;B$1&amp;"|Output"),"OUT",""))</f>
        <v/>
      </c>
      <c r="C28" s="33" t="str">
        <f aca="false">IF(COUNTIF(Flows!$M$2:$M$1500,$A28&amp;"|"&amp;C$1&amp;"|Input"),IF(COUNTIF(Flows!$M$2:$M$1500,$A28&amp;"|"&amp;C$1&amp;"|Output"),"I/O","IN"),IF(COUNTIF(Flows!$M$2:$M$1500,$A28&amp;"|"&amp;C$1&amp;"|Output"),"OUT",""))</f>
        <v/>
      </c>
      <c r="D28" s="33" t="str">
        <f aca="false">IF(COUNTIF(Flows!$M$2:$M$1500,$A28&amp;"|"&amp;D$1&amp;"|Input"),IF(COUNTIF(Flows!$M$2:$M$1500,$A28&amp;"|"&amp;D$1&amp;"|Output"),"I/O","IN"),IF(COUNTIF(Flows!$M$2:$M$1500,$A28&amp;"|"&amp;D$1&amp;"|Output"),"OUT",""))</f>
        <v/>
      </c>
      <c r="E28" s="33" t="str">
        <f aca="false">IF(COUNTIF(Flows!$M$2:$M$1500,$A28&amp;"|"&amp;E$1&amp;"|Input"),IF(COUNTIF(Flows!$M$2:$M$1500,$A28&amp;"|"&amp;E$1&amp;"|Output"),"I/O","IN"),IF(COUNTIF(Flows!$M$2:$M$1500,$A28&amp;"|"&amp;E$1&amp;"|Output"),"OUT",""))</f>
        <v/>
      </c>
      <c r="F28" s="33" t="str">
        <f aca="false">IF(COUNTIF(Flows!$M$2:$M$1500,$A28&amp;"|"&amp;F$1&amp;"|Input"),IF(COUNTIF(Flows!$M$2:$M$1500,$A28&amp;"|"&amp;F$1&amp;"|Output"),"I/O","IN"),IF(COUNTIF(Flows!$M$2:$M$1500,$A28&amp;"|"&amp;F$1&amp;"|Output"),"OUT",""))</f>
        <v/>
      </c>
      <c r="G28" s="33" t="str">
        <f aca="false">IF(COUNTIF(Flows!$M$2:$M$1500,$A28&amp;"|"&amp;G$1&amp;"|Input"),IF(COUNTIF(Flows!$M$2:$M$1500,$A28&amp;"|"&amp;G$1&amp;"|Output"),"I/O","IN"),IF(COUNTIF(Flows!$M$2:$M$1500,$A28&amp;"|"&amp;G$1&amp;"|Output"),"OUT",""))</f>
        <v/>
      </c>
      <c r="H28" s="33" t="str">
        <f aca="false">IF(COUNTIF(Flows!$M$2:$M$1500,$A28&amp;"|"&amp;H$1&amp;"|Input"),IF(COUNTIF(Flows!$M$2:$M$1500,$A28&amp;"|"&amp;H$1&amp;"|Output"),"I/O","IN"),IF(COUNTIF(Flows!$M$2:$M$1500,$A28&amp;"|"&amp;H$1&amp;"|Output"),"OUT",""))</f>
        <v/>
      </c>
      <c r="I28" s="33" t="str">
        <f aca="false">IF(COUNTIF(Flows!$M$2:$M$1500,$A28&amp;"|"&amp;I$1&amp;"|Input"),IF(COUNTIF(Flows!$M$2:$M$1500,$A28&amp;"|"&amp;I$1&amp;"|Output"),"I/O","IN"),IF(COUNTIF(Flows!$M$2:$M$1500,$A28&amp;"|"&amp;I$1&amp;"|Output"),"OUT",""))</f>
        <v/>
      </c>
      <c r="J28" s="33" t="str">
        <f aca="false">IF(COUNTIF(Flows!$M$2:$M$1500,$A28&amp;"|"&amp;J$1&amp;"|Input"),IF(COUNTIF(Flows!$M$2:$M$1500,$A28&amp;"|"&amp;J$1&amp;"|Output"),"I/O","IN"),IF(COUNTIF(Flows!$M$2:$M$1500,$A28&amp;"|"&amp;J$1&amp;"|Output"),"OUT",""))</f>
        <v/>
      </c>
      <c r="K28" s="33" t="str">
        <f aca="false">IF(COUNTIF(Flows!$M$2:$M$1500,$A28&amp;"|"&amp;K$1&amp;"|Input"),IF(COUNTIF(Flows!$M$2:$M$1500,$A28&amp;"|"&amp;K$1&amp;"|Output"),"I/O","IN"),IF(COUNTIF(Flows!$M$2:$M$1500,$A28&amp;"|"&amp;K$1&amp;"|Output"),"OUT",""))</f>
        <v/>
      </c>
      <c r="L28" s="33" t="str">
        <f aca="false">IF(COUNTIF(Flows!$M$2:$M$1500,$A28&amp;"|"&amp;L$1&amp;"|Input"),IF(COUNTIF(Flows!$M$2:$M$1500,$A28&amp;"|"&amp;L$1&amp;"|Output"),"I/O","IN"),IF(COUNTIF(Flows!$M$2:$M$1500,$A28&amp;"|"&amp;L$1&amp;"|Output"),"OUT",""))</f>
        <v/>
      </c>
      <c r="M28" s="33" t="str">
        <f aca="false">IF(COUNTIF(Flows!$M$2:$M$1500,$A28&amp;"|"&amp;M$1&amp;"|Input"),IF(COUNTIF(Flows!$M$2:$M$1500,$A28&amp;"|"&amp;M$1&amp;"|Output"),"I/O","IN"),IF(COUNTIF(Flows!$M$2:$M$1500,$A28&amp;"|"&amp;M$1&amp;"|Output"),"OUT",""))</f>
        <v/>
      </c>
      <c r="N28" s="33" t="str">
        <f aca="false">IF(COUNTIF(Flows!$M$2:$M$1500,$A28&amp;"|"&amp;N$1&amp;"|Input"),IF(COUNTIF(Flows!$M$2:$M$1500,$A28&amp;"|"&amp;N$1&amp;"|Output"),"I/O","IN"),IF(COUNTIF(Flows!$M$2:$M$1500,$A28&amp;"|"&amp;N$1&amp;"|Output"),"OUT",""))</f>
        <v/>
      </c>
      <c r="O28" s="33" t="str">
        <f aca="false">IF(COUNTIF(Flows!$M$2:$M$1500,$A28&amp;"|"&amp;O$1&amp;"|Input"),IF(COUNTIF(Flows!$M$2:$M$1500,$A28&amp;"|"&amp;O$1&amp;"|Output"),"I/O","IN"),IF(COUNTIF(Flows!$M$2:$M$1500,$A28&amp;"|"&amp;O$1&amp;"|Output"),"OUT",""))</f>
        <v/>
      </c>
      <c r="P28" s="33" t="str">
        <f aca="false">IF(COUNTIF(Flows!$M$2:$M$1500,$A28&amp;"|"&amp;P$1&amp;"|Input"),IF(COUNTIF(Flows!$M$2:$M$1500,$A28&amp;"|"&amp;P$1&amp;"|Output"),"I/O","IN"),IF(COUNTIF(Flows!$M$2:$M$1500,$A28&amp;"|"&amp;P$1&amp;"|Output"),"OUT",""))</f>
        <v/>
      </c>
      <c r="Q28" s="33" t="str">
        <f aca="false">IF(COUNTIF(Flows!$M$2:$M$1500,$A28&amp;"|"&amp;Q$1&amp;"|Input"),IF(COUNTIF(Flows!$M$2:$M$1500,$A28&amp;"|"&amp;Q$1&amp;"|Output"),"I/O","IN"),IF(COUNTIF(Flows!$M$2:$M$1500,$A28&amp;"|"&amp;Q$1&amp;"|Output"),"OUT",""))</f>
        <v/>
      </c>
      <c r="R28" s="33" t="str">
        <f aca="false">IF(COUNTIF(Flows!$M$2:$M$1500,$A28&amp;"|"&amp;R$1&amp;"|Input"),IF(COUNTIF(Flows!$M$2:$M$1500,$A28&amp;"|"&amp;R$1&amp;"|Output"),"I/O","IN"),IF(COUNTIF(Flows!$M$2:$M$1500,$A28&amp;"|"&amp;R$1&amp;"|Output"),"OUT",""))</f>
        <v/>
      </c>
      <c r="S28" s="33" t="str">
        <f aca="false">IF(COUNTIF(Flows!$M$2:$M$1500,$A28&amp;"|"&amp;S$1&amp;"|Input"),IF(COUNTIF(Flows!$M$2:$M$1500,$A28&amp;"|"&amp;S$1&amp;"|Output"),"I/O","IN"),IF(COUNTIF(Flows!$M$2:$M$1500,$A28&amp;"|"&amp;S$1&amp;"|Output"),"OUT",""))</f>
        <v/>
      </c>
      <c r="T28" s="33" t="str">
        <f aca="false">IF(COUNTIF(Flows!$M$2:$M$1500,$A28&amp;"|"&amp;T$1&amp;"|Input"),IF(COUNTIF(Flows!$M$2:$M$1500,$A28&amp;"|"&amp;T$1&amp;"|Output"),"I/O","IN"),IF(COUNTIF(Flows!$M$2:$M$1500,$A28&amp;"|"&amp;T$1&amp;"|Output"),"OUT",""))</f>
        <v>IN</v>
      </c>
      <c r="U28" s="33" t="str">
        <f aca="false">IF(COUNTIF(Flows!$M$2:$M$1500,$A28&amp;"|"&amp;U$1&amp;"|Input"),IF(COUNTIF(Flows!$M$2:$M$1500,$A28&amp;"|"&amp;U$1&amp;"|Output"),"I/O","IN"),IF(COUNTIF(Flows!$M$2:$M$1500,$A28&amp;"|"&amp;U$1&amp;"|Output"),"OUT",""))</f>
        <v/>
      </c>
      <c r="V28" s="33" t="str">
        <f aca="false">IF(COUNTIF(Flows!$M$2:$M$1500,$A28&amp;"|"&amp;V$1&amp;"|Input"),IF(COUNTIF(Flows!$M$2:$M$1500,$A28&amp;"|"&amp;V$1&amp;"|Output"),"I/O","IN"),IF(COUNTIF(Flows!$M$2:$M$1500,$A28&amp;"|"&amp;V$1&amp;"|Output"),"OUT",""))</f>
        <v/>
      </c>
      <c r="W28" s="33" t="str">
        <f aca="false">IF(COUNTIF(Flows!$M$2:$M$1500,$A28&amp;"|"&amp;W$1&amp;"|Input"),IF(COUNTIF(Flows!$M$2:$M$1500,$A28&amp;"|"&amp;W$1&amp;"|Output"),"I/O","IN"),IF(COUNTIF(Flows!$M$2:$M$1500,$A28&amp;"|"&amp;W$1&amp;"|Output"),"OUT",""))</f>
        <v/>
      </c>
      <c r="X28" s="33" t="str">
        <f aca="false">IF(COUNTIF(Flows!$M$2:$M$1500,$A28&amp;"|"&amp;X$1&amp;"|Input"),IF(COUNTIF(Flows!$M$2:$M$1500,$A28&amp;"|"&amp;X$1&amp;"|Output"),"I/O","IN"),IF(COUNTIF(Flows!$M$2:$M$1500,$A28&amp;"|"&amp;X$1&amp;"|Output"),"OUT",""))</f>
        <v>IN</v>
      </c>
      <c r="Y28" s="33" t="str">
        <f aca="false">IF(COUNTIF(Flows!$M$2:$M$1500,$A28&amp;"|"&amp;Y$1&amp;"|Input"),IF(COUNTIF(Flows!$M$2:$M$1500,$A28&amp;"|"&amp;Y$1&amp;"|Output"),"I/O","IN"),IF(COUNTIF(Flows!$M$2:$M$1500,$A28&amp;"|"&amp;Y$1&amp;"|Output"),"OUT",""))</f>
        <v>OUT</v>
      </c>
      <c r="Z28" s="33" t="str">
        <f aca="false">IF(COUNTIF(Flows!$M$2:$M$1500,$A28&amp;"|"&amp;Z$1&amp;"|Input"),IF(COUNTIF(Flows!$M$2:$M$1500,$A28&amp;"|"&amp;Z$1&amp;"|Output"),"I/O","IN"),IF(COUNTIF(Flows!$M$2:$M$1500,$A28&amp;"|"&amp;Z$1&amp;"|Output"),"OUT",""))</f>
        <v/>
      </c>
      <c r="AA28" s="33" t="str">
        <f aca="false">IF(COUNTIF(Flows!$M$2:$M$1500,$A28&amp;"|"&amp;AA$1&amp;"|Input"),IF(COUNTIF(Flows!$M$2:$M$1500,$A28&amp;"|"&amp;AA$1&amp;"|Output"),"I/O","IN"),IF(COUNTIF(Flows!$M$2:$M$1500,$A28&amp;"|"&amp;AA$1&amp;"|Output"),"OUT",""))</f>
        <v/>
      </c>
      <c r="AB28" s="33" t="str">
        <f aca="false">IF(COUNTIF(Flows!$M$2:$M$1500,$A28&amp;"|"&amp;AB$1&amp;"|Input"),IF(COUNTIF(Flows!$M$2:$M$1500,$A28&amp;"|"&amp;AB$1&amp;"|Output"),"I/O","IN"),IF(COUNTIF(Flows!$M$2:$M$1500,$A28&amp;"|"&amp;AB$1&amp;"|Output"),"OUT",""))</f>
        <v/>
      </c>
      <c r="AC28" s="33" t="str">
        <f aca="false">IF(COUNTIF(Flows!$M$2:$M$1500,$A28&amp;"|"&amp;AC$1&amp;"|Input"),IF(COUNTIF(Flows!$M$2:$M$1500,$A28&amp;"|"&amp;AC$1&amp;"|Output"),"I/O","IN"),IF(COUNTIF(Flows!$M$2:$M$1500,$A28&amp;"|"&amp;AC$1&amp;"|Output"),"OUT",""))</f>
        <v/>
      </c>
      <c r="AD28" s="33" t="str">
        <f aca="false">IF(COUNTIF(Flows!$M$2:$M$1500,$A28&amp;"|"&amp;AD$1&amp;"|Input"),IF(COUNTIF(Flows!$M$2:$M$1500,$A28&amp;"|"&amp;AD$1&amp;"|Output"),"I/O","IN"),IF(COUNTIF(Flows!$M$2:$M$1500,$A28&amp;"|"&amp;AD$1&amp;"|Output"),"OUT",""))</f>
        <v/>
      </c>
      <c r="AE28" s="33" t="str">
        <f aca="false">IF(COUNTIF(Flows!$M$2:$M$1500,$A28&amp;"|"&amp;AE$1&amp;"|Input"),IF(COUNTIF(Flows!$M$2:$M$1500,$A28&amp;"|"&amp;AE$1&amp;"|Output"),"I/O","IN"),IF(COUNTIF(Flows!$M$2:$M$1500,$A28&amp;"|"&amp;AE$1&amp;"|Output"),"OUT",""))</f>
        <v/>
      </c>
      <c r="AF28" s="33" t="str">
        <f aca="false">IF(COUNTIF(Flows!$M$2:$M$1500,$A28&amp;"|"&amp;AF$1&amp;"|Input"),IF(COUNTIF(Flows!$M$2:$M$1500,$A28&amp;"|"&amp;AF$1&amp;"|Output"),"I/O","IN"),IF(COUNTIF(Flows!$M$2:$M$1500,$A28&amp;"|"&amp;AF$1&amp;"|Output"),"OUT",""))</f>
        <v/>
      </c>
      <c r="AG28" s="33" t="str">
        <f aca="false">IF(COUNTIF(Flows!$M$2:$M$1500,$A28&amp;"|"&amp;AG$1&amp;"|Input"),IF(COUNTIF(Flows!$M$2:$M$1500,$A28&amp;"|"&amp;AG$1&amp;"|Output"),"I/O","IN"),IF(COUNTIF(Flows!$M$2:$M$1500,$A28&amp;"|"&amp;AG$1&amp;"|Output"),"OUT",""))</f>
        <v/>
      </c>
      <c r="AH28" s="33" t="str">
        <f aca="false">IF(COUNTIF(Flows!$M$2:$M$1500,$A28&amp;"|"&amp;AH$1&amp;"|Input"),IF(COUNTIF(Flows!$M$2:$M$1500,$A28&amp;"|"&amp;AH$1&amp;"|Output"),"I/O","IN"),IF(COUNTIF(Flows!$M$2:$M$1500,$A28&amp;"|"&amp;AH$1&amp;"|Output"),"OUT",""))</f>
        <v/>
      </c>
      <c r="AI28" s="33" t="str">
        <f aca="false">IF(COUNTIF(Flows!$M$2:$M$1500,$A28&amp;"|"&amp;AI$1&amp;"|Input"),IF(COUNTIF(Flows!$M$2:$M$1500,$A28&amp;"|"&amp;AI$1&amp;"|Output"),"I/O","IN"),IF(COUNTIF(Flows!$M$2:$M$1500,$A28&amp;"|"&amp;AI$1&amp;"|Output"),"OUT",""))</f>
        <v/>
      </c>
      <c r="AJ28" s="33" t="str">
        <f aca="false">IF(COUNTIF(Flows!$M$2:$M$1500,$A28&amp;"|"&amp;AJ$1&amp;"|Input"),IF(COUNTIF(Flows!$M$2:$M$1500,$A28&amp;"|"&amp;AJ$1&amp;"|Output"),"I/O","IN"),IF(COUNTIF(Flows!$M$2:$M$1500,$A28&amp;"|"&amp;AJ$1&amp;"|Output"),"OUT",""))</f>
        <v/>
      </c>
      <c r="AK28" s="33" t="str">
        <f aca="false">IF(COUNTIF(Flows!$M$2:$M$1500,$A28&amp;"|"&amp;AK$1&amp;"|Input"),IF(COUNTIF(Flows!$M$2:$M$1500,$A28&amp;"|"&amp;AK$1&amp;"|Output"),"I/O","IN"),IF(COUNTIF(Flows!$M$2:$M$1500,$A28&amp;"|"&amp;AK$1&amp;"|Output"),"OUT",""))</f>
        <v/>
      </c>
      <c r="AL28" s="33" t="str">
        <f aca="false">IF(COUNTIF(Flows!$M$2:$M$1500,$A28&amp;"|"&amp;AL$1&amp;"|Input"),IF(COUNTIF(Flows!$M$2:$M$1500,$A28&amp;"|"&amp;AL$1&amp;"|Output"),"I/O","IN"),IF(COUNTIF(Flows!$M$2:$M$1500,$A28&amp;"|"&amp;AL$1&amp;"|Output"),"OUT",""))</f>
        <v/>
      </c>
      <c r="AM28" s="33" t="str">
        <f aca="false">IF(COUNTIF(Flows!$M$2:$M$1500,$A28&amp;"|"&amp;AM$1&amp;"|Input"),IF(COUNTIF(Flows!$M$2:$M$1500,$A28&amp;"|"&amp;AM$1&amp;"|Output"),"I/O","IN"),IF(COUNTIF(Flows!$M$2:$M$1500,$A28&amp;"|"&amp;AM$1&amp;"|Output"),"OUT",""))</f>
        <v/>
      </c>
      <c r="AN28" s="33" t="str">
        <f aca="false">IF(COUNTIF(Flows!$M$2:$M$1500,$A28&amp;"|"&amp;AN$1&amp;"|Input"),IF(COUNTIF(Flows!$M$2:$M$1500,$A28&amp;"|"&amp;AN$1&amp;"|Output"),"I/O","IN"),IF(COUNTIF(Flows!$M$2:$M$1500,$A28&amp;"|"&amp;AN$1&amp;"|Output"),"OUT",""))</f>
        <v/>
      </c>
      <c r="AO28" s="33" t="str">
        <f aca="false">IF(COUNTIF(Flows!$M$2:$M$1500,$A28&amp;"|"&amp;AO$1&amp;"|Input"),IF(COUNTIF(Flows!$M$2:$M$1500,$A28&amp;"|"&amp;AO$1&amp;"|Output"),"I/O","IN"),IF(COUNTIF(Flows!$M$2:$M$1500,$A28&amp;"|"&amp;AO$1&amp;"|Output"),"OUT",""))</f>
        <v/>
      </c>
      <c r="AP28" s="33" t="str">
        <f aca="false">IF(COUNTIF(Flows!$M$2:$M$1500,$A28&amp;"|"&amp;AP$1&amp;"|Input"),IF(COUNTIF(Flows!$M$2:$M$1500,$A28&amp;"|"&amp;AP$1&amp;"|Output"),"I/O","IN"),IF(COUNTIF(Flows!$M$2:$M$1500,$A28&amp;"|"&amp;AP$1&amp;"|Output"),"OUT",""))</f>
        <v/>
      </c>
      <c r="AQ28" s="33" t="str">
        <f aca="false">IF(COUNTIF(Flows!$M$2:$M$1500,$A28&amp;"|"&amp;AQ$1&amp;"|Input"),IF(COUNTIF(Flows!$M$2:$M$1500,$A28&amp;"|"&amp;AQ$1&amp;"|Output"),"I/O","IN"),IF(COUNTIF(Flows!$M$2:$M$1500,$A28&amp;"|"&amp;AQ$1&amp;"|Output"),"OUT",""))</f>
        <v/>
      </c>
      <c r="AR28" s="33" t="str">
        <f aca="false">IF(COUNTIF(Flows!$M$2:$M$1500,$A28&amp;"|"&amp;AR$1&amp;"|Input"),IF(COUNTIF(Flows!$M$2:$M$1500,$A28&amp;"|"&amp;AR$1&amp;"|Output"),"I/O","IN"),IF(COUNTIF(Flows!$M$2:$M$1500,$A28&amp;"|"&amp;AR$1&amp;"|Output"),"OUT",""))</f>
        <v/>
      </c>
      <c r="AS28" s="33" t="str">
        <f aca="false">IF(COUNTIF(Flows!$M$2:$M$1500,$A28&amp;"|"&amp;AS$1&amp;"|Input"),IF(COUNTIF(Flows!$M$2:$M$1500,$A28&amp;"|"&amp;AS$1&amp;"|Output"),"I/O","IN"),IF(COUNTIF(Flows!$M$2:$M$1500,$A28&amp;"|"&amp;AS$1&amp;"|Output"),"OUT",""))</f>
        <v/>
      </c>
      <c r="AT28" s="33" t="str">
        <f aca="false">IF(COUNTIF(Flows!$M$2:$M$1500,$A28&amp;"|"&amp;AT$1&amp;"|Input"),IF(COUNTIF(Flows!$M$2:$M$1500,$A28&amp;"|"&amp;AT$1&amp;"|Output"),"I/O","IN"),IF(COUNTIF(Flows!$M$2:$M$1500,$A28&amp;"|"&amp;AT$1&amp;"|Output"),"OUT",""))</f>
        <v/>
      </c>
      <c r="AU28" s="33" t="str">
        <f aca="false">IF(COUNTIF(Flows!$M$2:$M$1500,$A28&amp;"|"&amp;AU$1&amp;"|Input"),IF(COUNTIF(Flows!$M$2:$M$1500,$A28&amp;"|"&amp;AU$1&amp;"|Output"),"I/O","IN"),IF(COUNTIF(Flows!$M$2:$M$1500,$A28&amp;"|"&amp;AU$1&amp;"|Output"),"OUT",""))</f>
        <v/>
      </c>
      <c r="AV28" s="33" t="str">
        <f aca="false">IF(COUNTIF(Flows!$M$2:$M$1500,$A28&amp;"|"&amp;AV$1&amp;"|Input"),IF(COUNTIF(Flows!$M$2:$M$1500,$A28&amp;"|"&amp;AV$1&amp;"|Output"),"I/O","IN"),IF(COUNTIF(Flows!$M$2:$M$1500,$A28&amp;"|"&amp;AV$1&amp;"|Output"),"OUT",""))</f>
        <v/>
      </c>
      <c r="AW28" s="33" t="str">
        <f aca="false">IF(COUNTIF(Flows!$M$2:$M$1500,$A28&amp;"|"&amp;AW$1&amp;"|Input"),IF(COUNTIF(Flows!$M$2:$M$1500,$A28&amp;"|"&amp;AW$1&amp;"|Output"),"I/O","IN"),IF(COUNTIF(Flows!$M$2:$M$1500,$A28&amp;"|"&amp;AW$1&amp;"|Output"),"OUT",""))</f>
        <v/>
      </c>
      <c r="AX28" s="33" t="str">
        <f aca="false">IF(COUNTIF(Flows!$M$2:$M$1500,$A28&amp;"|"&amp;AX$1&amp;"|Input"),IF(COUNTIF(Flows!$M$2:$M$1500,$A28&amp;"|"&amp;AX$1&amp;"|Output"),"I/O","IN"),IF(COUNTIF(Flows!$M$2:$M$1500,$A28&amp;"|"&amp;AX$1&amp;"|Output"),"OUT",""))</f>
        <v/>
      </c>
      <c r="AY28" s="33" t="str">
        <f aca="false">IF(COUNTIF(Flows!$M$2:$M$1500,$A28&amp;"|"&amp;AY$1&amp;"|Input"),IF(COUNTIF(Flows!$M$2:$M$1500,$A28&amp;"|"&amp;AY$1&amp;"|Output"),"I/O","IN"),IF(COUNTIF(Flows!$M$2:$M$1500,$A28&amp;"|"&amp;AY$1&amp;"|Output"),"OUT",""))</f>
        <v/>
      </c>
      <c r="AZ28" s="33" t="str">
        <f aca="false">IF(COUNTIF(Flows!$M$2:$M$1500,$A28&amp;"|"&amp;AZ$1&amp;"|Input"),IF(COUNTIF(Flows!$M$2:$M$1500,$A28&amp;"|"&amp;AZ$1&amp;"|Output"),"I/O","IN"),IF(COUNTIF(Flows!$M$2:$M$1500,$A28&amp;"|"&amp;AZ$1&amp;"|Output"),"OUT",""))</f>
        <v/>
      </c>
      <c r="BA28" s="33" t="str">
        <f aca="false">IF(COUNTIF(Flows!$M$2:$M$1500,$A28&amp;"|"&amp;BA$1&amp;"|Input"),IF(COUNTIF(Flows!$M$2:$M$1500,$A28&amp;"|"&amp;BA$1&amp;"|Output"),"I/O","IN"),IF(COUNTIF(Flows!$M$2:$M$1500,$A28&amp;"|"&amp;BA$1&amp;"|Output"),"OUT",""))</f>
        <v/>
      </c>
      <c r="BB28" s="33" t="str">
        <f aca="false">IF(COUNTIF(Flows!$M$2:$M$1500,$A28&amp;"|"&amp;BB$1&amp;"|Input"),IF(COUNTIF(Flows!$M$2:$M$1500,$A28&amp;"|"&amp;BB$1&amp;"|Output"),"I/O","IN"),IF(COUNTIF(Flows!$M$2:$M$1500,$A28&amp;"|"&amp;BB$1&amp;"|Output"),"OUT",""))</f>
        <v/>
      </c>
      <c r="BC28" s="33" t="str">
        <f aca="false">IF(COUNTIF(Flows!$M$2:$M$1500,$A28&amp;"|"&amp;BC$1&amp;"|Input"),IF(COUNTIF(Flows!$M$2:$M$1500,$A28&amp;"|"&amp;BC$1&amp;"|Output"),"I/O","IN"),IF(COUNTIF(Flows!$M$2:$M$1500,$A28&amp;"|"&amp;BC$1&amp;"|Output"),"OUT",""))</f>
        <v/>
      </c>
      <c r="BD28" s="33" t="str">
        <f aca="false">IF(COUNTIF(Flows!$M$2:$M$1500,$A28&amp;"|"&amp;BD$1&amp;"|Input"),IF(COUNTIF(Flows!$M$2:$M$1500,$A28&amp;"|"&amp;BD$1&amp;"|Output"),"I/O","IN"),IF(COUNTIF(Flows!$M$2:$M$1500,$A28&amp;"|"&amp;BD$1&amp;"|Output"),"OUT",""))</f>
        <v/>
      </c>
      <c r="BE28" s="33" t="str">
        <f aca="false">IF(COUNTIF(Flows!$M$2:$M$1500,$A28&amp;"|"&amp;BE$1&amp;"|Input"),IF(COUNTIF(Flows!$M$2:$M$1500,$A28&amp;"|"&amp;BE$1&amp;"|Output"),"I/O","IN"),IF(COUNTIF(Flows!$M$2:$M$1500,$A28&amp;"|"&amp;BE$1&amp;"|Output"),"OUT",""))</f>
        <v/>
      </c>
      <c r="BF28" s="33" t="str">
        <f aca="false">IF(COUNTIF(Flows!$M$2:$M$1500,$A28&amp;"|"&amp;BF$1&amp;"|Input"),IF(COUNTIF(Flows!$M$2:$M$1500,$A28&amp;"|"&amp;BF$1&amp;"|Output"),"I/O","IN"),IF(COUNTIF(Flows!$M$2:$M$1500,$A28&amp;"|"&amp;BF$1&amp;"|Output"),"OUT",""))</f>
        <v/>
      </c>
      <c r="BG28" s="33" t="str">
        <f aca="false">IF(COUNTIF(Flows!$M$2:$M$1500,$A28&amp;"|"&amp;BG$1&amp;"|Input"),IF(COUNTIF(Flows!$M$2:$M$1500,$A28&amp;"|"&amp;BG$1&amp;"|Output"),"I/O","IN"),IF(COUNTIF(Flows!$M$2:$M$1500,$A28&amp;"|"&amp;BG$1&amp;"|Output"),"OUT",""))</f>
        <v/>
      </c>
      <c r="BH28" s="33" t="str">
        <f aca="false">IF(COUNTIF(Flows!$M$2:$M$1500,$A28&amp;"|"&amp;BH$1&amp;"|Input"),IF(COUNTIF(Flows!$M$2:$M$1500,$A28&amp;"|"&amp;BH$1&amp;"|Output"),"I/O","IN"),IF(COUNTIF(Flows!$M$2:$M$1500,$A28&amp;"|"&amp;BH$1&amp;"|Output"),"OUT",""))</f>
        <v/>
      </c>
      <c r="BI28" s="33" t="str">
        <f aca="false">IF(COUNTIF(Flows!$M$2:$M$1500,$A28&amp;"|"&amp;BI$1&amp;"|Input"),IF(COUNTIF(Flows!$M$2:$M$1500,$A28&amp;"|"&amp;BI$1&amp;"|Output"),"I/O","IN"),IF(COUNTIF(Flows!$M$2:$M$1500,$A28&amp;"|"&amp;BI$1&amp;"|Output"),"OUT",""))</f>
        <v/>
      </c>
      <c r="BJ28" s="33" t="str">
        <f aca="false">IF(COUNTIF(Flows!$M$2:$M$1500,$A28&amp;"|"&amp;BJ$1&amp;"|Input"),IF(COUNTIF(Flows!$M$2:$M$1500,$A28&amp;"|"&amp;BJ$1&amp;"|Output"),"I/O","IN"),IF(COUNTIF(Flows!$M$2:$M$1500,$A28&amp;"|"&amp;BJ$1&amp;"|Output"),"OUT",""))</f>
        <v/>
      </c>
      <c r="BK28" s="33" t="str">
        <f aca="false">IF(COUNTIF(Flows!$M$2:$M$1500,$A28&amp;"|"&amp;BK$1&amp;"|Input"),IF(COUNTIF(Flows!$M$2:$M$1500,$A28&amp;"|"&amp;BK$1&amp;"|Output"),"I/O","IN"),IF(COUNTIF(Flows!$M$2:$M$1500,$A28&amp;"|"&amp;BK$1&amp;"|Output"),"OUT",""))</f>
        <v/>
      </c>
    </row>
    <row r="29" customFormat="false" ht="15" hidden="false" customHeight="true" outlineLevel="0" collapsed="false">
      <c r="A29" s="6" t="str">
        <f aca="false">Systems!B29</f>
        <v>Big Box Grocery Store</v>
      </c>
      <c r="B29" s="33" t="str">
        <f aca="false">IF(COUNTIF(Flows!$M$2:$M$1500,$A29&amp;"|"&amp;B$1&amp;"|Input"),IF(COUNTIF(Flows!$M$2:$M$1500,$A29&amp;"|"&amp;B$1&amp;"|Output"),"I/O","IN"),IF(COUNTIF(Flows!$M$2:$M$1500,$A29&amp;"|"&amp;B$1&amp;"|Output"),"OUT",""))</f>
        <v/>
      </c>
      <c r="C29" s="33" t="str">
        <f aca="false">IF(COUNTIF(Flows!$M$2:$M$1500,$A29&amp;"|"&amp;C$1&amp;"|Input"),IF(COUNTIF(Flows!$M$2:$M$1500,$A29&amp;"|"&amp;C$1&amp;"|Output"),"I/O","IN"),IF(COUNTIF(Flows!$M$2:$M$1500,$A29&amp;"|"&amp;C$1&amp;"|Output"),"OUT",""))</f>
        <v/>
      </c>
      <c r="D29" s="33" t="str">
        <f aca="false">IF(COUNTIF(Flows!$M$2:$M$1500,$A29&amp;"|"&amp;D$1&amp;"|Input"),IF(COUNTIF(Flows!$M$2:$M$1500,$A29&amp;"|"&amp;D$1&amp;"|Output"),"I/O","IN"),IF(COUNTIF(Flows!$M$2:$M$1500,$A29&amp;"|"&amp;D$1&amp;"|Output"),"OUT",""))</f>
        <v/>
      </c>
      <c r="E29" s="33" t="str">
        <f aca="false">IF(COUNTIF(Flows!$M$2:$M$1500,$A29&amp;"|"&amp;E$1&amp;"|Input"),IF(COUNTIF(Flows!$M$2:$M$1500,$A29&amp;"|"&amp;E$1&amp;"|Output"),"I/O","IN"),IF(COUNTIF(Flows!$M$2:$M$1500,$A29&amp;"|"&amp;E$1&amp;"|Output"),"OUT",""))</f>
        <v/>
      </c>
      <c r="F29" s="33" t="str">
        <f aca="false">IF(COUNTIF(Flows!$M$2:$M$1500,$A29&amp;"|"&amp;F$1&amp;"|Input"),IF(COUNTIF(Flows!$M$2:$M$1500,$A29&amp;"|"&amp;F$1&amp;"|Output"),"I/O","IN"),IF(COUNTIF(Flows!$M$2:$M$1500,$A29&amp;"|"&amp;F$1&amp;"|Output"),"OUT",""))</f>
        <v>OUT</v>
      </c>
      <c r="G29" s="33" t="str">
        <f aca="false">IF(COUNTIF(Flows!$M$2:$M$1500,$A29&amp;"|"&amp;G$1&amp;"|Input"),IF(COUNTIF(Flows!$M$2:$M$1500,$A29&amp;"|"&amp;G$1&amp;"|Output"),"I/O","IN"),IF(COUNTIF(Flows!$M$2:$M$1500,$A29&amp;"|"&amp;G$1&amp;"|Output"),"OUT",""))</f>
        <v/>
      </c>
      <c r="H29" s="33" t="str">
        <f aca="false">IF(COUNTIF(Flows!$M$2:$M$1500,$A29&amp;"|"&amp;H$1&amp;"|Input"),IF(COUNTIF(Flows!$M$2:$M$1500,$A29&amp;"|"&amp;H$1&amp;"|Output"),"I/O","IN"),IF(COUNTIF(Flows!$M$2:$M$1500,$A29&amp;"|"&amp;H$1&amp;"|Output"),"OUT",""))</f>
        <v/>
      </c>
      <c r="I29" s="33" t="str">
        <f aca="false">IF(COUNTIF(Flows!$M$2:$M$1500,$A29&amp;"|"&amp;I$1&amp;"|Input"),IF(COUNTIF(Flows!$M$2:$M$1500,$A29&amp;"|"&amp;I$1&amp;"|Output"),"I/O","IN"),IF(COUNTIF(Flows!$M$2:$M$1500,$A29&amp;"|"&amp;I$1&amp;"|Output"),"OUT",""))</f>
        <v/>
      </c>
      <c r="J29" s="33" t="str">
        <f aca="false">IF(COUNTIF(Flows!$M$2:$M$1500,$A29&amp;"|"&amp;J$1&amp;"|Input"),IF(COUNTIF(Flows!$M$2:$M$1500,$A29&amp;"|"&amp;J$1&amp;"|Output"),"I/O","IN"),IF(COUNTIF(Flows!$M$2:$M$1500,$A29&amp;"|"&amp;J$1&amp;"|Output"),"OUT",""))</f>
        <v/>
      </c>
      <c r="K29" s="33" t="str">
        <f aca="false">IF(COUNTIF(Flows!$M$2:$M$1500,$A29&amp;"|"&amp;K$1&amp;"|Input"),IF(COUNTIF(Flows!$M$2:$M$1500,$A29&amp;"|"&amp;K$1&amp;"|Output"),"I/O","IN"),IF(COUNTIF(Flows!$M$2:$M$1500,$A29&amp;"|"&amp;K$1&amp;"|Output"),"OUT",""))</f>
        <v/>
      </c>
      <c r="L29" s="33" t="str">
        <f aca="false">IF(COUNTIF(Flows!$M$2:$M$1500,$A29&amp;"|"&amp;L$1&amp;"|Input"),IF(COUNTIF(Flows!$M$2:$M$1500,$A29&amp;"|"&amp;L$1&amp;"|Output"),"I/O","IN"),IF(COUNTIF(Flows!$M$2:$M$1500,$A29&amp;"|"&amp;L$1&amp;"|Output"),"OUT",""))</f>
        <v/>
      </c>
      <c r="M29" s="33" t="str">
        <f aca="false">IF(COUNTIF(Flows!$M$2:$M$1500,$A29&amp;"|"&amp;M$1&amp;"|Input"),IF(COUNTIF(Flows!$M$2:$M$1500,$A29&amp;"|"&amp;M$1&amp;"|Output"),"I/O","IN"),IF(COUNTIF(Flows!$M$2:$M$1500,$A29&amp;"|"&amp;M$1&amp;"|Output"),"OUT",""))</f>
        <v/>
      </c>
      <c r="N29" s="33" t="str">
        <f aca="false">IF(COUNTIF(Flows!$M$2:$M$1500,$A29&amp;"|"&amp;N$1&amp;"|Input"),IF(COUNTIF(Flows!$M$2:$M$1500,$A29&amp;"|"&amp;N$1&amp;"|Output"),"I/O","IN"),IF(COUNTIF(Flows!$M$2:$M$1500,$A29&amp;"|"&amp;N$1&amp;"|Output"),"OUT",""))</f>
        <v/>
      </c>
      <c r="O29" s="33" t="str">
        <f aca="false">IF(COUNTIF(Flows!$M$2:$M$1500,$A29&amp;"|"&amp;O$1&amp;"|Input"),IF(COUNTIF(Flows!$M$2:$M$1500,$A29&amp;"|"&amp;O$1&amp;"|Output"),"I/O","IN"),IF(COUNTIF(Flows!$M$2:$M$1500,$A29&amp;"|"&amp;O$1&amp;"|Output"),"OUT",""))</f>
        <v/>
      </c>
      <c r="P29" s="33" t="str">
        <f aca="false">IF(COUNTIF(Flows!$M$2:$M$1500,$A29&amp;"|"&amp;P$1&amp;"|Input"),IF(COUNTIF(Flows!$M$2:$M$1500,$A29&amp;"|"&amp;P$1&amp;"|Output"),"I/O","IN"),IF(COUNTIF(Flows!$M$2:$M$1500,$A29&amp;"|"&amp;P$1&amp;"|Output"),"OUT",""))</f>
        <v/>
      </c>
      <c r="Q29" s="33" t="str">
        <f aca="false">IF(COUNTIF(Flows!$M$2:$M$1500,$A29&amp;"|"&amp;Q$1&amp;"|Input"),IF(COUNTIF(Flows!$M$2:$M$1500,$A29&amp;"|"&amp;Q$1&amp;"|Output"),"I/O","IN"),IF(COUNTIF(Flows!$M$2:$M$1500,$A29&amp;"|"&amp;Q$1&amp;"|Output"),"OUT",""))</f>
        <v/>
      </c>
      <c r="R29" s="33" t="str">
        <f aca="false">IF(COUNTIF(Flows!$M$2:$M$1500,$A29&amp;"|"&amp;R$1&amp;"|Input"),IF(COUNTIF(Flows!$M$2:$M$1500,$A29&amp;"|"&amp;R$1&amp;"|Output"),"I/O","IN"),IF(COUNTIF(Flows!$M$2:$M$1500,$A29&amp;"|"&amp;R$1&amp;"|Output"),"OUT",""))</f>
        <v/>
      </c>
      <c r="S29" s="33" t="str">
        <f aca="false">IF(COUNTIF(Flows!$M$2:$M$1500,$A29&amp;"|"&amp;S$1&amp;"|Input"),IF(COUNTIF(Flows!$M$2:$M$1500,$A29&amp;"|"&amp;S$1&amp;"|Output"),"I/O","IN"),IF(COUNTIF(Flows!$M$2:$M$1500,$A29&amp;"|"&amp;S$1&amp;"|Output"),"OUT",""))</f>
        <v/>
      </c>
      <c r="T29" s="33" t="str">
        <f aca="false">IF(COUNTIF(Flows!$M$2:$M$1500,$A29&amp;"|"&amp;T$1&amp;"|Input"),IF(COUNTIF(Flows!$M$2:$M$1500,$A29&amp;"|"&amp;T$1&amp;"|Output"),"I/O","IN"),IF(COUNTIF(Flows!$M$2:$M$1500,$A29&amp;"|"&amp;T$1&amp;"|Output"),"OUT",""))</f>
        <v>IN</v>
      </c>
      <c r="U29" s="33" t="str">
        <f aca="false">IF(COUNTIF(Flows!$M$2:$M$1500,$A29&amp;"|"&amp;U$1&amp;"|Input"),IF(COUNTIF(Flows!$M$2:$M$1500,$A29&amp;"|"&amp;U$1&amp;"|Output"),"I/O","IN"),IF(COUNTIF(Flows!$M$2:$M$1500,$A29&amp;"|"&amp;U$1&amp;"|Output"),"OUT",""))</f>
        <v/>
      </c>
      <c r="V29" s="33" t="str">
        <f aca="false">IF(COUNTIF(Flows!$M$2:$M$1500,$A29&amp;"|"&amp;V$1&amp;"|Input"),IF(COUNTIF(Flows!$M$2:$M$1500,$A29&amp;"|"&amp;V$1&amp;"|Output"),"I/O","IN"),IF(COUNTIF(Flows!$M$2:$M$1500,$A29&amp;"|"&amp;V$1&amp;"|Output"),"OUT",""))</f>
        <v/>
      </c>
      <c r="W29" s="33" t="str">
        <f aca="false">IF(COUNTIF(Flows!$M$2:$M$1500,$A29&amp;"|"&amp;W$1&amp;"|Input"),IF(COUNTIF(Flows!$M$2:$M$1500,$A29&amp;"|"&amp;W$1&amp;"|Output"),"I/O","IN"),IF(COUNTIF(Flows!$M$2:$M$1500,$A29&amp;"|"&amp;W$1&amp;"|Output"),"OUT",""))</f>
        <v/>
      </c>
      <c r="X29" s="33" t="str">
        <f aca="false">IF(COUNTIF(Flows!$M$2:$M$1500,$A29&amp;"|"&amp;X$1&amp;"|Input"),IF(COUNTIF(Flows!$M$2:$M$1500,$A29&amp;"|"&amp;X$1&amp;"|Output"),"I/O","IN"),IF(COUNTIF(Flows!$M$2:$M$1500,$A29&amp;"|"&amp;X$1&amp;"|Output"),"OUT",""))</f>
        <v/>
      </c>
      <c r="Y29" s="33" t="str">
        <f aca="false">IF(COUNTIF(Flows!$M$2:$M$1500,$A29&amp;"|"&amp;Y$1&amp;"|Input"),IF(COUNTIF(Flows!$M$2:$M$1500,$A29&amp;"|"&amp;Y$1&amp;"|Output"),"I/O","IN"),IF(COUNTIF(Flows!$M$2:$M$1500,$A29&amp;"|"&amp;Y$1&amp;"|Output"),"OUT",""))</f>
        <v>IN</v>
      </c>
      <c r="Z29" s="33" t="str">
        <f aca="false">IF(COUNTIF(Flows!$M$2:$M$1500,$A29&amp;"|"&amp;Z$1&amp;"|Input"),IF(COUNTIF(Flows!$M$2:$M$1500,$A29&amp;"|"&amp;Z$1&amp;"|Output"),"I/O","IN"),IF(COUNTIF(Flows!$M$2:$M$1500,$A29&amp;"|"&amp;Z$1&amp;"|Output"),"OUT",""))</f>
        <v/>
      </c>
      <c r="AA29" s="33" t="str">
        <f aca="false">IF(COUNTIF(Flows!$M$2:$M$1500,$A29&amp;"|"&amp;AA$1&amp;"|Input"),IF(COUNTIF(Flows!$M$2:$M$1500,$A29&amp;"|"&amp;AA$1&amp;"|Output"),"I/O","IN"),IF(COUNTIF(Flows!$M$2:$M$1500,$A29&amp;"|"&amp;AA$1&amp;"|Output"),"OUT",""))</f>
        <v/>
      </c>
      <c r="AB29" s="33" t="str">
        <f aca="false">IF(COUNTIF(Flows!$M$2:$M$1500,$A29&amp;"|"&amp;AB$1&amp;"|Input"),IF(COUNTIF(Flows!$M$2:$M$1500,$A29&amp;"|"&amp;AB$1&amp;"|Output"),"I/O","IN"),IF(COUNTIF(Flows!$M$2:$M$1500,$A29&amp;"|"&amp;AB$1&amp;"|Output"),"OUT",""))</f>
        <v/>
      </c>
      <c r="AC29" s="33" t="str">
        <f aca="false">IF(COUNTIF(Flows!$M$2:$M$1500,$A29&amp;"|"&amp;AC$1&amp;"|Input"),IF(COUNTIF(Flows!$M$2:$M$1500,$A29&amp;"|"&amp;AC$1&amp;"|Output"),"I/O","IN"),IF(COUNTIF(Flows!$M$2:$M$1500,$A29&amp;"|"&amp;AC$1&amp;"|Output"),"OUT",""))</f>
        <v/>
      </c>
      <c r="AD29" s="33" t="str">
        <f aca="false">IF(COUNTIF(Flows!$M$2:$M$1500,$A29&amp;"|"&amp;AD$1&amp;"|Input"),IF(COUNTIF(Flows!$M$2:$M$1500,$A29&amp;"|"&amp;AD$1&amp;"|Output"),"I/O","IN"),IF(COUNTIF(Flows!$M$2:$M$1500,$A29&amp;"|"&amp;AD$1&amp;"|Output"),"OUT",""))</f>
        <v/>
      </c>
      <c r="AE29" s="33" t="str">
        <f aca="false">IF(COUNTIF(Flows!$M$2:$M$1500,$A29&amp;"|"&amp;AE$1&amp;"|Input"),IF(COUNTIF(Flows!$M$2:$M$1500,$A29&amp;"|"&amp;AE$1&amp;"|Output"),"I/O","IN"),IF(COUNTIF(Flows!$M$2:$M$1500,$A29&amp;"|"&amp;AE$1&amp;"|Output"),"OUT",""))</f>
        <v/>
      </c>
      <c r="AF29" s="33" t="str">
        <f aca="false">IF(COUNTIF(Flows!$M$2:$M$1500,$A29&amp;"|"&amp;AF$1&amp;"|Input"),IF(COUNTIF(Flows!$M$2:$M$1500,$A29&amp;"|"&amp;AF$1&amp;"|Output"),"I/O","IN"),IF(COUNTIF(Flows!$M$2:$M$1500,$A29&amp;"|"&amp;AF$1&amp;"|Output"),"OUT",""))</f>
        <v/>
      </c>
      <c r="AG29" s="33" t="str">
        <f aca="false">IF(COUNTIF(Flows!$M$2:$M$1500,$A29&amp;"|"&amp;AG$1&amp;"|Input"),IF(COUNTIF(Flows!$M$2:$M$1500,$A29&amp;"|"&amp;AG$1&amp;"|Output"),"I/O","IN"),IF(COUNTIF(Flows!$M$2:$M$1500,$A29&amp;"|"&amp;AG$1&amp;"|Output"),"OUT",""))</f>
        <v/>
      </c>
      <c r="AH29" s="33" t="str">
        <f aca="false">IF(COUNTIF(Flows!$M$2:$M$1500,$A29&amp;"|"&amp;AH$1&amp;"|Input"),IF(COUNTIF(Flows!$M$2:$M$1500,$A29&amp;"|"&amp;AH$1&amp;"|Output"),"I/O","IN"),IF(COUNTIF(Flows!$M$2:$M$1500,$A29&amp;"|"&amp;AH$1&amp;"|Output"),"OUT",""))</f>
        <v/>
      </c>
      <c r="AI29" s="33" t="str">
        <f aca="false">IF(COUNTIF(Flows!$M$2:$M$1500,$A29&amp;"|"&amp;AI$1&amp;"|Input"),IF(COUNTIF(Flows!$M$2:$M$1500,$A29&amp;"|"&amp;AI$1&amp;"|Output"),"I/O","IN"),IF(COUNTIF(Flows!$M$2:$M$1500,$A29&amp;"|"&amp;AI$1&amp;"|Output"),"OUT",""))</f>
        <v/>
      </c>
      <c r="AJ29" s="33" t="str">
        <f aca="false">IF(COUNTIF(Flows!$M$2:$M$1500,$A29&amp;"|"&amp;AJ$1&amp;"|Input"),IF(COUNTIF(Flows!$M$2:$M$1500,$A29&amp;"|"&amp;AJ$1&amp;"|Output"),"I/O","IN"),IF(COUNTIF(Flows!$M$2:$M$1500,$A29&amp;"|"&amp;AJ$1&amp;"|Output"),"OUT",""))</f>
        <v/>
      </c>
      <c r="AK29" s="33" t="str">
        <f aca="false">IF(COUNTIF(Flows!$M$2:$M$1500,$A29&amp;"|"&amp;AK$1&amp;"|Input"),IF(COUNTIF(Flows!$M$2:$M$1500,$A29&amp;"|"&amp;AK$1&amp;"|Output"),"I/O","IN"),IF(COUNTIF(Flows!$M$2:$M$1500,$A29&amp;"|"&amp;AK$1&amp;"|Output"),"OUT",""))</f>
        <v/>
      </c>
      <c r="AL29" s="33" t="str">
        <f aca="false">IF(COUNTIF(Flows!$M$2:$M$1500,$A29&amp;"|"&amp;AL$1&amp;"|Input"),IF(COUNTIF(Flows!$M$2:$M$1500,$A29&amp;"|"&amp;AL$1&amp;"|Output"),"I/O","IN"),IF(COUNTIF(Flows!$M$2:$M$1500,$A29&amp;"|"&amp;AL$1&amp;"|Output"),"OUT",""))</f>
        <v/>
      </c>
      <c r="AM29" s="33" t="str">
        <f aca="false">IF(COUNTIF(Flows!$M$2:$M$1500,$A29&amp;"|"&amp;AM$1&amp;"|Input"),IF(COUNTIF(Flows!$M$2:$M$1500,$A29&amp;"|"&amp;AM$1&amp;"|Output"),"I/O","IN"),IF(COUNTIF(Flows!$M$2:$M$1500,$A29&amp;"|"&amp;AM$1&amp;"|Output"),"OUT",""))</f>
        <v/>
      </c>
      <c r="AN29" s="33" t="str">
        <f aca="false">IF(COUNTIF(Flows!$M$2:$M$1500,$A29&amp;"|"&amp;AN$1&amp;"|Input"),IF(COUNTIF(Flows!$M$2:$M$1500,$A29&amp;"|"&amp;AN$1&amp;"|Output"),"I/O","IN"),IF(COUNTIF(Flows!$M$2:$M$1500,$A29&amp;"|"&amp;AN$1&amp;"|Output"),"OUT",""))</f>
        <v/>
      </c>
      <c r="AO29" s="33" t="str">
        <f aca="false">IF(COUNTIF(Flows!$M$2:$M$1500,$A29&amp;"|"&amp;AO$1&amp;"|Input"),IF(COUNTIF(Flows!$M$2:$M$1500,$A29&amp;"|"&amp;AO$1&amp;"|Output"),"I/O","IN"),IF(COUNTIF(Flows!$M$2:$M$1500,$A29&amp;"|"&amp;AO$1&amp;"|Output"),"OUT",""))</f>
        <v/>
      </c>
      <c r="AP29" s="33" t="str">
        <f aca="false">IF(COUNTIF(Flows!$M$2:$M$1500,$A29&amp;"|"&amp;AP$1&amp;"|Input"),IF(COUNTIF(Flows!$M$2:$M$1500,$A29&amp;"|"&amp;AP$1&amp;"|Output"),"I/O","IN"),IF(COUNTIF(Flows!$M$2:$M$1500,$A29&amp;"|"&amp;AP$1&amp;"|Output"),"OUT",""))</f>
        <v/>
      </c>
      <c r="AQ29" s="33" t="str">
        <f aca="false">IF(COUNTIF(Flows!$M$2:$M$1500,$A29&amp;"|"&amp;AQ$1&amp;"|Input"),IF(COUNTIF(Flows!$M$2:$M$1500,$A29&amp;"|"&amp;AQ$1&amp;"|Output"),"I/O","IN"),IF(COUNTIF(Flows!$M$2:$M$1500,$A29&amp;"|"&amp;AQ$1&amp;"|Output"),"OUT",""))</f>
        <v/>
      </c>
      <c r="AR29" s="33" t="str">
        <f aca="false">IF(COUNTIF(Flows!$M$2:$M$1500,$A29&amp;"|"&amp;AR$1&amp;"|Input"),IF(COUNTIF(Flows!$M$2:$M$1500,$A29&amp;"|"&amp;AR$1&amp;"|Output"),"I/O","IN"),IF(COUNTIF(Flows!$M$2:$M$1500,$A29&amp;"|"&amp;AR$1&amp;"|Output"),"OUT",""))</f>
        <v/>
      </c>
      <c r="AS29" s="33" t="str">
        <f aca="false">IF(COUNTIF(Flows!$M$2:$M$1500,$A29&amp;"|"&amp;AS$1&amp;"|Input"),IF(COUNTIF(Flows!$M$2:$M$1500,$A29&amp;"|"&amp;AS$1&amp;"|Output"),"I/O","IN"),IF(COUNTIF(Flows!$M$2:$M$1500,$A29&amp;"|"&amp;AS$1&amp;"|Output"),"OUT",""))</f>
        <v/>
      </c>
      <c r="AT29" s="33" t="str">
        <f aca="false">IF(COUNTIF(Flows!$M$2:$M$1500,$A29&amp;"|"&amp;AT$1&amp;"|Input"),IF(COUNTIF(Flows!$M$2:$M$1500,$A29&amp;"|"&amp;AT$1&amp;"|Output"),"I/O","IN"),IF(COUNTIF(Flows!$M$2:$M$1500,$A29&amp;"|"&amp;AT$1&amp;"|Output"),"OUT",""))</f>
        <v/>
      </c>
      <c r="AU29" s="33" t="str">
        <f aca="false">IF(COUNTIF(Flows!$M$2:$M$1500,$A29&amp;"|"&amp;AU$1&amp;"|Input"),IF(COUNTIF(Flows!$M$2:$M$1500,$A29&amp;"|"&amp;AU$1&amp;"|Output"),"I/O","IN"),IF(COUNTIF(Flows!$M$2:$M$1500,$A29&amp;"|"&amp;AU$1&amp;"|Output"),"OUT",""))</f>
        <v/>
      </c>
      <c r="AV29" s="33" t="str">
        <f aca="false">IF(COUNTIF(Flows!$M$2:$M$1500,$A29&amp;"|"&amp;AV$1&amp;"|Input"),IF(COUNTIF(Flows!$M$2:$M$1500,$A29&amp;"|"&amp;AV$1&amp;"|Output"),"I/O","IN"),IF(COUNTIF(Flows!$M$2:$M$1500,$A29&amp;"|"&amp;AV$1&amp;"|Output"),"OUT",""))</f>
        <v/>
      </c>
      <c r="AW29" s="33" t="str">
        <f aca="false">IF(COUNTIF(Flows!$M$2:$M$1500,$A29&amp;"|"&amp;AW$1&amp;"|Input"),IF(COUNTIF(Flows!$M$2:$M$1500,$A29&amp;"|"&amp;AW$1&amp;"|Output"),"I/O","IN"),IF(COUNTIF(Flows!$M$2:$M$1500,$A29&amp;"|"&amp;AW$1&amp;"|Output"),"OUT",""))</f>
        <v/>
      </c>
      <c r="AX29" s="33" t="str">
        <f aca="false">IF(COUNTIF(Flows!$M$2:$M$1500,$A29&amp;"|"&amp;AX$1&amp;"|Input"),IF(COUNTIF(Flows!$M$2:$M$1500,$A29&amp;"|"&amp;AX$1&amp;"|Output"),"I/O","IN"),IF(COUNTIF(Flows!$M$2:$M$1500,$A29&amp;"|"&amp;AX$1&amp;"|Output"),"OUT",""))</f>
        <v>OUT</v>
      </c>
      <c r="AY29" s="33" t="str">
        <f aca="false">IF(COUNTIF(Flows!$M$2:$M$1500,$A29&amp;"|"&amp;AY$1&amp;"|Input"),IF(COUNTIF(Flows!$M$2:$M$1500,$A29&amp;"|"&amp;AY$1&amp;"|Output"),"I/O","IN"),IF(COUNTIF(Flows!$M$2:$M$1500,$A29&amp;"|"&amp;AY$1&amp;"|Output"),"OUT",""))</f>
        <v/>
      </c>
      <c r="AZ29" s="33" t="str">
        <f aca="false">IF(COUNTIF(Flows!$M$2:$M$1500,$A29&amp;"|"&amp;AZ$1&amp;"|Input"),IF(COUNTIF(Flows!$M$2:$M$1500,$A29&amp;"|"&amp;AZ$1&amp;"|Output"),"I/O","IN"),IF(COUNTIF(Flows!$M$2:$M$1500,$A29&amp;"|"&amp;AZ$1&amp;"|Output"),"OUT",""))</f>
        <v/>
      </c>
      <c r="BA29" s="33" t="str">
        <f aca="false">IF(COUNTIF(Flows!$M$2:$M$1500,$A29&amp;"|"&amp;BA$1&amp;"|Input"),IF(COUNTIF(Flows!$M$2:$M$1500,$A29&amp;"|"&amp;BA$1&amp;"|Output"),"I/O","IN"),IF(COUNTIF(Flows!$M$2:$M$1500,$A29&amp;"|"&amp;BA$1&amp;"|Output"),"OUT",""))</f>
        <v/>
      </c>
      <c r="BB29" s="33" t="str">
        <f aca="false">IF(COUNTIF(Flows!$M$2:$M$1500,$A29&amp;"|"&amp;BB$1&amp;"|Input"),IF(COUNTIF(Flows!$M$2:$M$1500,$A29&amp;"|"&amp;BB$1&amp;"|Output"),"I/O","IN"),IF(COUNTIF(Flows!$M$2:$M$1500,$A29&amp;"|"&amp;BB$1&amp;"|Output"),"OUT",""))</f>
        <v/>
      </c>
      <c r="BC29" s="33" t="str">
        <f aca="false">IF(COUNTIF(Flows!$M$2:$M$1500,$A29&amp;"|"&amp;BC$1&amp;"|Input"),IF(COUNTIF(Flows!$M$2:$M$1500,$A29&amp;"|"&amp;BC$1&amp;"|Output"),"I/O","IN"),IF(COUNTIF(Flows!$M$2:$M$1500,$A29&amp;"|"&amp;BC$1&amp;"|Output"),"OUT",""))</f>
        <v/>
      </c>
      <c r="BD29" s="33" t="str">
        <f aca="false">IF(COUNTIF(Flows!$M$2:$M$1500,$A29&amp;"|"&amp;BD$1&amp;"|Input"),IF(COUNTIF(Flows!$M$2:$M$1500,$A29&amp;"|"&amp;BD$1&amp;"|Output"),"I/O","IN"),IF(COUNTIF(Flows!$M$2:$M$1500,$A29&amp;"|"&amp;BD$1&amp;"|Output"),"OUT",""))</f>
        <v/>
      </c>
      <c r="BE29" s="33" t="str">
        <f aca="false">IF(COUNTIF(Flows!$M$2:$M$1500,$A29&amp;"|"&amp;BE$1&amp;"|Input"),IF(COUNTIF(Flows!$M$2:$M$1500,$A29&amp;"|"&amp;BE$1&amp;"|Output"),"I/O","IN"),IF(COUNTIF(Flows!$M$2:$M$1500,$A29&amp;"|"&amp;BE$1&amp;"|Output"),"OUT",""))</f>
        <v/>
      </c>
      <c r="BF29" s="33" t="str">
        <f aca="false">IF(COUNTIF(Flows!$M$2:$M$1500,$A29&amp;"|"&amp;BF$1&amp;"|Input"),IF(COUNTIF(Flows!$M$2:$M$1500,$A29&amp;"|"&amp;BF$1&amp;"|Output"),"I/O","IN"),IF(COUNTIF(Flows!$M$2:$M$1500,$A29&amp;"|"&amp;BF$1&amp;"|Output"),"OUT",""))</f>
        <v/>
      </c>
      <c r="BG29" s="33" t="str">
        <f aca="false">IF(COUNTIF(Flows!$M$2:$M$1500,$A29&amp;"|"&amp;BG$1&amp;"|Input"),IF(COUNTIF(Flows!$M$2:$M$1500,$A29&amp;"|"&amp;BG$1&amp;"|Output"),"I/O","IN"),IF(COUNTIF(Flows!$M$2:$M$1500,$A29&amp;"|"&amp;BG$1&amp;"|Output"),"OUT",""))</f>
        <v/>
      </c>
      <c r="BH29" s="33" t="str">
        <f aca="false">IF(COUNTIF(Flows!$M$2:$M$1500,$A29&amp;"|"&amp;BH$1&amp;"|Input"),IF(COUNTIF(Flows!$M$2:$M$1500,$A29&amp;"|"&amp;BH$1&amp;"|Output"),"I/O","IN"),IF(COUNTIF(Flows!$M$2:$M$1500,$A29&amp;"|"&amp;BH$1&amp;"|Output"),"OUT",""))</f>
        <v/>
      </c>
      <c r="BI29" s="33" t="str">
        <f aca="false">IF(COUNTIF(Flows!$M$2:$M$1500,$A29&amp;"|"&amp;BI$1&amp;"|Input"),IF(COUNTIF(Flows!$M$2:$M$1500,$A29&amp;"|"&amp;BI$1&amp;"|Output"),"I/O","IN"),IF(COUNTIF(Flows!$M$2:$M$1500,$A29&amp;"|"&amp;BI$1&amp;"|Output"),"OUT",""))</f>
        <v/>
      </c>
      <c r="BJ29" s="33" t="str">
        <f aca="false">IF(COUNTIF(Flows!$M$2:$M$1500,$A29&amp;"|"&amp;BJ$1&amp;"|Input"),IF(COUNTIF(Flows!$M$2:$M$1500,$A29&amp;"|"&amp;BJ$1&amp;"|Output"),"I/O","IN"),IF(COUNTIF(Flows!$M$2:$M$1500,$A29&amp;"|"&amp;BJ$1&amp;"|Output"),"OUT",""))</f>
        <v/>
      </c>
      <c r="BK29" s="33" t="str">
        <f aca="false">IF(COUNTIF(Flows!$M$2:$M$1500,$A29&amp;"|"&amp;BK$1&amp;"|Input"),IF(COUNTIF(Flows!$M$2:$M$1500,$A29&amp;"|"&amp;BK$1&amp;"|Output"),"I/O","IN"),IF(COUNTIF(Flows!$M$2:$M$1500,$A29&amp;"|"&amp;BK$1&amp;"|Output"),"OUT",""))</f>
        <v/>
      </c>
    </row>
    <row r="30" customFormat="false" ht="15" hidden="false" customHeight="true" outlineLevel="0" collapsed="false">
      <c r="A30" s="6" t="str">
        <f aca="false">Systems!B30</f>
        <v>Central Power Plant (Coal / NatGas / Nuclear)</v>
      </c>
      <c r="B30" s="33" t="str">
        <f aca="false">IF(COUNTIF(Flows!$M$2:$M$1500,$A30&amp;"|"&amp;B$1&amp;"|Input"),IF(COUNTIF(Flows!$M$2:$M$1500,$A30&amp;"|"&amp;B$1&amp;"|Output"),"I/O","IN"),IF(COUNTIF(Flows!$M$2:$M$1500,$A30&amp;"|"&amp;B$1&amp;"|Output"),"OUT",""))</f>
        <v/>
      </c>
      <c r="C30" s="33" t="str">
        <f aca="false">IF(COUNTIF(Flows!$M$2:$M$1500,$A30&amp;"|"&amp;C$1&amp;"|Input"),IF(COUNTIF(Flows!$M$2:$M$1500,$A30&amp;"|"&amp;C$1&amp;"|Output"),"I/O","IN"),IF(COUNTIF(Flows!$M$2:$M$1500,$A30&amp;"|"&amp;C$1&amp;"|Output"),"OUT",""))</f>
        <v/>
      </c>
      <c r="D30" s="33" t="str">
        <f aca="false">IF(COUNTIF(Flows!$M$2:$M$1500,$A30&amp;"|"&amp;D$1&amp;"|Input"),IF(COUNTIF(Flows!$M$2:$M$1500,$A30&amp;"|"&amp;D$1&amp;"|Output"),"I/O","IN"),IF(COUNTIF(Flows!$M$2:$M$1500,$A30&amp;"|"&amp;D$1&amp;"|Output"),"OUT",""))</f>
        <v/>
      </c>
      <c r="E30" s="33" t="str">
        <f aca="false">IF(COUNTIF(Flows!$M$2:$M$1500,$A30&amp;"|"&amp;E$1&amp;"|Input"),IF(COUNTIF(Flows!$M$2:$M$1500,$A30&amp;"|"&amp;E$1&amp;"|Output"),"I/O","IN"),IF(COUNTIF(Flows!$M$2:$M$1500,$A30&amp;"|"&amp;E$1&amp;"|Output"),"OUT",""))</f>
        <v/>
      </c>
      <c r="F30" s="33" t="str">
        <f aca="false">IF(COUNTIF(Flows!$M$2:$M$1500,$A30&amp;"|"&amp;F$1&amp;"|Input"),IF(COUNTIF(Flows!$M$2:$M$1500,$A30&amp;"|"&amp;F$1&amp;"|Output"),"I/O","IN"),IF(COUNTIF(Flows!$M$2:$M$1500,$A30&amp;"|"&amp;F$1&amp;"|Output"),"OUT",""))</f>
        <v/>
      </c>
      <c r="G30" s="33" t="str">
        <f aca="false">IF(COUNTIF(Flows!$M$2:$M$1500,$A30&amp;"|"&amp;G$1&amp;"|Input"),IF(COUNTIF(Flows!$M$2:$M$1500,$A30&amp;"|"&amp;G$1&amp;"|Output"),"I/O","IN"),IF(COUNTIF(Flows!$M$2:$M$1500,$A30&amp;"|"&amp;G$1&amp;"|Output"),"OUT",""))</f>
        <v/>
      </c>
      <c r="H30" s="33" t="str">
        <f aca="false">IF(COUNTIF(Flows!$M$2:$M$1500,$A30&amp;"|"&amp;H$1&amp;"|Input"),IF(COUNTIF(Flows!$M$2:$M$1500,$A30&amp;"|"&amp;H$1&amp;"|Output"),"I/O","IN"),IF(COUNTIF(Flows!$M$2:$M$1500,$A30&amp;"|"&amp;H$1&amp;"|Output"),"OUT",""))</f>
        <v/>
      </c>
      <c r="I30" s="33" t="str">
        <f aca="false">IF(COUNTIF(Flows!$M$2:$M$1500,$A30&amp;"|"&amp;I$1&amp;"|Input"),IF(COUNTIF(Flows!$M$2:$M$1500,$A30&amp;"|"&amp;I$1&amp;"|Output"),"I/O","IN"),IF(COUNTIF(Flows!$M$2:$M$1500,$A30&amp;"|"&amp;I$1&amp;"|Output"),"OUT",""))</f>
        <v/>
      </c>
      <c r="J30" s="33" t="str">
        <f aca="false">IF(COUNTIF(Flows!$M$2:$M$1500,$A30&amp;"|"&amp;J$1&amp;"|Input"),IF(COUNTIF(Flows!$M$2:$M$1500,$A30&amp;"|"&amp;J$1&amp;"|Output"),"I/O","IN"),IF(COUNTIF(Flows!$M$2:$M$1500,$A30&amp;"|"&amp;J$1&amp;"|Output"),"OUT",""))</f>
        <v/>
      </c>
      <c r="K30" s="33" t="str">
        <f aca="false">IF(COUNTIF(Flows!$M$2:$M$1500,$A30&amp;"|"&amp;K$1&amp;"|Input"),IF(COUNTIF(Flows!$M$2:$M$1500,$A30&amp;"|"&amp;K$1&amp;"|Output"),"I/O","IN"),IF(COUNTIF(Flows!$M$2:$M$1500,$A30&amp;"|"&amp;K$1&amp;"|Output"),"OUT",""))</f>
        <v/>
      </c>
      <c r="L30" s="33" t="str">
        <f aca="false">IF(COUNTIF(Flows!$M$2:$M$1500,$A30&amp;"|"&amp;L$1&amp;"|Input"),IF(COUNTIF(Flows!$M$2:$M$1500,$A30&amp;"|"&amp;L$1&amp;"|Output"),"I/O","IN"),IF(COUNTIF(Flows!$M$2:$M$1500,$A30&amp;"|"&amp;L$1&amp;"|Output"),"OUT",""))</f>
        <v/>
      </c>
      <c r="M30" s="33" t="str">
        <f aca="false">IF(COUNTIF(Flows!$M$2:$M$1500,$A30&amp;"|"&amp;M$1&amp;"|Input"),IF(COUNTIF(Flows!$M$2:$M$1500,$A30&amp;"|"&amp;M$1&amp;"|Output"),"I/O","IN"),IF(COUNTIF(Flows!$M$2:$M$1500,$A30&amp;"|"&amp;M$1&amp;"|Output"),"OUT",""))</f>
        <v/>
      </c>
      <c r="N30" s="33" t="str">
        <f aca="false">IF(COUNTIF(Flows!$M$2:$M$1500,$A30&amp;"|"&amp;N$1&amp;"|Input"),IF(COUNTIF(Flows!$M$2:$M$1500,$A30&amp;"|"&amp;N$1&amp;"|Output"),"I/O","IN"),IF(COUNTIF(Flows!$M$2:$M$1500,$A30&amp;"|"&amp;N$1&amp;"|Output"),"OUT",""))</f>
        <v/>
      </c>
      <c r="O30" s="33" t="str">
        <f aca="false">IF(COUNTIF(Flows!$M$2:$M$1500,$A30&amp;"|"&amp;O$1&amp;"|Input"),IF(COUNTIF(Flows!$M$2:$M$1500,$A30&amp;"|"&amp;O$1&amp;"|Output"),"I/O","IN"),IF(COUNTIF(Flows!$M$2:$M$1500,$A30&amp;"|"&amp;O$1&amp;"|Output"),"OUT",""))</f>
        <v/>
      </c>
      <c r="P30" s="33" t="str">
        <f aca="false">IF(COUNTIF(Flows!$M$2:$M$1500,$A30&amp;"|"&amp;P$1&amp;"|Input"),IF(COUNTIF(Flows!$M$2:$M$1500,$A30&amp;"|"&amp;P$1&amp;"|Output"),"I/O","IN"),IF(COUNTIF(Flows!$M$2:$M$1500,$A30&amp;"|"&amp;P$1&amp;"|Output"),"OUT",""))</f>
        <v/>
      </c>
      <c r="Q30" s="33" t="str">
        <f aca="false">IF(COUNTIF(Flows!$M$2:$M$1500,$A30&amp;"|"&amp;Q$1&amp;"|Input"),IF(COUNTIF(Flows!$M$2:$M$1500,$A30&amp;"|"&amp;Q$1&amp;"|Output"),"I/O","IN"),IF(COUNTIF(Flows!$M$2:$M$1500,$A30&amp;"|"&amp;Q$1&amp;"|Output"),"OUT",""))</f>
        <v/>
      </c>
      <c r="R30" s="33" t="str">
        <f aca="false">IF(COUNTIF(Flows!$M$2:$M$1500,$A30&amp;"|"&amp;R$1&amp;"|Input"),IF(COUNTIF(Flows!$M$2:$M$1500,$A30&amp;"|"&amp;R$1&amp;"|Output"),"I/O","IN"),IF(COUNTIF(Flows!$M$2:$M$1500,$A30&amp;"|"&amp;R$1&amp;"|Output"),"OUT",""))</f>
        <v/>
      </c>
      <c r="S30" s="33" t="str">
        <f aca="false">IF(COUNTIF(Flows!$M$2:$M$1500,$A30&amp;"|"&amp;S$1&amp;"|Input"),IF(COUNTIF(Flows!$M$2:$M$1500,$A30&amp;"|"&amp;S$1&amp;"|Output"),"I/O","IN"),IF(COUNTIF(Flows!$M$2:$M$1500,$A30&amp;"|"&amp;S$1&amp;"|Output"),"OUT",""))</f>
        <v>OUT</v>
      </c>
      <c r="T30" s="33" t="str">
        <f aca="false">IF(COUNTIF(Flows!$M$2:$M$1500,$A30&amp;"|"&amp;T$1&amp;"|Input"),IF(COUNTIF(Flows!$M$2:$M$1500,$A30&amp;"|"&amp;T$1&amp;"|Output"),"I/O","IN"),IF(COUNTIF(Flows!$M$2:$M$1500,$A30&amp;"|"&amp;T$1&amp;"|Output"),"OUT",""))</f>
        <v/>
      </c>
      <c r="U30" s="33" t="str">
        <f aca="false">IF(COUNTIF(Flows!$M$2:$M$1500,$A30&amp;"|"&amp;U$1&amp;"|Input"),IF(COUNTIF(Flows!$M$2:$M$1500,$A30&amp;"|"&amp;U$1&amp;"|Output"),"I/O","IN"),IF(COUNTIF(Flows!$M$2:$M$1500,$A30&amp;"|"&amp;U$1&amp;"|Output"),"OUT",""))</f>
        <v>OUT</v>
      </c>
      <c r="V30" s="33" t="str">
        <f aca="false">IF(COUNTIF(Flows!$M$2:$M$1500,$A30&amp;"|"&amp;V$1&amp;"|Input"),IF(COUNTIF(Flows!$M$2:$M$1500,$A30&amp;"|"&amp;V$1&amp;"|Output"),"I/O","IN"),IF(COUNTIF(Flows!$M$2:$M$1500,$A30&amp;"|"&amp;V$1&amp;"|Output"),"OUT",""))</f>
        <v>OUT</v>
      </c>
      <c r="W30" s="33" t="str">
        <f aca="false">IF(COUNTIF(Flows!$M$2:$M$1500,$A30&amp;"|"&amp;W$1&amp;"|Input"),IF(COUNTIF(Flows!$M$2:$M$1500,$A30&amp;"|"&amp;W$1&amp;"|Output"),"I/O","IN"),IF(COUNTIF(Flows!$M$2:$M$1500,$A30&amp;"|"&amp;W$1&amp;"|Output"),"OUT",""))</f>
        <v>OUT</v>
      </c>
      <c r="X30" s="33" t="str">
        <f aca="false">IF(COUNTIF(Flows!$M$2:$M$1500,$A30&amp;"|"&amp;X$1&amp;"|Input"),IF(COUNTIF(Flows!$M$2:$M$1500,$A30&amp;"|"&amp;X$1&amp;"|Output"),"I/O","IN"),IF(COUNTIF(Flows!$M$2:$M$1500,$A30&amp;"|"&amp;X$1&amp;"|Output"),"OUT",""))</f>
        <v/>
      </c>
      <c r="Y30" s="33" t="str">
        <f aca="false">IF(COUNTIF(Flows!$M$2:$M$1500,$A30&amp;"|"&amp;Y$1&amp;"|Input"),IF(COUNTIF(Flows!$M$2:$M$1500,$A30&amp;"|"&amp;Y$1&amp;"|Output"),"I/O","IN"),IF(COUNTIF(Flows!$M$2:$M$1500,$A30&amp;"|"&amp;Y$1&amp;"|Output"),"OUT",""))</f>
        <v>IN</v>
      </c>
      <c r="Z30" s="33" t="str">
        <f aca="false">IF(COUNTIF(Flows!$M$2:$M$1500,$A30&amp;"|"&amp;Z$1&amp;"|Input"),IF(COUNTIF(Flows!$M$2:$M$1500,$A30&amp;"|"&amp;Z$1&amp;"|Output"),"I/O","IN"),IF(COUNTIF(Flows!$M$2:$M$1500,$A30&amp;"|"&amp;Z$1&amp;"|Output"),"OUT",""))</f>
        <v/>
      </c>
      <c r="AA30" s="33" t="str">
        <f aca="false">IF(COUNTIF(Flows!$M$2:$M$1500,$A30&amp;"|"&amp;AA$1&amp;"|Input"),IF(COUNTIF(Flows!$M$2:$M$1500,$A30&amp;"|"&amp;AA$1&amp;"|Output"),"I/O","IN"),IF(COUNTIF(Flows!$M$2:$M$1500,$A30&amp;"|"&amp;AA$1&amp;"|Output"),"OUT",""))</f>
        <v/>
      </c>
      <c r="AB30" s="33" t="str">
        <f aca="false">IF(COUNTIF(Flows!$M$2:$M$1500,$A30&amp;"|"&amp;AB$1&amp;"|Input"),IF(COUNTIF(Flows!$M$2:$M$1500,$A30&amp;"|"&amp;AB$1&amp;"|Output"),"I/O","IN"),IF(COUNTIF(Flows!$M$2:$M$1500,$A30&amp;"|"&amp;AB$1&amp;"|Output"),"OUT",""))</f>
        <v/>
      </c>
      <c r="AC30" s="33" t="str">
        <f aca="false">IF(COUNTIF(Flows!$M$2:$M$1500,$A30&amp;"|"&amp;AC$1&amp;"|Input"),IF(COUNTIF(Flows!$M$2:$M$1500,$A30&amp;"|"&amp;AC$1&amp;"|Output"),"I/O","IN"),IF(COUNTIF(Flows!$M$2:$M$1500,$A30&amp;"|"&amp;AC$1&amp;"|Output"),"OUT",""))</f>
        <v/>
      </c>
      <c r="AD30" s="33" t="str">
        <f aca="false">IF(COUNTIF(Flows!$M$2:$M$1500,$A30&amp;"|"&amp;AD$1&amp;"|Input"),IF(COUNTIF(Flows!$M$2:$M$1500,$A30&amp;"|"&amp;AD$1&amp;"|Output"),"I/O","IN"),IF(COUNTIF(Flows!$M$2:$M$1500,$A30&amp;"|"&amp;AD$1&amp;"|Output"),"OUT",""))</f>
        <v/>
      </c>
      <c r="AE30" s="33" t="str">
        <f aca="false">IF(COUNTIF(Flows!$M$2:$M$1500,$A30&amp;"|"&amp;AE$1&amp;"|Input"),IF(COUNTIF(Flows!$M$2:$M$1500,$A30&amp;"|"&amp;AE$1&amp;"|Output"),"I/O","IN"),IF(COUNTIF(Flows!$M$2:$M$1500,$A30&amp;"|"&amp;AE$1&amp;"|Output"),"OUT",""))</f>
        <v/>
      </c>
      <c r="AF30" s="33" t="str">
        <f aca="false">IF(COUNTIF(Flows!$M$2:$M$1500,$A30&amp;"|"&amp;AF$1&amp;"|Input"),IF(COUNTIF(Flows!$M$2:$M$1500,$A30&amp;"|"&amp;AF$1&amp;"|Output"),"I/O","IN"),IF(COUNTIF(Flows!$M$2:$M$1500,$A30&amp;"|"&amp;AF$1&amp;"|Output"),"OUT",""))</f>
        <v/>
      </c>
      <c r="AG30" s="33" t="str">
        <f aca="false">IF(COUNTIF(Flows!$M$2:$M$1500,$A30&amp;"|"&amp;AG$1&amp;"|Input"),IF(COUNTIF(Flows!$M$2:$M$1500,$A30&amp;"|"&amp;AG$1&amp;"|Output"),"I/O","IN"),IF(COUNTIF(Flows!$M$2:$M$1500,$A30&amp;"|"&amp;AG$1&amp;"|Output"),"OUT",""))</f>
        <v/>
      </c>
      <c r="AH30" s="33" t="str">
        <f aca="false">IF(COUNTIF(Flows!$M$2:$M$1500,$A30&amp;"|"&amp;AH$1&amp;"|Input"),IF(COUNTIF(Flows!$M$2:$M$1500,$A30&amp;"|"&amp;AH$1&amp;"|Output"),"I/O","IN"),IF(COUNTIF(Flows!$M$2:$M$1500,$A30&amp;"|"&amp;AH$1&amp;"|Output"),"OUT",""))</f>
        <v/>
      </c>
      <c r="AI30" s="33" t="str">
        <f aca="false">IF(COUNTIF(Flows!$M$2:$M$1500,$A30&amp;"|"&amp;AI$1&amp;"|Input"),IF(COUNTIF(Flows!$M$2:$M$1500,$A30&amp;"|"&amp;AI$1&amp;"|Output"),"I/O","IN"),IF(COUNTIF(Flows!$M$2:$M$1500,$A30&amp;"|"&amp;AI$1&amp;"|Output"),"OUT",""))</f>
        <v/>
      </c>
      <c r="AJ30" s="33" t="str">
        <f aca="false">IF(COUNTIF(Flows!$M$2:$M$1500,$A30&amp;"|"&amp;AJ$1&amp;"|Input"),IF(COUNTIF(Flows!$M$2:$M$1500,$A30&amp;"|"&amp;AJ$1&amp;"|Output"),"I/O","IN"),IF(COUNTIF(Flows!$M$2:$M$1500,$A30&amp;"|"&amp;AJ$1&amp;"|Output"),"OUT",""))</f>
        <v/>
      </c>
      <c r="AK30" s="33" t="str">
        <f aca="false">IF(COUNTIF(Flows!$M$2:$M$1500,$A30&amp;"|"&amp;AK$1&amp;"|Input"),IF(COUNTIF(Flows!$M$2:$M$1500,$A30&amp;"|"&amp;AK$1&amp;"|Output"),"I/O","IN"),IF(COUNTIF(Flows!$M$2:$M$1500,$A30&amp;"|"&amp;AK$1&amp;"|Output"),"OUT",""))</f>
        <v/>
      </c>
      <c r="AL30" s="33" t="str">
        <f aca="false">IF(COUNTIF(Flows!$M$2:$M$1500,$A30&amp;"|"&amp;AL$1&amp;"|Input"),IF(COUNTIF(Flows!$M$2:$M$1500,$A30&amp;"|"&amp;AL$1&amp;"|Output"),"I/O","IN"),IF(COUNTIF(Flows!$M$2:$M$1500,$A30&amp;"|"&amp;AL$1&amp;"|Output"),"OUT",""))</f>
        <v/>
      </c>
      <c r="AM30" s="33" t="str">
        <f aca="false">IF(COUNTIF(Flows!$M$2:$M$1500,$A30&amp;"|"&amp;AM$1&amp;"|Input"),IF(COUNTIF(Flows!$M$2:$M$1500,$A30&amp;"|"&amp;AM$1&amp;"|Output"),"I/O","IN"),IF(COUNTIF(Flows!$M$2:$M$1500,$A30&amp;"|"&amp;AM$1&amp;"|Output"),"OUT",""))</f>
        <v/>
      </c>
      <c r="AN30" s="33" t="str">
        <f aca="false">IF(COUNTIF(Flows!$M$2:$M$1500,$A30&amp;"|"&amp;AN$1&amp;"|Input"),IF(COUNTIF(Flows!$M$2:$M$1500,$A30&amp;"|"&amp;AN$1&amp;"|Output"),"I/O","IN"),IF(COUNTIF(Flows!$M$2:$M$1500,$A30&amp;"|"&amp;AN$1&amp;"|Output"),"OUT",""))</f>
        <v/>
      </c>
      <c r="AO30" s="33" t="str">
        <f aca="false">IF(COUNTIF(Flows!$M$2:$M$1500,$A30&amp;"|"&amp;AO$1&amp;"|Input"),IF(COUNTIF(Flows!$M$2:$M$1500,$A30&amp;"|"&amp;AO$1&amp;"|Output"),"I/O","IN"),IF(COUNTIF(Flows!$M$2:$M$1500,$A30&amp;"|"&amp;AO$1&amp;"|Output"),"OUT",""))</f>
        <v/>
      </c>
      <c r="AP30" s="33" t="str">
        <f aca="false">IF(COUNTIF(Flows!$M$2:$M$1500,$A30&amp;"|"&amp;AP$1&amp;"|Input"),IF(COUNTIF(Flows!$M$2:$M$1500,$A30&amp;"|"&amp;AP$1&amp;"|Output"),"I/O","IN"),IF(COUNTIF(Flows!$M$2:$M$1500,$A30&amp;"|"&amp;AP$1&amp;"|Output"),"OUT",""))</f>
        <v/>
      </c>
      <c r="AQ30" s="33" t="str">
        <f aca="false">IF(COUNTIF(Flows!$M$2:$M$1500,$A30&amp;"|"&amp;AQ$1&amp;"|Input"),IF(COUNTIF(Flows!$M$2:$M$1500,$A30&amp;"|"&amp;AQ$1&amp;"|Output"),"I/O","IN"),IF(COUNTIF(Flows!$M$2:$M$1500,$A30&amp;"|"&amp;AQ$1&amp;"|Output"),"OUT",""))</f>
        <v/>
      </c>
      <c r="AR30" s="33" t="str">
        <f aca="false">IF(COUNTIF(Flows!$M$2:$M$1500,$A30&amp;"|"&amp;AR$1&amp;"|Input"),IF(COUNTIF(Flows!$M$2:$M$1500,$A30&amp;"|"&amp;AR$1&amp;"|Output"),"I/O","IN"),IF(COUNTIF(Flows!$M$2:$M$1500,$A30&amp;"|"&amp;AR$1&amp;"|Output"),"OUT",""))</f>
        <v/>
      </c>
      <c r="AS30" s="33" t="str">
        <f aca="false">IF(COUNTIF(Flows!$M$2:$M$1500,$A30&amp;"|"&amp;AS$1&amp;"|Input"),IF(COUNTIF(Flows!$M$2:$M$1500,$A30&amp;"|"&amp;AS$1&amp;"|Output"),"I/O","IN"),IF(COUNTIF(Flows!$M$2:$M$1500,$A30&amp;"|"&amp;AS$1&amp;"|Output"),"OUT",""))</f>
        <v/>
      </c>
      <c r="AT30" s="33" t="str">
        <f aca="false">IF(COUNTIF(Flows!$M$2:$M$1500,$A30&amp;"|"&amp;AT$1&amp;"|Input"),IF(COUNTIF(Flows!$M$2:$M$1500,$A30&amp;"|"&amp;AT$1&amp;"|Output"),"I/O","IN"),IF(COUNTIF(Flows!$M$2:$M$1500,$A30&amp;"|"&amp;AT$1&amp;"|Output"),"OUT",""))</f>
        <v/>
      </c>
      <c r="AU30" s="33" t="str">
        <f aca="false">IF(COUNTIF(Flows!$M$2:$M$1500,$A30&amp;"|"&amp;AU$1&amp;"|Input"),IF(COUNTIF(Flows!$M$2:$M$1500,$A30&amp;"|"&amp;AU$1&amp;"|Output"),"I/O","IN"),IF(COUNTIF(Flows!$M$2:$M$1500,$A30&amp;"|"&amp;AU$1&amp;"|Output"),"OUT",""))</f>
        <v/>
      </c>
      <c r="AV30" s="33" t="str">
        <f aca="false">IF(COUNTIF(Flows!$M$2:$M$1500,$A30&amp;"|"&amp;AV$1&amp;"|Input"),IF(COUNTIF(Flows!$M$2:$M$1500,$A30&amp;"|"&amp;AV$1&amp;"|Output"),"I/O","IN"),IF(COUNTIF(Flows!$M$2:$M$1500,$A30&amp;"|"&amp;AV$1&amp;"|Output"),"OUT",""))</f>
        <v/>
      </c>
      <c r="AW30" s="33" t="str">
        <f aca="false">IF(COUNTIF(Flows!$M$2:$M$1500,$A30&amp;"|"&amp;AW$1&amp;"|Input"),IF(COUNTIF(Flows!$M$2:$M$1500,$A30&amp;"|"&amp;AW$1&amp;"|Output"),"I/O","IN"),IF(COUNTIF(Flows!$M$2:$M$1500,$A30&amp;"|"&amp;AW$1&amp;"|Output"),"OUT",""))</f>
        <v/>
      </c>
      <c r="AX30" s="33" t="str">
        <f aca="false">IF(COUNTIF(Flows!$M$2:$M$1500,$A30&amp;"|"&amp;AX$1&amp;"|Input"),IF(COUNTIF(Flows!$M$2:$M$1500,$A30&amp;"|"&amp;AX$1&amp;"|Output"),"I/O","IN"),IF(COUNTIF(Flows!$M$2:$M$1500,$A30&amp;"|"&amp;AX$1&amp;"|Output"),"OUT",""))</f>
        <v/>
      </c>
      <c r="AY30" s="33" t="str">
        <f aca="false">IF(COUNTIF(Flows!$M$2:$M$1500,$A30&amp;"|"&amp;AY$1&amp;"|Input"),IF(COUNTIF(Flows!$M$2:$M$1500,$A30&amp;"|"&amp;AY$1&amp;"|Output"),"I/O","IN"),IF(COUNTIF(Flows!$M$2:$M$1500,$A30&amp;"|"&amp;AY$1&amp;"|Output"),"OUT",""))</f>
        <v/>
      </c>
      <c r="AZ30" s="33" t="str">
        <f aca="false">IF(COUNTIF(Flows!$M$2:$M$1500,$A30&amp;"|"&amp;AZ$1&amp;"|Input"),IF(COUNTIF(Flows!$M$2:$M$1500,$A30&amp;"|"&amp;AZ$1&amp;"|Output"),"I/O","IN"),IF(COUNTIF(Flows!$M$2:$M$1500,$A30&amp;"|"&amp;AZ$1&amp;"|Output"),"OUT",""))</f>
        <v/>
      </c>
      <c r="BA30" s="33" t="str">
        <f aca="false">IF(COUNTIF(Flows!$M$2:$M$1500,$A30&amp;"|"&amp;BA$1&amp;"|Input"),IF(COUNTIF(Flows!$M$2:$M$1500,$A30&amp;"|"&amp;BA$1&amp;"|Output"),"I/O","IN"),IF(COUNTIF(Flows!$M$2:$M$1500,$A30&amp;"|"&amp;BA$1&amp;"|Output"),"OUT",""))</f>
        <v/>
      </c>
      <c r="BB30" s="33" t="str">
        <f aca="false">IF(COUNTIF(Flows!$M$2:$M$1500,$A30&amp;"|"&amp;BB$1&amp;"|Input"),IF(COUNTIF(Flows!$M$2:$M$1500,$A30&amp;"|"&amp;BB$1&amp;"|Output"),"I/O","IN"),IF(COUNTIF(Flows!$M$2:$M$1500,$A30&amp;"|"&amp;BB$1&amp;"|Output"),"OUT",""))</f>
        <v/>
      </c>
      <c r="BC30" s="33" t="str">
        <f aca="false">IF(COUNTIF(Flows!$M$2:$M$1500,$A30&amp;"|"&amp;BC$1&amp;"|Input"),IF(COUNTIF(Flows!$M$2:$M$1500,$A30&amp;"|"&amp;BC$1&amp;"|Output"),"I/O","IN"),IF(COUNTIF(Flows!$M$2:$M$1500,$A30&amp;"|"&amp;BC$1&amp;"|Output"),"OUT",""))</f>
        <v/>
      </c>
      <c r="BD30" s="33" t="str">
        <f aca="false">IF(COUNTIF(Flows!$M$2:$M$1500,$A30&amp;"|"&amp;BD$1&amp;"|Input"),IF(COUNTIF(Flows!$M$2:$M$1500,$A30&amp;"|"&amp;BD$1&amp;"|Output"),"I/O","IN"),IF(COUNTIF(Flows!$M$2:$M$1500,$A30&amp;"|"&amp;BD$1&amp;"|Output"),"OUT",""))</f>
        <v/>
      </c>
      <c r="BE30" s="33" t="str">
        <f aca="false">IF(COUNTIF(Flows!$M$2:$M$1500,$A30&amp;"|"&amp;BE$1&amp;"|Input"),IF(COUNTIF(Flows!$M$2:$M$1500,$A30&amp;"|"&amp;BE$1&amp;"|Output"),"I/O","IN"),IF(COUNTIF(Flows!$M$2:$M$1500,$A30&amp;"|"&amp;BE$1&amp;"|Output"),"OUT",""))</f>
        <v/>
      </c>
      <c r="BF30" s="33" t="str">
        <f aca="false">IF(COUNTIF(Flows!$M$2:$M$1500,$A30&amp;"|"&amp;BF$1&amp;"|Input"),IF(COUNTIF(Flows!$M$2:$M$1500,$A30&amp;"|"&amp;BF$1&amp;"|Output"),"I/O","IN"),IF(COUNTIF(Flows!$M$2:$M$1500,$A30&amp;"|"&amp;BF$1&amp;"|Output"),"OUT",""))</f>
        <v/>
      </c>
      <c r="BG30" s="33" t="str">
        <f aca="false">IF(COUNTIF(Flows!$M$2:$M$1500,$A30&amp;"|"&amp;BG$1&amp;"|Input"),IF(COUNTIF(Flows!$M$2:$M$1500,$A30&amp;"|"&amp;BG$1&amp;"|Output"),"I/O","IN"),IF(COUNTIF(Flows!$M$2:$M$1500,$A30&amp;"|"&amp;BG$1&amp;"|Output"),"OUT",""))</f>
        <v/>
      </c>
      <c r="BH30" s="33" t="str">
        <f aca="false">IF(COUNTIF(Flows!$M$2:$M$1500,$A30&amp;"|"&amp;BH$1&amp;"|Input"),IF(COUNTIF(Flows!$M$2:$M$1500,$A30&amp;"|"&amp;BH$1&amp;"|Output"),"I/O","IN"),IF(COUNTIF(Flows!$M$2:$M$1500,$A30&amp;"|"&amp;BH$1&amp;"|Output"),"OUT",""))</f>
        <v/>
      </c>
      <c r="BI30" s="33" t="str">
        <f aca="false">IF(COUNTIF(Flows!$M$2:$M$1500,$A30&amp;"|"&amp;BI$1&amp;"|Input"),IF(COUNTIF(Flows!$M$2:$M$1500,$A30&amp;"|"&amp;BI$1&amp;"|Output"),"I/O","IN"),IF(COUNTIF(Flows!$M$2:$M$1500,$A30&amp;"|"&amp;BI$1&amp;"|Output"),"OUT",""))</f>
        <v/>
      </c>
      <c r="BJ30" s="33" t="str">
        <f aca="false">IF(COUNTIF(Flows!$M$2:$M$1500,$A30&amp;"|"&amp;BJ$1&amp;"|Input"),IF(COUNTIF(Flows!$M$2:$M$1500,$A30&amp;"|"&amp;BJ$1&amp;"|Output"),"I/O","IN"),IF(COUNTIF(Flows!$M$2:$M$1500,$A30&amp;"|"&amp;BJ$1&amp;"|Output"),"OUT",""))</f>
        <v/>
      </c>
      <c r="BK30" s="33" t="str">
        <f aca="false">IF(COUNTIF(Flows!$M$2:$M$1500,$A30&amp;"|"&amp;BK$1&amp;"|Input"),IF(COUNTIF(Flows!$M$2:$M$1500,$A30&amp;"|"&amp;BK$1&amp;"|Output"),"I/O","IN"),IF(COUNTIF(Flows!$M$2:$M$1500,$A30&amp;"|"&amp;BK$1&amp;"|Output"),"OUT",""))</f>
        <v/>
      </c>
    </row>
    <row r="31" customFormat="false" ht="15" hidden="false" customHeight="true" outlineLevel="0" collapsed="false">
      <c r="A31" s="6" t="str">
        <f aca="false">Systems!B31</f>
        <v>Factory Farmed Food (Family of Four)</v>
      </c>
      <c r="B31" s="33" t="str">
        <f aca="false">IF(COUNTIF(Flows!$M$2:$M$1500,$A31&amp;"|"&amp;B$1&amp;"|Input"),IF(COUNTIF(Flows!$M$2:$M$1500,$A31&amp;"|"&amp;B$1&amp;"|Output"),"I/O","IN"),IF(COUNTIF(Flows!$M$2:$M$1500,$A31&amp;"|"&amp;B$1&amp;"|Output"),"OUT",""))</f>
        <v/>
      </c>
      <c r="C31" s="33" t="str">
        <f aca="false">IF(COUNTIF(Flows!$M$2:$M$1500,$A31&amp;"|"&amp;C$1&amp;"|Input"),IF(COUNTIF(Flows!$M$2:$M$1500,$A31&amp;"|"&amp;C$1&amp;"|Output"),"I/O","IN"),IF(COUNTIF(Flows!$M$2:$M$1500,$A31&amp;"|"&amp;C$1&amp;"|Output"),"OUT",""))</f>
        <v/>
      </c>
      <c r="D31" s="33" t="str">
        <f aca="false">IF(COUNTIF(Flows!$M$2:$M$1500,$A31&amp;"|"&amp;D$1&amp;"|Input"),IF(COUNTIF(Flows!$M$2:$M$1500,$A31&amp;"|"&amp;D$1&amp;"|Output"),"I/O","IN"),IF(COUNTIF(Flows!$M$2:$M$1500,$A31&amp;"|"&amp;D$1&amp;"|Output"),"OUT",""))</f>
        <v/>
      </c>
      <c r="E31" s="33" t="str">
        <f aca="false">IF(COUNTIF(Flows!$M$2:$M$1500,$A31&amp;"|"&amp;E$1&amp;"|Input"),IF(COUNTIF(Flows!$M$2:$M$1500,$A31&amp;"|"&amp;E$1&amp;"|Output"),"I/O","IN"),IF(COUNTIF(Flows!$M$2:$M$1500,$A31&amp;"|"&amp;E$1&amp;"|Output"),"OUT",""))</f>
        <v/>
      </c>
      <c r="F31" s="33" t="str">
        <f aca="false">IF(COUNTIF(Flows!$M$2:$M$1500,$A31&amp;"|"&amp;F$1&amp;"|Input"),IF(COUNTIF(Flows!$M$2:$M$1500,$A31&amp;"|"&amp;F$1&amp;"|Output"),"I/O","IN"),IF(COUNTIF(Flows!$M$2:$M$1500,$A31&amp;"|"&amp;F$1&amp;"|Output"),"OUT",""))</f>
        <v>OUT</v>
      </c>
      <c r="G31" s="33" t="str">
        <f aca="false">IF(COUNTIF(Flows!$M$2:$M$1500,$A31&amp;"|"&amp;G$1&amp;"|Input"),IF(COUNTIF(Flows!$M$2:$M$1500,$A31&amp;"|"&amp;G$1&amp;"|Output"),"I/O","IN"),IF(COUNTIF(Flows!$M$2:$M$1500,$A31&amp;"|"&amp;G$1&amp;"|Output"),"OUT",""))</f>
        <v/>
      </c>
      <c r="H31" s="33" t="str">
        <f aca="false">IF(COUNTIF(Flows!$M$2:$M$1500,$A31&amp;"|"&amp;H$1&amp;"|Input"),IF(COUNTIF(Flows!$M$2:$M$1500,$A31&amp;"|"&amp;H$1&amp;"|Output"),"I/O","IN"),IF(COUNTIF(Flows!$M$2:$M$1500,$A31&amp;"|"&amp;H$1&amp;"|Output"),"OUT",""))</f>
        <v/>
      </c>
      <c r="I31" s="33" t="str">
        <f aca="false">IF(COUNTIF(Flows!$M$2:$M$1500,$A31&amp;"|"&amp;I$1&amp;"|Input"),IF(COUNTIF(Flows!$M$2:$M$1500,$A31&amp;"|"&amp;I$1&amp;"|Output"),"I/O","IN"),IF(COUNTIF(Flows!$M$2:$M$1500,$A31&amp;"|"&amp;I$1&amp;"|Output"),"OUT",""))</f>
        <v/>
      </c>
      <c r="J31" s="33" t="str">
        <f aca="false">IF(COUNTIF(Flows!$M$2:$M$1500,$A31&amp;"|"&amp;J$1&amp;"|Input"),IF(COUNTIF(Flows!$M$2:$M$1500,$A31&amp;"|"&amp;J$1&amp;"|Output"),"I/O","IN"),IF(COUNTIF(Flows!$M$2:$M$1500,$A31&amp;"|"&amp;J$1&amp;"|Output"),"OUT",""))</f>
        <v/>
      </c>
      <c r="K31" s="33" t="str">
        <f aca="false">IF(COUNTIF(Flows!$M$2:$M$1500,$A31&amp;"|"&amp;K$1&amp;"|Input"),IF(COUNTIF(Flows!$M$2:$M$1500,$A31&amp;"|"&amp;K$1&amp;"|Output"),"I/O","IN"),IF(COUNTIF(Flows!$M$2:$M$1500,$A31&amp;"|"&amp;K$1&amp;"|Output"),"OUT",""))</f>
        <v/>
      </c>
      <c r="L31" s="33" t="str">
        <f aca="false">IF(COUNTIF(Flows!$M$2:$M$1500,$A31&amp;"|"&amp;L$1&amp;"|Input"),IF(COUNTIF(Flows!$M$2:$M$1500,$A31&amp;"|"&amp;L$1&amp;"|Output"),"I/O","IN"),IF(COUNTIF(Flows!$M$2:$M$1500,$A31&amp;"|"&amp;L$1&amp;"|Output"),"OUT",""))</f>
        <v/>
      </c>
      <c r="M31" s="33" t="str">
        <f aca="false">IF(COUNTIF(Flows!$M$2:$M$1500,$A31&amp;"|"&amp;M$1&amp;"|Input"),IF(COUNTIF(Flows!$M$2:$M$1500,$A31&amp;"|"&amp;M$1&amp;"|Output"),"I/O","IN"),IF(COUNTIF(Flows!$M$2:$M$1500,$A31&amp;"|"&amp;M$1&amp;"|Output"),"OUT",""))</f>
        <v/>
      </c>
      <c r="N31" s="33" t="str">
        <f aca="false">IF(COUNTIF(Flows!$M$2:$M$1500,$A31&amp;"|"&amp;N$1&amp;"|Input"),IF(COUNTIF(Flows!$M$2:$M$1500,$A31&amp;"|"&amp;N$1&amp;"|Output"),"I/O","IN"),IF(COUNTIF(Flows!$M$2:$M$1500,$A31&amp;"|"&amp;N$1&amp;"|Output"),"OUT",""))</f>
        <v/>
      </c>
      <c r="O31" s="33" t="str">
        <f aca="false">IF(COUNTIF(Flows!$M$2:$M$1500,$A31&amp;"|"&amp;O$1&amp;"|Input"),IF(COUNTIF(Flows!$M$2:$M$1500,$A31&amp;"|"&amp;O$1&amp;"|Output"),"I/O","IN"),IF(COUNTIF(Flows!$M$2:$M$1500,$A31&amp;"|"&amp;O$1&amp;"|Output"),"OUT",""))</f>
        <v/>
      </c>
      <c r="P31" s="33" t="str">
        <f aca="false">IF(COUNTIF(Flows!$M$2:$M$1500,$A31&amp;"|"&amp;P$1&amp;"|Input"),IF(COUNTIF(Flows!$M$2:$M$1500,$A31&amp;"|"&amp;P$1&amp;"|Output"),"I/O","IN"),IF(COUNTIF(Flows!$M$2:$M$1500,$A31&amp;"|"&amp;P$1&amp;"|Output"),"OUT",""))</f>
        <v/>
      </c>
      <c r="Q31" s="33" t="str">
        <f aca="false">IF(COUNTIF(Flows!$M$2:$M$1500,$A31&amp;"|"&amp;Q$1&amp;"|Input"),IF(COUNTIF(Flows!$M$2:$M$1500,$A31&amp;"|"&amp;Q$1&amp;"|Output"),"I/O","IN"),IF(COUNTIF(Flows!$M$2:$M$1500,$A31&amp;"|"&amp;Q$1&amp;"|Output"),"OUT",""))</f>
        <v/>
      </c>
      <c r="R31" s="33" t="str">
        <f aca="false">IF(COUNTIF(Flows!$M$2:$M$1500,$A31&amp;"|"&amp;R$1&amp;"|Input"),IF(COUNTIF(Flows!$M$2:$M$1500,$A31&amp;"|"&amp;R$1&amp;"|Output"),"I/O","IN"),IF(COUNTIF(Flows!$M$2:$M$1500,$A31&amp;"|"&amp;R$1&amp;"|Output"),"OUT",""))</f>
        <v/>
      </c>
      <c r="S31" s="33" t="str">
        <f aca="false">IF(COUNTIF(Flows!$M$2:$M$1500,$A31&amp;"|"&amp;S$1&amp;"|Input"),IF(COUNTIF(Flows!$M$2:$M$1500,$A31&amp;"|"&amp;S$1&amp;"|Output"),"I/O","IN"),IF(COUNTIF(Flows!$M$2:$M$1500,$A31&amp;"|"&amp;S$1&amp;"|Output"),"OUT",""))</f>
        <v/>
      </c>
      <c r="T31" s="33" t="str">
        <f aca="false">IF(COUNTIF(Flows!$M$2:$M$1500,$A31&amp;"|"&amp;T$1&amp;"|Input"),IF(COUNTIF(Flows!$M$2:$M$1500,$A31&amp;"|"&amp;T$1&amp;"|Output"),"I/O","IN"),IF(COUNTIF(Flows!$M$2:$M$1500,$A31&amp;"|"&amp;T$1&amp;"|Output"),"OUT",""))</f>
        <v>IN</v>
      </c>
      <c r="U31" s="33" t="str">
        <f aca="false">IF(COUNTIF(Flows!$M$2:$M$1500,$A31&amp;"|"&amp;U$1&amp;"|Input"),IF(COUNTIF(Flows!$M$2:$M$1500,$A31&amp;"|"&amp;U$1&amp;"|Output"),"I/O","IN"),IF(COUNTIF(Flows!$M$2:$M$1500,$A31&amp;"|"&amp;U$1&amp;"|Output"),"OUT",""))</f>
        <v/>
      </c>
      <c r="V31" s="33" t="str">
        <f aca="false">IF(COUNTIF(Flows!$M$2:$M$1500,$A31&amp;"|"&amp;V$1&amp;"|Input"),IF(COUNTIF(Flows!$M$2:$M$1500,$A31&amp;"|"&amp;V$1&amp;"|Output"),"I/O","IN"),IF(COUNTIF(Flows!$M$2:$M$1500,$A31&amp;"|"&amp;V$1&amp;"|Output"),"OUT",""))</f>
        <v/>
      </c>
      <c r="W31" s="33" t="str">
        <f aca="false">IF(COUNTIF(Flows!$M$2:$M$1500,$A31&amp;"|"&amp;W$1&amp;"|Input"),IF(COUNTIF(Flows!$M$2:$M$1500,$A31&amp;"|"&amp;W$1&amp;"|Output"),"I/O","IN"),IF(COUNTIF(Flows!$M$2:$M$1500,$A31&amp;"|"&amp;W$1&amp;"|Output"),"OUT",""))</f>
        <v/>
      </c>
      <c r="X31" s="33" t="str">
        <f aca="false">IF(COUNTIF(Flows!$M$2:$M$1500,$A31&amp;"|"&amp;X$1&amp;"|Input"),IF(COUNTIF(Flows!$M$2:$M$1500,$A31&amp;"|"&amp;X$1&amp;"|Output"),"I/O","IN"),IF(COUNTIF(Flows!$M$2:$M$1500,$A31&amp;"|"&amp;X$1&amp;"|Output"),"OUT",""))</f>
        <v/>
      </c>
      <c r="Y31" s="33" t="str">
        <f aca="false">IF(COUNTIF(Flows!$M$2:$M$1500,$A31&amp;"|"&amp;Y$1&amp;"|Input"),IF(COUNTIF(Flows!$M$2:$M$1500,$A31&amp;"|"&amp;Y$1&amp;"|Output"),"I/O","IN"),IF(COUNTIF(Flows!$M$2:$M$1500,$A31&amp;"|"&amp;Y$1&amp;"|Output"),"OUT",""))</f>
        <v>IN</v>
      </c>
      <c r="Z31" s="33" t="str">
        <f aca="false">IF(COUNTIF(Flows!$M$2:$M$1500,$A31&amp;"|"&amp;Z$1&amp;"|Input"),IF(COUNTIF(Flows!$M$2:$M$1500,$A31&amp;"|"&amp;Z$1&amp;"|Output"),"I/O","IN"),IF(COUNTIF(Flows!$M$2:$M$1500,$A31&amp;"|"&amp;Z$1&amp;"|Output"),"OUT",""))</f>
        <v/>
      </c>
      <c r="AA31" s="33" t="str">
        <f aca="false">IF(COUNTIF(Flows!$M$2:$M$1500,$A31&amp;"|"&amp;AA$1&amp;"|Input"),IF(COUNTIF(Flows!$M$2:$M$1500,$A31&amp;"|"&amp;AA$1&amp;"|Output"),"I/O","IN"),IF(COUNTIF(Flows!$M$2:$M$1500,$A31&amp;"|"&amp;AA$1&amp;"|Output"),"OUT",""))</f>
        <v/>
      </c>
      <c r="AB31" s="33" t="str">
        <f aca="false">IF(COUNTIF(Flows!$M$2:$M$1500,$A31&amp;"|"&amp;AB$1&amp;"|Input"),IF(COUNTIF(Flows!$M$2:$M$1500,$A31&amp;"|"&amp;AB$1&amp;"|Output"),"I/O","IN"),IF(COUNTIF(Flows!$M$2:$M$1500,$A31&amp;"|"&amp;AB$1&amp;"|Output"),"OUT",""))</f>
        <v/>
      </c>
      <c r="AC31" s="33" t="str">
        <f aca="false">IF(COUNTIF(Flows!$M$2:$M$1500,$A31&amp;"|"&amp;AC$1&amp;"|Input"),IF(COUNTIF(Flows!$M$2:$M$1500,$A31&amp;"|"&amp;AC$1&amp;"|Output"),"I/O","IN"),IF(COUNTIF(Flows!$M$2:$M$1500,$A31&amp;"|"&amp;AC$1&amp;"|Output"),"OUT",""))</f>
        <v/>
      </c>
      <c r="AD31" s="33" t="str">
        <f aca="false">IF(COUNTIF(Flows!$M$2:$M$1500,$A31&amp;"|"&amp;AD$1&amp;"|Input"),IF(COUNTIF(Flows!$M$2:$M$1500,$A31&amp;"|"&amp;AD$1&amp;"|Output"),"I/O","IN"),IF(COUNTIF(Flows!$M$2:$M$1500,$A31&amp;"|"&amp;AD$1&amp;"|Output"),"OUT",""))</f>
        <v/>
      </c>
      <c r="AE31" s="33" t="str">
        <f aca="false">IF(COUNTIF(Flows!$M$2:$M$1500,$A31&amp;"|"&amp;AE$1&amp;"|Input"),IF(COUNTIF(Flows!$M$2:$M$1500,$A31&amp;"|"&amp;AE$1&amp;"|Output"),"I/O","IN"),IF(COUNTIF(Flows!$M$2:$M$1500,$A31&amp;"|"&amp;AE$1&amp;"|Output"),"OUT",""))</f>
        <v/>
      </c>
      <c r="AF31" s="33" t="str">
        <f aca="false">IF(COUNTIF(Flows!$M$2:$M$1500,$A31&amp;"|"&amp;AF$1&amp;"|Input"),IF(COUNTIF(Flows!$M$2:$M$1500,$A31&amp;"|"&amp;AF$1&amp;"|Output"),"I/O","IN"),IF(COUNTIF(Flows!$M$2:$M$1500,$A31&amp;"|"&amp;AF$1&amp;"|Output"),"OUT",""))</f>
        <v/>
      </c>
      <c r="AG31" s="33" t="str">
        <f aca="false">IF(COUNTIF(Flows!$M$2:$M$1500,$A31&amp;"|"&amp;AG$1&amp;"|Input"),IF(COUNTIF(Flows!$M$2:$M$1500,$A31&amp;"|"&amp;AG$1&amp;"|Output"),"I/O","IN"),IF(COUNTIF(Flows!$M$2:$M$1500,$A31&amp;"|"&amp;AG$1&amp;"|Output"),"OUT",""))</f>
        <v/>
      </c>
      <c r="AH31" s="33" t="str">
        <f aca="false">IF(COUNTIF(Flows!$M$2:$M$1500,$A31&amp;"|"&amp;AH$1&amp;"|Input"),IF(COUNTIF(Flows!$M$2:$M$1500,$A31&amp;"|"&amp;AH$1&amp;"|Output"),"I/O","IN"),IF(COUNTIF(Flows!$M$2:$M$1500,$A31&amp;"|"&amp;AH$1&amp;"|Output"),"OUT",""))</f>
        <v/>
      </c>
      <c r="AI31" s="33" t="str">
        <f aca="false">IF(COUNTIF(Flows!$M$2:$M$1500,$A31&amp;"|"&amp;AI$1&amp;"|Input"),IF(COUNTIF(Flows!$M$2:$M$1500,$A31&amp;"|"&amp;AI$1&amp;"|Output"),"I/O","IN"),IF(COUNTIF(Flows!$M$2:$M$1500,$A31&amp;"|"&amp;AI$1&amp;"|Output"),"OUT",""))</f>
        <v/>
      </c>
      <c r="AJ31" s="33" t="str">
        <f aca="false">IF(COUNTIF(Flows!$M$2:$M$1500,$A31&amp;"|"&amp;AJ$1&amp;"|Input"),IF(COUNTIF(Flows!$M$2:$M$1500,$A31&amp;"|"&amp;AJ$1&amp;"|Output"),"I/O","IN"),IF(COUNTIF(Flows!$M$2:$M$1500,$A31&amp;"|"&amp;AJ$1&amp;"|Output"),"OUT",""))</f>
        <v/>
      </c>
      <c r="AK31" s="33" t="str">
        <f aca="false">IF(COUNTIF(Flows!$M$2:$M$1500,$A31&amp;"|"&amp;AK$1&amp;"|Input"),IF(COUNTIF(Flows!$M$2:$M$1500,$A31&amp;"|"&amp;AK$1&amp;"|Output"),"I/O","IN"),IF(COUNTIF(Flows!$M$2:$M$1500,$A31&amp;"|"&amp;AK$1&amp;"|Output"),"OUT",""))</f>
        <v/>
      </c>
      <c r="AL31" s="33" t="str">
        <f aca="false">IF(COUNTIF(Flows!$M$2:$M$1500,$A31&amp;"|"&amp;AL$1&amp;"|Input"),IF(COUNTIF(Flows!$M$2:$M$1500,$A31&amp;"|"&amp;AL$1&amp;"|Output"),"I/O","IN"),IF(COUNTIF(Flows!$M$2:$M$1500,$A31&amp;"|"&amp;AL$1&amp;"|Output"),"OUT",""))</f>
        <v/>
      </c>
      <c r="AM31" s="33" t="str">
        <f aca="false">IF(COUNTIF(Flows!$M$2:$M$1500,$A31&amp;"|"&amp;AM$1&amp;"|Input"),IF(COUNTIF(Flows!$M$2:$M$1500,$A31&amp;"|"&amp;AM$1&amp;"|Output"),"I/O","IN"),IF(COUNTIF(Flows!$M$2:$M$1500,$A31&amp;"|"&amp;AM$1&amp;"|Output"),"OUT",""))</f>
        <v/>
      </c>
      <c r="AN31" s="33" t="str">
        <f aca="false">IF(COUNTIF(Flows!$M$2:$M$1500,$A31&amp;"|"&amp;AN$1&amp;"|Input"),IF(COUNTIF(Flows!$M$2:$M$1500,$A31&amp;"|"&amp;AN$1&amp;"|Output"),"I/O","IN"),IF(COUNTIF(Flows!$M$2:$M$1500,$A31&amp;"|"&amp;AN$1&amp;"|Output"),"OUT",""))</f>
        <v/>
      </c>
      <c r="AO31" s="33" t="str">
        <f aca="false">IF(COUNTIF(Flows!$M$2:$M$1500,$A31&amp;"|"&amp;AO$1&amp;"|Input"),IF(COUNTIF(Flows!$M$2:$M$1500,$A31&amp;"|"&amp;AO$1&amp;"|Output"),"I/O","IN"),IF(COUNTIF(Flows!$M$2:$M$1500,$A31&amp;"|"&amp;AO$1&amp;"|Output"),"OUT",""))</f>
        <v/>
      </c>
      <c r="AP31" s="33" t="str">
        <f aca="false">IF(COUNTIF(Flows!$M$2:$M$1500,$A31&amp;"|"&amp;AP$1&amp;"|Input"),IF(COUNTIF(Flows!$M$2:$M$1500,$A31&amp;"|"&amp;AP$1&amp;"|Output"),"I/O","IN"),IF(COUNTIF(Flows!$M$2:$M$1500,$A31&amp;"|"&amp;AP$1&amp;"|Output"),"OUT",""))</f>
        <v/>
      </c>
      <c r="AQ31" s="33" t="str">
        <f aca="false">IF(COUNTIF(Flows!$M$2:$M$1500,$A31&amp;"|"&amp;AQ$1&amp;"|Input"),IF(COUNTIF(Flows!$M$2:$M$1500,$A31&amp;"|"&amp;AQ$1&amp;"|Output"),"I/O","IN"),IF(COUNTIF(Flows!$M$2:$M$1500,$A31&amp;"|"&amp;AQ$1&amp;"|Output"),"OUT",""))</f>
        <v/>
      </c>
      <c r="AR31" s="33" t="str">
        <f aca="false">IF(COUNTIF(Flows!$M$2:$M$1500,$A31&amp;"|"&amp;AR$1&amp;"|Input"),IF(COUNTIF(Flows!$M$2:$M$1500,$A31&amp;"|"&amp;AR$1&amp;"|Output"),"I/O","IN"),IF(COUNTIF(Flows!$M$2:$M$1500,$A31&amp;"|"&amp;AR$1&amp;"|Output"),"OUT",""))</f>
        <v/>
      </c>
      <c r="AS31" s="33" t="str">
        <f aca="false">IF(COUNTIF(Flows!$M$2:$M$1500,$A31&amp;"|"&amp;AS$1&amp;"|Input"),IF(COUNTIF(Flows!$M$2:$M$1500,$A31&amp;"|"&amp;AS$1&amp;"|Output"),"I/O","IN"),IF(COUNTIF(Flows!$M$2:$M$1500,$A31&amp;"|"&amp;AS$1&amp;"|Output"),"OUT",""))</f>
        <v/>
      </c>
      <c r="AT31" s="33" t="str">
        <f aca="false">IF(COUNTIF(Flows!$M$2:$M$1500,$A31&amp;"|"&amp;AT$1&amp;"|Input"),IF(COUNTIF(Flows!$M$2:$M$1500,$A31&amp;"|"&amp;AT$1&amp;"|Output"),"I/O","IN"),IF(COUNTIF(Flows!$M$2:$M$1500,$A31&amp;"|"&amp;AT$1&amp;"|Output"),"OUT",""))</f>
        <v/>
      </c>
      <c r="AU31" s="33" t="str">
        <f aca="false">IF(COUNTIF(Flows!$M$2:$M$1500,$A31&amp;"|"&amp;AU$1&amp;"|Input"),IF(COUNTIF(Flows!$M$2:$M$1500,$A31&amp;"|"&amp;AU$1&amp;"|Output"),"I/O","IN"),IF(COUNTIF(Flows!$M$2:$M$1500,$A31&amp;"|"&amp;AU$1&amp;"|Output"),"OUT",""))</f>
        <v/>
      </c>
      <c r="AV31" s="33" t="str">
        <f aca="false">IF(COUNTIF(Flows!$M$2:$M$1500,$A31&amp;"|"&amp;AV$1&amp;"|Input"),IF(COUNTIF(Flows!$M$2:$M$1500,$A31&amp;"|"&amp;AV$1&amp;"|Output"),"I/O","IN"),IF(COUNTIF(Flows!$M$2:$M$1500,$A31&amp;"|"&amp;AV$1&amp;"|Output"),"OUT",""))</f>
        <v/>
      </c>
      <c r="AW31" s="33" t="str">
        <f aca="false">IF(COUNTIF(Flows!$M$2:$M$1500,$A31&amp;"|"&amp;AW$1&amp;"|Input"),IF(COUNTIF(Flows!$M$2:$M$1500,$A31&amp;"|"&amp;AW$1&amp;"|Output"),"I/O","IN"),IF(COUNTIF(Flows!$M$2:$M$1500,$A31&amp;"|"&amp;AW$1&amp;"|Output"),"OUT",""))</f>
        <v/>
      </c>
      <c r="AX31" s="33" t="str">
        <f aca="false">IF(COUNTIF(Flows!$M$2:$M$1500,$A31&amp;"|"&amp;AX$1&amp;"|Input"),IF(COUNTIF(Flows!$M$2:$M$1500,$A31&amp;"|"&amp;AX$1&amp;"|Output"),"I/O","IN"),IF(COUNTIF(Flows!$M$2:$M$1500,$A31&amp;"|"&amp;AX$1&amp;"|Output"),"OUT",""))</f>
        <v>OUT</v>
      </c>
      <c r="AY31" s="33" t="str">
        <f aca="false">IF(COUNTIF(Flows!$M$2:$M$1500,$A31&amp;"|"&amp;AY$1&amp;"|Input"),IF(COUNTIF(Flows!$M$2:$M$1500,$A31&amp;"|"&amp;AY$1&amp;"|Output"),"I/O","IN"),IF(COUNTIF(Flows!$M$2:$M$1500,$A31&amp;"|"&amp;AY$1&amp;"|Output"),"OUT",""))</f>
        <v/>
      </c>
      <c r="AZ31" s="33" t="str">
        <f aca="false">IF(COUNTIF(Flows!$M$2:$M$1500,$A31&amp;"|"&amp;AZ$1&amp;"|Input"),IF(COUNTIF(Flows!$M$2:$M$1500,$A31&amp;"|"&amp;AZ$1&amp;"|Output"),"I/O","IN"),IF(COUNTIF(Flows!$M$2:$M$1500,$A31&amp;"|"&amp;AZ$1&amp;"|Output"),"OUT",""))</f>
        <v/>
      </c>
      <c r="BA31" s="33" t="str">
        <f aca="false">IF(COUNTIF(Flows!$M$2:$M$1500,$A31&amp;"|"&amp;BA$1&amp;"|Input"),IF(COUNTIF(Flows!$M$2:$M$1500,$A31&amp;"|"&amp;BA$1&amp;"|Output"),"I/O","IN"),IF(COUNTIF(Flows!$M$2:$M$1500,$A31&amp;"|"&amp;BA$1&amp;"|Output"),"OUT",""))</f>
        <v/>
      </c>
      <c r="BB31" s="33" t="str">
        <f aca="false">IF(COUNTIF(Flows!$M$2:$M$1500,$A31&amp;"|"&amp;BB$1&amp;"|Input"),IF(COUNTIF(Flows!$M$2:$M$1500,$A31&amp;"|"&amp;BB$1&amp;"|Output"),"I/O","IN"),IF(COUNTIF(Flows!$M$2:$M$1500,$A31&amp;"|"&amp;BB$1&amp;"|Output"),"OUT",""))</f>
        <v/>
      </c>
      <c r="BC31" s="33" t="str">
        <f aca="false">IF(COUNTIF(Flows!$M$2:$M$1500,$A31&amp;"|"&amp;BC$1&amp;"|Input"),IF(COUNTIF(Flows!$M$2:$M$1500,$A31&amp;"|"&amp;BC$1&amp;"|Output"),"I/O","IN"),IF(COUNTIF(Flows!$M$2:$M$1500,$A31&amp;"|"&amp;BC$1&amp;"|Output"),"OUT",""))</f>
        <v/>
      </c>
      <c r="BD31" s="33" t="str">
        <f aca="false">IF(COUNTIF(Flows!$M$2:$M$1500,$A31&amp;"|"&amp;BD$1&amp;"|Input"),IF(COUNTIF(Flows!$M$2:$M$1500,$A31&amp;"|"&amp;BD$1&amp;"|Output"),"I/O","IN"),IF(COUNTIF(Flows!$M$2:$M$1500,$A31&amp;"|"&amp;BD$1&amp;"|Output"),"OUT",""))</f>
        <v/>
      </c>
      <c r="BE31" s="33" t="str">
        <f aca="false">IF(COUNTIF(Flows!$M$2:$M$1500,$A31&amp;"|"&amp;BE$1&amp;"|Input"),IF(COUNTIF(Flows!$M$2:$M$1500,$A31&amp;"|"&amp;BE$1&amp;"|Output"),"I/O","IN"),IF(COUNTIF(Flows!$M$2:$M$1500,$A31&amp;"|"&amp;BE$1&amp;"|Output"),"OUT",""))</f>
        <v/>
      </c>
      <c r="BF31" s="33" t="str">
        <f aca="false">IF(COUNTIF(Flows!$M$2:$M$1500,$A31&amp;"|"&amp;BF$1&amp;"|Input"),IF(COUNTIF(Flows!$M$2:$M$1500,$A31&amp;"|"&amp;BF$1&amp;"|Output"),"I/O","IN"),IF(COUNTIF(Flows!$M$2:$M$1500,$A31&amp;"|"&amp;BF$1&amp;"|Output"),"OUT",""))</f>
        <v/>
      </c>
      <c r="BG31" s="33" t="str">
        <f aca="false">IF(COUNTIF(Flows!$M$2:$M$1500,$A31&amp;"|"&amp;BG$1&amp;"|Input"),IF(COUNTIF(Flows!$M$2:$M$1500,$A31&amp;"|"&amp;BG$1&amp;"|Output"),"I/O","IN"),IF(COUNTIF(Flows!$M$2:$M$1500,$A31&amp;"|"&amp;BG$1&amp;"|Output"),"OUT",""))</f>
        <v/>
      </c>
      <c r="BH31" s="33" t="str">
        <f aca="false">IF(COUNTIF(Flows!$M$2:$M$1500,$A31&amp;"|"&amp;BH$1&amp;"|Input"),IF(COUNTIF(Flows!$M$2:$M$1500,$A31&amp;"|"&amp;BH$1&amp;"|Output"),"I/O","IN"),IF(COUNTIF(Flows!$M$2:$M$1500,$A31&amp;"|"&amp;BH$1&amp;"|Output"),"OUT",""))</f>
        <v/>
      </c>
      <c r="BI31" s="33" t="str">
        <f aca="false">IF(COUNTIF(Flows!$M$2:$M$1500,$A31&amp;"|"&amp;BI$1&amp;"|Input"),IF(COUNTIF(Flows!$M$2:$M$1500,$A31&amp;"|"&amp;BI$1&amp;"|Output"),"I/O","IN"),IF(COUNTIF(Flows!$M$2:$M$1500,$A31&amp;"|"&amp;BI$1&amp;"|Output"),"OUT",""))</f>
        <v/>
      </c>
      <c r="BJ31" s="33" t="str">
        <f aca="false">IF(COUNTIF(Flows!$M$2:$M$1500,$A31&amp;"|"&amp;BJ$1&amp;"|Input"),IF(COUNTIF(Flows!$M$2:$M$1500,$A31&amp;"|"&amp;BJ$1&amp;"|Output"),"I/O","IN"),IF(COUNTIF(Flows!$M$2:$M$1500,$A31&amp;"|"&amp;BJ$1&amp;"|Output"),"OUT",""))</f>
        <v/>
      </c>
      <c r="BK31" s="33" t="str">
        <f aca="false">IF(COUNTIF(Flows!$M$2:$M$1500,$A31&amp;"|"&amp;BK$1&amp;"|Input"),IF(COUNTIF(Flows!$M$2:$M$1500,$A31&amp;"|"&amp;BK$1&amp;"|Output"),"I/O","IN"),IF(COUNTIF(Flows!$M$2:$M$1500,$A31&amp;"|"&amp;BK$1&amp;"|Output"),"OUT",""))</f>
        <v/>
      </c>
    </row>
    <row r="32" customFormat="false" ht="15" hidden="false" customHeight="true" outlineLevel="0" collapsed="false">
      <c r="A32" s="6" t="str">
        <f aca="false">Systems!B32</f>
        <v>Food Waste</v>
      </c>
      <c r="B32" s="33" t="str">
        <f aca="false">IF(COUNTIF(Flows!$M$2:$M$1500,$A32&amp;"|"&amp;B$1&amp;"|Input"),IF(COUNTIF(Flows!$M$2:$M$1500,$A32&amp;"|"&amp;B$1&amp;"|Output"),"I/O","IN"),IF(COUNTIF(Flows!$M$2:$M$1500,$A32&amp;"|"&amp;B$1&amp;"|Output"),"OUT",""))</f>
        <v/>
      </c>
      <c r="C32" s="33" t="str">
        <f aca="false">IF(COUNTIF(Flows!$M$2:$M$1500,$A32&amp;"|"&amp;C$1&amp;"|Input"),IF(COUNTIF(Flows!$M$2:$M$1500,$A32&amp;"|"&amp;C$1&amp;"|Output"),"I/O","IN"),IF(COUNTIF(Flows!$M$2:$M$1500,$A32&amp;"|"&amp;C$1&amp;"|Output"),"OUT",""))</f>
        <v/>
      </c>
      <c r="D32" s="33" t="str">
        <f aca="false">IF(COUNTIF(Flows!$M$2:$M$1500,$A32&amp;"|"&amp;D$1&amp;"|Input"),IF(COUNTIF(Flows!$M$2:$M$1500,$A32&amp;"|"&amp;D$1&amp;"|Output"),"I/O","IN"),IF(COUNTIF(Flows!$M$2:$M$1500,$A32&amp;"|"&amp;D$1&amp;"|Output"),"OUT",""))</f>
        <v/>
      </c>
      <c r="E32" s="33" t="str">
        <f aca="false">IF(COUNTIF(Flows!$M$2:$M$1500,$A32&amp;"|"&amp;E$1&amp;"|Input"),IF(COUNTIF(Flows!$M$2:$M$1500,$A32&amp;"|"&amp;E$1&amp;"|Output"),"I/O","IN"),IF(COUNTIF(Flows!$M$2:$M$1500,$A32&amp;"|"&amp;E$1&amp;"|Output"),"OUT",""))</f>
        <v/>
      </c>
      <c r="F32" s="33" t="str">
        <f aca="false">IF(COUNTIF(Flows!$M$2:$M$1500,$A32&amp;"|"&amp;F$1&amp;"|Input"),IF(COUNTIF(Flows!$M$2:$M$1500,$A32&amp;"|"&amp;F$1&amp;"|Output"),"I/O","IN"),IF(COUNTIF(Flows!$M$2:$M$1500,$A32&amp;"|"&amp;F$1&amp;"|Output"),"OUT",""))</f>
        <v/>
      </c>
      <c r="G32" s="33" t="str">
        <f aca="false">IF(COUNTIF(Flows!$M$2:$M$1500,$A32&amp;"|"&amp;G$1&amp;"|Input"),IF(COUNTIF(Flows!$M$2:$M$1500,$A32&amp;"|"&amp;G$1&amp;"|Output"),"I/O","IN"),IF(COUNTIF(Flows!$M$2:$M$1500,$A32&amp;"|"&amp;G$1&amp;"|Output"),"OUT",""))</f>
        <v/>
      </c>
      <c r="H32" s="33" t="str">
        <f aca="false">IF(COUNTIF(Flows!$M$2:$M$1500,$A32&amp;"|"&amp;H$1&amp;"|Input"),IF(COUNTIF(Flows!$M$2:$M$1500,$A32&amp;"|"&amp;H$1&amp;"|Output"),"I/O","IN"),IF(COUNTIF(Flows!$M$2:$M$1500,$A32&amp;"|"&amp;H$1&amp;"|Output"),"OUT",""))</f>
        <v/>
      </c>
      <c r="I32" s="33" t="str">
        <f aca="false">IF(COUNTIF(Flows!$M$2:$M$1500,$A32&amp;"|"&amp;I$1&amp;"|Input"),IF(COUNTIF(Flows!$M$2:$M$1500,$A32&amp;"|"&amp;I$1&amp;"|Output"),"I/O","IN"),IF(COUNTIF(Flows!$M$2:$M$1500,$A32&amp;"|"&amp;I$1&amp;"|Output"),"OUT",""))</f>
        <v/>
      </c>
      <c r="J32" s="33" t="str">
        <f aca="false">IF(COUNTIF(Flows!$M$2:$M$1500,$A32&amp;"|"&amp;J$1&amp;"|Input"),IF(COUNTIF(Flows!$M$2:$M$1500,$A32&amp;"|"&amp;J$1&amp;"|Output"),"I/O","IN"),IF(COUNTIF(Flows!$M$2:$M$1500,$A32&amp;"|"&amp;J$1&amp;"|Output"),"OUT",""))</f>
        <v/>
      </c>
      <c r="K32" s="33" t="str">
        <f aca="false">IF(COUNTIF(Flows!$M$2:$M$1500,$A32&amp;"|"&amp;K$1&amp;"|Input"),IF(COUNTIF(Flows!$M$2:$M$1500,$A32&amp;"|"&amp;K$1&amp;"|Output"),"I/O","IN"),IF(COUNTIF(Flows!$M$2:$M$1500,$A32&amp;"|"&amp;K$1&amp;"|Output"),"OUT",""))</f>
        <v/>
      </c>
      <c r="L32" s="33" t="str">
        <f aca="false">IF(COUNTIF(Flows!$M$2:$M$1500,$A32&amp;"|"&amp;L$1&amp;"|Input"),IF(COUNTIF(Flows!$M$2:$M$1500,$A32&amp;"|"&amp;L$1&amp;"|Output"),"I/O","IN"),IF(COUNTIF(Flows!$M$2:$M$1500,$A32&amp;"|"&amp;L$1&amp;"|Output"),"OUT",""))</f>
        <v/>
      </c>
      <c r="M32" s="33" t="str">
        <f aca="false">IF(COUNTIF(Flows!$M$2:$M$1500,$A32&amp;"|"&amp;M$1&amp;"|Input"),IF(COUNTIF(Flows!$M$2:$M$1500,$A32&amp;"|"&amp;M$1&amp;"|Output"),"I/O","IN"),IF(COUNTIF(Flows!$M$2:$M$1500,$A32&amp;"|"&amp;M$1&amp;"|Output"),"OUT",""))</f>
        <v/>
      </c>
      <c r="N32" s="33" t="str">
        <f aca="false">IF(COUNTIF(Flows!$M$2:$M$1500,$A32&amp;"|"&amp;N$1&amp;"|Input"),IF(COUNTIF(Flows!$M$2:$M$1500,$A32&amp;"|"&amp;N$1&amp;"|Output"),"I/O","IN"),IF(COUNTIF(Flows!$M$2:$M$1500,$A32&amp;"|"&amp;N$1&amp;"|Output"),"OUT",""))</f>
        <v/>
      </c>
      <c r="O32" s="33" t="str">
        <f aca="false">IF(COUNTIF(Flows!$M$2:$M$1500,$A32&amp;"|"&amp;O$1&amp;"|Input"),IF(COUNTIF(Flows!$M$2:$M$1500,$A32&amp;"|"&amp;O$1&amp;"|Output"),"I/O","IN"),IF(COUNTIF(Flows!$M$2:$M$1500,$A32&amp;"|"&amp;O$1&amp;"|Output"),"OUT",""))</f>
        <v/>
      </c>
      <c r="P32" s="33" t="str">
        <f aca="false">IF(COUNTIF(Flows!$M$2:$M$1500,$A32&amp;"|"&amp;P$1&amp;"|Input"),IF(COUNTIF(Flows!$M$2:$M$1500,$A32&amp;"|"&amp;P$1&amp;"|Output"),"I/O","IN"),IF(COUNTIF(Flows!$M$2:$M$1500,$A32&amp;"|"&amp;P$1&amp;"|Output"),"OUT",""))</f>
        <v/>
      </c>
      <c r="Q32" s="33" t="str">
        <f aca="false">IF(COUNTIF(Flows!$M$2:$M$1500,$A32&amp;"|"&amp;Q$1&amp;"|Input"),IF(COUNTIF(Flows!$M$2:$M$1500,$A32&amp;"|"&amp;Q$1&amp;"|Output"),"I/O","IN"),IF(COUNTIF(Flows!$M$2:$M$1500,$A32&amp;"|"&amp;Q$1&amp;"|Output"),"OUT",""))</f>
        <v/>
      </c>
      <c r="R32" s="33" t="str">
        <f aca="false">IF(COUNTIF(Flows!$M$2:$M$1500,$A32&amp;"|"&amp;R$1&amp;"|Input"),IF(COUNTIF(Flows!$M$2:$M$1500,$A32&amp;"|"&amp;R$1&amp;"|Output"),"I/O","IN"),IF(COUNTIF(Flows!$M$2:$M$1500,$A32&amp;"|"&amp;R$1&amp;"|Output"),"OUT",""))</f>
        <v/>
      </c>
      <c r="S32" s="33" t="str">
        <f aca="false">IF(COUNTIF(Flows!$M$2:$M$1500,$A32&amp;"|"&amp;S$1&amp;"|Input"),IF(COUNTIF(Flows!$M$2:$M$1500,$A32&amp;"|"&amp;S$1&amp;"|Output"),"I/O","IN"),IF(COUNTIF(Flows!$M$2:$M$1500,$A32&amp;"|"&amp;S$1&amp;"|Output"),"OUT",""))</f>
        <v/>
      </c>
      <c r="T32" s="33" t="str">
        <f aca="false">IF(COUNTIF(Flows!$M$2:$M$1500,$A32&amp;"|"&amp;T$1&amp;"|Input"),IF(COUNTIF(Flows!$M$2:$M$1500,$A32&amp;"|"&amp;T$1&amp;"|Output"),"I/O","IN"),IF(COUNTIF(Flows!$M$2:$M$1500,$A32&amp;"|"&amp;T$1&amp;"|Output"),"OUT",""))</f>
        <v>IN</v>
      </c>
      <c r="U32" s="33" t="str">
        <f aca="false">IF(COUNTIF(Flows!$M$2:$M$1500,$A32&amp;"|"&amp;U$1&amp;"|Input"),IF(COUNTIF(Flows!$M$2:$M$1500,$A32&amp;"|"&amp;U$1&amp;"|Output"),"I/O","IN"),IF(COUNTIF(Flows!$M$2:$M$1500,$A32&amp;"|"&amp;U$1&amp;"|Output"),"OUT",""))</f>
        <v/>
      </c>
      <c r="V32" s="33" t="str">
        <f aca="false">IF(COUNTIF(Flows!$M$2:$M$1500,$A32&amp;"|"&amp;V$1&amp;"|Input"),IF(COUNTIF(Flows!$M$2:$M$1500,$A32&amp;"|"&amp;V$1&amp;"|Output"),"I/O","IN"),IF(COUNTIF(Flows!$M$2:$M$1500,$A32&amp;"|"&amp;V$1&amp;"|Output"),"OUT",""))</f>
        <v/>
      </c>
      <c r="W32" s="33" t="str">
        <f aca="false">IF(COUNTIF(Flows!$M$2:$M$1500,$A32&amp;"|"&amp;W$1&amp;"|Input"),IF(COUNTIF(Flows!$M$2:$M$1500,$A32&amp;"|"&amp;W$1&amp;"|Output"),"I/O","IN"),IF(COUNTIF(Flows!$M$2:$M$1500,$A32&amp;"|"&amp;W$1&amp;"|Output"),"OUT",""))</f>
        <v/>
      </c>
      <c r="X32" s="33" t="str">
        <f aca="false">IF(COUNTIF(Flows!$M$2:$M$1500,$A32&amp;"|"&amp;X$1&amp;"|Input"),IF(COUNTIF(Flows!$M$2:$M$1500,$A32&amp;"|"&amp;X$1&amp;"|Output"),"I/O","IN"),IF(COUNTIF(Flows!$M$2:$M$1500,$A32&amp;"|"&amp;X$1&amp;"|Output"),"OUT",""))</f>
        <v>IN</v>
      </c>
      <c r="Y32" s="33" t="str">
        <f aca="false">IF(COUNTIF(Flows!$M$2:$M$1500,$A32&amp;"|"&amp;Y$1&amp;"|Input"),IF(COUNTIF(Flows!$M$2:$M$1500,$A32&amp;"|"&amp;Y$1&amp;"|Output"),"I/O","IN"),IF(COUNTIF(Flows!$M$2:$M$1500,$A32&amp;"|"&amp;Y$1&amp;"|Output"),"OUT",""))</f>
        <v/>
      </c>
      <c r="Z32" s="33" t="str">
        <f aca="false">IF(COUNTIF(Flows!$M$2:$M$1500,$A32&amp;"|"&amp;Z$1&amp;"|Input"),IF(COUNTIF(Flows!$M$2:$M$1500,$A32&amp;"|"&amp;Z$1&amp;"|Output"),"I/O","IN"),IF(COUNTIF(Flows!$M$2:$M$1500,$A32&amp;"|"&amp;Z$1&amp;"|Output"),"OUT",""))</f>
        <v/>
      </c>
      <c r="AA32" s="33" t="str">
        <f aca="false">IF(COUNTIF(Flows!$M$2:$M$1500,$A32&amp;"|"&amp;AA$1&amp;"|Input"),IF(COUNTIF(Flows!$M$2:$M$1500,$A32&amp;"|"&amp;AA$1&amp;"|Output"),"I/O","IN"),IF(COUNTIF(Flows!$M$2:$M$1500,$A32&amp;"|"&amp;AA$1&amp;"|Output"),"OUT",""))</f>
        <v/>
      </c>
      <c r="AB32" s="33" t="str">
        <f aca="false">IF(COUNTIF(Flows!$M$2:$M$1500,$A32&amp;"|"&amp;AB$1&amp;"|Input"),IF(COUNTIF(Flows!$M$2:$M$1500,$A32&amp;"|"&amp;AB$1&amp;"|Output"),"I/O","IN"),IF(COUNTIF(Flows!$M$2:$M$1500,$A32&amp;"|"&amp;AB$1&amp;"|Output"),"OUT",""))</f>
        <v/>
      </c>
      <c r="AC32" s="33" t="str">
        <f aca="false">IF(COUNTIF(Flows!$M$2:$M$1500,$A32&amp;"|"&amp;AC$1&amp;"|Input"),IF(COUNTIF(Flows!$M$2:$M$1500,$A32&amp;"|"&amp;AC$1&amp;"|Output"),"I/O","IN"),IF(COUNTIF(Flows!$M$2:$M$1500,$A32&amp;"|"&amp;AC$1&amp;"|Output"),"OUT",""))</f>
        <v/>
      </c>
      <c r="AD32" s="33" t="str">
        <f aca="false">IF(COUNTIF(Flows!$M$2:$M$1500,$A32&amp;"|"&amp;AD$1&amp;"|Input"),IF(COUNTIF(Flows!$M$2:$M$1500,$A32&amp;"|"&amp;AD$1&amp;"|Output"),"I/O","IN"),IF(COUNTIF(Flows!$M$2:$M$1500,$A32&amp;"|"&amp;AD$1&amp;"|Output"),"OUT",""))</f>
        <v/>
      </c>
      <c r="AE32" s="33" t="str">
        <f aca="false">IF(COUNTIF(Flows!$M$2:$M$1500,$A32&amp;"|"&amp;AE$1&amp;"|Input"),IF(COUNTIF(Flows!$M$2:$M$1500,$A32&amp;"|"&amp;AE$1&amp;"|Output"),"I/O","IN"),IF(COUNTIF(Flows!$M$2:$M$1500,$A32&amp;"|"&amp;AE$1&amp;"|Output"),"OUT",""))</f>
        <v/>
      </c>
      <c r="AF32" s="33" t="str">
        <f aca="false">IF(COUNTIF(Flows!$M$2:$M$1500,$A32&amp;"|"&amp;AF$1&amp;"|Input"),IF(COUNTIF(Flows!$M$2:$M$1500,$A32&amp;"|"&amp;AF$1&amp;"|Output"),"I/O","IN"),IF(COUNTIF(Flows!$M$2:$M$1500,$A32&amp;"|"&amp;AF$1&amp;"|Output"),"OUT",""))</f>
        <v/>
      </c>
      <c r="AG32" s="33" t="str">
        <f aca="false">IF(COUNTIF(Flows!$M$2:$M$1500,$A32&amp;"|"&amp;AG$1&amp;"|Input"),IF(COUNTIF(Flows!$M$2:$M$1500,$A32&amp;"|"&amp;AG$1&amp;"|Output"),"I/O","IN"),IF(COUNTIF(Flows!$M$2:$M$1500,$A32&amp;"|"&amp;AG$1&amp;"|Output"),"OUT",""))</f>
        <v/>
      </c>
      <c r="AH32" s="33" t="str">
        <f aca="false">IF(COUNTIF(Flows!$M$2:$M$1500,$A32&amp;"|"&amp;AH$1&amp;"|Input"),IF(COUNTIF(Flows!$M$2:$M$1500,$A32&amp;"|"&amp;AH$1&amp;"|Output"),"I/O","IN"),IF(COUNTIF(Flows!$M$2:$M$1500,$A32&amp;"|"&amp;AH$1&amp;"|Output"),"OUT",""))</f>
        <v/>
      </c>
      <c r="AI32" s="33" t="str">
        <f aca="false">IF(COUNTIF(Flows!$M$2:$M$1500,$A32&amp;"|"&amp;AI$1&amp;"|Input"),IF(COUNTIF(Flows!$M$2:$M$1500,$A32&amp;"|"&amp;AI$1&amp;"|Output"),"I/O","IN"),IF(COUNTIF(Flows!$M$2:$M$1500,$A32&amp;"|"&amp;AI$1&amp;"|Output"),"OUT",""))</f>
        <v/>
      </c>
      <c r="AJ32" s="33" t="str">
        <f aca="false">IF(COUNTIF(Flows!$M$2:$M$1500,$A32&amp;"|"&amp;AJ$1&amp;"|Input"),IF(COUNTIF(Flows!$M$2:$M$1500,$A32&amp;"|"&amp;AJ$1&amp;"|Output"),"I/O","IN"),IF(COUNTIF(Flows!$M$2:$M$1500,$A32&amp;"|"&amp;AJ$1&amp;"|Output"),"OUT",""))</f>
        <v/>
      </c>
      <c r="AK32" s="33" t="str">
        <f aca="false">IF(COUNTIF(Flows!$M$2:$M$1500,$A32&amp;"|"&amp;AK$1&amp;"|Input"),IF(COUNTIF(Flows!$M$2:$M$1500,$A32&amp;"|"&amp;AK$1&amp;"|Output"),"I/O","IN"),IF(COUNTIF(Flows!$M$2:$M$1500,$A32&amp;"|"&amp;AK$1&amp;"|Output"),"OUT",""))</f>
        <v/>
      </c>
      <c r="AL32" s="33" t="str">
        <f aca="false">IF(COUNTIF(Flows!$M$2:$M$1500,$A32&amp;"|"&amp;AL$1&amp;"|Input"),IF(COUNTIF(Flows!$M$2:$M$1500,$A32&amp;"|"&amp;AL$1&amp;"|Output"),"I/O","IN"),IF(COUNTIF(Flows!$M$2:$M$1500,$A32&amp;"|"&amp;AL$1&amp;"|Output"),"OUT",""))</f>
        <v/>
      </c>
      <c r="AM32" s="33" t="str">
        <f aca="false">IF(COUNTIF(Flows!$M$2:$M$1500,$A32&amp;"|"&amp;AM$1&amp;"|Input"),IF(COUNTIF(Flows!$M$2:$M$1500,$A32&amp;"|"&amp;AM$1&amp;"|Output"),"I/O","IN"),IF(COUNTIF(Flows!$M$2:$M$1500,$A32&amp;"|"&amp;AM$1&amp;"|Output"),"OUT",""))</f>
        <v/>
      </c>
      <c r="AN32" s="33" t="str">
        <f aca="false">IF(COUNTIF(Flows!$M$2:$M$1500,$A32&amp;"|"&amp;AN$1&amp;"|Input"),IF(COUNTIF(Flows!$M$2:$M$1500,$A32&amp;"|"&amp;AN$1&amp;"|Output"),"I/O","IN"),IF(COUNTIF(Flows!$M$2:$M$1500,$A32&amp;"|"&amp;AN$1&amp;"|Output"),"OUT",""))</f>
        <v/>
      </c>
      <c r="AO32" s="33" t="str">
        <f aca="false">IF(COUNTIF(Flows!$M$2:$M$1500,$A32&amp;"|"&amp;AO$1&amp;"|Input"),IF(COUNTIF(Flows!$M$2:$M$1500,$A32&amp;"|"&amp;AO$1&amp;"|Output"),"I/O","IN"),IF(COUNTIF(Flows!$M$2:$M$1500,$A32&amp;"|"&amp;AO$1&amp;"|Output"),"OUT",""))</f>
        <v/>
      </c>
      <c r="AP32" s="33" t="str">
        <f aca="false">IF(COUNTIF(Flows!$M$2:$M$1500,$A32&amp;"|"&amp;AP$1&amp;"|Input"),IF(COUNTIF(Flows!$M$2:$M$1500,$A32&amp;"|"&amp;AP$1&amp;"|Output"),"I/O","IN"),IF(COUNTIF(Flows!$M$2:$M$1500,$A32&amp;"|"&amp;AP$1&amp;"|Output"),"OUT",""))</f>
        <v/>
      </c>
      <c r="AQ32" s="33" t="str">
        <f aca="false">IF(COUNTIF(Flows!$M$2:$M$1500,$A32&amp;"|"&amp;AQ$1&amp;"|Input"),IF(COUNTIF(Flows!$M$2:$M$1500,$A32&amp;"|"&amp;AQ$1&amp;"|Output"),"I/O","IN"),IF(COUNTIF(Flows!$M$2:$M$1500,$A32&amp;"|"&amp;AQ$1&amp;"|Output"),"OUT",""))</f>
        <v/>
      </c>
      <c r="AR32" s="33" t="str">
        <f aca="false">IF(COUNTIF(Flows!$M$2:$M$1500,$A32&amp;"|"&amp;AR$1&amp;"|Input"),IF(COUNTIF(Flows!$M$2:$M$1500,$A32&amp;"|"&amp;AR$1&amp;"|Output"),"I/O","IN"),IF(COUNTIF(Flows!$M$2:$M$1500,$A32&amp;"|"&amp;AR$1&amp;"|Output"),"OUT",""))</f>
        <v/>
      </c>
      <c r="AS32" s="33" t="str">
        <f aca="false">IF(COUNTIF(Flows!$M$2:$M$1500,$A32&amp;"|"&amp;AS$1&amp;"|Input"),IF(COUNTIF(Flows!$M$2:$M$1500,$A32&amp;"|"&amp;AS$1&amp;"|Output"),"I/O","IN"),IF(COUNTIF(Flows!$M$2:$M$1500,$A32&amp;"|"&amp;AS$1&amp;"|Output"),"OUT",""))</f>
        <v/>
      </c>
      <c r="AT32" s="33" t="str">
        <f aca="false">IF(COUNTIF(Flows!$M$2:$M$1500,$A32&amp;"|"&amp;AT$1&amp;"|Input"),IF(COUNTIF(Flows!$M$2:$M$1500,$A32&amp;"|"&amp;AT$1&amp;"|Output"),"I/O","IN"),IF(COUNTIF(Flows!$M$2:$M$1500,$A32&amp;"|"&amp;AT$1&amp;"|Output"),"OUT",""))</f>
        <v/>
      </c>
      <c r="AU32" s="33" t="str">
        <f aca="false">IF(COUNTIF(Flows!$M$2:$M$1500,$A32&amp;"|"&amp;AU$1&amp;"|Input"),IF(COUNTIF(Flows!$M$2:$M$1500,$A32&amp;"|"&amp;AU$1&amp;"|Output"),"I/O","IN"),IF(COUNTIF(Flows!$M$2:$M$1500,$A32&amp;"|"&amp;AU$1&amp;"|Output"),"OUT",""))</f>
        <v/>
      </c>
      <c r="AV32" s="33" t="str">
        <f aca="false">IF(COUNTIF(Flows!$M$2:$M$1500,$A32&amp;"|"&amp;AV$1&amp;"|Input"),IF(COUNTIF(Flows!$M$2:$M$1500,$A32&amp;"|"&amp;AV$1&amp;"|Output"),"I/O","IN"),IF(COUNTIF(Flows!$M$2:$M$1500,$A32&amp;"|"&amp;AV$1&amp;"|Output"),"OUT",""))</f>
        <v/>
      </c>
      <c r="AW32" s="33" t="str">
        <f aca="false">IF(COUNTIF(Flows!$M$2:$M$1500,$A32&amp;"|"&amp;AW$1&amp;"|Input"),IF(COUNTIF(Flows!$M$2:$M$1500,$A32&amp;"|"&amp;AW$1&amp;"|Output"),"I/O","IN"),IF(COUNTIF(Flows!$M$2:$M$1500,$A32&amp;"|"&amp;AW$1&amp;"|Output"),"OUT",""))</f>
        <v/>
      </c>
      <c r="AX32" s="33" t="str">
        <f aca="false">IF(COUNTIF(Flows!$M$2:$M$1500,$A32&amp;"|"&amp;AX$1&amp;"|Input"),IF(COUNTIF(Flows!$M$2:$M$1500,$A32&amp;"|"&amp;AX$1&amp;"|Output"),"I/O","IN"),IF(COUNTIF(Flows!$M$2:$M$1500,$A32&amp;"|"&amp;AX$1&amp;"|Output"),"OUT",""))</f>
        <v>OUT</v>
      </c>
      <c r="AY32" s="33" t="str">
        <f aca="false">IF(COUNTIF(Flows!$M$2:$M$1500,$A32&amp;"|"&amp;AY$1&amp;"|Input"),IF(COUNTIF(Flows!$M$2:$M$1500,$A32&amp;"|"&amp;AY$1&amp;"|Output"),"I/O","IN"),IF(COUNTIF(Flows!$M$2:$M$1500,$A32&amp;"|"&amp;AY$1&amp;"|Output"),"OUT",""))</f>
        <v>OUT</v>
      </c>
      <c r="AZ32" s="33" t="str">
        <f aca="false">IF(COUNTIF(Flows!$M$2:$M$1500,$A32&amp;"|"&amp;AZ$1&amp;"|Input"),IF(COUNTIF(Flows!$M$2:$M$1500,$A32&amp;"|"&amp;AZ$1&amp;"|Output"),"I/O","IN"),IF(COUNTIF(Flows!$M$2:$M$1500,$A32&amp;"|"&amp;AZ$1&amp;"|Output"),"OUT",""))</f>
        <v/>
      </c>
      <c r="BA32" s="33" t="str">
        <f aca="false">IF(COUNTIF(Flows!$M$2:$M$1500,$A32&amp;"|"&amp;BA$1&amp;"|Input"),IF(COUNTIF(Flows!$M$2:$M$1500,$A32&amp;"|"&amp;BA$1&amp;"|Output"),"I/O","IN"),IF(COUNTIF(Flows!$M$2:$M$1500,$A32&amp;"|"&amp;BA$1&amp;"|Output"),"OUT",""))</f>
        <v/>
      </c>
      <c r="BB32" s="33" t="str">
        <f aca="false">IF(COUNTIF(Flows!$M$2:$M$1500,$A32&amp;"|"&amp;BB$1&amp;"|Input"),IF(COUNTIF(Flows!$M$2:$M$1500,$A32&amp;"|"&amp;BB$1&amp;"|Output"),"I/O","IN"),IF(COUNTIF(Flows!$M$2:$M$1500,$A32&amp;"|"&amp;BB$1&amp;"|Output"),"OUT",""))</f>
        <v/>
      </c>
      <c r="BC32" s="33" t="str">
        <f aca="false">IF(COUNTIF(Flows!$M$2:$M$1500,$A32&amp;"|"&amp;BC$1&amp;"|Input"),IF(COUNTIF(Flows!$M$2:$M$1500,$A32&amp;"|"&amp;BC$1&amp;"|Output"),"I/O","IN"),IF(COUNTIF(Flows!$M$2:$M$1500,$A32&amp;"|"&amp;BC$1&amp;"|Output"),"OUT",""))</f>
        <v/>
      </c>
      <c r="BD32" s="33" t="str">
        <f aca="false">IF(COUNTIF(Flows!$M$2:$M$1500,$A32&amp;"|"&amp;BD$1&amp;"|Input"),IF(COUNTIF(Flows!$M$2:$M$1500,$A32&amp;"|"&amp;BD$1&amp;"|Output"),"I/O","IN"),IF(COUNTIF(Flows!$M$2:$M$1500,$A32&amp;"|"&amp;BD$1&amp;"|Output"),"OUT",""))</f>
        <v/>
      </c>
      <c r="BE32" s="33" t="str">
        <f aca="false">IF(COUNTIF(Flows!$M$2:$M$1500,$A32&amp;"|"&amp;BE$1&amp;"|Input"),IF(COUNTIF(Flows!$M$2:$M$1500,$A32&amp;"|"&amp;BE$1&amp;"|Output"),"I/O","IN"),IF(COUNTIF(Flows!$M$2:$M$1500,$A32&amp;"|"&amp;BE$1&amp;"|Output"),"OUT",""))</f>
        <v/>
      </c>
      <c r="BF32" s="33" t="str">
        <f aca="false">IF(COUNTIF(Flows!$M$2:$M$1500,$A32&amp;"|"&amp;BF$1&amp;"|Input"),IF(COUNTIF(Flows!$M$2:$M$1500,$A32&amp;"|"&amp;BF$1&amp;"|Output"),"I/O","IN"),IF(COUNTIF(Flows!$M$2:$M$1500,$A32&amp;"|"&amp;BF$1&amp;"|Output"),"OUT",""))</f>
        <v/>
      </c>
      <c r="BG32" s="33" t="str">
        <f aca="false">IF(COUNTIF(Flows!$M$2:$M$1500,$A32&amp;"|"&amp;BG$1&amp;"|Input"),IF(COUNTIF(Flows!$M$2:$M$1500,$A32&amp;"|"&amp;BG$1&amp;"|Output"),"I/O","IN"),IF(COUNTIF(Flows!$M$2:$M$1500,$A32&amp;"|"&amp;BG$1&amp;"|Output"),"OUT",""))</f>
        <v/>
      </c>
      <c r="BH32" s="33" t="str">
        <f aca="false">IF(COUNTIF(Flows!$M$2:$M$1500,$A32&amp;"|"&amp;BH$1&amp;"|Input"),IF(COUNTIF(Flows!$M$2:$M$1500,$A32&amp;"|"&amp;BH$1&amp;"|Output"),"I/O","IN"),IF(COUNTIF(Flows!$M$2:$M$1500,$A32&amp;"|"&amp;BH$1&amp;"|Output"),"OUT",""))</f>
        <v/>
      </c>
      <c r="BI32" s="33" t="str">
        <f aca="false">IF(COUNTIF(Flows!$M$2:$M$1500,$A32&amp;"|"&amp;BI$1&amp;"|Input"),IF(COUNTIF(Flows!$M$2:$M$1500,$A32&amp;"|"&amp;BI$1&amp;"|Output"),"I/O","IN"),IF(COUNTIF(Flows!$M$2:$M$1500,$A32&amp;"|"&amp;BI$1&amp;"|Output"),"OUT",""))</f>
        <v/>
      </c>
      <c r="BJ32" s="33" t="str">
        <f aca="false">IF(COUNTIF(Flows!$M$2:$M$1500,$A32&amp;"|"&amp;BJ$1&amp;"|Input"),IF(COUNTIF(Flows!$M$2:$M$1500,$A32&amp;"|"&amp;BJ$1&amp;"|Output"),"I/O","IN"),IF(COUNTIF(Flows!$M$2:$M$1500,$A32&amp;"|"&amp;BJ$1&amp;"|Output"),"OUT",""))</f>
        <v/>
      </c>
      <c r="BK32" s="33" t="str">
        <f aca="false">IF(COUNTIF(Flows!$M$2:$M$1500,$A32&amp;"|"&amp;BK$1&amp;"|Input"),IF(COUNTIF(Flows!$M$2:$M$1500,$A32&amp;"|"&amp;BK$1&amp;"|Output"),"I/O","IN"),IF(COUNTIF(Flows!$M$2:$M$1500,$A32&amp;"|"&amp;BK$1&amp;"|Output"),"OUT",""))</f>
        <v/>
      </c>
    </row>
    <row r="33" customFormat="false" ht="15" hidden="false" customHeight="true" outlineLevel="0" collapsed="false">
      <c r="A33" s="6" t="str">
        <f aca="false">Systems!B33</f>
        <v>IBC Tank (food grade)</v>
      </c>
      <c r="B33" s="33" t="str">
        <f aca="false">IF(COUNTIF(Flows!$M$2:$M$1500,$A33&amp;"|"&amp;B$1&amp;"|Input"),IF(COUNTIF(Flows!$M$2:$M$1500,$A33&amp;"|"&amp;B$1&amp;"|Output"),"I/O","IN"),IF(COUNTIF(Flows!$M$2:$M$1500,$A33&amp;"|"&amp;B$1&amp;"|Output"),"OUT",""))</f>
        <v/>
      </c>
      <c r="C33" s="33" t="str">
        <f aca="false">IF(COUNTIF(Flows!$M$2:$M$1500,$A33&amp;"|"&amp;C$1&amp;"|Input"),IF(COUNTIF(Flows!$M$2:$M$1500,$A33&amp;"|"&amp;C$1&amp;"|Output"),"I/O","IN"),IF(COUNTIF(Flows!$M$2:$M$1500,$A33&amp;"|"&amp;C$1&amp;"|Output"),"OUT",""))</f>
        <v/>
      </c>
      <c r="D33" s="33" t="str">
        <f aca="false">IF(COUNTIF(Flows!$M$2:$M$1500,$A33&amp;"|"&amp;D$1&amp;"|Input"),IF(COUNTIF(Flows!$M$2:$M$1500,$A33&amp;"|"&amp;D$1&amp;"|Output"),"I/O","IN"),IF(COUNTIF(Flows!$M$2:$M$1500,$A33&amp;"|"&amp;D$1&amp;"|Output"),"OUT",""))</f>
        <v/>
      </c>
      <c r="E33" s="33" t="str">
        <f aca="false">IF(COUNTIF(Flows!$M$2:$M$1500,$A33&amp;"|"&amp;E$1&amp;"|Input"),IF(COUNTIF(Flows!$M$2:$M$1500,$A33&amp;"|"&amp;E$1&amp;"|Output"),"I/O","IN"),IF(COUNTIF(Flows!$M$2:$M$1500,$A33&amp;"|"&amp;E$1&amp;"|Output"),"OUT",""))</f>
        <v/>
      </c>
      <c r="F33" s="33" t="str">
        <f aca="false">IF(COUNTIF(Flows!$M$2:$M$1500,$A33&amp;"|"&amp;F$1&amp;"|Input"),IF(COUNTIF(Flows!$M$2:$M$1500,$A33&amp;"|"&amp;F$1&amp;"|Output"),"I/O","IN"),IF(COUNTIF(Flows!$M$2:$M$1500,$A33&amp;"|"&amp;F$1&amp;"|Output"),"OUT",""))</f>
        <v/>
      </c>
      <c r="G33" s="33" t="str">
        <f aca="false">IF(COUNTIF(Flows!$M$2:$M$1500,$A33&amp;"|"&amp;G$1&amp;"|Input"),IF(COUNTIF(Flows!$M$2:$M$1500,$A33&amp;"|"&amp;G$1&amp;"|Output"),"I/O","IN"),IF(COUNTIF(Flows!$M$2:$M$1500,$A33&amp;"|"&amp;G$1&amp;"|Output"),"OUT",""))</f>
        <v/>
      </c>
      <c r="H33" s="33" t="str">
        <f aca="false">IF(COUNTIF(Flows!$M$2:$M$1500,$A33&amp;"|"&amp;H$1&amp;"|Input"),IF(COUNTIF(Flows!$M$2:$M$1500,$A33&amp;"|"&amp;H$1&amp;"|Output"),"I/O","IN"),IF(COUNTIF(Flows!$M$2:$M$1500,$A33&amp;"|"&amp;H$1&amp;"|Output"),"OUT",""))</f>
        <v/>
      </c>
      <c r="I33" s="33" t="str">
        <f aca="false">IF(COUNTIF(Flows!$M$2:$M$1500,$A33&amp;"|"&amp;I$1&amp;"|Input"),IF(COUNTIF(Flows!$M$2:$M$1500,$A33&amp;"|"&amp;I$1&amp;"|Output"),"I/O","IN"),IF(COUNTIF(Flows!$M$2:$M$1500,$A33&amp;"|"&amp;I$1&amp;"|Output"),"OUT",""))</f>
        <v/>
      </c>
      <c r="J33" s="33" t="str">
        <f aca="false">IF(COUNTIF(Flows!$M$2:$M$1500,$A33&amp;"|"&amp;J$1&amp;"|Input"),IF(COUNTIF(Flows!$M$2:$M$1500,$A33&amp;"|"&amp;J$1&amp;"|Output"),"I/O","IN"),IF(COUNTIF(Flows!$M$2:$M$1500,$A33&amp;"|"&amp;J$1&amp;"|Output"),"OUT",""))</f>
        <v/>
      </c>
      <c r="K33" s="33" t="str">
        <f aca="false">IF(COUNTIF(Flows!$M$2:$M$1500,$A33&amp;"|"&amp;K$1&amp;"|Input"),IF(COUNTIF(Flows!$M$2:$M$1500,$A33&amp;"|"&amp;K$1&amp;"|Output"),"I/O","IN"),IF(COUNTIF(Flows!$M$2:$M$1500,$A33&amp;"|"&amp;K$1&amp;"|Output"),"OUT",""))</f>
        <v/>
      </c>
      <c r="L33" s="33" t="str">
        <f aca="false">IF(COUNTIF(Flows!$M$2:$M$1500,$A33&amp;"|"&amp;L$1&amp;"|Input"),IF(COUNTIF(Flows!$M$2:$M$1500,$A33&amp;"|"&amp;L$1&amp;"|Output"),"I/O","IN"),IF(COUNTIF(Flows!$M$2:$M$1500,$A33&amp;"|"&amp;L$1&amp;"|Output"),"OUT",""))</f>
        <v/>
      </c>
      <c r="M33" s="33" t="str">
        <f aca="false">IF(COUNTIF(Flows!$M$2:$M$1500,$A33&amp;"|"&amp;M$1&amp;"|Input"),IF(COUNTIF(Flows!$M$2:$M$1500,$A33&amp;"|"&amp;M$1&amp;"|Output"),"I/O","IN"),IF(COUNTIF(Flows!$M$2:$M$1500,$A33&amp;"|"&amp;M$1&amp;"|Output"),"OUT",""))</f>
        <v/>
      </c>
      <c r="N33" s="33" t="str">
        <f aca="false">IF(COUNTIF(Flows!$M$2:$M$1500,$A33&amp;"|"&amp;N$1&amp;"|Input"),IF(COUNTIF(Flows!$M$2:$M$1500,$A33&amp;"|"&amp;N$1&amp;"|Output"),"I/O","IN"),IF(COUNTIF(Flows!$M$2:$M$1500,$A33&amp;"|"&amp;N$1&amp;"|Output"),"OUT",""))</f>
        <v/>
      </c>
      <c r="O33" s="33" t="str">
        <f aca="false">IF(COUNTIF(Flows!$M$2:$M$1500,$A33&amp;"|"&amp;O$1&amp;"|Input"),IF(COUNTIF(Flows!$M$2:$M$1500,$A33&amp;"|"&amp;O$1&amp;"|Output"),"I/O","IN"),IF(COUNTIF(Flows!$M$2:$M$1500,$A33&amp;"|"&amp;O$1&amp;"|Output"),"OUT",""))</f>
        <v/>
      </c>
      <c r="P33" s="33" t="str">
        <f aca="false">IF(COUNTIF(Flows!$M$2:$M$1500,$A33&amp;"|"&amp;P$1&amp;"|Input"),IF(COUNTIF(Flows!$M$2:$M$1500,$A33&amp;"|"&amp;P$1&amp;"|Output"),"I/O","IN"),IF(COUNTIF(Flows!$M$2:$M$1500,$A33&amp;"|"&amp;P$1&amp;"|Output"),"OUT",""))</f>
        <v/>
      </c>
      <c r="Q33" s="33" t="str">
        <f aca="false">IF(COUNTIF(Flows!$M$2:$M$1500,$A33&amp;"|"&amp;Q$1&amp;"|Input"),IF(COUNTIF(Flows!$M$2:$M$1500,$A33&amp;"|"&amp;Q$1&amp;"|Output"),"I/O","IN"),IF(COUNTIF(Flows!$M$2:$M$1500,$A33&amp;"|"&amp;Q$1&amp;"|Output"),"OUT",""))</f>
        <v/>
      </c>
      <c r="R33" s="33" t="str">
        <f aca="false">IF(COUNTIF(Flows!$M$2:$M$1500,$A33&amp;"|"&amp;R$1&amp;"|Input"),IF(COUNTIF(Flows!$M$2:$M$1500,$A33&amp;"|"&amp;R$1&amp;"|Output"),"I/O","IN"),IF(COUNTIF(Flows!$M$2:$M$1500,$A33&amp;"|"&amp;R$1&amp;"|Output"),"OUT",""))</f>
        <v/>
      </c>
      <c r="S33" s="33" t="str">
        <f aca="false">IF(COUNTIF(Flows!$M$2:$M$1500,$A33&amp;"|"&amp;S$1&amp;"|Input"),IF(COUNTIF(Flows!$M$2:$M$1500,$A33&amp;"|"&amp;S$1&amp;"|Output"),"I/O","IN"),IF(COUNTIF(Flows!$M$2:$M$1500,$A33&amp;"|"&amp;S$1&amp;"|Output"),"OUT",""))</f>
        <v/>
      </c>
      <c r="T33" s="33" t="str">
        <f aca="false">IF(COUNTIF(Flows!$M$2:$M$1500,$A33&amp;"|"&amp;T$1&amp;"|Input"),IF(COUNTIF(Flows!$M$2:$M$1500,$A33&amp;"|"&amp;T$1&amp;"|Output"),"I/O","IN"),IF(COUNTIF(Flows!$M$2:$M$1500,$A33&amp;"|"&amp;T$1&amp;"|Output"),"OUT",""))</f>
        <v/>
      </c>
      <c r="U33" s="33" t="str">
        <f aca="false">IF(COUNTIF(Flows!$M$2:$M$1500,$A33&amp;"|"&amp;U$1&amp;"|Input"),IF(COUNTIF(Flows!$M$2:$M$1500,$A33&amp;"|"&amp;U$1&amp;"|Output"),"I/O","IN"),IF(COUNTIF(Flows!$M$2:$M$1500,$A33&amp;"|"&amp;U$1&amp;"|Output"),"OUT",""))</f>
        <v/>
      </c>
      <c r="V33" s="33" t="str">
        <f aca="false">IF(COUNTIF(Flows!$M$2:$M$1500,$A33&amp;"|"&amp;V$1&amp;"|Input"),IF(COUNTIF(Flows!$M$2:$M$1500,$A33&amp;"|"&amp;V$1&amp;"|Output"),"I/O","IN"),IF(COUNTIF(Flows!$M$2:$M$1500,$A33&amp;"|"&amp;V$1&amp;"|Output"),"OUT",""))</f>
        <v/>
      </c>
      <c r="W33" s="33" t="str">
        <f aca="false">IF(COUNTIF(Flows!$M$2:$M$1500,$A33&amp;"|"&amp;W$1&amp;"|Input"),IF(COUNTIF(Flows!$M$2:$M$1500,$A33&amp;"|"&amp;W$1&amp;"|Output"),"I/O","IN"),IF(COUNTIF(Flows!$M$2:$M$1500,$A33&amp;"|"&amp;W$1&amp;"|Output"),"OUT",""))</f>
        <v/>
      </c>
      <c r="X33" s="33" t="str">
        <f aca="false">IF(COUNTIF(Flows!$M$2:$M$1500,$A33&amp;"|"&amp;X$1&amp;"|Input"),IF(COUNTIF(Flows!$M$2:$M$1500,$A33&amp;"|"&amp;X$1&amp;"|Output"),"I/O","IN"),IF(COUNTIF(Flows!$M$2:$M$1500,$A33&amp;"|"&amp;X$1&amp;"|Output"),"OUT",""))</f>
        <v>IN</v>
      </c>
      <c r="Y33" s="33" t="str">
        <f aca="false">IF(COUNTIF(Flows!$M$2:$M$1500,$A33&amp;"|"&amp;Y$1&amp;"|Input"),IF(COUNTIF(Flows!$M$2:$M$1500,$A33&amp;"|"&amp;Y$1&amp;"|Output"),"I/O","IN"),IF(COUNTIF(Flows!$M$2:$M$1500,$A33&amp;"|"&amp;Y$1&amp;"|Output"),"OUT",""))</f>
        <v/>
      </c>
      <c r="Z33" s="33" t="str">
        <f aca="false">IF(COUNTIF(Flows!$M$2:$M$1500,$A33&amp;"|"&amp;Z$1&amp;"|Input"),IF(COUNTIF(Flows!$M$2:$M$1500,$A33&amp;"|"&amp;Z$1&amp;"|Output"),"I/O","IN"),IF(COUNTIF(Flows!$M$2:$M$1500,$A33&amp;"|"&amp;Z$1&amp;"|Output"),"OUT",""))</f>
        <v/>
      </c>
      <c r="AA33" s="33" t="str">
        <f aca="false">IF(COUNTIF(Flows!$M$2:$M$1500,$A33&amp;"|"&amp;AA$1&amp;"|Input"),IF(COUNTIF(Flows!$M$2:$M$1500,$A33&amp;"|"&amp;AA$1&amp;"|Output"),"I/O","IN"),IF(COUNTIF(Flows!$M$2:$M$1500,$A33&amp;"|"&amp;AA$1&amp;"|Output"),"OUT",""))</f>
        <v/>
      </c>
      <c r="AB33" s="33" t="str">
        <f aca="false">IF(COUNTIF(Flows!$M$2:$M$1500,$A33&amp;"|"&amp;AB$1&amp;"|Input"),IF(COUNTIF(Flows!$M$2:$M$1500,$A33&amp;"|"&amp;AB$1&amp;"|Output"),"I/O","IN"),IF(COUNTIF(Flows!$M$2:$M$1500,$A33&amp;"|"&amp;AB$1&amp;"|Output"),"OUT",""))</f>
        <v/>
      </c>
      <c r="AC33" s="33" t="str">
        <f aca="false">IF(COUNTIF(Flows!$M$2:$M$1500,$A33&amp;"|"&amp;AC$1&amp;"|Input"),IF(COUNTIF(Flows!$M$2:$M$1500,$A33&amp;"|"&amp;AC$1&amp;"|Output"),"I/O","IN"),IF(COUNTIF(Flows!$M$2:$M$1500,$A33&amp;"|"&amp;AC$1&amp;"|Output"),"OUT",""))</f>
        <v/>
      </c>
      <c r="AD33" s="33" t="str">
        <f aca="false">IF(COUNTIF(Flows!$M$2:$M$1500,$A33&amp;"|"&amp;AD$1&amp;"|Input"),IF(COUNTIF(Flows!$M$2:$M$1500,$A33&amp;"|"&amp;AD$1&amp;"|Output"),"I/O","IN"),IF(COUNTIF(Flows!$M$2:$M$1500,$A33&amp;"|"&amp;AD$1&amp;"|Output"),"OUT",""))</f>
        <v/>
      </c>
      <c r="AE33" s="33" t="str">
        <f aca="false">IF(COUNTIF(Flows!$M$2:$M$1500,$A33&amp;"|"&amp;AE$1&amp;"|Input"),IF(COUNTIF(Flows!$M$2:$M$1500,$A33&amp;"|"&amp;AE$1&amp;"|Output"),"I/O","IN"),IF(COUNTIF(Flows!$M$2:$M$1500,$A33&amp;"|"&amp;AE$1&amp;"|Output"),"OUT",""))</f>
        <v>OUT</v>
      </c>
      <c r="AF33" s="33" t="str">
        <f aca="false">IF(COUNTIF(Flows!$M$2:$M$1500,$A33&amp;"|"&amp;AF$1&amp;"|Input"),IF(COUNTIF(Flows!$M$2:$M$1500,$A33&amp;"|"&amp;AF$1&amp;"|Output"),"I/O","IN"),IF(COUNTIF(Flows!$M$2:$M$1500,$A33&amp;"|"&amp;AF$1&amp;"|Output"),"OUT",""))</f>
        <v/>
      </c>
      <c r="AG33" s="33" t="str">
        <f aca="false">IF(COUNTIF(Flows!$M$2:$M$1500,$A33&amp;"|"&amp;AG$1&amp;"|Input"),IF(COUNTIF(Flows!$M$2:$M$1500,$A33&amp;"|"&amp;AG$1&amp;"|Output"),"I/O","IN"),IF(COUNTIF(Flows!$M$2:$M$1500,$A33&amp;"|"&amp;AG$1&amp;"|Output"),"OUT",""))</f>
        <v/>
      </c>
      <c r="AH33" s="33" t="str">
        <f aca="false">IF(COUNTIF(Flows!$M$2:$M$1500,$A33&amp;"|"&amp;AH$1&amp;"|Input"),IF(COUNTIF(Flows!$M$2:$M$1500,$A33&amp;"|"&amp;AH$1&amp;"|Output"),"I/O","IN"),IF(COUNTIF(Flows!$M$2:$M$1500,$A33&amp;"|"&amp;AH$1&amp;"|Output"),"OUT",""))</f>
        <v/>
      </c>
      <c r="AI33" s="33" t="str">
        <f aca="false">IF(COUNTIF(Flows!$M$2:$M$1500,$A33&amp;"|"&amp;AI$1&amp;"|Input"),IF(COUNTIF(Flows!$M$2:$M$1500,$A33&amp;"|"&amp;AI$1&amp;"|Output"),"I/O","IN"),IF(COUNTIF(Flows!$M$2:$M$1500,$A33&amp;"|"&amp;AI$1&amp;"|Output"),"OUT",""))</f>
        <v/>
      </c>
      <c r="AJ33" s="33" t="str">
        <f aca="false">IF(COUNTIF(Flows!$M$2:$M$1500,$A33&amp;"|"&amp;AJ$1&amp;"|Input"),IF(COUNTIF(Flows!$M$2:$M$1500,$A33&amp;"|"&amp;AJ$1&amp;"|Output"),"I/O","IN"),IF(COUNTIF(Flows!$M$2:$M$1500,$A33&amp;"|"&amp;AJ$1&amp;"|Output"),"OUT",""))</f>
        <v/>
      </c>
      <c r="AK33" s="33" t="str">
        <f aca="false">IF(COUNTIF(Flows!$M$2:$M$1500,$A33&amp;"|"&amp;AK$1&amp;"|Input"),IF(COUNTIF(Flows!$M$2:$M$1500,$A33&amp;"|"&amp;AK$1&amp;"|Output"),"I/O","IN"),IF(COUNTIF(Flows!$M$2:$M$1500,$A33&amp;"|"&amp;AK$1&amp;"|Output"),"OUT",""))</f>
        <v/>
      </c>
      <c r="AL33" s="33" t="str">
        <f aca="false">IF(COUNTIF(Flows!$M$2:$M$1500,$A33&amp;"|"&amp;AL$1&amp;"|Input"),IF(COUNTIF(Flows!$M$2:$M$1500,$A33&amp;"|"&amp;AL$1&amp;"|Output"),"I/O","IN"),IF(COUNTIF(Flows!$M$2:$M$1500,$A33&amp;"|"&amp;AL$1&amp;"|Output"),"OUT",""))</f>
        <v/>
      </c>
      <c r="AM33" s="33" t="str">
        <f aca="false">IF(COUNTIF(Flows!$M$2:$M$1500,$A33&amp;"|"&amp;AM$1&amp;"|Input"),IF(COUNTIF(Flows!$M$2:$M$1500,$A33&amp;"|"&amp;AM$1&amp;"|Output"),"I/O","IN"),IF(COUNTIF(Flows!$M$2:$M$1500,$A33&amp;"|"&amp;AM$1&amp;"|Output"),"OUT",""))</f>
        <v/>
      </c>
      <c r="AN33" s="33" t="str">
        <f aca="false">IF(COUNTIF(Flows!$M$2:$M$1500,$A33&amp;"|"&amp;AN$1&amp;"|Input"),IF(COUNTIF(Flows!$M$2:$M$1500,$A33&amp;"|"&amp;AN$1&amp;"|Output"),"I/O","IN"),IF(COUNTIF(Flows!$M$2:$M$1500,$A33&amp;"|"&amp;AN$1&amp;"|Output"),"OUT",""))</f>
        <v/>
      </c>
      <c r="AO33" s="33" t="str">
        <f aca="false">IF(COUNTIF(Flows!$M$2:$M$1500,$A33&amp;"|"&amp;AO$1&amp;"|Input"),IF(COUNTIF(Flows!$M$2:$M$1500,$A33&amp;"|"&amp;AO$1&amp;"|Output"),"I/O","IN"),IF(COUNTIF(Flows!$M$2:$M$1500,$A33&amp;"|"&amp;AO$1&amp;"|Output"),"OUT",""))</f>
        <v/>
      </c>
      <c r="AP33" s="33" t="str">
        <f aca="false">IF(COUNTIF(Flows!$M$2:$M$1500,$A33&amp;"|"&amp;AP$1&amp;"|Input"),IF(COUNTIF(Flows!$M$2:$M$1500,$A33&amp;"|"&amp;AP$1&amp;"|Output"),"I/O","IN"),IF(COUNTIF(Flows!$M$2:$M$1500,$A33&amp;"|"&amp;AP$1&amp;"|Output"),"OUT",""))</f>
        <v/>
      </c>
      <c r="AQ33" s="33" t="str">
        <f aca="false">IF(COUNTIF(Flows!$M$2:$M$1500,$A33&amp;"|"&amp;AQ$1&amp;"|Input"),IF(COUNTIF(Flows!$M$2:$M$1500,$A33&amp;"|"&amp;AQ$1&amp;"|Output"),"I/O","IN"),IF(COUNTIF(Flows!$M$2:$M$1500,$A33&amp;"|"&amp;AQ$1&amp;"|Output"),"OUT",""))</f>
        <v/>
      </c>
      <c r="AR33" s="33" t="str">
        <f aca="false">IF(COUNTIF(Flows!$M$2:$M$1500,$A33&amp;"|"&amp;AR$1&amp;"|Input"),IF(COUNTIF(Flows!$M$2:$M$1500,$A33&amp;"|"&amp;AR$1&amp;"|Output"),"I/O","IN"),IF(COUNTIF(Flows!$M$2:$M$1500,$A33&amp;"|"&amp;AR$1&amp;"|Output"),"OUT",""))</f>
        <v/>
      </c>
      <c r="AS33" s="33" t="str">
        <f aca="false">IF(COUNTIF(Flows!$M$2:$M$1500,$A33&amp;"|"&amp;AS$1&amp;"|Input"),IF(COUNTIF(Flows!$M$2:$M$1500,$A33&amp;"|"&amp;AS$1&amp;"|Output"),"I/O","IN"),IF(COUNTIF(Flows!$M$2:$M$1500,$A33&amp;"|"&amp;AS$1&amp;"|Output"),"OUT",""))</f>
        <v/>
      </c>
      <c r="AT33" s="33" t="str">
        <f aca="false">IF(COUNTIF(Flows!$M$2:$M$1500,$A33&amp;"|"&amp;AT$1&amp;"|Input"),IF(COUNTIF(Flows!$M$2:$M$1500,$A33&amp;"|"&amp;AT$1&amp;"|Output"),"I/O","IN"),IF(COUNTIF(Flows!$M$2:$M$1500,$A33&amp;"|"&amp;AT$1&amp;"|Output"),"OUT",""))</f>
        <v/>
      </c>
      <c r="AU33" s="33" t="str">
        <f aca="false">IF(COUNTIF(Flows!$M$2:$M$1500,$A33&amp;"|"&amp;AU$1&amp;"|Input"),IF(COUNTIF(Flows!$M$2:$M$1500,$A33&amp;"|"&amp;AU$1&amp;"|Output"),"I/O","IN"),IF(COUNTIF(Flows!$M$2:$M$1500,$A33&amp;"|"&amp;AU$1&amp;"|Output"),"OUT",""))</f>
        <v/>
      </c>
      <c r="AV33" s="33" t="str">
        <f aca="false">IF(COUNTIF(Flows!$M$2:$M$1500,$A33&amp;"|"&amp;AV$1&amp;"|Input"),IF(COUNTIF(Flows!$M$2:$M$1500,$A33&amp;"|"&amp;AV$1&amp;"|Output"),"I/O","IN"),IF(COUNTIF(Flows!$M$2:$M$1500,$A33&amp;"|"&amp;AV$1&amp;"|Output"),"OUT",""))</f>
        <v/>
      </c>
      <c r="AW33" s="33" t="str">
        <f aca="false">IF(COUNTIF(Flows!$M$2:$M$1500,$A33&amp;"|"&amp;AW$1&amp;"|Input"),IF(COUNTIF(Flows!$M$2:$M$1500,$A33&amp;"|"&amp;AW$1&amp;"|Output"),"I/O","IN"),IF(COUNTIF(Flows!$M$2:$M$1500,$A33&amp;"|"&amp;AW$1&amp;"|Output"),"OUT",""))</f>
        <v/>
      </c>
      <c r="AX33" s="33" t="str">
        <f aca="false">IF(COUNTIF(Flows!$M$2:$M$1500,$A33&amp;"|"&amp;AX$1&amp;"|Input"),IF(COUNTIF(Flows!$M$2:$M$1500,$A33&amp;"|"&amp;AX$1&amp;"|Output"),"I/O","IN"),IF(COUNTIF(Flows!$M$2:$M$1500,$A33&amp;"|"&amp;AX$1&amp;"|Output"),"OUT",""))</f>
        <v/>
      </c>
      <c r="AY33" s="33" t="str">
        <f aca="false">IF(COUNTIF(Flows!$M$2:$M$1500,$A33&amp;"|"&amp;AY$1&amp;"|Input"),IF(COUNTIF(Flows!$M$2:$M$1500,$A33&amp;"|"&amp;AY$1&amp;"|Output"),"I/O","IN"),IF(COUNTIF(Flows!$M$2:$M$1500,$A33&amp;"|"&amp;AY$1&amp;"|Output"),"OUT",""))</f>
        <v/>
      </c>
      <c r="AZ33" s="33" t="str">
        <f aca="false">IF(COUNTIF(Flows!$M$2:$M$1500,$A33&amp;"|"&amp;AZ$1&amp;"|Input"),IF(COUNTIF(Flows!$M$2:$M$1500,$A33&amp;"|"&amp;AZ$1&amp;"|Output"),"I/O","IN"),IF(COUNTIF(Flows!$M$2:$M$1500,$A33&amp;"|"&amp;AZ$1&amp;"|Output"),"OUT",""))</f>
        <v/>
      </c>
      <c r="BA33" s="33" t="str">
        <f aca="false">IF(COUNTIF(Flows!$M$2:$M$1500,$A33&amp;"|"&amp;BA$1&amp;"|Input"),IF(COUNTIF(Flows!$M$2:$M$1500,$A33&amp;"|"&amp;BA$1&amp;"|Output"),"I/O","IN"),IF(COUNTIF(Flows!$M$2:$M$1500,$A33&amp;"|"&amp;BA$1&amp;"|Output"),"OUT",""))</f>
        <v/>
      </c>
      <c r="BB33" s="33" t="str">
        <f aca="false">IF(COUNTIF(Flows!$M$2:$M$1500,$A33&amp;"|"&amp;BB$1&amp;"|Input"),IF(COUNTIF(Flows!$M$2:$M$1500,$A33&amp;"|"&amp;BB$1&amp;"|Output"),"I/O","IN"),IF(COUNTIF(Flows!$M$2:$M$1500,$A33&amp;"|"&amp;BB$1&amp;"|Output"),"OUT",""))</f>
        <v/>
      </c>
      <c r="BC33" s="33" t="str">
        <f aca="false">IF(COUNTIF(Flows!$M$2:$M$1500,$A33&amp;"|"&amp;BC$1&amp;"|Input"),IF(COUNTIF(Flows!$M$2:$M$1500,$A33&amp;"|"&amp;BC$1&amp;"|Output"),"I/O","IN"),IF(COUNTIF(Flows!$M$2:$M$1500,$A33&amp;"|"&amp;BC$1&amp;"|Output"),"OUT",""))</f>
        <v/>
      </c>
      <c r="BD33" s="33" t="str">
        <f aca="false">IF(COUNTIF(Flows!$M$2:$M$1500,$A33&amp;"|"&amp;BD$1&amp;"|Input"),IF(COUNTIF(Flows!$M$2:$M$1500,$A33&amp;"|"&amp;BD$1&amp;"|Output"),"I/O","IN"),IF(COUNTIF(Flows!$M$2:$M$1500,$A33&amp;"|"&amp;BD$1&amp;"|Output"),"OUT",""))</f>
        <v/>
      </c>
      <c r="BE33" s="33" t="str">
        <f aca="false">IF(COUNTIF(Flows!$M$2:$M$1500,$A33&amp;"|"&amp;BE$1&amp;"|Input"),IF(COUNTIF(Flows!$M$2:$M$1500,$A33&amp;"|"&amp;BE$1&amp;"|Output"),"I/O","IN"),IF(COUNTIF(Flows!$M$2:$M$1500,$A33&amp;"|"&amp;BE$1&amp;"|Output"),"OUT",""))</f>
        <v/>
      </c>
      <c r="BF33" s="33" t="str">
        <f aca="false">IF(COUNTIF(Flows!$M$2:$M$1500,$A33&amp;"|"&amp;BF$1&amp;"|Input"),IF(COUNTIF(Flows!$M$2:$M$1500,$A33&amp;"|"&amp;BF$1&amp;"|Output"),"I/O","IN"),IF(COUNTIF(Flows!$M$2:$M$1500,$A33&amp;"|"&amp;BF$1&amp;"|Output"),"OUT",""))</f>
        <v/>
      </c>
      <c r="BG33" s="33" t="str">
        <f aca="false">IF(COUNTIF(Flows!$M$2:$M$1500,$A33&amp;"|"&amp;BG$1&amp;"|Input"),IF(COUNTIF(Flows!$M$2:$M$1500,$A33&amp;"|"&amp;BG$1&amp;"|Output"),"I/O","IN"),IF(COUNTIF(Flows!$M$2:$M$1500,$A33&amp;"|"&amp;BG$1&amp;"|Output"),"OUT",""))</f>
        <v/>
      </c>
      <c r="BH33" s="33" t="str">
        <f aca="false">IF(COUNTIF(Flows!$M$2:$M$1500,$A33&amp;"|"&amp;BH$1&amp;"|Input"),IF(COUNTIF(Flows!$M$2:$M$1500,$A33&amp;"|"&amp;BH$1&amp;"|Output"),"I/O","IN"),IF(COUNTIF(Flows!$M$2:$M$1500,$A33&amp;"|"&amp;BH$1&amp;"|Output"),"OUT",""))</f>
        <v/>
      </c>
      <c r="BI33" s="33" t="str">
        <f aca="false">IF(COUNTIF(Flows!$M$2:$M$1500,$A33&amp;"|"&amp;BI$1&amp;"|Input"),IF(COUNTIF(Flows!$M$2:$M$1500,$A33&amp;"|"&amp;BI$1&amp;"|Output"),"I/O","IN"),IF(COUNTIF(Flows!$M$2:$M$1500,$A33&amp;"|"&amp;BI$1&amp;"|Output"),"OUT",""))</f>
        <v/>
      </c>
      <c r="BJ33" s="33" t="str">
        <f aca="false">IF(COUNTIF(Flows!$M$2:$M$1500,$A33&amp;"|"&amp;BJ$1&amp;"|Input"),IF(COUNTIF(Flows!$M$2:$M$1500,$A33&amp;"|"&amp;BJ$1&amp;"|Output"),"I/O","IN"),IF(COUNTIF(Flows!$M$2:$M$1500,$A33&amp;"|"&amp;BJ$1&amp;"|Output"),"OUT",""))</f>
        <v/>
      </c>
      <c r="BK33" s="33" t="str">
        <f aca="false">IF(COUNTIF(Flows!$M$2:$M$1500,$A33&amp;"|"&amp;BK$1&amp;"|Input"),IF(COUNTIF(Flows!$M$2:$M$1500,$A33&amp;"|"&amp;BK$1&amp;"|Output"),"I/O","IN"),IF(COUNTIF(Flows!$M$2:$M$1500,$A33&amp;"|"&amp;BK$1&amp;"|Output"),"OUT",""))</f>
        <v/>
      </c>
    </row>
    <row r="34" customFormat="false" ht="15" hidden="false" customHeight="true" outlineLevel="0" collapsed="false">
      <c r="A34" s="6" t="str">
        <f aca="false">Systems!B34</f>
        <v>Permaculture Food Forest (1/4 acre)</v>
      </c>
      <c r="B34" s="33" t="str">
        <f aca="false">IF(COUNTIF(Flows!$M$2:$M$1500,$A34&amp;"|"&amp;B$1&amp;"|Input"),IF(COUNTIF(Flows!$M$2:$M$1500,$A34&amp;"|"&amp;B$1&amp;"|Output"),"I/O","IN"),IF(COUNTIF(Flows!$M$2:$M$1500,$A34&amp;"|"&amp;B$1&amp;"|Output"),"OUT",""))</f>
        <v>IN</v>
      </c>
      <c r="C34" s="33" t="str">
        <f aca="false">IF(COUNTIF(Flows!$M$2:$M$1500,$A34&amp;"|"&amp;C$1&amp;"|Input"),IF(COUNTIF(Flows!$M$2:$M$1500,$A34&amp;"|"&amp;C$1&amp;"|Output"),"I/O","IN"),IF(COUNTIF(Flows!$M$2:$M$1500,$A34&amp;"|"&amp;C$1&amp;"|Output"),"OUT",""))</f>
        <v/>
      </c>
      <c r="D34" s="33" t="str">
        <f aca="false">IF(COUNTIF(Flows!$M$2:$M$1500,$A34&amp;"|"&amp;D$1&amp;"|Input"),IF(COUNTIF(Flows!$M$2:$M$1500,$A34&amp;"|"&amp;D$1&amp;"|Output"),"I/O","IN"),IF(COUNTIF(Flows!$M$2:$M$1500,$A34&amp;"|"&amp;D$1&amp;"|Output"),"OUT",""))</f>
        <v/>
      </c>
      <c r="E34" s="33" t="str">
        <f aca="false">IF(COUNTIF(Flows!$M$2:$M$1500,$A34&amp;"|"&amp;E$1&amp;"|Input"),IF(COUNTIF(Flows!$M$2:$M$1500,$A34&amp;"|"&amp;E$1&amp;"|Output"),"I/O","IN"),IF(COUNTIF(Flows!$M$2:$M$1500,$A34&amp;"|"&amp;E$1&amp;"|Output"),"OUT",""))</f>
        <v/>
      </c>
      <c r="F34" s="33" t="str">
        <f aca="false">IF(COUNTIF(Flows!$M$2:$M$1500,$A34&amp;"|"&amp;F$1&amp;"|Input"),IF(COUNTIF(Flows!$M$2:$M$1500,$A34&amp;"|"&amp;F$1&amp;"|Output"),"I/O","IN"),IF(COUNTIF(Flows!$M$2:$M$1500,$A34&amp;"|"&amp;F$1&amp;"|Output"),"OUT",""))</f>
        <v/>
      </c>
      <c r="G34" s="33" t="str">
        <f aca="false">IF(COUNTIF(Flows!$M$2:$M$1500,$A34&amp;"|"&amp;G$1&amp;"|Input"),IF(COUNTIF(Flows!$M$2:$M$1500,$A34&amp;"|"&amp;G$1&amp;"|Output"),"I/O","IN"),IF(COUNTIF(Flows!$M$2:$M$1500,$A34&amp;"|"&amp;G$1&amp;"|Output"),"OUT",""))</f>
        <v>OUT</v>
      </c>
      <c r="H34" s="33" t="str">
        <f aca="false">IF(COUNTIF(Flows!$M$2:$M$1500,$A34&amp;"|"&amp;H$1&amp;"|Input"),IF(COUNTIF(Flows!$M$2:$M$1500,$A34&amp;"|"&amp;H$1&amp;"|Output"),"I/O","IN"),IF(COUNTIF(Flows!$M$2:$M$1500,$A34&amp;"|"&amp;H$1&amp;"|Output"),"OUT",""))</f>
        <v/>
      </c>
      <c r="I34" s="33" t="str">
        <f aca="false">IF(COUNTIF(Flows!$M$2:$M$1500,$A34&amp;"|"&amp;I$1&amp;"|Input"),IF(COUNTIF(Flows!$M$2:$M$1500,$A34&amp;"|"&amp;I$1&amp;"|Output"),"I/O","IN"),IF(COUNTIF(Flows!$M$2:$M$1500,$A34&amp;"|"&amp;I$1&amp;"|Output"),"OUT",""))</f>
        <v/>
      </c>
      <c r="J34" s="33" t="str">
        <f aca="false">IF(COUNTIF(Flows!$M$2:$M$1500,$A34&amp;"|"&amp;J$1&amp;"|Input"),IF(COUNTIF(Flows!$M$2:$M$1500,$A34&amp;"|"&amp;J$1&amp;"|Output"),"I/O","IN"),IF(COUNTIF(Flows!$M$2:$M$1500,$A34&amp;"|"&amp;J$1&amp;"|Output"),"OUT",""))</f>
        <v/>
      </c>
      <c r="K34" s="33" t="str">
        <f aca="false">IF(COUNTIF(Flows!$M$2:$M$1500,$A34&amp;"|"&amp;K$1&amp;"|Input"),IF(COUNTIF(Flows!$M$2:$M$1500,$A34&amp;"|"&amp;K$1&amp;"|Output"),"I/O","IN"),IF(COUNTIF(Flows!$M$2:$M$1500,$A34&amp;"|"&amp;K$1&amp;"|Output"),"OUT",""))</f>
        <v/>
      </c>
      <c r="L34" s="33" t="str">
        <f aca="false">IF(COUNTIF(Flows!$M$2:$M$1500,$A34&amp;"|"&amp;L$1&amp;"|Input"),IF(COUNTIF(Flows!$M$2:$M$1500,$A34&amp;"|"&amp;L$1&amp;"|Output"),"I/O","IN"),IF(COUNTIF(Flows!$M$2:$M$1500,$A34&amp;"|"&amp;L$1&amp;"|Output"),"OUT",""))</f>
        <v/>
      </c>
      <c r="M34" s="33" t="str">
        <f aca="false">IF(COUNTIF(Flows!$M$2:$M$1500,$A34&amp;"|"&amp;M$1&amp;"|Input"),IF(COUNTIF(Flows!$M$2:$M$1500,$A34&amp;"|"&amp;M$1&amp;"|Output"),"I/O","IN"),IF(COUNTIF(Flows!$M$2:$M$1500,$A34&amp;"|"&amp;M$1&amp;"|Output"),"OUT",""))</f>
        <v/>
      </c>
      <c r="N34" s="33" t="str">
        <f aca="false">IF(COUNTIF(Flows!$M$2:$M$1500,$A34&amp;"|"&amp;N$1&amp;"|Input"),IF(COUNTIF(Flows!$M$2:$M$1500,$A34&amp;"|"&amp;N$1&amp;"|Output"),"I/O","IN"),IF(COUNTIF(Flows!$M$2:$M$1500,$A34&amp;"|"&amp;N$1&amp;"|Output"),"OUT",""))</f>
        <v/>
      </c>
      <c r="O34" s="33" t="str">
        <f aca="false">IF(COUNTIF(Flows!$M$2:$M$1500,$A34&amp;"|"&amp;O$1&amp;"|Input"),IF(COUNTIF(Flows!$M$2:$M$1500,$A34&amp;"|"&amp;O$1&amp;"|Output"),"I/O","IN"),IF(COUNTIF(Flows!$M$2:$M$1500,$A34&amp;"|"&amp;O$1&amp;"|Output"),"OUT",""))</f>
        <v>OUT</v>
      </c>
      <c r="P34" s="33" t="str">
        <f aca="false">IF(COUNTIF(Flows!$M$2:$M$1500,$A34&amp;"|"&amp;P$1&amp;"|Input"),IF(COUNTIF(Flows!$M$2:$M$1500,$A34&amp;"|"&amp;P$1&amp;"|Output"),"I/O","IN"),IF(COUNTIF(Flows!$M$2:$M$1500,$A34&amp;"|"&amp;P$1&amp;"|Output"),"OUT",""))</f>
        <v/>
      </c>
      <c r="Q34" s="33" t="str">
        <f aca="false">IF(COUNTIF(Flows!$M$2:$M$1500,$A34&amp;"|"&amp;Q$1&amp;"|Input"),IF(COUNTIF(Flows!$M$2:$M$1500,$A34&amp;"|"&amp;Q$1&amp;"|Output"),"I/O","IN"),IF(COUNTIF(Flows!$M$2:$M$1500,$A34&amp;"|"&amp;Q$1&amp;"|Output"),"OUT",""))</f>
        <v/>
      </c>
      <c r="R34" s="33" t="str">
        <f aca="false">IF(COUNTIF(Flows!$M$2:$M$1500,$A34&amp;"|"&amp;R$1&amp;"|Input"),IF(COUNTIF(Flows!$M$2:$M$1500,$A34&amp;"|"&amp;R$1&amp;"|Output"),"I/O","IN"),IF(COUNTIF(Flows!$M$2:$M$1500,$A34&amp;"|"&amp;R$1&amp;"|Output"),"OUT",""))</f>
        <v/>
      </c>
      <c r="S34" s="33" t="str">
        <f aca="false">IF(COUNTIF(Flows!$M$2:$M$1500,$A34&amp;"|"&amp;S$1&amp;"|Input"),IF(COUNTIF(Flows!$M$2:$M$1500,$A34&amp;"|"&amp;S$1&amp;"|Output"),"I/O","IN"),IF(COUNTIF(Flows!$M$2:$M$1500,$A34&amp;"|"&amp;S$1&amp;"|Output"),"OUT",""))</f>
        <v/>
      </c>
      <c r="T34" s="33" t="str">
        <f aca="false">IF(COUNTIF(Flows!$M$2:$M$1500,$A34&amp;"|"&amp;T$1&amp;"|Input"),IF(COUNTIF(Flows!$M$2:$M$1500,$A34&amp;"|"&amp;T$1&amp;"|Output"),"I/O","IN"),IF(COUNTIF(Flows!$M$2:$M$1500,$A34&amp;"|"&amp;T$1&amp;"|Output"),"OUT",""))</f>
        <v/>
      </c>
      <c r="U34" s="33" t="str">
        <f aca="false">IF(COUNTIF(Flows!$M$2:$M$1500,$A34&amp;"|"&amp;U$1&amp;"|Input"),IF(COUNTIF(Flows!$M$2:$M$1500,$A34&amp;"|"&amp;U$1&amp;"|Output"),"I/O","IN"),IF(COUNTIF(Flows!$M$2:$M$1500,$A34&amp;"|"&amp;U$1&amp;"|Output"),"OUT",""))</f>
        <v/>
      </c>
      <c r="V34" s="33" t="str">
        <f aca="false">IF(COUNTIF(Flows!$M$2:$M$1500,$A34&amp;"|"&amp;V$1&amp;"|Input"),IF(COUNTIF(Flows!$M$2:$M$1500,$A34&amp;"|"&amp;V$1&amp;"|Output"),"I/O","IN"),IF(COUNTIF(Flows!$M$2:$M$1500,$A34&amp;"|"&amp;V$1&amp;"|Output"),"OUT",""))</f>
        <v/>
      </c>
      <c r="W34" s="33" t="str">
        <f aca="false">IF(COUNTIF(Flows!$M$2:$M$1500,$A34&amp;"|"&amp;W$1&amp;"|Input"),IF(COUNTIF(Flows!$M$2:$M$1500,$A34&amp;"|"&amp;W$1&amp;"|Output"),"I/O","IN"),IF(COUNTIF(Flows!$M$2:$M$1500,$A34&amp;"|"&amp;W$1&amp;"|Output"),"OUT",""))</f>
        <v/>
      </c>
      <c r="X34" s="33" t="str">
        <f aca="false">IF(COUNTIF(Flows!$M$2:$M$1500,$A34&amp;"|"&amp;X$1&amp;"|Input"),IF(COUNTIF(Flows!$M$2:$M$1500,$A34&amp;"|"&amp;X$1&amp;"|Output"),"I/O","IN"),IF(COUNTIF(Flows!$M$2:$M$1500,$A34&amp;"|"&amp;X$1&amp;"|Output"),"OUT",""))</f>
        <v>IN</v>
      </c>
      <c r="Y34" s="33" t="str">
        <f aca="false">IF(COUNTIF(Flows!$M$2:$M$1500,$A34&amp;"|"&amp;Y$1&amp;"|Input"),IF(COUNTIF(Flows!$M$2:$M$1500,$A34&amp;"|"&amp;Y$1&amp;"|Output"),"I/O","IN"),IF(COUNTIF(Flows!$M$2:$M$1500,$A34&amp;"|"&amp;Y$1&amp;"|Output"),"OUT",""))</f>
        <v/>
      </c>
      <c r="Z34" s="33" t="str">
        <f aca="false">IF(COUNTIF(Flows!$M$2:$M$1500,$A34&amp;"|"&amp;Z$1&amp;"|Input"),IF(COUNTIF(Flows!$M$2:$M$1500,$A34&amp;"|"&amp;Z$1&amp;"|Output"),"I/O","IN"),IF(COUNTIF(Flows!$M$2:$M$1500,$A34&amp;"|"&amp;Z$1&amp;"|Output"),"OUT",""))</f>
        <v/>
      </c>
      <c r="AA34" s="33" t="str">
        <f aca="false">IF(COUNTIF(Flows!$M$2:$M$1500,$A34&amp;"|"&amp;AA$1&amp;"|Input"),IF(COUNTIF(Flows!$M$2:$M$1500,$A34&amp;"|"&amp;AA$1&amp;"|Output"),"I/O","IN"),IF(COUNTIF(Flows!$M$2:$M$1500,$A34&amp;"|"&amp;AA$1&amp;"|Output"),"OUT",""))</f>
        <v/>
      </c>
      <c r="AB34" s="33" t="str">
        <f aca="false">IF(COUNTIF(Flows!$M$2:$M$1500,$A34&amp;"|"&amp;AB$1&amp;"|Input"),IF(COUNTIF(Flows!$M$2:$M$1500,$A34&amp;"|"&amp;AB$1&amp;"|Output"),"I/O","IN"),IF(COUNTIF(Flows!$M$2:$M$1500,$A34&amp;"|"&amp;AB$1&amp;"|Output"),"OUT",""))</f>
        <v/>
      </c>
      <c r="AC34" s="33" t="str">
        <f aca="false">IF(COUNTIF(Flows!$M$2:$M$1500,$A34&amp;"|"&amp;AC$1&amp;"|Input"),IF(COUNTIF(Flows!$M$2:$M$1500,$A34&amp;"|"&amp;AC$1&amp;"|Output"),"I/O","IN"),IF(COUNTIF(Flows!$M$2:$M$1500,$A34&amp;"|"&amp;AC$1&amp;"|Output"),"OUT",""))</f>
        <v/>
      </c>
      <c r="AD34" s="33" t="str">
        <f aca="false">IF(COUNTIF(Flows!$M$2:$M$1500,$A34&amp;"|"&amp;AD$1&amp;"|Input"),IF(COUNTIF(Flows!$M$2:$M$1500,$A34&amp;"|"&amp;AD$1&amp;"|Output"),"I/O","IN"),IF(COUNTIF(Flows!$M$2:$M$1500,$A34&amp;"|"&amp;AD$1&amp;"|Output"),"OUT",""))</f>
        <v/>
      </c>
      <c r="AE34" s="33" t="str">
        <f aca="false">IF(COUNTIF(Flows!$M$2:$M$1500,$A34&amp;"|"&amp;AE$1&amp;"|Input"),IF(COUNTIF(Flows!$M$2:$M$1500,$A34&amp;"|"&amp;AE$1&amp;"|Output"),"I/O","IN"),IF(COUNTIF(Flows!$M$2:$M$1500,$A34&amp;"|"&amp;AE$1&amp;"|Output"),"OUT",""))</f>
        <v/>
      </c>
      <c r="AF34" s="33" t="str">
        <f aca="false">IF(COUNTIF(Flows!$M$2:$M$1500,$A34&amp;"|"&amp;AF$1&amp;"|Input"),IF(COUNTIF(Flows!$M$2:$M$1500,$A34&amp;"|"&amp;AF$1&amp;"|Output"),"I/O","IN"),IF(COUNTIF(Flows!$M$2:$M$1500,$A34&amp;"|"&amp;AF$1&amp;"|Output"),"OUT",""))</f>
        <v/>
      </c>
      <c r="AG34" s="33" t="str">
        <f aca="false">IF(COUNTIF(Flows!$M$2:$M$1500,$A34&amp;"|"&amp;AG$1&amp;"|Input"),IF(COUNTIF(Flows!$M$2:$M$1500,$A34&amp;"|"&amp;AG$1&amp;"|Output"),"I/O","IN"),IF(COUNTIF(Flows!$M$2:$M$1500,$A34&amp;"|"&amp;AG$1&amp;"|Output"),"OUT",""))</f>
        <v/>
      </c>
      <c r="AH34" s="33" t="str">
        <f aca="false">IF(COUNTIF(Flows!$M$2:$M$1500,$A34&amp;"|"&amp;AH$1&amp;"|Input"),IF(COUNTIF(Flows!$M$2:$M$1500,$A34&amp;"|"&amp;AH$1&amp;"|Output"),"I/O","IN"),IF(COUNTIF(Flows!$M$2:$M$1500,$A34&amp;"|"&amp;AH$1&amp;"|Output"),"OUT",""))</f>
        <v/>
      </c>
      <c r="AI34" s="33" t="str">
        <f aca="false">IF(COUNTIF(Flows!$M$2:$M$1500,$A34&amp;"|"&amp;AI$1&amp;"|Input"),IF(COUNTIF(Flows!$M$2:$M$1500,$A34&amp;"|"&amp;AI$1&amp;"|Output"),"I/O","IN"),IF(COUNTIF(Flows!$M$2:$M$1500,$A34&amp;"|"&amp;AI$1&amp;"|Output"),"OUT",""))</f>
        <v/>
      </c>
      <c r="AJ34" s="33" t="str">
        <f aca="false">IF(COUNTIF(Flows!$M$2:$M$1500,$A34&amp;"|"&amp;AJ$1&amp;"|Input"),IF(COUNTIF(Flows!$M$2:$M$1500,$A34&amp;"|"&amp;AJ$1&amp;"|Output"),"I/O","IN"),IF(COUNTIF(Flows!$M$2:$M$1500,$A34&amp;"|"&amp;AJ$1&amp;"|Output"),"OUT",""))</f>
        <v/>
      </c>
      <c r="AK34" s="33" t="str">
        <f aca="false">IF(COUNTIF(Flows!$M$2:$M$1500,$A34&amp;"|"&amp;AK$1&amp;"|Input"),IF(COUNTIF(Flows!$M$2:$M$1500,$A34&amp;"|"&amp;AK$1&amp;"|Output"),"I/O","IN"),IF(COUNTIF(Flows!$M$2:$M$1500,$A34&amp;"|"&amp;AK$1&amp;"|Output"),"OUT",""))</f>
        <v/>
      </c>
      <c r="AL34" s="33" t="str">
        <f aca="false">IF(COUNTIF(Flows!$M$2:$M$1500,$A34&amp;"|"&amp;AL$1&amp;"|Input"),IF(COUNTIF(Flows!$M$2:$M$1500,$A34&amp;"|"&amp;AL$1&amp;"|Output"),"I/O","IN"),IF(COUNTIF(Flows!$M$2:$M$1500,$A34&amp;"|"&amp;AL$1&amp;"|Output"),"OUT",""))</f>
        <v/>
      </c>
      <c r="AM34" s="33" t="str">
        <f aca="false">IF(COUNTIF(Flows!$M$2:$M$1500,$A34&amp;"|"&amp;AM$1&amp;"|Input"),IF(COUNTIF(Flows!$M$2:$M$1500,$A34&amp;"|"&amp;AM$1&amp;"|Output"),"I/O","IN"),IF(COUNTIF(Flows!$M$2:$M$1500,$A34&amp;"|"&amp;AM$1&amp;"|Output"),"OUT",""))</f>
        <v/>
      </c>
      <c r="AN34" s="33" t="str">
        <f aca="false">IF(COUNTIF(Flows!$M$2:$M$1500,$A34&amp;"|"&amp;AN$1&amp;"|Input"),IF(COUNTIF(Flows!$M$2:$M$1500,$A34&amp;"|"&amp;AN$1&amp;"|Output"),"I/O","IN"),IF(COUNTIF(Flows!$M$2:$M$1500,$A34&amp;"|"&amp;AN$1&amp;"|Output"),"OUT",""))</f>
        <v/>
      </c>
      <c r="AO34" s="33" t="str">
        <f aca="false">IF(COUNTIF(Flows!$M$2:$M$1500,$A34&amp;"|"&amp;AO$1&amp;"|Input"),IF(COUNTIF(Flows!$M$2:$M$1500,$A34&amp;"|"&amp;AO$1&amp;"|Output"),"I/O","IN"),IF(COUNTIF(Flows!$M$2:$M$1500,$A34&amp;"|"&amp;AO$1&amp;"|Output"),"OUT",""))</f>
        <v/>
      </c>
      <c r="AP34" s="33" t="str">
        <f aca="false">IF(COUNTIF(Flows!$M$2:$M$1500,$A34&amp;"|"&amp;AP$1&amp;"|Input"),IF(COUNTIF(Flows!$M$2:$M$1500,$A34&amp;"|"&amp;AP$1&amp;"|Output"),"I/O","IN"),IF(COUNTIF(Flows!$M$2:$M$1500,$A34&amp;"|"&amp;AP$1&amp;"|Output"),"OUT",""))</f>
        <v/>
      </c>
      <c r="AQ34" s="33" t="str">
        <f aca="false">IF(COUNTIF(Flows!$M$2:$M$1500,$A34&amp;"|"&amp;AQ$1&amp;"|Input"),IF(COUNTIF(Flows!$M$2:$M$1500,$A34&amp;"|"&amp;AQ$1&amp;"|Output"),"I/O","IN"),IF(COUNTIF(Flows!$M$2:$M$1500,$A34&amp;"|"&amp;AQ$1&amp;"|Output"),"OUT",""))</f>
        <v/>
      </c>
      <c r="AR34" s="33" t="str">
        <f aca="false">IF(COUNTIF(Flows!$M$2:$M$1500,$A34&amp;"|"&amp;AR$1&amp;"|Input"),IF(COUNTIF(Flows!$M$2:$M$1500,$A34&amp;"|"&amp;AR$1&amp;"|Output"),"I/O","IN"),IF(COUNTIF(Flows!$M$2:$M$1500,$A34&amp;"|"&amp;AR$1&amp;"|Output"),"OUT",""))</f>
        <v/>
      </c>
      <c r="AS34" s="33" t="str">
        <f aca="false">IF(COUNTIF(Flows!$M$2:$M$1500,$A34&amp;"|"&amp;AS$1&amp;"|Input"),IF(COUNTIF(Flows!$M$2:$M$1500,$A34&amp;"|"&amp;AS$1&amp;"|Output"),"I/O","IN"),IF(COUNTIF(Flows!$M$2:$M$1500,$A34&amp;"|"&amp;AS$1&amp;"|Output"),"OUT",""))</f>
        <v>IN</v>
      </c>
      <c r="AT34" s="33" t="str">
        <f aca="false">IF(COUNTIF(Flows!$M$2:$M$1500,$A34&amp;"|"&amp;AT$1&amp;"|Input"),IF(COUNTIF(Flows!$M$2:$M$1500,$A34&amp;"|"&amp;AT$1&amp;"|Output"),"I/O","IN"),IF(COUNTIF(Flows!$M$2:$M$1500,$A34&amp;"|"&amp;AT$1&amp;"|Output"),"OUT",""))</f>
        <v/>
      </c>
      <c r="AU34" s="33" t="str">
        <f aca="false">IF(COUNTIF(Flows!$M$2:$M$1500,$A34&amp;"|"&amp;AU$1&amp;"|Input"),IF(COUNTIF(Flows!$M$2:$M$1500,$A34&amp;"|"&amp;AU$1&amp;"|Output"),"I/O","IN"),IF(COUNTIF(Flows!$M$2:$M$1500,$A34&amp;"|"&amp;AU$1&amp;"|Output"),"OUT",""))</f>
        <v/>
      </c>
      <c r="AV34" s="33" t="str">
        <f aca="false">IF(COUNTIF(Flows!$M$2:$M$1500,$A34&amp;"|"&amp;AV$1&amp;"|Input"),IF(COUNTIF(Flows!$M$2:$M$1500,$A34&amp;"|"&amp;AV$1&amp;"|Output"),"I/O","IN"),IF(COUNTIF(Flows!$M$2:$M$1500,$A34&amp;"|"&amp;AV$1&amp;"|Output"),"OUT",""))</f>
        <v/>
      </c>
      <c r="AW34" s="33" t="str">
        <f aca="false">IF(COUNTIF(Flows!$M$2:$M$1500,$A34&amp;"|"&amp;AW$1&amp;"|Input"),IF(COUNTIF(Flows!$M$2:$M$1500,$A34&amp;"|"&amp;AW$1&amp;"|Output"),"I/O","IN"),IF(COUNTIF(Flows!$M$2:$M$1500,$A34&amp;"|"&amp;AW$1&amp;"|Output"),"OUT",""))</f>
        <v/>
      </c>
      <c r="AX34" s="33" t="str">
        <f aca="false">IF(COUNTIF(Flows!$M$2:$M$1500,$A34&amp;"|"&amp;AX$1&amp;"|Input"),IF(COUNTIF(Flows!$M$2:$M$1500,$A34&amp;"|"&amp;AX$1&amp;"|Output"),"I/O","IN"),IF(COUNTIF(Flows!$M$2:$M$1500,$A34&amp;"|"&amp;AX$1&amp;"|Output"),"OUT",""))</f>
        <v/>
      </c>
      <c r="AY34" s="33" t="str">
        <f aca="false">IF(COUNTIF(Flows!$M$2:$M$1500,$A34&amp;"|"&amp;AY$1&amp;"|Input"),IF(COUNTIF(Flows!$M$2:$M$1500,$A34&amp;"|"&amp;AY$1&amp;"|Output"),"I/O","IN"),IF(COUNTIF(Flows!$M$2:$M$1500,$A34&amp;"|"&amp;AY$1&amp;"|Output"),"OUT",""))</f>
        <v/>
      </c>
      <c r="AZ34" s="33" t="str">
        <f aca="false">IF(COUNTIF(Flows!$M$2:$M$1500,$A34&amp;"|"&amp;AZ$1&amp;"|Input"),IF(COUNTIF(Flows!$M$2:$M$1500,$A34&amp;"|"&amp;AZ$1&amp;"|Output"),"I/O","IN"),IF(COUNTIF(Flows!$M$2:$M$1500,$A34&amp;"|"&amp;AZ$1&amp;"|Output"),"OUT",""))</f>
        <v/>
      </c>
      <c r="BA34" s="33" t="str">
        <f aca="false">IF(COUNTIF(Flows!$M$2:$M$1500,$A34&amp;"|"&amp;BA$1&amp;"|Input"),IF(COUNTIF(Flows!$M$2:$M$1500,$A34&amp;"|"&amp;BA$1&amp;"|Output"),"I/O","IN"),IF(COUNTIF(Flows!$M$2:$M$1500,$A34&amp;"|"&amp;BA$1&amp;"|Output"),"OUT",""))</f>
        <v/>
      </c>
      <c r="BB34" s="33" t="str">
        <f aca="false">IF(COUNTIF(Flows!$M$2:$M$1500,$A34&amp;"|"&amp;BB$1&amp;"|Input"),IF(COUNTIF(Flows!$M$2:$M$1500,$A34&amp;"|"&amp;BB$1&amp;"|Output"),"I/O","IN"),IF(COUNTIF(Flows!$M$2:$M$1500,$A34&amp;"|"&amp;BB$1&amp;"|Output"),"OUT",""))</f>
        <v/>
      </c>
      <c r="BC34" s="33" t="str">
        <f aca="false">IF(COUNTIF(Flows!$M$2:$M$1500,$A34&amp;"|"&amp;BC$1&amp;"|Input"),IF(COUNTIF(Flows!$M$2:$M$1500,$A34&amp;"|"&amp;BC$1&amp;"|Output"),"I/O","IN"),IF(COUNTIF(Flows!$M$2:$M$1500,$A34&amp;"|"&amp;BC$1&amp;"|Output"),"OUT",""))</f>
        <v>IN</v>
      </c>
      <c r="BD34" s="33" t="str">
        <f aca="false">IF(COUNTIF(Flows!$M$2:$M$1500,$A34&amp;"|"&amp;BD$1&amp;"|Input"),IF(COUNTIF(Flows!$M$2:$M$1500,$A34&amp;"|"&amp;BD$1&amp;"|Output"),"I/O","IN"),IF(COUNTIF(Flows!$M$2:$M$1500,$A34&amp;"|"&amp;BD$1&amp;"|Output"),"OUT",""))</f>
        <v/>
      </c>
      <c r="BE34" s="33" t="str">
        <f aca="false">IF(COUNTIF(Flows!$M$2:$M$1500,$A34&amp;"|"&amp;BE$1&amp;"|Input"),IF(COUNTIF(Flows!$M$2:$M$1500,$A34&amp;"|"&amp;BE$1&amp;"|Output"),"I/O","IN"),IF(COUNTIF(Flows!$M$2:$M$1500,$A34&amp;"|"&amp;BE$1&amp;"|Output"),"OUT",""))</f>
        <v/>
      </c>
      <c r="BF34" s="33" t="str">
        <f aca="false">IF(COUNTIF(Flows!$M$2:$M$1500,$A34&amp;"|"&amp;BF$1&amp;"|Input"),IF(COUNTIF(Flows!$M$2:$M$1500,$A34&amp;"|"&amp;BF$1&amp;"|Output"),"I/O","IN"),IF(COUNTIF(Flows!$M$2:$M$1500,$A34&amp;"|"&amp;BF$1&amp;"|Output"),"OUT",""))</f>
        <v/>
      </c>
      <c r="BG34" s="33" t="str">
        <f aca="false">IF(COUNTIF(Flows!$M$2:$M$1500,$A34&amp;"|"&amp;BG$1&amp;"|Input"),IF(COUNTIF(Flows!$M$2:$M$1500,$A34&amp;"|"&amp;BG$1&amp;"|Output"),"I/O","IN"),IF(COUNTIF(Flows!$M$2:$M$1500,$A34&amp;"|"&amp;BG$1&amp;"|Output"),"OUT",""))</f>
        <v/>
      </c>
      <c r="BH34" s="33" t="str">
        <f aca="false">IF(COUNTIF(Flows!$M$2:$M$1500,$A34&amp;"|"&amp;BH$1&amp;"|Input"),IF(COUNTIF(Flows!$M$2:$M$1500,$A34&amp;"|"&amp;BH$1&amp;"|Output"),"I/O","IN"),IF(COUNTIF(Flows!$M$2:$M$1500,$A34&amp;"|"&amp;BH$1&amp;"|Output"),"OUT",""))</f>
        <v>IN</v>
      </c>
      <c r="BI34" s="33" t="str">
        <f aca="false">IF(COUNTIF(Flows!$M$2:$M$1500,$A34&amp;"|"&amp;BI$1&amp;"|Input"),IF(COUNTIF(Flows!$M$2:$M$1500,$A34&amp;"|"&amp;BI$1&amp;"|Output"),"I/O","IN"),IF(COUNTIF(Flows!$M$2:$M$1500,$A34&amp;"|"&amp;BI$1&amp;"|Output"),"OUT",""))</f>
        <v>OUT</v>
      </c>
      <c r="BJ34" s="33" t="str">
        <f aca="false">IF(COUNTIF(Flows!$M$2:$M$1500,$A34&amp;"|"&amp;BJ$1&amp;"|Input"),IF(COUNTIF(Flows!$M$2:$M$1500,$A34&amp;"|"&amp;BJ$1&amp;"|Output"),"I/O","IN"),IF(COUNTIF(Flows!$M$2:$M$1500,$A34&amp;"|"&amp;BJ$1&amp;"|Output"),"OUT",""))</f>
        <v/>
      </c>
      <c r="BK34" s="33" t="str">
        <f aca="false">IF(COUNTIF(Flows!$M$2:$M$1500,$A34&amp;"|"&amp;BK$1&amp;"|Input"),IF(COUNTIF(Flows!$M$2:$M$1500,$A34&amp;"|"&amp;BK$1&amp;"|Output"),"I/O","IN"),IF(COUNTIF(Flows!$M$2:$M$1500,$A34&amp;"|"&amp;BK$1&amp;"|Output"),"OUT",""))</f>
        <v>OUT</v>
      </c>
    </row>
    <row r="35" customFormat="false" ht="15" hidden="false" customHeight="true" outlineLevel="0" collapsed="false">
      <c r="A35" s="6" t="str">
        <f aca="false">Systems!B35</f>
        <v>Composting Outhouse</v>
      </c>
      <c r="B35" s="33" t="str">
        <f aca="false">IF(COUNTIF(Flows!$M$2:$M$1500,$A35&amp;"|"&amp;B$1&amp;"|Input"),IF(COUNTIF(Flows!$M$2:$M$1500,$A35&amp;"|"&amp;B$1&amp;"|Output"),"I/O","IN"),IF(COUNTIF(Flows!$M$2:$M$1500,$A35&amp;"|"&amp;B$1&amp;"|Output"),"OUT",""))</f>
        <v/>
      </c>
      <c r="C35" s="33" t="str">
        <f aca="false">IF(COUNTIF(Flows!$M$2:$M$1500,$A35&amp;"|"&amp;C$1&amp;"|Input"),IF(COUNTIF(Flows!$M$2:$M$1500,$A35&amp;"|"&amp;C$1&amp;"|Output"),"I/O","IN"),IF(COUNTIF(Flows!$M$2:$M$1500,$A35&amp;"|"&amp;C$1&amp;"|Output"),"OUT",""))</f>
        <v/>
      </c>
      <c r="D35" s="33" t="str">
        <f aca="false">IF(COUNTIF(Flows!$M$2:$M$1500,$A35&amp;"|"&amp;D$1&amp;"|Input"),IF(COUNTIF(Flows!$M$2:$M$1500,$A35&amp;"|"&amp;D$1&amp;"|Output"),"I/O","IN"),IF(COUNTIF(Flows!$M$2:$M$1500,$A35&amp;"|"&amp;D$1&amp;"|Output"),"OUT",""))</f>
        <v/>
      </c>
      <c r="E35" s="33" t="str">
        <f aca="false">IF(COUNTIF(Flows!$M$2:$M$1500,$A35&amp;"|"&amp;E$1&amp;"|Input"),IF(COUNTIF(Flows!$M$2:$M$1500,$A35&amp;"|"&amp;E$1&amp;"|Output"),"I/O","IN"),IF(COUNTIF(Flows!$M$2:$M$1500,$A35&amp;"|"&amp;E$1&amp;"|Output"),"OUT",""))</f>
        <v/>
      </c>
      <c r="F35" s="33" t="str">
        <f aca="false">IF(COUNTIF(Flows!$M$2:$M$1500,$A35&amp;"|"&amp;F$1&amp;"|Input"),IF(COUNTIF(Flows!$M$2:$M$1500,$A35&amp;"|"&amp;F$1&amp;"|Output"),"I/O","IN"),IF(COUNTIF(Flows!$M$2:$M$1500,$A35&amp;"|"&amp;F$1&amp;"|Output"),"OUT",""))</f>
        <v/>
      </c>
      <c r="G35" s="33" t="str">
        <f aca="false">IF(COUNTIF(Flows!$M$2:$M$1500,$A35&amp;"|"&amp;G$1&amp;"|Input"),IF(COUNTIF(Flows!$M$2:$M$1500,$A35&amp;"|"&amp;G$1&amp;"|Output"),"I/O","IN"),IF(COUNTIF(Flows!$M$2:$M$1500,$A35&amp;"|"&amp;G$1&amp;"|Output"),"OUT",""))</f>
        <v/>
      </c>
      <c r="H35" s="33" t="str">
        <f aca="false">IF(COUNTIF(Flows!$M$2:$M$1500,$A35&amp;"|"&amp;H$1&amp;"|Input"),IF(COUNTIF(Flows!$M$2:$M$1500,$A35&amp;"|"&amp;H$1&amp;"|Output"),"I/O","IN"),IF(COUNTIF(Flows!$M$2:$M$1500,$A35&amp;"|"&amp;H$1&amp;"|Output"),"OUT",""))</f>
        <v/>
      </c>
      <c r="I35" s="33" t="str">
        <f aca="false">IF(COUNTIF(Flows!$M$2:$M$1500,$A35&amp;"|"&amp;I$1&amp;"|Input"),IF(COUNTIF(Flows!$M$2:$M$1500,$A35&amp;"|"&amp;I$1&amp;"|Output"),"I/O","IN"),IF(COUNTIF(Flows!$M$2:$M$1500,$A35&amp;"|"&amp;I$1&amp;"|Output"),"OUT",""))</f>
        <v/>
      </c>
      <c r="J35" s="33" t="str">
        <f aca="false">IF(COUNTIF(Flows!$M$2:$M$1500,$A35&amp;"|"&amp;J$1&amp;"|Input"),IF(COUNTIF(Flows!$M$2:$M$1500,$A35&amp;"|"&amp;J$1&amp;"|Output"),"I/O","IN"),IF(COUNTIF(Flows!$M$2:$M$1500,$A35&amp;"|"&amp;J$1&amp;"|Output"),"OUT",""))</f>
        <v/>
      </c>
      <c r="K35" s="33" t="str">
        <f aca="false">IF(COUNTIF(Flows!$M$2:$M$1500,$A35&amp;"|"&amp;K$1&amp;"|Input"),IF(COUNTIF(Flows!$M$2:$M$1500,$A35&amp;"|"&amp;K$1&amp;"|Output"),"I/O","IN"),IF(COUNTIF(Flows!$M$2:$M$1500,$A35&amp;"|"&amp;K$1&amp;"|Output"),"OUT",""))</f>
        <v/>
      </c>
      <c r="L35" s="33" t="str">
        <f aca="false">IF(COUNTIF(Flows!$M$2:$M$1500,$A35&amp;"|"&amp;L$1&amp;"|Input"),IF(COUNTIF(Flows!$M$2:$M$1500,$A35&amp;"|"&amp;L$1&amp;"|Output"),"I/O","IN"),IF(COUNTIF(Flows!$M$2:$M$1500,$A35&amp;"|"&amp;L$1&amp;"|Output"),"OUT",""))</f>
        <v/>
      </c>
      <c r="M35" s="33" t="str">
        <f aca="false">IF(COUNTIF(Flows!$M$2:$M$1500,$A35&amp;"|"&amp;M$1&amp;"|Input"),IF(COUNTIF(Flows!$M$2:$M$1500,$A35&amp;"|"&amp;M$1&amp;"|Output"),"I/O","IN"),IF(COUNTIF(Flows!$M$2:$M$1500,$A35&amp;"|"&amp;M$1&amp;"|Output"),"OUT",""))</f>
        <v/>
      </c>
      <c r="N35" s="33" t="str">
        <f aca="false">IF(COUNTIF(Flows!$M$2:$M$1500,$A35&amp;"|"&amp;N$1&amp;"|Input"),IF(COUNTIF(Flows!$M$2:$M$1500,$A35&amp;"|"&amp;N$1&amp;"|Output"),"I/O","IN"),IF(COUNTIF(Flows!$M$2:$M$1500,$A35&amp;"|"&amp;N$1&amp;"|Output"),"OUT",""))</f>
        <v/>
      </c>
      <c r="O35" s="33" t="str">
        <f aca="false">IF(COUNTIF(Flows!$M$2:$M$1500,$A35&amp;"|"&amp;O$1&amp;"|Input"),IF(COUNTIF(Flows!$M$2:$M$1500,$A35&amp;"|"&amp;O$1&amp;"|Output"),"I/O","IN"),IF(COUNTIF(Flows!$M$2:$M$1500,$A35&amp;"|"&amp;O$1&amp;"|Output"),"OUT",""))</f>
        <v/>
      </c>
      <c r="P35" s="33" t="str">
        <f aca="false">IF(COUNTIF(Flows!$M$2:$M$1500,$A35&amp;"|"&amp;P$1&amp;"|Input"),IF(COUNTIF(Flows!$M$2:$M$1500,$A35&amp;"|"&amp;P$1&amp;"|Output"),"I/O","IN"),IF(COUNTIF(Flows!$M$2:$M$1500,$A35&amp;"|"&amp;P$1&amp;"|Output"),"OUT",""))</f>
        <v/>
      </c>
      <c r="Q35" s="33" t="str">
        <f aca="false">IF(COUNTIF(Flows!$M$2:$M$1500,$A35&amp;"|"&amp;Q$1&amp;"|Input"),IF(COUNTIF(Flows!$M$2:$M$1500,$A35&amp;"|"&amp;Q$1&amp;"|Output"),"I/O","IN"),IF(COUNTIF(Flows!$M$2:$M$1500,$A35&amp;"|"&amp;Q$1&amp;"|Output"),"OUT",""))</f>
        <v/>
      </c>
      <c r="R35" s="33" t="str">
        <f aca="false">IF(COUNTIF(Flows!$M$2:$M$1500,$A35&amp;"|"&amp;R$1&amp;"|Input"),IF(COUNTIF(Flows!$M$2:$M$1500,$A35&amp;"|"&amp;R$1&amp;"|Output"),"I/O","IN"),IF(COUNTIF(Flows!$M$2:$M$1500,$A35&amp;"|"&amp;R$1&amp;"|Output"),"OUT",""))</f>
        <v>OUT</v>
      </c>
      <c r="S35" s="33" t="str">
        <f aca="false">IF(COUNTIF(Flows!$M$2:$M$1500,$A35&amp;"|"&amp;S$1&amp;"|Input"),IF(COUNTIF(Flows!$M$2:$M$1500,$A35&amp;"|"&amp;S$1&amp;"|Output"),"I/O","IN"),IF(COUNTIF(Flows!$M$2:$M$1500,$A35&amp;"|"&amp;S$1&amp;"|Output"),"OUT",""))</f>
        <v/>
      </c>
      <c r="T35" s="33" t="str">
        <f aca="false">IF(COUNTIF(Flows!$M$2:$M$1500,$A35&amp;"|"&amp;T$1&amp;"|Input"),IF(COUNTIF(Flows!$M$2:$M$1500,$A35&amp;"|"&amp;T$1&amp;"|Output"),"I/O","IN"),IF(COUNTIF(Flows!$M$2:$M$1500,$A35&amp;"|"&amp;T$1&amp;"|Output"),"OUT",""))</f>
        <v/>
      </c>
      <c r="U35" s="33" t="str">
        <f aca="false">IF(COUNTIF(Flows!$M$2:$M$1500,$A35&amp;"|"&amp;U$1&amp;"|Input"),IF(COUNTIF(Flows!$M$2:$M$1500,$A35&amp;"|"&amp;U$1&amp;"|Output"),"I/O","IN"),IF(COUNTIF(Flows!$M$2:$M$1500,$A35&amp;"|"&amp;U$1&amp;"|Output"),"OUT",""))</f>
        <v/>
      </c>
      <c r="V35" s="33" t="str">
        <f aca="false">IF(COUNTIF(Flows!$M$2:$M$1500,$A35&amp;"|"&amp;V$1&amp;"|Input"),IF(COUNTIF(Flows!$M$2:$M$1500,$A35&amp;"|"&amp;V$1&amp;"|Output"),"I/O","IN"),IF(COUNTIF(Flows!$M$2:$M$1500,$A35&amp;"|"&amp;V$1&amp;"|Output"),"OUT",""))</f>
        <v/>
      </c>
      <c r="W35" s="33" t="str">
        <f aca="false">IF(COUNTIF(Flows!$M$2:$M$1500,$A35&amp;"|"&amp;W$1&amp;"|Input"),IF(COUNTIF(Flows!$M$2:$M$1500,$A35&amp;"|"&amp;W$1&amp;"|Output"),"I/O","IN"),IF(COUNTIF(Flows!$M$2:$M$1500,$A35&amp;"|"&amp;W$1&amp;"|Output"),"OUT",""))</f>
        <v/>
      </c>
      <c r="X35" s="33" t="str">
        <f aca="false">IF(COUNTIF(Flows!$M$2:$M$1500,$A35&amp;"|"&amp;X$1&amp;"|Input"),IF(COUNTIF(Flows!$M$2:$M$1500,$A35&amp;"|"&amp;X$1&amp;"|Output"),"I/O","IN"),IF(COUNTIF(Flows!$M$2:$M$1500,$A35&amp;"|"&amp;X$1&amp;"|Output"),"OUT",""))</f>
        <v>IN</v>
      </c>
      <c r="Y35" s="33" t="str">
        <f aca="false">IF(COUNTIF(Flows!$M$2:$M$1500,$A35&amp;"|"&amp;Y$1&amp;"|Input"),IF(COUNTIF(Flows!$M$2:$M$1500,$A35&amp;"|"&amp;Y$1&amp;"|Output"),"I/O","IN"),IF(COUNTIF(Flows!$M$2:$M$1500,$A35&amp;"|"&amp;Y$1&amp;"|Output"),"OUT",""))</f>
        <v/>
      </c>
      <c r="Z35" s="33" t="str">
        <f aca="false">IF(COUNTIF(Flows!$M$2:$M$1500,$A35&amp;"|"&amp;Z$1&amp;"|Input"),IF(COUNTIF(Flows!$M$2:$M$1500,$A35&amp;"|"&amp;Z$1&amp;"|Output"),"I/O","IN"),IF(COUNTIF(Flows!$M$2:$M$1500,$A35&amp;"|"&amp;Z$1&amp;"|Output"),"OUT",""))</f>
        <v/>
      </c>
      <c r="AA35" s="33" t="str">
        <f aca="false">IF(COUNTIF(Flows!$M$2:$M$1500,$A35&amp;"|"&amp;AA$1&amp;"|Input"),IF(COUNTIF(Flows!$M$2:$M$1500,$A35&amp;"|"&amp;AA$1&amp;"|Output"),"I/O","IN"),IF(COUNTIF(Flows!$M$2:$M$1500,$A35&amp;"|"&amp;AA$1&amp;"|Output"),"OUT",""))</f>
        <v/>
      </c>
      <c r="AB35" s="33" t="str">
        <f aca="false">IF(COUNTIF(Flows!$M$2:$M$1500,$A35&amp;"|"&amp;AB$1&amp;"|Input"),IF(COUNTIF(Flows!$M$2:$M$1500,$A35&amp;"|"&amp;AB$1&amp;"|Output"),"I/O","IN"),IF(COUNTIF(Flows!$M$2:$M$1500,$A35&amp;"|"&amp;AB$1&amp;"|Output"),"OUT",""))</f>
        <v/>
      </c>
      <c r="AC35" s="33" t="str">
        <f aca="false">IF(COUNTIF(Flows!$M$2:$M$1500,$A35&amp;"|"&amp;AC$1&amp;"|Input"),IF(COUNTIF(Flows!$M$2:$M$1500,$A35&amp;"|"&amp;AC$1&amp;"|Output"),"I/O","IN"),IF(COUNTIF(Flows!$M$2:$M$1500,$A35&amp;"|"&amp;AC$1&amp;"|Output"),"OUT",""))</f>
        <v/>
      </c>
      <c r="AD35" s="33" t="str">
        <f aca="false">IF(COUNTIF(Flows!$M$2:$M$1500,$A35&amp;"|"&amp;AD$1&amp;"|Input"),IF(COUNTIF(Flows!$M$2:$M$1500,$A35&amp;"|"&amp;AD$1&amp;"|Output"),"I/O","IN"),IF(COUNTIF(Flows!$M$2:$M$1500,$A35&amp;"|"&amp;AD$1&amp;"|Output"),"OUT",""))</f>
        <v/>
      </c>
      <c r="AE35" s="33" t="str">
        <f aca="false">IF(COUNTIF(Flows!$M$2:$M$1500,$A35&amp;"|"&amp;AE$1&amp;"|Input"),IF(COUNTIF(Flows!$M$2:$M$1500,$A35&amp;"|"&amp;AE$1&amp;"|Output"),"I/O","IN"),IF(COUNTIF(Flows!$M$2:$M$1500,$A35&amp;"|"&amp;AE$1&amp;"|Output"),"OUT",""))</f>
        <v/>
      </c>
      <c r="AF35" s="33" t="str">
        <f aca="false">IF(COUNTIF(Flows!$M$2:$M$1500,$A35&amp;"|"&amp;AF$1&amp;"|Input"),IF(COUNTIF(Flows!$M$2:$M$1500,$A35&amp;"|"&amp;AF$1&amp;"|Output"),"I/O","IN"),IF(COUNTIF(Flows!$M$2:$M$1500,$A35&amp;"|"&amp;AF$1&amp;"|Output"),"OUT",""))</f>
        <v/>
      </c>
      <c r="AG35" s="33" t="str">
        <f aca="false">IF(COUNTIF(Flows!$M$2:$M$1500,$A35&amp;"|"&amp;AG$1&amp;"|Input"),IF(COUNTIF(Flows!$M$2:$M$1500,$A35&amp;"|"&amp;AG$1&amp;"|Output"),"I/O","IN"),IF(COUNTIF(Flows!$M$2:$M$1500,$A35&amp;"|"&amp;AG$1&amp;"|Output"),"OUT",""))</f>
        <v/>
      </c>
      <c r="AH35" s="33" t="str">
        <f aca="false">IF(COUNTIF(Flows!$M$2:$M$1500,$A35&amp;"|"&amp;AH$1&amp;"|Input"),IF(COUNTIF(Flows!$M$2:$M$1500,$A35&amp;"|"&amp;AH$1&amp;"|Output"),"I/O","IN"),IF(COUNTIF(Flows!$M$2:$M$1500,$A35&amp;"|"&amp;AH$1&amp;"|Output"),"OUT",""))</f>
        <v/>
      </c>
      <c r="AI35" s="33" t="str">
        <f aca="false">IF(COUNTIF(Flows!$M$2:$M$1500,$A35&amp;"|"&amp;AI$1&amp;"|Input"),IF(COUNTIF(Flows!$M$2:$M$1500,$A35&amp;"|"&amp;AI$1&amp;"|Output"),"I/O","IN"),IF(COUNTIF(Flows!$M$2:$M$1500,$A35&amp;"|"&amp;AI$1&amp;"|Output"),"OUT",""))</f>
        <v/>
      </c>
      <c r="AJ35" s="33" t="str">
        <f aca="false">IF(COUNTIF(Flows!$M$2:$M$1500,$A35&amp;"|"&amp;AJ$1&amp;"|Input"),IF(COUNTIF(Flows!$M$2:$M$1500,$A35&amp;"|"&amp;AJ$1&amp;"|Output"),"I/O","IN"),IF(COUNTIF(Flows!$M$2:$M$1500,$A35&amp;"|"&amp;AJ$1&amp;"|Output"),"OUT",""))</f>
        <v/>
      </c>
      <c r="AK35" s="33" t="str">
        <f aca="false">IF(COUNTIF(Flows!$M$2:$M$1500,$A35&amp;"|"&amp;AK$1&amp;"|Input"),IF(COUNTIF(Flows!$M$2:$M$1500,$A35&amp;"|"&amp;AK$1&amp;"|Output"),"I/O","IN"),IF(COUNTIF(Flows!$M$2:$M$1500,$A35&amp;"|"&amp;AK$1&amp;"|Output"),"OUT",""))</f>
        <v/>
      </c>
      <c r="AL35" s="33" t="str">
        <f aca="false">IF(COUNTIF(Flows!$M$2:$M$1500,$A35&amp;"|"&amp;AL$1&amp;"|Input"),IF(COUNTIF(Flows!$M$2:$M$1500,$A35&amp;"|"&amp;AL$1&amp;"|Output"),"I/O","IN"),IF(COUNTIF(Flows!$M$2:$M$1500,$A35&amp;"|"&amp;AL$1&amp;"|Output"),"OUT",""))</f>
        <v/>
      </c>
      <c r="AM35" s="33" t="str">
        <f aca="false">IF(COUNTIF(Flows!$M$2:$M$1500,$A35&amp;"|"&amp;AM$1&amp;"|Input"),IF(COUNTIF(Flows!$M$2:$M$1500,$A35&amp;"|"&amp;AM$1&amp;"|Output"),"I/O","IN"),IF(COUNTIF(Flows!$M$2:$M$1500,$A35&amp;"|"&amp;AM$1&amp;"|Output"),"OUT",""))</f>
        <v/>
      </c>
      <c r="AN35" s="33" t="str">
        <f aca="false">IF(COUNTIF(Flows!$M$2:$M$1500,$A35&amp;"|"&amp;AN$1&amp;"|Input"),IF(COUNTIF(Flows!$M$2:$M$1500,$A35&amp;"|"&amp;AN$1&amp;"|Output"),"I/O","IN"),IF(COUNTIF(Flows!$M$2:$M$1500,$A35&amp;"|"&amp;AN$1&amp;"|Output"),"OUT",""))</f>
        <v/>
      </c>
      <c r="AO35" s="33" t="str">
        <f aca="false">IF(COUNTIF(Flows!$M$2:$M$1500,$A35&amp;"|"&amp;AO$1&amp;"|Input"),IF(COUNTIF(Flows!$M$2:$M$1500,$A35&amp;"|"&amp;AO$1&amp;"|Output"),"I/O","IN"),IF(COUNTIF(Flows!$M$2:$M$1500,$A35&amp;"|"&amp;AO$1&amp;"|Output"),"OUT",""))</f>
        <v/>
      </c>
      <c r="AP35" s="33" t="str">
        <f aca="false">IF(COUNTIF(Flows!$M$2:$M$1500,$A35&amp;"|"&amp;AP$1&amp;"|Input"),IF(COUNTIF(Flows!$M$2:$M$1500,$A35&amp;"|"&amp;AP$1&amp;"|Output"),"I/O","IN"),IF(COUNTIF(Flows!$M$2:$M$1500,$A35&amp;"|"&amp;AP$1&amp;"|Output"),"OUT",""))</f>
        <v/>
      </c>
      <c r="AQ35" s="33" t="str">
        <f aca="false">IF(COUNTIF(Flows!$M$2:$M$1500,$A35&amp;"|"&amp;AQ$1&amp;"|Input"),IF(COUNTIF(Flows!$M$2:$M$1500,$A35&amp;"|"&amp;AQ$1&amp;"|Output"),"I/O","IN"),IF(COUNTIF(Flows!$M$2:$M$1500,$A35&amp;"|"&amp;AQ$1&amp;"|Output"),"OUT",""))</f>
        <v/>
      </c>
      <c r="AR35" s="33" t="str">
        <f aca="false">IF(COUNTIF(Flows!$M$2:$M$1500,$A35&amp;"|"&amp;AR$1&amp;"|Input"),IF(COUNTIF(Flows!$M$2:$M$1500,$A35&amp;"|"&amp;AR$1&amp;"|Output"),"I/O","IN"),IF(COUNTIF(Flows!$M$2:$M$1500,$A35&amp;"|"&amp;AR$1&amp;"|Output"),"OUT",""))</f>
        <v>IN</v>
      </c>
      <c r="AS35" s="33" t="str">
        <f aca="false">IF(COUNTIF(Flows!$M$2:$M$1500,$A35&amp;"|"&amp;AS$1&amp;"|Input"),IF(COUNTIF(Flows!$M$2:$M$1500,$A35&amp;"|"&amp;AS$1&amp;"|Output"),"I/O","IN"),IF(COUNTIF(Flows!$M$2:$M$1500,$A35&amp;"|"&amp;AS$1&amp;"|Output"),"OUT",""))</f>
        <v>OUT</v>
      </c>
      <c r="AT35" s="33" t="str">
        <f aca="false">IF(COUNTIF(Flows!$M$2:$M$1500,$A35&amp;"|"&amp;AT$1&amp;"|Input"),IF(COUNTIF(Flows!$M$2:$M$1500,$A35&amp;"|"&amp;AT$1&amp;"|Output"),"I/O","IN"),IF(COUNTIF(Flows!$M$2:$M$1500,$A35&amp;"|"&amp;AT$1&amp;"|Output"),"OUT",""))</f>
        <v/>
      </c>
      <c r="AU35" s="33" t="str">
        <f aca="false">IF(COUNTIF(Flows!$M$2:$M$1500,$A35&amp;"|"&amp;AU$1&amp;"|Input"),IF(COUNTIF(Flows!$M$2:$M$1500,$A35&amp;"|"&amp;AU$1&amp;"|Output"),"I/O","IN"),IF(COUNTIF(Flows!$M$2:$M$1500,$A35&amp;"|"&amp;AU$1&amp;"|Output"),"OUT",""))</f>
        <v/>
      </c>
      <c r="AV35" s="33" t="str">
        <f aca="false">IF(COUNTIF(Flows!$M$2:$M$1500,$A35&amp;"|"&amp;AV$1&amp;"|Input"),IF(COUNTIF(Flows!$M$2:$M$1500,$A35&amp;"|"&amp;AV$1&amp;"|Output"),"I/O","IN"),IF(COUNTIF(Flows!$M$2:$M$1500,$A35&amp;"|"&amp;AV$1&amp;"|Output"),"OUT",""))</f>
        <v/>
      </c>
      <c r="AW35" s="33" t="str">
        <f aca="false">IF(COUNTIF(Flows!$M$2:$M$1500,$A35&amp;"|"&amp;AW$1&amp;"|Input"),IF(COUNTIF(Flows!$M$2:$M$1500,$A35&amp;"|"&amp;AW$1&amp;"|Output"),"I/O","IN"),IF(COUNTIF(Flows!$M$2:$M$1500,$A35&amp;"|"&amp;AW$1&amp;"|Output"),"OUT",""))</f>
        <v>IN</v>
      </c>
      <c r="AX35" s="33" t="str">
        <f aca="false">IF(COUNTIF(Flows!$M$2:$M$1500,$A35&amp;"|"&amp;AX$1&amp;"|Input"),IF(COUNTIF(Flows!$M$2:$M$1500,$A35&amp;"|"&amp;AX$1&amp;"|Output"),"I/O","IN"),IF(COUNTIF(Flows!$M$2:$M$1500,$A35&amp;"|"&amp;AX$1&amp;"|Output"),"OUT",""))</f>
        <v/>
      </c>
      <c r="AY35" s="33" t="str">
        <f aca="false">IF(COUNTIF(Flows!$M$2:$M$1500,$A35&amp;"|"&amp;AY$1&amp;"|Input"),IF(COUNTIF(Flows!$M$2:$M$1500,$A35&amp;"|"&amp;AY$1&amp;"|Output"),"I/O","IN"),IF(COUNTIF(Flows!$M$2:$M$1500,$A35&amp;"|"&amp;AY$1&amp;"|Output"),"OUT",""))</f>
        <v/>
      </c>
      <c r="AZ35" s="33" t="str">
        <f aca="false">IF(COUNTIF(Flows!$M$2:$M$1500,$A35&amp;"|"&amp;AZ$1&amp;"|Input"),IF(COUNTIF(Flows!$M$2:$M$1500,$A35&amp;"|"&amp;AZ$1&amp;"|Output"),"I/O","IN"),IF(COUNTIF(Flows!$M$2:$M$1500,$A35&amp;"|"&amp;AZ$1&amp;"|Output"),"OUT",""))</f>
        <v/>
      </c>
      <c r="BA35" s="33" t="str">
        <f aca="false">IF(COUNTIF(Flows!$M$2:$M$1500,$A35&amp;"|"&amp;BA$1&amp;"|Input"),IF(COUNTIF(Flows!$M$2:$M$1500,$A35&amp;"|"&amp;BA$1&amp;"|Output"),"I/O","IN"),IF(COUNTIF(Flows!$M$2:$M$1500,$A35&amp;"|"&amp;BA$1&amp;"|Output"),"OUT",""))</f>
        <v/>
      </c>
      <c r="BB35" s="33" t="str">
        <f aca="false">IF(COUNTIF(Flows!$M$2:$M$1500,$A35&amp;"|"&amp;BB$1&amp;"|Input"),IF(COUNTIF(Flows!$M$2:$M$1500,$A35&amp;"|"&amp;BB$1&amp;"|Output"),"I/O","IN"),IF(COUNTIF(Flows!$M$2:$M$1500,$A35&amp;"|"&amp;BB$1&amp;"|Output"),"OUT",""))</f>
        <v/>
      </c>
      <c r="BC35" s="33" t="str">
        <f aca="false">IF(COUNTIF(Flows!$M$2:$M$1500,$A35&amp;"|"&amp;BC$1&amp;"|Input"),IF(COUNTIF(Flows!$M$2:$M$1500,$A35&amp;"|"&amp;BC$1&amp;"|Output"),"I/O","IN"),IF(COUNTIF(Flows!$M$2:$M$1500,$A35&amp;"|"&amp;BC$1&amp;"|Output"),"OUT",""))</f>
        <v/>
      </c>
      <c r="BD35" s="33" t="str">
        <f aca="false">IF(COUNTIF(Flows!$M$2:$M$1500,$A35&amp;"|"&amp;BD$1&amp;"|Input"),IF(COUNTIF(Flows!$M$2:$M$1500,$A35&amp;"|"&amp;BD$1&amp;"|Output"),"I/O","IN"),IF(COUNTIF(Flows!$M$2:$M$1500,$A35&amp;"|"&amp;BD$1&amp;"|Output"),"OUT",""))</f>
        <v/>
      </c>
      <c r="BE35" s="33" t="str">
        <f aca="false">IF(COUNTIF(Flows!$M$2:$M$1500,$A35&amp;"|"&amp;BE$1&amp;"|Input"),IF(COUNTIF(Flows!$M$2:$M$1500,$A35&amp;"|"&amp;BE$1&amp;"|Output"),"I/O","IN"),IF(COUNTIF(Flows!$M$2:$M$1500,$A35&amp;"|"&amp;BE$1&amp;"|Output"),"OUT",""))</f>
        <v/>
      </c>
      <c r="BF35" s="33" t="str">
        <f aca="false">IF(COUNTIF(Flows!$M$2:$M$1500,$A35&amp;"|"&amp;BF$1&amp;"|Input"),IF(COUNTIF(Flows!$M$2:$M$1500,$A35&amp;"|"&amp;BF$1&amp;"|Output"),"I/O","IN"),IF(COUNTIF(Flows!$M$2:$M$1500,$A35&amp;"|"&amp;BF$1&amp;"|Output"),"OUT",""))</f>
        <v/>
      </c>
      <c r="BG35" s="33" t="str">
        <f aca="false">IF(COUNTIF(Flows!$M$2:$M$1500,$A35&amp;"|"&amp;BG$1&amp;"|Input"),IF(COUNTIF(Flows!$M$2:$M$1500,$A35&amp;"|"&amp;BG$1&amp;"|Output"),"I/O","IN"),IF(COUNTIF(Flows!$M$2:$M$1500,$A35&amp;"|"&amp;BG$1&amp;"|Output"),"OUT",""))</f>
        <v/>
      </c>
      <c r="BH35" s="33" t="str">
        <f aca="false">IF(COUNTIF(Flows!$M$2:$M$1500,$A35&amp;"|"&amp;BH$1&amp;"|Input"),IF(COUNTIF(Flows!$M$2:$M$1500,$A35&amp;"|"&amp;BH$1&amp;"|Output"),"I/O","IN"),IF(COUNTIF(Flows!$M$2:$M$1500,$A35&amp;"|"&amp;BH$1&amp;"|Output"),"OUT",""))</f>
        <v/>
      </c>
      <c r="BI35" s="33" t="str">
        <f aca="false">IF(COUNTIF(Flows!$M$2:$M$1500,$A35&amp;"|"&amp;BI$1&amp;"|Input"),IF(COUNTIF(Flows!$M$2:$M$1500,$A35&amp;"|"&amp;BI$1&amp;"|Output"),"I/O","IN"),IF(COUNTIF(Flows!$M$2:$M$1500,$A35&amp;"|"&amp;BI$1&amp;"|Output"),"OUT",""))</f>
        <v/>
      </c>
      <c r="BJ35" s="33" t="str">
        <f aca="false">IF(COUNTIF(Flows!$M$2:$M$1500,$A35&amp;"|"&amp;BJ$1&amp;"|Input"),IF(COUNTIF(Flows!$M$2:$M$1500,$A35&amp;"|"&amp;BJ$1&amp;"|Output"),"I/O","IN"),IF(COUNTIF(Flows!$M$2:$M$1500,$A35&amp;"|"&amp;BJ$1&amp;"|Output"),"OUT",""))</f>
        <v/>
      </c>
      <c r="BK35" s="33" t="str">
        <f aca="false">IF(COUNTIF(Flows!$M$2:$M$1500,$A35&amp;"|"&amp;BK$1&amp;"|Input"),IF(COUNTIF(Flows!$M$2:$M$1500,$A35&amp;"|"&amp;BK$1&amp;"|Output"),"I/O","IN"),IF(COUNTIF(Flows!$M$2:$M$1500,$A35&amp;"|"&amp;BK$1&amp;"|Output"),"OUT",""))</f>
        <v/>
      </c>
    </row>
    <row r="36" customFormat="false" ht="15" hidden="false" customHeight="true" outlineLevel="0" collapsed="false">
      <c r="A36" s="6" t="str">
        <f aca="false">Systems!B36</f>
        <v>Compost Piles</v>
      </c>
      <c r="B36" s="33" t="str">
        <f aca="false">IF(COUNTIF(Flows!$M$2:$M$1500,$A36&amp;"|"&amp;B$1&amp;"|Input"),IF(COUNTIF(Flows!$M$2:$M$1500,$A36&amp;"|"&amp;B$1&amp;"|Output"),"I/O","IN"),IF(COUNTIF(Flows!$M$2:$M$1500,$A36&amp;"|"&amp;B$1&amp;"|Output"),"OUT",""))</f>
        <v>IN</v>
      </c>
      <c r="C36" s="33" t="str">
        <f aca="false">IF(COUNTIF(Flows!$M$2:$M$1500,$A36&amp;"|"&amp;C$1&amp;"|Input"),IF(COUNTIF(Flows!$M$2:$M$1500,$A36&amp;"|"&amp;C$1&amp;"|Output"),"I/O","IN"),IF(COUNTIF(Flows!$M$2:$M$1500,$A36&amp;"|"&amp;C$1&amp;"|Output"),"OUT",""))</f>
        <v/>
      </c>
      <c r="D36" s="33" t="str">
        <f aca="false">IF(COUNTIF(Flows!$M$2:$M$1500,$A36&amp;"|"&amp;D$1&amp;"|Input"),IF(COUNTIF(Flows!$M$2:$M$1500,$A36&amp;"|"&amp;D$1&amp;"|Output"),"I/O","IN"),IF(COUNTIF(Flows!$M$2:$M$1500,$A36&amp;"|"&amp;D$1&amp;"|Output"),"OUT",""))</f>
        <v/>
      </c>
      <c r="E36" s="33" t="str">
        <f aca="false">IF(COUNTIF(Flows!$M$2:$M$1500,$A36&amp;"|"&amp;E$1&amp;"|Input"),IF(COUNTIF(Flows!$M$2:$M$1500,$A36&amp;"|"&amp;E$1&amp;"|Output"),"I/O","IN"),IF(COUNTIF(Flows!$M$2:$M$1500,$A36&amp;"|"&amp;E$1&amp;"|Output"),"OUT",""))</f>
        <v/>
      </c>
      <c r="F36" s="33" t="str">
        <f aca="false">IF(COUNTIF(Flows!$M$2:$M$1500,$A36&amp;"|"&amp;F$1&amp;"|Input"),IF(COUNTIF(Flows!$M$2:$M$1500,$A36&amp;"|"&amp;F$1&amp;"|Output"),"I/O","IN"),IF(COUNTIF(Flows!$M$2:$M$1500,$A36&amp;"|"&amp;F$1&amp;"|Output"),"OUT",""))</f>
        <v/>
      </c>
      <c r="G36" s="33" t="str">
        <f aca="false">IF(COUNTIF(Flows!$M$2:$M$1500,$A36&amp;"|"&amp;G$1&amp;"|Input"),IF(COUNTIF(Flows!$M$2:$M$1500,$A36&amp;"|"&amp;G$1&amp;"|Output"),"I/O","IN"),IF(COUNTIF(Flows!$M$2:$M$1500,$A36&amp;"|"&amp;G$1&amp;"|Output"),"OUT",""))</f>
        <v/>
      </c>
      <c r="H36" s="33" t="str">
        <f aca="false">IF(COUNTIF(Flows!$M$2:$M$1500,$A36&amp;"|"&amp;H$1&amp;"|Input"),IF(COUNTIF(Flows!$M$2:$M$1500,$A36&amp;"|"&amp;H$1&amp;"|Output"),"I/O","IN"),IF(COUNTIF(Flows!$M$2:$M$1500,$A36&amp;"|"&amp;H$1&amp;"|Output"),"OUT",""))</f>
        <v/>
      </c>
      <c r="I36" s="33" t="str">
        <f aca="false">IF(COUNTIF(Flows!$M$2:$M$1500,$A36&amp;"|"&amp;I$1&amp;"|Input"),IF(COUNTIF(Flows!$M$2:$M$1500,$A36&amp;"|"&amp;I$1&amp;"|Output"),"I/O","IN"),IF(COUNTIF(Flows!$M$2:$M$1500,$A36&amp;"|"&amp;I$1&amp;"|Output"),"OUT",""))</f>
        <v/>
      </c>
      <c r="J36" s="33" t="str">
        <f aca="false">IF(COUNTIF(Flows!$M$2:$M$1500,$A36&amp;"|"&amp;J$1&amp;"|Input"),IF(COUNTIF(Flows!$M$2:$M$1500,$A36&amp;"|"&amp;J$1&amp;"|Output"),"I/O","IN"),IF(COUNTIF(Flows!$M$2:$M$1500,$A36&amp;"|"&amp;J$1&amp;"|Output"),"OUT",""))</f>
        <v/>
      </c>
      <c r="K36" s="33" t="str">
        <f aca="false">IF(COUNTIF(Flows!$M$2:$M$1500,$A36&amp;"|"&amp;K$1&amp;"|Input"),IF(COUNTIF(Flows!$M$2:$M$1500,$A36&amp;"|"&amp;K$1&amp;"|Output"),"I/O","IN"),IF(COUNTIF(Flows!$M$2:$M$1500,$A36&amp;"|"&amp;K$1&amp;"|Output"),"OUT",""))</f>
        <v/>
      </c>
      <c r="L36" s="33" t="str">
        <f aca="false">IF(COUNTIF(Flows!$M$2:$M$1500,$A36&amp;"|"&amp;L$1&amp;"|Input"),IF(COUNTIF(Flows!$M$2:$M$1500,$A36&amp;"|"&amp;L$1&amp;"|Output"),"I/O","IN"),IF(COUNTIF(Flows!$M$2:$M$1500,$A36&amp;"|"&amp;L$1&amp;"|Output"),"OUT",""))</f>
        <v/>
      </c>
      <c r="M36" s="33" t="str">
        <f aca="false">IF(COUNTIF(Flows!$M$2:$M$1500,$A36&amp;"|"&amp;M$1&amp;"|Input"),IF(COUNTIF(Flows!$M$2:$M$1500,$A36&amp;"|"&amp;M$1&amp;"|Output"),"I/O","IN"),IF(COUNTIF(Flows!$M$2:$M$1500,$A36&amp;"|"&amp;M$1&amp;"|Output"),"OUT",""))</f>
        <v/>
      </c>
      <c r="N36" s="33" t="str">
        <f aca="false">IF(COUNTIF(Flows!$M$2:$M$1500,$A36&amp;"|"&amp;N$1&amp;"|Input"),IF(COUNTIF(Flows!$M$2:$M$1500,$A36&amp;"|"&amp;N$1&amp;"|Output"),"I/O","IN"),IF(COUNTIF(Flows!$M$2:$M$1500,$A36&amp;"|"&amp;N$1&amp;"|Output"),"OUT",""))</f>
        <v/>
      </c>
      <c r="O36" s="33" t="str">
        <f aca="false">IF(COUNTIF(Flows!$M$2:$M$1500,$A36&amp;"|"&amp;O$1&amp;"|Input"),IF(COUNTIF(Flows!$M$2:$M$1500,$A36&amp;"|"&amp;O$1&amp;"|Output"),"I/O","IN"),IF(COUNTIF(Flows!$M$2:$M$1500,$A36&amp;"|"&amp;O$1&amp;"|Output"),"OUT",""))</f>
        <v/>
      </c>
      <c r="P36" s="33" t="str">
        <f aca="false">IF(COUNTIF(Flows!$M$2:$M$1500,$A36&amp;"|"&amp;P$1&amp;"|Input"),IF(COUNTIF(Flows!$M$2:$M$1500,$A36&amp;"|"&amp;P$1&amp;"|Output"),"I/O","IN"),IF(COUNTIF(Flows!$M$2:$M$1500,$A36&amp;"|"&amp;P$1&amp;"|Output"),"OUT",""))</f>
        <v/>
      </c>
      <c r="Q36" s="33" t="str">
        <f aca="false">IF(COUNTIF(Flows!$M$2:$M$1500,$A36&amp;"|"&amp;Q$1&amp;"|Input"),IF(COUNTIF(Flows!$M$2:$M$1500,$A36&amp;"|"&amp;Q$1&amp;"|Output"),"I/O","IN"),IF(COUNTIF(Flows!$M$2:$M$1500,$A36&amp;"|"&amp;Q$1&amp;"|Output"),"OUT",""))</f>
        <v/>
      </c>
      <c r="R36" s="33" t="str">
        <f aca="false">IF(COUNTIF(Flows!$M$2:$M$1500,$A36&amp;"|"&amp;R$1&amp;"|Input"),IF(COUNTIF(Flows!$M$2:$M$1500,$A36&amp;"|"&amp;R$1&amp;"|Output"),"I/O","IN"),IF(COUNTIF(Flows!$M$2:$M$1500,$A36&amp;"|"&amp;R$1&amp;"|Output"),"OUT",""))</f>
        <v/>
      </c>
      <c r="S36" s="33" t="str">
        <f aca="false">IF(COUNTIF(Flows!$M$2:$M$1500,$A36&amp;"|"&amp;S$1&amp;"|Input"),IF(COUNTIF(Flows!$M$2:$M$1500,$A36&amp;"|"&amp;S$1&amp;"|Output"),"I/O","IN"),IF(COUNTIF(Flows!$M$2:$M$1500,$A36&amp;"|"&amp;S$1&amp;"|Output"),"OUT",""))</f>
        <v/>
      </c>
      <c r="T36" s="33" t="str">
        <f aca="false">IF(COUNTIF(Flows!$M$2:$M$1500,$A36&amp;"|"&amp;T$1&amp;"|Input"),IF(COUNTIF(Flows!$M$2:$M$1500,$A36&amp;"|"&amp;T$1&amp;"|Output"),"I/O","IN"),IF(COUNTIF(Flows!$M$2:$M$1500,$A36&amp;"|"&amp;T$1&amp;"|Output"),"OUT",""))</f>
        <v/>
      </c>
      <c r="U36" s="33" t="str">
        <f aca="false">IF(COUNTIF(Flows!$M$2:$M$1500,$A36&amp;"|"&amp;U$1&amp;"|Input"),IF(COUNTIF(Flows!$M$2:$M$1500,$A36&amp;"|"&amp;U$1&amp;"|Output"),"I/O","IN"),IF(COUNTIF(Flows!$M$2:$M$1500,$A36&amp;"|"&amp;U$1&amp;"|Output"),"OUT",""))</f>
        <v/>
      </c>
      <c r="V36" s="33" t="str">
        <f aca="false">IF(COUNTIF(Flows!$M$2:$M$1500,$A36&amp;"|"&amp;V$1&amp;"|Input"),IF(COUNTIF(Flows!$M$2:$M$1500,$A36&amp;"|"&amp;V$1&amp;"|Output"),"I/O","IN"),IF(COUNTIF(Flows!$M$2:$M$1500,$A36&amp;"|"&amp;V$1&amp;"|Output"),"OUT",""))</f>
        <v/>
      </c>
      <c r="W36" s="33" t="str">
        <f aca="false">IF(COUNTIF(Flows!$M$2:$M$1500,$A36&amp;"|"&amp;W$1&amp;"|Input"),IF(COUNTIF(Flows!$M$2:$M$1500,$A36&amp;"|"&amp;W$1&amp;"|Output"),"I/O","IN"),IF(COUNTIF(Flows!$M$2:$M$1500,$A36&amp;"|"&amp;W$1&amp;"|Output"),"OUT",""))</f>
        <v/>
      </c>
      <c r="X36" s="33" t="str">
        <f aca="false">IF(COUNTIF(Flows!$M$2:$M$1500,$A36&amp;"|"&amp;X$1&amp;"|Input"),IF(COUNTIF(Flows!$M$2:$M$1500,$A36&amp;"|"&amp;X$1&amp;"|Output"),"I/O","IN"),IF(COUNTIF(Flows!$M$2:$M$1500,$A36&amp;"|"&amp;X$1&amp;"|Output"),"OUT",""))</f>
        <v>IN</v>
      </c>
      <c r="Y36" s="33" t="str">
        <f aca="false">IF(COUNTIF(Flows!$M$2:$M$1500,$A36&amp;"|"&amp;Y$1&amp;"|Input"),IF(COUNTIF(Flows!$M$2:$M$1500,$A36&amp;"|"&amp;Y$1&amp;"|Output"),"I/O","IN"),IF(COUNTIF(Flows!$M$2:$M$1500,$A36&amp;"|"&amp;Y$1&amp;"|Output"),"OUT",""))</f>
        <v/>
      </c>
      <c r="Z36" s="33" t="str">
        <f aca="false">IF(COUNTIF(Flows!$M$2:$M$1500,$A36&amp;"|"&amp;Z$1&amp;"|Input"),IF(COUNTIF(Flows!$M$2:$M$1500,$A36&amp;"|"&amp;Z$1&amp;"|Output"),"I/O","IN"),IF(COUNTIF(Flows!$M$2:$M$1500,$A36&amp;"|"&amp;Z$1&amp;"|Output"),"OUT",""))</f>
        <v/>
      </c>
      <c r="AA36" s="33" t="str">
        <f aca="false">IF(COUNTIF(Flows!$M$2:$M$1500,$A36&amp;"|"&amp;AA$1&amp;"|Input"),IF(COUNTIF(Flows!$M$2:$M$1500,$A36&amp;"|"&amp;AA$1&amp;"|Output"),"I/O","IN"),IF(COUNTIF(Flows!$M$2:$M$1500,$A36&amp;"|"&amp;AA$1&amp;"|Output"),"OUT",""))</f>
        <v/>
      </c>
      <c r="AB36" s="33" t="str">
        <f aca="false">IF(COUNTIF(Flows!$M$2:$M$1500,$A36&amp;"|"&amp;AB$1&amp;"|Input"),IF(COUNTIF(Flows!$M$2:$M$1500,$A36&amp;"|"&amp;AB$1&amp;"|Output"),"I/O","IN"),IF(COUNTIF(Flows!$M$2:$M$1500,$A36&amp;"|"&amp;AB$1&amp;"|Output"),"OUT",""))</f>
        <v/>
      </c>
      <c r="AC36" s="33" t="str">
        <f aca="false">IF(COUNTIF(Flows!$M$2:$M$1500,$A36&amp;"|"&amp;AC$1&amp;"|Input"),IF(COUNTIF(Flows!$M$2:$M$1500,$A36&amp;"|"&amp;AC$1&amp;"|Output"),"I/O","IN"),IF(COUNTIF(Flows!$M$2:$M$1500,$A36&amp;"|"&amp;AC$1&amp;"|Output"),"OUT",""))</f>
        <v/>
      </c>
      <c r="AD36" s="33" t="str">
        <f aca="false">IF(COUNTIF(Flows!$M$2:$M$1500,$A36&amp;"|"&amp;AD$1&amp;"|Input"),IF(COUNTIF(Flows!$M$2:$M$1500,$A36&amp;"|"&amp;AD$1&amp;"|Output"),"I/O","IN"),IF(COUNTIF(Flows!$M$2:$M$1500,$A36&amp;"|"&amp;AD$1&amp;"|Output"),"OUT",""))</f>
        <v/>
      </c>
      <c r="AE36" s="33" t="str">
        <f aca="false">IF(COUNTIF(Flows!$M$2:$M$1500,$A36&amp;"|"&amp;AE$1&amp;"|Input"),IF(COUNTIF(Flows!$M$2:$M$1500,$A36&amp;"|"&amp;AE$1&amp;"|Output"),"I/O","IN"),IF(COUNTIF(Flows!$M$2:$M$1500,$A36&amp;"|"&amp;AE$1&amp;"|Output"),"OUT",""))</f>
        <v/>
      </c>
      <c r="AF36" s="33" t="str">
        <f aca="false">IF(COUNTIF(Flows!$M$2:$M$1500,$A36&amp;"|"&amp;AF$1&amp;"|Input"),IF(COUNTIF(Flows!$M$2:$M$1500,$A36&amp;"|"&amp;AF$1&amp;"|Output"),"I/O","IN"),IF(COUNTIF(Flows!$M$2:$M$1500,$A36&amp;"|"&amp;AF$1&amp;"|Output"),"OUT",""))</f>
        <v/>
      </c>
      <c r="AG36" s="33" t="str">
        <f aca="false">IF(COUNTIF(Flows!$M$2:$M$1500,$A36&amp;"|"&amp;AG$1&amp;"|Input"),IF(COUNTIF(Flows!$M$2:$M$1500,$A36&amp;"|"&amp;AG$1&amp;"|Output"),"I/O","IN"),IF(COUNTIF(Flows!$M$2:$M$1500,$A36&amp;"|"&amp;AG$1&amp;"|Output"),"OUT",""))</f>
        <v/>
      </c>
      <c r="AH36" s="33" t="str">
        <f aca="false">IF(COUNTIF(Flows!$M$2:$M$1500,$A36&amp;"|"&amp;AH$1&amp;"|Input"),IF(COUNTIF(Flows!$M$2:$M$1500,$A36&amp;"|"&amp;AH$1&amp;"|Output"),"I/O","IN"),IF(COUNTIF(Flows!$M$2:$M$1500,$A36&amp;"|"&amp;AH$1&amp;"|Output"),"OUT",""))</f>
        <v/>
      </c>
      <c r="AI36" s="33" t="str">
        <f aca="false">IF(COUNTIF(Flows!$M$2:$M$1500,$A36&amp;"|"&amp;AI$1&amp;"|Input"),IF(COUNTIF(Flows!$M$2:$M$1500,$A36&amp;"|"&amp;AI$1&amp;"|Output"),"I/O","IN"),IF(COUNTIF(Flows!$M$2:$M$1500,$A36&amp;"|"&amp;AI$1&amp;"|Output"),"OUT",""))</f>
        <v/>
      </c>
      <c r="AJ36" s="33" t="str">
        <f aca="false">IF(COUNTIF(Flows!$M$2:$M$1500,$A36&amp;"|"&amp;AJ$1&amp;"|Input"),IF(COUNTIF(Flows!$M$2:$M$1500,$A36&amp;"|"&amp;AJ$1&amp;"|Output"),"I/O","IN"),IF(COUNTIF(Flows!$M$2:$M$1500,$A36&amp;"|"&amp;AJ$1&amp;"|Output"),"OUT",""))</f>
        <v/>
      </c>
      <c r="AK36" s="33" t="str">
        <f aca="false">IF(COUNTIF(Flows!$M$2:$M$1500,$A36&amp;"|"&amp;AK$1&amp;"|Input"),IF(COUNTIF(Flows!$M$2:$M$1500,$A36&amp;"|"&amp;AK$1&amp;"|Output"),"I/O","IN"),IF(COUNTIF(Flows!$M$2:$M$1500,$A36&amp;"|"&amp;AK$1&amp;"|Output"),"OUT",""))</f>
        <v/>
      </c>
      <c r="AL36" s="33" t="str">
        <f aca="false">IF(COUNTIF(Flows!$M$2:$M$1500,$A36&amp;"|"&amp;AL$1&amp;"|Input"),IF(COUNTIF(Flows!$M$2:$M$1500,$A36&amp;"|"&amp;AL$1&amp;"|Output"),"I/O","IN"),IF(COUNTIF(Flows!$M$2:$M$1500,$A36&amp;"|"&amp;AL$1&amp;"|Output"),"OUT",""))</f>
        <v/>
      </c>
      <c r="AM36" s="33" t="str">
        <f aca="false">IF(COUNTIF(Flows!$M$2:$M$1500,$A36&amp;"|"&amp;AM$1&amp;"|Input"),IF(COUNTIF(Flows!$M$2:$M$1500,$A36&amp;"|"&amp;AM$1&amp;"|Output"),"I/O","IN"),IF(COUNTIF(Flows!$M$2:$M$1500,$A36&amp;"|"&amp;AM$1&amp;"|Output"),"OUT",""))</f>
        <v/>
      </c>
      <c r="AN36" s="33" t="str">
        <f aca="false">IF(COUNTIF(Flows!$M$2:$M$1500,$A36&amp;"|"&amp;AN$1&amp;"|Input"),IF(COUNTIF(Flows!$M$2:$M$1500,$A36&amp;"|"&amp;AN$1&amp;"|Output"),"I/O","IN"),IF(COUNTIF(Flows!$M$2:$M$1500,$A36&amp;"|"&amp;AN$1&amp;"|Output"),"OUT",""))</f>
        <v/>
      </c>
      <c r="AO36" s="33" t="str">
        <f aca="false">IF(COUNTIF(Flows!$M$2:$M$1500,$A36&amp;"|"&amp;AO$1&amp;"|Input"),IF(COUNTIF(Flows!$M$2:$M$1500,$A36&amp;"|"&amp;AO$1&amp;"|Output"),"I/O","IN"),IF(COUNTIF(Flows!$M$2:$M$1500,$A36&amp;"|"&amp;AO$1&amp;"|Output"),"OUT",""))</f>
        <v/>
      </c>
      <c r="AP36" s="33" t="str">
        <f aca="false">IF(COUNTIF(Flows!$M$2:$M$1500,$A36&amp;"|"&amp;AP$1&amp;"|Input"),IF(COUNTIF(Flows!$M$2:$M$1500,$A36&amp;"|"&amp;AP$1&amp;"|Output"),"I/O","IN"),IF(COUNTIF(Flows!$M$2:$M$1500,$A36&amp;"|"&amp;AP$1&amp;"|Output"),"OUT",""))</f>
        <v>IN</v>
      </c>
      <c r="AQ36" s="33" t="str">
        <f aca="false">IF(COUNTIF(Flows!$M$2:$M$1500,$A36&amp;"|"&amp;AQ$1&amp;"|Input"),IF(COUNTIF(Flows!$M$2:$M$1500,$A36&amp;"|"&amp;AQ$1&amp;"|Output"),"I/O","IN"),IF(COUNTIF(Flows!$M$2:$M$1500,$A36&amp;"|"&amp;AQ$1&amp;"|Output"),"OUT",""))</f>
        <v/>
      </c>
      <c r="AR36" s="33" t="str">
        <f aca="false">IF(COUNTIF(Flows!$M$2:$M$1500,$A36&amp;"|"&amp;AR$1&amp;"|Input"),IF(COUNTIF(Flows!$M$2:$M$1500,$A36&amp;"|"&amp;AR$1&amp;"|Output"),"I/O","IN"),IF(COUNTIF(Flows!$M$2:$M$1500,$A36&amp;"|"&amp;AR$1&amp;"|Output"),"OUT",""))</f>
        <v>IN</v>
      </c>
      <c r="AS36" s="33" t="str">
        <f aca="false">IF(COUNTIF(Flows!$M$2:$M$1500,$A36&amp;"|"&amp;AS$1&amp;"|Input"),IF(COUNTIF(Flows!$M$2:$M$1500,$A36&amp;"|"&amp;AS$1&amp;"|Output"),"I/O","IN"),IF(COUNTIF(Flows!$M$2:$M$1500,$A36&amp;"|"&amp;AS$1&amp;"|Output"),"OUT",""))</f>
        <v>OUT</v>
      </c>
      <c r="AT36" s="33" t="str">
        <f aca="false">IF(COUNTIF(Flows!$M$2:$M$1500,$A36&amp;"|"&amp;AT$1&amp;"|Input"),IF(COUNTIF(Flows!$M$2:$M$1500,$A36&amp;"|"&amp;AT$1&amp;"|Output"),"I/O","IN"),IF(COUNTIF(Flows!$M$2:$M$1500,$A36&amp;"|"&amp;AT$1&amp;"|Output"),"OUT",""))</f>
        <v/>
      </c>
      <c r="AU36" s="33" t="str">
        <f aca="false">IF(COUNTIF(Flows!$M$2:$M$1500,$A36&amp;"|"&amp;AU$1&amp;"|Input"),IF(COUNTIF(Flows!$M$2:$M$1500,$A36&amp;"|"&amp;AU$1&amp;"|Output"),"I/O","IN"),IF(COUNTIF(Flows!$M$2:$M$1500,$A36&amp;"|"&amp;AU$1&amp;"|Output"),"OUT",""))</f>
        <v/>
      </c>
      <c r="AV36" s="33" t="str">
        <f aca="false">IF(COUNTIF(Flows!$M$2:$M$1500,$A36&amp;"|"&amp;AV$1&amp;"|Input"),IF(COUNTIF(Flows!$M$2:$M$1500,$A36&amp;"|"&amp;AV$1&amp;"|Output"),"I/O","IN"),IF(COUNTIF(Flows!$M$2:$M$1500,$A36&amp;"|"&amp;AV$1&amp;"|Output"),"OUT",""))</f>
        <v>IN</v>
      </c>
      <c r="AW36" s="33" t="str">
        <f aca="false">IF(COUNTIF(Flows!$M$2:$M$1500,$A36&amp;"|"&amp;AW$1&amp;"|Input"),IF(COUNTIF(Flows!$M$2:$M$1500,$A36&amp;"|"&amp;AW$1&amp;"|Output"),"I/O","IN"),IF(COUNTIF(Flows!$M$2:$M$1500,$A36&amp;"|"&amp;AW$1&amp;"|Output"),"OUT",""))</f>
        <v/>
      </c>
      <c r="AX36" s="33" t="str">
        <f aca="false">IF(COUNTIF(Flows!$M$2:$M$1500,$A36&amp;"|"&amp;AX$1&amp;"|Input"),IF(COUNTIF(Flows!$M$2:$M$1500,$A36&amp;"|"&amp;AX$1&amp;"|Output"),"I/O","IN"),IF(COUNTIF(Flows!$M$2:$M$1500,$A36&amp;"|"&amp;AX$1&amp;"|Output"),"OUT",""))</f>
        <v/>
      </c>
      <c r="AY36" s="33" t="str">
        <f aca="false">IF(COUNTIF(Flows!$M$2:$M$1500,$A36&amp;"|"&amp;AY$1&amp;"|Input"),IF(COUNTIF(Flows!$M$2:$M$1500,$A36&amp;"|"&amp;AY$1&amp;"|Output"),"I/O","IN"),IF(COUNTIF(Flows!$M$2:$M$1500,$A36&amp;"|"&amp;AY$1&amp;"|Output"),"OUT",""))</f>
        <v/>
      </c>
      <c r="AZ36" s="33" t="str">
        <f aca="false">IF(COUNTIF(Flows!$M$2:$M$1500,$A36&amp;"|"&amp;AZ$1&amp;"|Input"),IF(COUNTIF(Flows!$M$2:$M$1500,$A36&amp;"|"&amp;AZ$1&amp;"|Output"),"I/O","IN"),IF(COUNTIF(Flows!$M$2:$M$1500,$A36&amp;"|"&amp;AZ$1&amp;"|Output"),"OUT",""))</f>
        <v/>
      </c>
      <c r="BA36" s="33" t="str">
        <f aca="false">IF(COUNTIF(Flows!$M$2:$M$1500,$A36&amp;"|"&amp;BA$1&amp;"|Input"),IF(COUNTIF(Flows!$M$2:$M$1500,$A36&amp;"|"&amp;BA$1&amp;"|Output"),"I/O","IN"),IF(COUNTIF(Flows!$M$2:$M$1500,$A36&amp;"|"&amp;BA$1&amp;"|Output"),"OUT",""))</f>
        <v/>
      </c>
      <c r="BB36" s="33" t="str">
        <f aca="false">IF(COUNTIF(Flows!$M$2:$M$1500,$A36&amp;"|"&amp;BB$1&amp;"|Input"),IF(COUNTIF(Flows!$M$2:$M$1500,$A36&amp;"|"&amp;BB$1&amp;"|Output"),"I/O","IN"),IF(COUNTIF(Flows!$M$2:$M$1500,$A36&amp;"|"&amp;BB$1&amp;"|Output"),"OUT",""))</f>
        <v/>
      </c>
      <c r="BC36" s="33" t="str">
        <f aca="false">IF(COUNTIF(Flows!$M$2:$M$1500,$A36&amp;"|"&amp;BC$1&amp;"|Input"),IF(COUNTIF(Flows!$M$2:$M$1500,$A36&amp;"|"&amp;BC$1&amp;"|Output"),"I/O","IN"),IF(COUNTIF(Flows!$M$2:$M$1500,$A36&amp;"|"&amp;BC$1&amp;"|Output"),"OUT",""))</f>
        <v/>
      </c>
      <c r="BD36" s="33" t="str">
        <f aca="false">IF(COUNTIF(Flows!$M$2:$M$1500,$A36&amp;"|"&amp;BD$1&amp;"|Input"),IF(COUNTIF(Flows!$M$2:$M$1500,$A36&amp;"|"&amp;BD$1&amp;"|Output"),"I/O","IN"),IF(COUNTIF(Flows!$M$2:$M$1500,$A36&amp;"|"&amp;BD$1&amp;"|Output"),"OUT",""))</f>
        <v/>
      </c>
      <c r="BE36" s="33" t="str">
        <f aca="false">IF(COUNTIF(Flows!$M$2:$M$1500,$A36&amp;"|"&amp;BE$1&amp;"|Input"),IF(COUNTIF(Flows!$M$2:$M$1500,$A36&amp;"|"&amp;BE$1&amp;"|Output"),"I/O","IN"),IF(COUNTIF(Flows!$M$2:$M$1500,$A36&amp;"|"&amp;BE$1&amp;"|Output"),"OUT",""))</f>
        <v/>
      </c>
      <c r="BF36" s="33" t="str">
        <f aca="false">IF(COUNTIF(Flows!$M$2:$M$1500,$A36&amp;"|"&amp;BF$1&amp;"|Input"),IF(COUNTIF(Flows!$M$2:$M$1500,$A36&amp;"|"&amp;BF$1&amp;"|Output"),"I/O","IN"),IF(COUNTIF(Flows!$M$2:$M$1500,$A36&amp;"|"&amp;BF$1&amp;"|Output"),"OUT",""))</f>
        <v/>
      </c>
      <c r="BG36" s="33" t="str">
        <f aca="false">IF(COUNTIF(Flows!$M$2:$M$1500,$A36&amp;"|"&amp;BG$1&amp;"|Input"),IF(COUNTIF(Flows!$M$2:$M$1500,$A36&amp;"|"&amp;BG$1&amp;"|Output"),"I/O","IN"),IF(COUNTIF(Flows!$M$2:$M$1500,$A36&amp;"|"&amp;BG$1&amp;"|Output"),"OUT",""))</f>
        <v/>
      </c>
      <c r="BH36" s="33" t="str">
        <f aca="false">IF(COUNTIF(Flows!$M$2:$M$1500,$A36&amp;"|"&amp;BH$1&amp;"|Input"),IF(COUNTIF(Flows!$M$2:$M$1500,$A36&amp;"|"&amp;BH$1&amp;"|Output"),"I/O","IN"),IF(COUNTIF(Flows!$M$2:$M$1500,$A36&amp;"|"&amp;BH$1&amp;"|Output"),"OUT",""))</f>
        <v/>
      </c>
      <c r="BI36" s="33" t="str">
        <f aca="false">IF(COUNTIF(Flows!$M$2:$M$1500,$A36&amp;"|"&amp;BI$1&amp;"|Input"),IF(COUNTIF(Flows!$M$2:$M$1500,$A36&amp;"|"&amp;BI$1&amp;"|Output"),"I/O","IN"),IF(COUNTIF(Flows!$M$2:$M$1500,$A36&amp;"|"&amp;BI$1&amp;"|Output"),"OUT",""))</f>
        <v/>
      </c>
      <c r="BJ36" s="33" t="str">
        <f aca="false">IF(COUNTIF(Flows!$M$2:$M$1500,$A36&amp;"|"&amp;BJ$1&amp;"|Input"),IF(COUNTIF(Flows!$M$2:$M$1500,$A36&amp;"|"&amp;BJ$1&amp;"|Output"),"I/O","IN"),IF(COUNTIF(Flows!$M$2:$M$1500,$A36&amp;"|"&amp;BJ$1&amp;"|Output"),"OUT",""))</f>
        <v/>
      </c>
      <c r="BK36" s="33" t="str">
        <f aca="false">IF(COUNTIF(Flows!$M$2:$M$1500,$A36&amp;"|"&amp;BK$1&amp;"|Input"),IF(COUNTIF(Flows!$M$2:$M$1500,$A36&amp;"|"&amp;BK$1&amp;"|Output"),"I/O","IN"),IF(COUNTIF(Flows!$M$2:$M$1500,$A36&amp;"|"&amp;BK$1&amp;"|Output"),"OUT",""))</f>
        <v/>
      </c>
    </row>
    <row r="37" customFormat="false" ht="15" hidden="false" customHeight="true" outlineLevel="0" collapsed="false">
      <c r="A37" s="6" t="str">
        <f aca="false">Systems!B37</f>
        <v>Compost Roller</v>
      </c>
      <c r="B37" s="33" t="str">
        <f aca="false">IF(COUNTIF(Flows!$M$2:$M$1500,$A37&amp;"|"&amp;B$1&amp;"|Input"),IF(COUNTIF(Flows!$M$2:$M$1500,$A37&amp;"|"&amp;B$1&amp;"|Output"),"I/O","IN"),IF(COUNTIF(Flows!$M$2:$M$1500,$A37&amp;"|"&amp;B$1&amp;"|Output"),"OUT",""))</f>
        <v>IN</v>
      </c>
      <c r="C37" s="33" t="str">
        <f aca="false">IF(COUNTIF(Flows!$M$2:$M$1500,$A37&amp;"|"&amp;C$1&amp;"|Input"),IF(COUNTIF(Flows!$M$2:$M$1500,$A37&amp;"|"&amp;C$1&amp;"|Output"),"I/O","IN"),IF(COUNTIF(Flows!$M$2:$M$1500,$A37&amp;"|"&amp;C$1&amp;"|Output"),"OUT",""))</f>
        <v/>
      </c>
      <c r="D37" s="33" t="str">
        <f aca="false">IF(COUNTIF(Flows!$M$2:$M$1500,$A37&amp;"|"&amp;D$1&amp;"|Input"),IF(COUNTIF(Flows!$M$2:$M$1500,$A37&amp;"|"&amp;D$1&amp;"|Output"),"I/O","IN"),IF(COUNTIF(Flows!$M$2:$M$1500,$A37&amp;"|"&amp;D$1&amp;"|Output"),"OUT",""))</f>
        <v/>
      </c>
      <c r="E37" s="33" t="str">
        <f aca="false">IF(COUNTIF(Flows!$M$2:$M$1500,$A37&amp;"|"&amp;E$1&amp;"|Input"),IF(COUNTIF(Flows!$M$2:$M$1500,$A37&amp;"|"&amp;E$1&amp;"|Output"),"I/O","IN"),IF(COUNTIF(Flows!$M$2:$M$1500,$A37&amp;"|"&amp;E$1&amp;"|Output"),"OUT",""))</f>
        <v/>
      </c>
      <c r="F37" s="33" t="str">
        <f aca="false">IF(COUNTIF(Flows!$M$2:$M$1500,$A37&amp;"|"&amp;F$1&amp;"|Input"),IF(COUNTIF(Flows!$M$2:$M$1500,$A37&amp;"|"&amp;F$1&amp;"|Output"),"I/O","IN"),IF(COUNTIF(Flows!$M$2:$M$1500,$A37&amp;"|"&amp;F$1&amp;"|Output"),"OUT",""))</f>
        <v/>
      </c>
      <c r="G37" s="33" t="str">
        <f aca="false">IF(COUNTIF(Flows!$M$2:$M$1500,$A37&amp;"|"&amp;G$1&amp;"|Input"),IF(COUNTIF(Flows!$M$2:$M$1500,$A37&amp;"|"&amp;G$1&amp;"|Output"),"I/O","IN"),IF(COUNTIF(Flows!$M$2:$M$1500,$A37&amp;"|"&amp;G$1&amp;"|Output"),"OUT",""))</f>
        <v/>
      </c>
      <c r="H37" s="33" t="str">
        <f aca="false">IF(COUNTIF(Flows!$M$2:$M$1500,$A37&amp;"|"&amp;H$1&amp;"|Input"),IF(COUNTIF(Flows!$M$2:$M$1500,$A37&amp;"|"&amp;H$1&amp;"|Output"),"I/O","IN"),IF(COUNTIF(Flows!$M$2:$M$1500,$A37&amp;"|"&amp;H$1&amp;"|Output"),"OUT",""))</f>
        <v/>
      </c>
      <c r="I37" s="33" t="str">
        <f aca="false">IF(COUNTIF(Flows!$M$2:$M$1500,$A37&amp;"|"&amp;I$1&amp;"|Input"),IF(COUNTIF(Flows!$M$2:$M$1500,$A37&amp;"|"&amp;I$1&amp;"|Output"),"I/O","IN"),IF(COUNTIF(Flows!$M$2:$M$1500,$A37&amp;"|"&amp;I$1&amp;"|Output"),"OUT",""))</f>
        <v/>
      </c>
      <c r="J37" s="33" t="str">
        <f aca="false">IF(COUNTIF(Flows!$M$2:$M$1500,$A37&amp;"|"&amp;J$1&amp;"|Input"),IF(COUNTIF(Flows!$M$2:$M$1500,$A37&amp;"|"&amp;J$1&amp;"|Output"),"I/O","IN"),IF(COUNTIF(Flows!$M$2:$M$1500,$A37&amp;"|"&amp;J$1&amp;"|Output"),"OUT",""))</f>
        <v/>
      </c>
      <c r="K37" s="33" t="str">
        <f aca="false">IF(COUNTIF(Flows!$M$2:$M$1500,$A37&amp;"|"&amp;K$1&amp;"|Input"),IF(COUNTIF(Flows!$M$2:$M$1500,$A37&amp;"|"&amp;K$1&amp;"|Output"),"I/O","IN"),IF(COUNTIF(Flows!$M$2:$M$1500,$A37&amp;"|"&amp;K$1&amp;"|Output"),"OUT",""))</f>
        <v/>
      </c>
      <c r="L37" s="33" t="str">
        <f aca="false">IF(COUNTIF(Flows!$M$2:$M$1500,$A37&amp;"|"&amp;L$1&amp;"|Input"),IF(COUNTIF(Flows!$M$2:$M$1500,$A37&amp;"|"&amp;L$1&amp;"|Output"),"I/O","IN"),IF(COUNTIF(Flows!$M$2:$M$1500,$A37&amp;"|"&amp;L$1&amp;"|Output"),"OUT",""))</f>
        <v/>
      </c>
      <c r="M37" s="33" t="str">
        <f aca="false">IF(COUNTIF(Flows!$M$2:$M$1500,$A37&amp;"|"&amp;M$1&amp;"|Input"),IF(COUNTIF(Flows!$M$2:$M$1500,$A37&amp;"|"&amp;M$1&amp;"|Output"),"I/O","IN"),IF(COUNTIF(Flows!$M$2:$M$1500,$A37&amp;"|"&amp;M$1&amp;"|Output"),"OUT",""))</f>
        <v/>
      </c>
      <c r="N37" s="33" t="str">
        <f aca="false">IF(COUNTIF(Flows!$M$2:$M$1500,$A37&amp;"|"&amp;N$1&amp;"|Input"),IF(COUNTIF(Flows!$M$2:$M$1500,$A37&amp;"|"&amp;N$1&amp;"|Output"),"I/O","IN"),IF(COUNTIF(Flows!$M$2:$M$1500,$A37&amp;"|"&amp;N$1&amp;"|Output"),"OUT",""))</f>
        <v/>
      </c>
      <c r="O37" s="33" t="str">
        <f aca="false">IF(COUNTIF(Flows!$M$2:$M$1500,$A37&amp;"|"&amp;O$1&amp;"|Input"),IF(COUNTIF(Flows!$M$2:$M$1500,$A37&amp;"|"&amp;O$1&amp;"|Output"),"I/O","IN"),IF(COUNTIF(Flows!$M$2:$M$1500,$A37&amp;"|"&amp;O$1&amp;"|Output"),"OUT",""))</f>
        <v/>
      </c>
      <c r="P37" s="33" t="str">
        <f aca="false">IF(COUNTIF(Flows!$M$2:$M$1500,$A37&amp;"|"&amp;P$1&amp;"|Input"),IF(COUNTIF(Flows!$M$2:$M$1500,$A37&amp;"|"&amp;P$1&amp;"|Output"),"I/O","IN"),IF(COUNTIF(Flows!$M$2:$M$1500,$A37&amp;"|"&amp;P$1&amp;"|Output"),"OUT",""))</f>
        <v/>
      </c>
      <c r="Q37" s="33" t="str">
        <f aca="false">IF(COUNTIF(Flows!$M$2:$M$1500,$A37&amp;"|"&amp;Q$1&amp;"|Input"),IF(COUNTIF(Flows!$M$2:$M$1500,$A37&amp;"|"&amp;Q$1&amp;"|Output"),"I/O","IN"),IF(COUNTIF(Flows!$M$2:$M$1500,$A37&amp;"|"&amp;Q$1&amp;"|Output"),"OUT",""))</f>
        <v/>
      </c>
      <c r="R37" s="33" t="str">
        <f aca="false">IF(COUNTIF(Flows!$M$2:$M$1500,$A37&amp;"|"&amp;R$1&amp;"|Input"),IF(COUNTIF(Flows!$M$2:$M$1500,$A37&amp;"|"&amp;R$1&amp;"|Output"),"I/O","IN"),IF(COUNTIF(Flows!$M$2:$M$1500,$A37&amp;"|"&amp;R$1&amp;"|Output"),"OUT",""))</f>
        <v/>
      </c>
      <c r="S37" s="33" t="str">
        <f aca="false">IF(COUNTIF(Flows!$M$2:$M$1500,$A37&amp;"|"&amp;S$1&amp;"|Input"),IF(COUNTIF(Flows!$M$2:$M$1500,$A37&amp;"|"&amp;S$1&amp;"|Output"),"I/O","IN"),IF(COUNTIF(Flows!$M$2:$M$1500,$A37&amp;"|"&amp;S$1&amp;"|Output"),"OUT",""))</f>
        <v/>
      </c>
      <c r="T37" s="33" t="str">
        <f aca="false">IF(COUNTIF(Flows!$M$2:$M$1500,$A37&amp;"|"&amp;T$1&amp;"|Input"),IF(COUNTIF(Flows!$M$2:$M$1500,$A37&amp;"|"&amp;T$1&amp;"|Output"),"I/O","IN"),IF(COUNTIF(Flows!$M$2:$M$1500,$A37&amp;"|"&amp;T$1&amp;"|Output"),"OUT",""))</f>
        <v/>
      </c>
      <c r="U37" s="33" t="str">
        <f aca="false">IF(COUNTIF(Flows!$M$2:$M$1500,$A37&amp;"|"&amp;U$1&amp;"|Input"),IF(COUNTIF(Flows!$M$2:$M$1500,$A37&amp;"|"&amp;U$1&amp;"|Output"),"I/O","IN"),IF(COUNTIF(Flows!$M$2:$M$1500,$A37&amp;"|"&amp;U$1&amp;"|Output"),"OUT",""))</f>
        <v/>
      </c>
      <c r="V37" s="33" t="str">
        <f aca="false">IF(COUNTIF(Flows!$M$2:$M$1500,$A37&amp;"|"&amp;V$1&amp;"|Input"),IF(COUNTIF(Flows!$M$2:$M$1500,$A37&amp;"|"&amp;V$1&amp;"|Output"),"I/O","IN"),IF(COUNTIF(Flows!$M$2:$M$1500,$A37&amp;"|"&amp;V$1&amp;"|Output"),"OUT",""))</f>
        <v/>
      </c>
      <c r="W37" s="33" t="str">
        <f aca="false">IF(COUNTIF(Flows!$M$2:$M$1500,$A37&amp;"|"&amp;W$1&amp;"|Input"),IF(COUNTIF(Flows!$M$2:$M$1500,$A37&amp;"|"&amp;W$1&amp;"|Output"),"I/O","IN"),IF(COUNTIF(Flows!$M$2:$M$1500,$A37&amp;"|"&amp;W$1&amp;"|Output"),"OUT",""))</f>
        <v/>
      </c>
      <c r="X37" s="33" t="str">
        <f aca="false">IF(COUNTIF(Flows!$M$2:$M$1500,$A37&amp;"|"&amp;X$1&amp;"|Input"),IF(COUNTIF(Flows!$M$2:$M$1500,$A37&amp;"|"&amp;X$1&amp;"|Output"),"I/O","IN"),IF(COUNTIF(Flows!$M$2:$M$1500,$A37&amp;"|"&amp;X$1&amp;"|Output"),"OUT",""))</f>
        <v>IN</v>
      </c>
      <c r="Y37" s="33" t="str">
        <f aca="false">IF(COUNTIF(Flows!$M$2:$M$1500,$A37&amp;"|"&amp;Y$1&amp;"|Input"),IF(COUNTIF(Flows!$M$2:$M$1500,$A37&amp;"|"&amp;Y$1&amp;"|Output"),"I/O","IN"),IF(COUNTIF(Flows!$M$2:$M$1500,$A37&amp;"|"&amp;Y$1&amp;"|Output"),"OUT",""))</f>
        <v/>
      </c>
      <c r="Z37" s="33" t="str">
        <f aca="false">IF(COUNTIF(Flows!$M$2:$M$1500,$A37&amp;"|"&amp;Z$1&amp;"|Input"),IF(COUNTIF(Flows!$M$2:$M$1500,$A37&amp;"|"&amp;Z$1&amp;"|Output"),"I/O","IN"),IF(COUNTIF(Flows!$M$2:$M$1500,$A37&amp;"|"&amp;Z$1&amp;"|Output"),"OUT",""))</f>
        <v/>
      </c>
      <c r="AA37" s="33" t="str">
        <f aca="false">IF(COUNTIF(Flows!$M$2:$M$1500,$A37&amp;"|"&amp;AA$1&amp;"|Input"),IF(COUNTIF(Flows!$M$2:$M$1500,$A37&amp;"|"&amp;AA$1&amp;"|Output"),"I/O","IN"),IF(COUNTIF(Flows!$M$2:$M$1500,$A37&amp;"|"&amp;AA$1&amp;"|Output"),"OUT",""))</f>
        <v/>
      </c>
      <c r="AB37" s="33" t="str">
        <f aca="false">IF(COUNTIF(Flows!$M$2:$M$1500,$A37&amp;"|"&amp;AB$1&amp;"|Input"),IF(COUNTIF(Flows!$M$2:$M$1500,$A37&amp;"|"&amp;AB$1&amp;"|Output"),"I/O","IN"),IF(COUNTIF(Flows!$M$2:$M$1500,$A37&amp;"|"&amp;AB$1&amp;"|Output"),"OUT",""))</f>
        <v/>
      </c>
      <c r="AC37" s="33" t="str">
        <f aca="false">IF(COUNTIF(Flows!$M$2:$M$1500,$A37&amp;"|"&amp;AC$1&amp;"|Input"),IF(COUNTIF(Flows!$M$2:$M$1500,$A37&amp;"|"&amp;AC$1&amp;"|Output"),"I/O","IN"),IF(COUNTIF(Flows!$M$2:$M$1500,$A37&amp;"|"&amp;AC$1&amp;"|Output"),"OUT",""))</f>
        <v/>
      </c>
      <c r="AD37" s="33" t="str">
        <f aca="false">IF(COUNTIF(Flows!$M$2:$M$1500,$A37&amp;"|"&amp;AD$1&amp;"|Input"),IF(COUNTIF(Flows!$M$2:$M$1500,$A37&amp;"|"&amp;AD$1&amp;"|Output"),"I/O","IN"),IF(COUNTIF(Flows!$M$2:$M$1500,$A37&amp;"|"&amp;AD$1&amp;"|Output"),"OUT",""))</f>
        <v/>
      </c>
      <c r="AE37" s="33" t="str">
        <f aca="false">IF(COUNTIF(Flows!$M$2:$M$1500,$A37&amp;"|"&amp;AE$1&amp;"|Input"),IF(COUNTIF(Flows!$M$2:$M$1500,$A37&amp;"|"&amp;AE$1&amp;"|Output"),"I/O","IN"),IF(COUNTIF(Flows!$M$2:$M$1500,$A37&amp;"|"&amp;AE$1&amp;"|Output"),"OUT",""))</f>
        <v/>
      </c>
      <c r="AF37" s="33" t="str">
        <f aca="false">IF(COUNTIF(Flows!$M$2:$M$1500,$A37&amp;"|"&amp;AF$1&amp;"|Input"),IF(COUNTIF(Flows!$M$2:$M$1500,$A37&amp;"|"&amp;AF$1&amp;"|Output"),"I/O","IN"),IF(COUNTIF(Flows!$M$2:$M$1500,$A37&amp;"|"&amp;AF$1&amp;"|Output"),"OUT",""))</f>
        <v/>
      </c>
      <c r="AG37" s="33" t="str">
        <f aca="false">IF(COUNTIF(Flows!$M$2:$M$1500,$A37&amp;"|"&amp;AG$1&amp;"|Input"),IF(COUNTIF(Flows!$M$2:$M$1500,$A37&amp;"|"&amp;AG$1&amp;"|Output"),"I/O","IN"),IF(COUNTIF(Flows!$M$2:$M$1500,$A37&amp;"|"&amp;AG$1&amp;"|Output"),"OUT",""))</f>
        <v/>
      </c>
      <c r="AH37" s="33" t="str">
        <f aca="false">IF(COUNTIF(Flows!$M$2:$M$1500,$A37&amp;"|"&amp;AH$1&amp;"|Input"),IF(COUNTIF(Flows!$M$2:$M$1500,$A37&amp;"|"&amp;AH$1&amp;"|Output"),"I/O","IN"),IF(COUNTIF(Flows!$M$2:$M$1500,$A37&amp;"|"&amp;AH$1&amp;"|Output"),"OUT",""))</f>
        <v/>
      </c>
      <c r="AI37" s="33" t="str">
        <f aca="false">IF(COUNTIF(Flows!$M$2:$M$1500,$A37&amp;"|"&amp;AI$1&amp;"|Input"),IF(COUNTIF(Flows!$M$2:$M$1500,$A37&amp;"|"&amp;AI$1&amp;"|Output"),"I/O","IN"),IF(COUNTIF(Flows!$M$2:$M$1500,$A37&amp;"|"&amp;AI$1&amp;"|Output"),"OUT",""))</f>
        <v/>
      </c>
      <c r="AJ37" s="33" t="str">
        <f aca="false">IF(COUNTIF(Flows!$M$2:$M$1500,$A37&amp;"|"&amp;AJ$1&amp;"|Input"),IF(COUNTIF(Flows!$M$2:$M$1500,$A37&amp;"|"&amp;AJ$1&amp;"|Output"),"I/O","IN"),IF(COUNTIF(Flows!$M$2:$M$1500,$A37&amp;"|"&amp;AJ$1&amp;"|Output"),"OUT",""))</f>
        <v/>
      </c>
      <c r="AK37" s="33" t="str">
        <f aca="false">IF(COUNTIF(Flows!$M$2:$M$1500,$A37&amp;"|"&amp;AK$1&amp;"|Input"),IF(COUNTIF(Flows!$M$2:$M$1500,$A37&amp;"|"&amp;AK$1&amp;"|Output"),"I/O","IN"),IF(COUNTIF(Flows!$M$2:$M$1500,$A37&amp;"|"&amp;AK$1&amp;"|Output"),"OUT",""))</f>
        <v/>
      </c>
      <c r="AL37" s="33" t="str">
        <f aca="false">IF(COUNTIF(Flows!$M$2:$M$1500,$A37&amp;"|"&amp;AL$1&amp;"|Input"),IF(COUNTIF(Flows!$M$2:$M$1500,$A37&amp;"|"&amp;AL$1&amp;"|Output"),"I/O","IN"),IF(COUNTIF(Flows!$M$2:$M$1500,$A37&amp;"|"&amp;AL$1&amp;"|Output"),"OUT",""))</f>
        <v/>
      </c>
      <c r="AM37" s="33" t="str">
        <f aca="false">IF(COUNTIF(Flows!$M$2:$M$1500,$A37&amp;"|"&amp;AM$1&amp;"|Input"),IF(COUNTIF(Flows!$M$2:$M$1500,$A37&amp;"|"&amp;AM$1&amp;"|Output"),"I/O","IN"),IF(COUNTIF(Flows!$M$2:$M$1500,$A37&amp;"|"&amp;AM$1&amp;"|Output"),"OUT",""))</f>
        <v/>
      </c>
      <c r="AN37" s="33" t="str">
        <f aca="false">IF(COUNTIF(Flows!$M$2:$M$1500,$A37&amp;"|"&amp;AN$1&amp;"|Input"),IF(COUNTIF(Flows!$M$2:$M$1500,$A37&amp;"|"&amp;AN$1&amp;"|Output"),"I/O","IN"),IF(COUNTIF(Flows!$M$2:$M$1500,$A37&amp;"|"&amp;AN$1&amp;"|Output"),"OUT",""))</f>
        <v/>
      </c>
      <c r="AO37" s="33" t="str">
        <f aca="false">IF(COUNTIF(Flows!$M$2:$M$1500,$A37&amp;"|"&amp;AO$1&amp;"|Input"),IF(COUNTIF(Flows!$M$2:$M$1500,$A37&amp;"|"&amp;AO$1&amp;"|Output"),"I/O","IN"),IF(COUNTIF(Flows!$M$2:$M$1500,$A37&amp;"|"&amp;AO$1&amp;"|Output"),"OUT",""))</f>
        <v/>
      </c>
      <c r="AP37" s="33" t="str">
        <f aca="false">IF(COUNTIF(Flows!$M$2:$M$1500,$A37&amp;"|"&amp;AP$1&amp;"|Input"),IF(COUNTIF(Flows!$M$2:$M$1500,$A37&amp;"|"&amp;AP$1&amp;"|Output"),"I/O","IN"),IF(COUNTIF(Flows!$M$2:$M$1500,$A37&amp;"|"&amp;AP$1&amp;"|Output"),"OUT",""))</f>
        <v>IN</v>
      </c>
      <c r="AQ37" s="33" t="str">
        <f aca="false">IF(COUNTIF(Flows!$M$2:$M$1500,$A37&amp;"|"&amp;AQ$1&amp;"|Input"),IF(COUNTIF(Flows!$M$2:$M$1500,$A37&amp;"|"&amp;AQ$1&amp;"|Output"),"I/O","IN"),IF(COUNTIF(Flows!$M$2:$M$1500,$A37&amp;"|"&amp;AQ$1&amp;"|Output"),"OUT",""))</f>
        <v/>
      </c>
      <c r="AR37" s="33" t="str">
        <f aca="false">IF(COUNTIF(Flows!$M$2:$M$1500,$A37&amp;"|"&amp;AR$1&amp;"|Input"),IF(COUNTIF(Flows!$M$2:$M$1500,$A37&amp;"|"&amp;AR$1&amp;"|Output"),"I/O","IN"),IF(COUNTIF(Flows!$M$2:$M$1500,$A37&amp;"|"&amp;AR$1&amp;"|Output"),"OUT",""))</f>
        <v>IN</v>
      </c>
      <c r="AS37" s="33" t="str">
        <f aca="false">IF(COUNTIF(Flows!$M$2:$M$1500,$A37&amp;"|"&amp;AS$1&amp;"|Input"),IF(COUNTIF(Flows!$M$2:$M$1500,$A37&amp;"|"&amp;AS$1&amp;"|Output"),"I/O","IN"),IF(COUNTIF(Flows!$M$2:$M$1500,$A37&amp;"|"&amp;AS$1&amp;"|Output"),"OUT",""))</f>
        <v>OUT</v>
      </c>
      <c r="AT37" s="33" t="str">
        <f aca="false">IF(COUNTIF(Flows!$M$2:$M$1500,$A37&amp;"|"&amp;AT$1&amp;"|Input"),IF(COUNTIF(Flows!$M$2:$M$1500,$A37&amp;"|"&amp;AT$1&amp;"|Output"),"I/O","IN"),IF(COUNTIF(Flows!$M$2:$M$1500,$A37&amp;"|"&amp;AT$1&amp;"|Output"),"OUT",""))</f>
        <v/>
      </c>
      <c r="AU37" s="33" t="str">
        <f aca="false">IF(COUNTIF(Flows!$M$2:$M$1500,$A37&amp;"|"&amp;AU$1&amp;"|Input"),IF(COUNTIF(Flows!$M$2:$M$1500,$A37&amp;"|"&amp;AU$1&amp;"|Output"),"I/O","IN"),IF(COUNTIF(Flows!$M$2:$M$1500,$A37&amp;"|"&amp;AU$1&amp;"|Output"),"OUT",""))</f>
        <v/>
      </c>
      <c r="AV37" s="33" t="str">
        <f aca="false">IF(COUNTIF(Flows!$M$2:$M$1500,$A37&amp;"|"&amp;AV$1&amp;"|Input"),IF(COUNTIF(Flows!$M$2:$M$1500,$A37&amp;"|"&amp;AV$1&amp;"|Output"),"I/O","IN"),IF(COUNTIF(Flows!$M$2:$M$1500,$A37&amp;"|"&amp;AV$1&amp;"|Output"),"OUT",""))</f>
        <v/>
      </c>
      <c r="AW37" s="33" t="str">
        <f aca="false">IF(COUNTIF(Flows!$M$2:$M$1500,$A37&amp;"|"&amp;AW$1&amp;"|Input"),IF(COUNTIF(Flows!$M$2:$M$1500,$A37&amp;"|"&amp;AW$1&amp;"|Output"),"I/O","IN"),IF(COUNTIF(Flows!$M$2:$M$1500,$A37&amp;"|"&amp;AW$1&amp;"|Output"),"OUT",""))</f>
        <v/>
      </c>
      <c r="AX37" s="33" t="str">
        <f aca="false">IF(COUNTIF(Flows!$M$2:$M$1500,$A37&amp;"|"&amp;AX$1&amp;"|Input"),IF(COUNTIF(Flows!$M$2:$M$1500,$A37&amp;"|"&amp;AX$1&amp;"|Output"),"I/O","IN"),IF(COUNTIF(Flows!$M$2:$M$1500,$A37&amp;"|"&amp;AX$1&amp;"|Output"),"OUT",""))</f>
        <v/>
      </c>
      <c r="AY37" s="33" t="str">
        <f aca="false">IF(COUNTIF(Flows!$M$2:$M$1500,$A37&amp;"|"&amp;AY$1&amp;"|Input"),IF(COUNTIF(Flows!$M$2:$M$1500,$A37&amp;"|"&amp;AY$1&amp;"|Output"),"I/O","IN"),IF(COUNTIF(Flows!$M$2:$M$1500,$A37&amp;"|"&amp;AY$1&amp;"|Output"),"OUT",""))</f>
        <v/>
      </c>
      <c r="AZ37" s="33" t="str">
        <f aca="false">IF(COUNTIF(Flows!$M$2:$M$1500,$A37&amp;"|"&amp;AZ$1&amp;"|Input"),IF(COUNTIF(Flows!$M$2:$M$1500,$A37&amp;"|"&amp;AZ$1&amp;"|Output"),"I/O","IN"),IF(COUNTIF(Flows!$M$2:$M$1500,$A37&amp;"|"&amp;AZ$1&amp;"|Output"),"OUT",""))</f>
        <v/>
      </c>
      <c r="BA37" s="33" t="str">
        <f aca="false">IF(COUNTIF(Flows!$M$2:$M$1500,$A37&amp;"|"&amp;BA$1&amp;"|Input"),IF(COUNTIF(Flows!$M$2:$M$1500,$A37&amp;"|"&amp;BA$1&amp;"|Output"),"I/O","IN"),IF(COUNTIF(Flows!$M$2:$M$1500,$A37&amp;"|"&amp;BA$1&amp;"|Output"),"OUT",""))</f>
        <v/>
      </c>
      <c r="BB37" s="33" t="str">
        <f aca="false">IF(COUNTIF(Flows!$M$2:$M$1500,$A37&amp;"|"&amp;BB$1&amp;"|Input"),IF(COUNTIF(Flows!$M$2:$M$1500,$A37&amp;"|"&amp;BB$1&amp;"|Output"),"I/O","IN"),IF(COUNTIF(Flows!$M$2:$M$1500,$A37&amp;"|"&amp;BB$1&amp;"|Output"),"OUT",""))</f>
        <v/>
      </c>
      <c r="BC37" s="33" t="str">
        <f aca="false">IF(COUNTIF(Flows!$M$2:$M$1500,$A37&amp;"|"&amp;BC$1&amp;"|Input"),IF(COUNTIF(Flows!$M$2:$M$1500,$A37&amp;"|"&amp;BC$1&amp;"|Output"),"I/O","IN"),IF(COUNTIF(Flows!$M$2:$M$1500,$A37&amp;"|"&amp;BC$1&amp;"|Output"),"OUT",""))</f>
        <v/>
      </c>
      <c r="BD37" s="33" t="str">
        <f aca="false">IF(COUNTIF(Flows!$M$2:$M$1500,$A37&amp;"|"&amp;BD$1&amp;"|Input"),IF(COUNTIF(Flows!$M$2:$M$1500,$A37&amp;"|"&amp;BD$1&amp;"|Output"),"I/O","IN"),IF(COUNTIF(Flows!$M$2:$M$1500,$A37&amp;"|"&amp;BD$1&amp;"|Output"),"OUT",""))</f>
        <v/>
      </c>
      <c r="BE37" s="33" t="str">
        <f aca="false">IF(COUNTIF(Flows!$M$2:$M$1500,$A37&amp;"|"&amp;BE$1&amp;"|Input"),IF(COUNTIF(Flows!$M$2:$M$1500,$A37&amp;"|"&amp;BE$1&amp;"|Output"),"I/O","IN"),IF(COUNTIF(Flows!$M$2:$M$1500,$A37&amp;"|"&amp;BE$1&amp;"|Output"),"OUT",""))</f>
        <v/>
      </c>
      <c r="BF37" s="33" t="str">
        <f aca="false">IF(COUNTIF(Flows!$M$2:$M$1500,$A37&amp;"|"&amp;BF$1&amp;"|Input"),IF(COUNTIF(Flows!$M$2:$M$1500,$A37&amp;"|"&amp;BF$1&amp;"|Output"),"I/O","IN"),IF(COUNTIF(Flows!$M$2:$M$1500,$A37&amp;"|"&amp;BF$1&amp;"|Output"),"OUT",""))</f>
        <v/>
      </c>
      <c r="BG37" s="33" t="str">
        <f aca="false">IF(COUNTIF(Flows!$M$2:$M$1500,$A37&amp;"|"&amp;BG$1&amp;"|Input"),IF(COUNTIF(Flows!$M$2:$M$1500,$A37&amp;"|"&amp;BG$1&amp;"|Output"),"I/O","IN"),IF(COUNTIF(Flows!$M$2:$M$1500,$A37&amp;"|"&amp;BG$1&amp;"|Output"),"OUT",""))</f>
        <v/>
      </c>
      <c r="BH37" s="33" t="str">
        <f aca="false">IF(COUNTIF(Flows!$M$2:$M$1500,$A37&amp;"|"&amp;BH$1&amp;"|Input"),IF(COUNTIF(Flows!$M$2:$M$1500,$A37&amp;"|"&amp;BH$1&amp;"|Output"),"I/O","IN"),IF(COUNTIF(Flows!$M$2:$M$1500,$A37&amp;"|"&amp;BH$1&amp;"|Output"),"OUT",""))</f>
        <v/>
      </c>
      <c r="BI37" s="33" t="str">
        <f aca="false">IF(COUNTIF(Flows!$M$2:$M$1500,$A37&amp;"|"&amp;BI$1&amp;"|Input"),IF(COUNTIF(Flows!$M$2:$M$1500,$A37&amp;"|"&amp;BI$1&amp;"|Output"),"I/O","IN"),IF(COUNTIF(Flows!$M$2:$M$1500,$A37&amp;"|"&amp;BI$1&amp;"|Output"),"OUT",""))</f>
        <v/>
      </c>
      <c r="BJ37" s="33" t="str">
        <f aca="false">IF(COUNTIF(Flows!$M$2:$M$1500,$A37&amp;"|"&amp;BJ$1&amp;"|Input"),IF(COUNTIF(Flows!$M$2:$M$1500,$A37&amp;"|"&amp;BJ$1&amp;"|Output"),"I/O","IN"),IF(COUNTIF(Flows!$M$2:$M$1500,$A37&amp;"|"&amp;BJ$1&amp;"|Output"),"OUT",""))</f>
        <v/>
      </c>
      <c r="BK37" s="33" t="str">
        <f aca="false">IF(COUNTIF(Flows!$M$2:$M$1500,$A37&amp;"|"&amp;BK$1&amp;"|Input"),IF(COUNTIF(Flows!$M$2:$M$1500,$A37&amp;"|"&amp;BK$1&amp;"|Output"),"I/O","IN"),IF(COUNTIF(Flows!$M$2:$M$1500,$A37&amp;"|"&amp;BK$1&amp;"|Output"),"OUT",""))</f>
        <v/>
      </c>
    </row>
    <row r="38" customFormat="false" ht="15" hidden="false" customHeight="true" outlineLevel="0" collapsed="false">
      <c r="A38" s="6" t="str">
        <f aca="false">Systems!B38</f>
        <v>Compost Toilet</v>
      </c>
      <c r="B38" s="33" t="str">
        <f aca="false">IF(COUNTIF(Flows!$M$2:$M$1500,$A38&amp;"|"&amp;B$1&amp;"|Input"),IF(COUNTIF(Flows!$M$2:$M$1500,$A38&amp;"|"&amp;B$1&amp;"|Output"),"I/O","IN"),IF(COUNTIF(Flows!$M$2:$M$1500,$A38&amp;"|"&amp;B$1&amp;"|Output"),"OUT",""))</f>
        <v/>
      </c>
      <c r="C38" s="33" t="str">
        <f aca="false">IF(COUNTIF(Flows!$M$2:$M$1500,$A38&amp;"|"&amp;C$1&amp;"|Input"),IF(COUNTIF(Flows!$M$2:$M$1500,$A38&amp;"|"&amp;C$1&amp;"|Output"),"I/O","IN"),IF(COUNTIF(Flows!$M$2:$M$1500,$A38&amp;"|"&amp;C$1&amp;"|Output"),"OUT",""))</f>
        <v/>
      </c>
      <c r="D38" s="33" t="str">
        <f aca="false">IF(COUNTIF(Flows!$M$2:$M$1500,$A38&amp;"|"&amp;D$1&amp;"|Input"),IF(COUNTIF(Flows!$M$2:$M$1500,$A38&amp;"|"&amp;D$1&amp;"|Output"),"I/O","IN"),IF(COUNTIF(Flows!$M$2:$M$1500,$A38&amp;"|"&amp;D$1&amp;"|Output"),"OUT",""))</f>
        <v/>
      </c>
      <c r="E38" s="33" t="str">
        <f aca="false">IF(COUNTIF(Flows!$M$2:$M$1500,$A38&amp;"|"&amp;E$1&amp;"|Input"),IF(COUNTIF(Flows!$M$2:$M$1500,$A38&amp;"|"&amp;E$1&amp;"|Output"),"I/O","IN"),IF(COUNTIF(Flows!$M$2:$M$1500,$A38&amp;"|"&amp;E$1&amp;"|Output"),"OUT",""))</f>
        <v/>
      </c>
      <c r="F38" s="33" t="str">
        <f aca="false">IF(COUNTIF(Flows!$M$2:$M$1500,$A38&amp;"|"&amp;F$1&amp;"|Input"),IF(COUNTIF(Flows!$M$2:$M$1500,$A38&amp;"|"&amp;F$1&amp;"|Output"),"I/O","IN"),IF(COUNTIF(Flows!$M$2:$M$1500,$A38&amp;"|"&amp;F$1&amp;"|Output"),"OUT",""))</f>
        <v/>
      </c>
      <c r="G38" s="33" t="str">
        <f aca="false">IF(COUNTIF(Flows!$M$2:$M$1500,$A38&amp;"|"&amp;G$1&amp;"|Input"),IF(COUNTIF(Flows!$M$2:$M$1500,$A38&amp;"|"&amp;G$1&amp;"|Output"),"I/O","IN"),IF(COUNTIF(Flows!$M$2:$M$1500,$A38&amp;"|"&amp;G$1&amp;"|Output"),"OUT",""))</f>
        <v/>
      </c>
      <c r="H38" s="33" t="str">
        <f aca="false">IF(COUNTIF(Flows!$M$2:$M$1500,$A38&amp;"|"&amp;H$1&amp;"|Input"),IF(COUNTIF(Flows!$M$2:$M$1500,$A38&amp;"|"&amp;H$1&amp;"|Output"),"I/O","IN"),IF(COUNTIF(Flows!$M$2:$M$1500,$A38&amp;"|"&amp;H$1&amp;"|Output"),"OUT",""))</f>
        <v/>
      </c>
      <c r="I38" s="33" t="str">
        <f aca="false">IF(COUNTIF(Flows!$M$2:$M$1500,$A38&amp;"|"&amp;I$1&amp;"|Input"),IF(COUNTIF(Flows!$M$2:$M$1500,$A38&amp;"|"&amp;I$1&amp;"|Output"),"I/O","IN"),IF(COUNTIF(Flows!$M$2:$M$1500,$A38&amp;"|"&amp;I$1&amp;"|Output"),"OUT",""))</f>
        <v/>
      </c>
      <c r="J38" s="33" t="str">
        <f aca="false">IF(COUNTIF(Flows!$M$2:$M$1500,$A38&amp;"|"&amp;J$1&amp;"|Input"),IF(COUNTIF(Flows!$M$2:$M$1500,$A38&amp;"|"&amp;J$1&amp;"|Output"),"I/O","IN"),IF(COUNTIF(Flows!$M$2:$M$1500,$A38&amp;"|"&amp;J$1&amp;"|Output"),"OUT",""))</f>
        <v/>
      </c>
      <c r="K38" s="33" t="str">
        <f aca="false">IF(COUNTIF(Flows!$M$2:$M$1500,$A38&amp;"|"&amp;K$1&amp;"|Input"),IF(COUNTIF(Flows!$M$2:$M$1500,$A38&amp;"|"&amp;K$1&amp;"|Output"),"I/O","IN"),IF(COUNTIF(Flows!$M$2:$M$1500,$A38&amp;"|"&amp;K$1&amp;"|Output"),"OUT",""))</f>
        <v/>
      </c>
      <c r="L38" s="33" t="str">
        <f aca="false">IF(COUNTIF(Flows!$M$2:$M$1500,$A38&amp;"|"&amp;L$1&amp;"|Input"),IF(COUNTIF(Flows!$M$2:$M$1500,$A38&amp;"|"&amp;L$1&amp;"|Output"),"I/O","IN"),IF(COUNTIF(Flows!$M$2:$M$1500,$A38&amp;"|"&amp;L$1&amp;"|Output"),"OUT",""))</f>
        <v/>
      </c>
      <c r="M38" s="33" t="str">
        <f aca="false">IF(COUNTIF(Flows!$M$2:$M$1500,$A38&amp;"|"&amp;M$1&amp;"|Input"),IF(COUNTIF(Flows!$M$2:$M$1500,$A38&amp;"|"&amp;M$1&amp;"|Output"),"I/O","IN"),IF(COUNTIF(Flows!$M$2:$M$1500,$A38&amp;"|"&amp;M$1&amp;"|Output"),"OUT",""))</f>
        <v/>
      </c>
      <c r="N38" s="33" t="str">
        <f aca="false">IF(COUNTIF(Flows!$M$2:$M$1500,$A38&amp;"|"&amp;N$1&amp;"|Input"),IF(COUNTIF(Flows!$M$2:$M$1500,$A38&amp;"|"&amp;N$1&amp;"|Output"),"I/O","IN"),IF(COUNTIF(Flows!$M$2:$M$1500,$A38&amp;"|"&amp;N$1&amp;"|Output"),"OUT",""))</f>
        <v/>
      </c>
      <c r="O38" s="33" t="str">
        <f aca="false">IF(COUNTIF(Flows!$M$2:$M$1500,$A38&amp;"|"&amp;O$1&amp;"|Input"),IF(COUNTIF(Flows!$M$2:$M$1500,$A38&amp;"|"&amp;O$1&amp;"|Output"),"I/O","IN"),IF(COUNTIF(Flows!$M$2:$M$1500,$A38&amp;"|"&amp;O$1&amp;"|Output"),"OUT",""))</f>
        <v/>
      </c>
      <c r="P38" s="33" t="str">
        <f aca="false">IF(COUNTIF(Flows!$M$2:$M$1500,$A38&amp;"|"&amp;P$1&amp;"|Input"),IF(COUNTIF(Flows!$M$2:$M$1500,$A38&amp;"|"&amp;P$1&amp;"|Output"),"I/O","IN"),IF(COUNTIF(Flows!$M$2:$M$1500,$A38&amp;"|"&amp;P$1&amp;"|Output"),"OUT",""))</f>
        <v/>
      </c>
      <c r="Q38" s="33" t="str">
        <f aca="false">IF(COUNTIF(Flows!$M$2:$M$1500,$A38&amp;"|"&amp;Q$1&amp;"|Input"),IF(COUNTIF(Flows!$M$2:$M$1500,$A38&amp;"|"&amp;Q$1&amp;"|Output"),"I/O","IN"),IF(COUNTIF(Flows!$M$2:$M$1500,$A38&amp;"|"&amp;Q$1&amp;"|Output"),"OUT",""))</f>
        <v/>
      </c>
      <c r="R38" s="33" t="str">
        <f aca="false">IF(COUNTIF(Flows!$M$2:$M$1500,$A38&amp;"|"&amp;R$1&amp;"|Input"),IF(COUNTIF(Flows!$M$2:$M$1500,$A38&amp;"|"&amp;R$1&amp;"|Output"),"I/O","IN"),IF(COUNTIF(Flows!$M$2:$M$1500,$A38&amp;"|"&amp;R$1&amp;"|Output"),"OUT",""))</f>
        <v>OUT</v>
      </c>
      <c r="S38" s="33" t="str">
        <f aca="false">IF(COUNTIF(Flows!$M$2:$M$1500,$A38&amp;"|"&amp;S$1&amp;"|Input"),IF(COUNTIF(Flows!$M$2:$M$1500,$A38&amp;"|"&amp;S$1&amp;"|Output"),"I/O","IN"),IF(COUNTIF(Flows!$M$2:$M$1500,$A38&amp;"|"&amp;S$1&amp;"|Output"),"OUT",""))</f>
        <v>IN</v>
      </c>
      <c r="T38" s="33" t="str">
        <f aca="false">IF(COUNTIF(Flows!$M$2:$M$1500,$A38&amp;"|"&amp;T$1&amp;"|Input"),IF(COUNTIF(Flows!$M$2:$M$1500,$A38&amp;"|"&amp;T$1&amp;"|Output"),"I/O","IN"),IF(COUNTIF(Flows!$M$2:$M$1500,$A38&amp;"|"&amp;T$1&amp;"|Output"),"OUT",""))</f>
        <v/>
      </c>
      <c r="U38" s="33" t="str">
        <f aca="false">IF(COUNTIF(Flows!$M$2:$M$1500,$A38&amp;"|"&amp;U$1&amp;"|Input"),IF(COUNTIF(Flows!$M$2:$M$1500,$A38&amp;"|"&amp;U$1&amp;"|Output"),"I/O","IN"),IF(COUNTIF(Flows!$M$2:$M$1500,$A38&amp;"|"&amp;U$1&amp;"|Output"),"OUT",""))</f>
        <v/>
      </c>
      <c r="V38" s="33" t="str">
        <f aca="false">IF(COUNTIF(Flows!$M$2:$M$1500,$A38&amp;"|"&amp;V$1&amp;"|Input"),IF(COUNTIF(Flows!$M$2:$M$1500,$A38&amp;"|"&amp;V$1&amp;"|Output"),"I/O","IN"),IF(COUNTIF(Flows!$M$2:$M$1500,$A38&amp;"|"&amp;V$1&amp;"|Output"),"OUT",""))</f>
        <v/>
      </c>
      <c r="W38" s="33" t="str">
        <f aca="false">IF(COUNTIF(Flows!$M$2:$M$1500,$A38&amp;"|"&amp;W$1&amp;"|Input"),IF(COUNTIF(Flows!$M$2:$M$1500,$A38&amp;"|"&amp;W$1&amp;"|Output"),"I/O","IN"),IF(COUNTIF(Flows!$M$2:$M$1500,$A38&amp;"|"&amp;W$1&amp;"|Output"),"OUT",""))</f>
        <v/>
      </c>
      <c r="X38" s="33" t="str">
        <f aca="false">IF(COUNTIF(Flows!$M$2:$M$1500,$A38&amp;"|"&amp;X$1&amp;"|Input"),IF(COUNTIF(Flows!$M$2:$M$1500,$A38&amp;"|"&amp;X$1&amp;"|Output"),"I/O","IN"),IF(COUNTIF(Flows!$M$2:$M$1500,$A38&amp;"|"&amp;X$1&amp;"|Output"),"OUT",""))</f>
        <v>IN</v>
      </c>
      <c r="Y38" s="33" t="str">
        <f aca="false">IF(COUNTIF(Flows!$M$2:$M$1500,$A38&amp;"|"&amp;Y$1&amp;"|Input"),IF(COUNTIF(Flows!$M$2:$M$1500,$A38&amp;"|"&amp;Y$1&amp;"|Output"),"I/O","IN"),IF(COUNTIF(Flows!$M$2:$M$1500,$A38&amp;"|"&amp;Y$1&amp;"|Output"),"OUT",""))</f>
        <v/>
      </c>
      <c r="Z38" s="33" t="str">
        <f aca="false">IF(COUNTIF(Flows!$M$2:$M$1500,$A38&amp;"|"&amp;Z$1&amp;"|Input"),IF(COUNTIF(Flows!$M$2:$M$1500,$A38&amp;"|"&amp;Z$1&amp;"|Output"),"I/O","IN"),IF(COUNTIF(Flows!$M$2:$M$1500,$A38&amp;"|"&amp;Z$1&amp;"|Output"),"OUT",""))</f>
        <v/>
      </c>
      <c r="AA38" s="33" t="str">
        <f aca="false">IF(COUNTIF(Flows!$M$2:$M$1500,$A38&amp;"|"&amp;AA$1&amp;"|Input"),IF(COUNTIF(Flows!$M$2:$M$1500,$A38&amp;"|"&amp;AA$1&amp;"|Output"),"I/O","IN"),IF(COUNTIF(Flows!$M$2:$M$1500,$A38&amp;"|"&amp;AA$1&amp;"|Output"),"OUT",""))</f>
        <v/>
      </c>
      <c r="AB38" s="33" t="str">
        <f aca="false">IF(COUNTIF(Flows!$M$2:$M$1500,$A38&amp;"|"&amp;AB$1&amp;"|Input"),IF(COUNTIF(Flows!$M$2:$M$1500,$A38&amp;"|"&amp;AB$1&amp;"|Output"),"I/O","IN"),IF(COUNTIF(Flows!$M$2:$M$1500,$A38&amp;"|"&amp;AB$1&amp;"|Output"),"OUT",""))</f>
        <v/>
      </c>
      <c r="AC38" s="33" t="str">
        <f aca="false">IF(COUNTIF(Flows!$M$2:$M$1500,$A38&amp;"|"&amp;AC$1&amp;"|Input"),IF(COUNTIF(Flows!$M$2:$M$1500,$A38&amp;"|"&amp;AC$1&amp;"|Output"),"I/O","IN"),IF(COUNTIF(Flows!$M$2:$M$1500,$A38&amp;"|"&amp;AC$1&amp;"|Output"),"OUT",""))</f>
        <v/>
      </c>
      <c r="AD38" s="33" t="str">
        <f aca="false">IF(COUNTIF(Flows!$M$2:$M$1500,$A38&amp;"|"&amp;AD$1&amp;"|Input"),IF(COUNTIF(Flows!$M$2:$M$1500,$A38&amp;"|"&amp;AD$1&amp;"|Output"),"I/O","IN"),IF(COUNTIF(Flows!$M$2:$M$1500,$A38&amp;"|"&amp;AD$1&amp;"|Output"),"OUT",""))</f>
        <v/>
      </c>
      <c r="AE38" s="33" t="str">
        <f aca="false">IF(COUNTIF(Flows!$M$2:$M$1500,$A38&amp;"|"&amp;AE$1&amp;"|Input"),IF(COUNTIF(Flows!$M$2:$M$1500,$A38&amp;"|"&amp;AE$1&amp;"|Output"),"I/O","IN"),IF(COUNTIF(Flows!$M$2:$M$1500,$A38&amp;"|"&amp;AE$1&amp;"|Output"),"OUT",""))</f>
        <v/>
      </c>
      <c r="AF38" s="33" t="str">
        <f aca="false">IF(COUNTIF(Flows!$M$2:$M$1500,$A38&amp;"|"&amp;AF$1&amp;"|Input"),IF(COUNTIF(Flows!$M$2:$M$1500,$A38&amp;"|"&amp;AF$1&amp;"|Output"),"I/O","IN"),IF(COUNTIF(Flows!$M$2:$M$1500,$A38&amp;"|"&amp;AF$1&amp;"|Output"),"OUT",""))</f>
        <v/>
      </c>
      <c r="AG38" s="33" t="str">
        <f aca="false">IF(COUNTIF(Flows!$M$2:$M$1500,$A38&amp;"|"&amp;AG$1&amp;"|Input"),IF(COUNTIF(Flows!$M$2:$M$1500,$A38&amp;"|"&amp;AG$1&amp;"|Output"),"I/O","IN"),IF(COUNTIF(Flows!$M$2:$M$1500,$A38&amp;"|"&amp;AG$1&amp;"|Output"),"OUT",""))</f>
        <v/>
      </c>
      <c r="AH38" s="33" t="str">
        <f aca="false">IF(COUNTIF(Flows!$M$2:$M$1500,$A38&amp;"|"&amp;AH$1&amp;"|Input"),IF(COUNTIF(Flows!$M$2:$M$1500,$A38&amp;"|"&amp;AH$1&amp;"|Output"),"I/O","IN"),IF(COUNTIF(Flows!$M$2:$M$1500,$A38&amp;"|"&amp;AH$1&amp;"|Output"),"OUT",""))</f>
        <v/>
      </c>
      <c r="AI38" s="33" t="str">
        <f aca="false">IF(COUNTIF(Flows!$M$2:$M$1500,$A38&amp;"|"&amp;AI$1&amp;"|Input"),IF(COUNTIF(Flows!$M$2:$M$1500,$A38&amp;"|"&amp;AI$1&amp;"|Output"),"I/O","IN"),IF(COUNTIF(Flows!$M$2:$M$1500,$A38&amp;"|"&amp;AI$1&amp;"|Output"),"OUT",""))</f>
        <v/>
      </c>
      <c r="AJ38" s="33" t="str">
        <f aca="false">IF(COUNTIF(Flows!$M$2:$M$1500,$A38&amp;"|"&amp;AJ$1&amp;"|Input"),IF(COUNTIF(Flows!$M$2:$M$1500,$A38&amp;"|"&amp;AJ$1&amp;"|Output"),"I/O","IN"),IF(COUNTIF(Flows!$M$2:$M$1500,$A38&amp;"|"&amp;AJ$1&amp;"|Output"),"OUT",""))</f>
        <v/>
      </c>
      <c r="AK38" s="33" t="str">
        <f aca="false">IF(COUNTIF(Flows!$M$2:$M$1500,$A38&amp;"|"&amp;AK$1&amp;"|Input"),IF(COUNTIF(Flows!$M$2:$M$1500,$A38&amp;"|"&amp;AK$1&amp;"|Output"),"I/O","IN"),IF(COUNTIF(Flows!$M$2:$M$1500,$A38&amp;"|"&amp;AK$1&amp;"|Output"),"OUT",""))</f>
        <v/>
      </c>
      <c r="AL38" s="33" t="str">
        <f aca="false">IF(COUNTIF(Flows!$M$2:$M$1500,$A38&amp;"|"&amp;AL$1&amp;"|Input"),IF(COUNTIF(Flows!$M$2:$M$1500,$A38&amp;"|"&amp;AL$1&amp;"|Output"),"I/O","IN"),IF(COUNTIF(Flows!$M$2:$M$1500,$A38&amp;"|"&amp;AL$1&amp;"|Output"),"OUT",""))</f>
        <v/>
      </c>
      <c r="AM38" s="33" t="str">
        <f aca="false">IF(COUNTIF(Flows!$M$2:$M$1500,$A38&amp;"|"&amp;AM$1&amp;"|Input"),IF(COUNTIF(Flows!$M$2:$M$1500,$A38&amp;"|"&amp;AM$1&amp;"|Output"),"I/O","IN"),IF(COUNTIF(Flows!$M$2:$M$1500,$A38&amp;"|"&amp;AM$1&amp;"|Output"),"OUT",""))</f>
        <v/>
      </c>
      <c r="AN38" s="33" t="str">
        <f aca="false">IF(COUNTIF(Flows!$M$2:$M$1500,$A38&amp;"|"&amp;AN$1&amp;"|Input"),IF(COUNTIF(Flows!$M$2:$M$1500,$A38&amp;"|"&amp;AN$1&amp;"|Output"),"I/O","IN"),IF(COUNTIF(Flows!$M$2:$M$1500,$A38&amp;"|"&amp;AN$1&amp;"|Output"),"OUT",""))</f>
        <v/>
      </c>
      <c r="AO38" s="33" t="str">
        <f aca="false">IF(COUNTIF(Flows!$M$2:$M$1500,$A38&amp;"|"&amp;AO$1&amp;"|Input"),IF(COUNTIF(Flows!$M$2:$M$1500,$A38&amp;"|"&amp;AO$1&amp;"|Output"),"I/O","IN"),IF(COUNTIF(Flows!$M$2:$M$1500,$A38&amp;"|"&amp;AO$1&amp;"|Output"),"OUT",""))</f>
        <v/>
      </c>
      <c r="AP38" s="33" t="str">
        <f aca="false">IF(COUNTIF(Flows!$M$2:$M$1500,$A38&amp;"|"&amp;AP$1&amp;"|Input"),IF(COUNTIF(Flows!$M$2:$M$1500,$A38&amp;"|"&amp;AP$1&amp;"|Output"),"I/O","IN"),IF(COUNTIF(Flows!$M$2:$M$1500,$A38&amp;"|"&amp;AP$1&amp;"|Output"),"OUT",""))</f>
        <v/>
      </c>
      <c r="AQ38" s="33" t="str">
        <f aca="false">IF(COUNTIF(Flows!$M$2:$M$1500,$A38&amp;"|"&amp;AQ$1&amp;"|Input"),IF(COUNTIF(Flows!$M$2:$M$1500,$A38&amp;"|"&amp;AQ$1&amp;"|Output"),"I/O","IN"),IF(COUNTIF(Flows!$M$2:$M$1500,$A38&amp;"|"&amp;AQ$1&amp;"|Output"),"OUT",""))</f>
        <v/>
      </c>
      <c r="AR38" s="33" t="str">
        <f aca="false">IF(COUNTIF(Flows!$M$2:$M$1500,$A38&amp;"|"&amp;AR$1&amp;"|Input"),IF(COUNTIF(Flows!$M$2:$M$1500,$A38&amp;"|"&amp;AR$1&amp;"|Output"),"I/O","IN"),IF(COUNTIF(Flows!$M$2:$M$1500,$A38&amp;"|"&amp;AR$1&amp;"|Output"),"OUT",""))</f>
        <v>IN</v>
      </c>
      <c r="AS38" s="33" t="str">
        <f aca="false">IF(COUNTIF(Flows!$M$2:$M$1500,$A38&amp;"|"&amp;AS$1&amp;"|Input"),IF(COUNTIF(Flows!$M$2:$M$1500,$A38&amp;"|"&amp;AS$1&amp;"|Output"),"I/O","IN"),IF(COUNTIF(Flows!$M$2:$M$1500,$A38&amp;"|"&amp;AS$1&amp;"|Output"),"OUT",""))</f>
        <v>OUT</v>
      </c>
      <c r="AT38" s="33" t="str">
        <f aca="false">IF(COUNTIF(Flows!$M$2:$M$1500,$A38&amp;"|"&amp;AT$1&amp;"|Input"),IF(COUNTIF(Flows!$M$2:$M$1500,$A38&amp;"|"&amp;AT$1&amp;"|Output"),"I/O","IN"),IF(COUNTIF(Flows!$M$2:$M$1500,$A38&amp;"|"&amp;AT$1&amp;"|Output"),"OUT",""))</f>
        <v/>
      </c>
      <c r="AU38" s="33" t="str">
        <f aca="false">IF(COUNTIF(Flows!$M$2:$M$1500,$A38&amp;"|"&amp;AU$1&amp;"|Input"),IF(COUNTIF(Flows!$M$2:$M$1500,$A38&amp;"|"&amp;AU$1&amp;"|Output"),"I/O","IN"),IF(COUNTIF(Flows!$M$2:$M$1500,$A38&amp;"|"&amp;AU$1&amp;"|Output"),"OUT",""))</f>
        <v>OUT</v>
      </c>
      <c r="AV38" s="33" t="str">
        <f aca="false">IF(COUNTIF(Flows!$M$2:$M$1500,$A38&amp;"|"&amp;AV$1&amp;"|Input"),IF(COUNTIF(Flows!$M$2:$M$1500,$A38&amp;"|"&amp;AV$1&amp;"|Output"),"I/O","IN"),IF(COUNTIF(Flows!$M$2:$M$1500,$A38&amp;"|"&amp;AV$1&amp;"|Output"),"OUT",""))</f>
        <v/>
      </c>
      <c r="AW38" s="33" t="str">
        <f aca="false">IF(COUNTIF(Flows!$M$2:$M$1500,$A38&amp;"|"&amp;AW$1&amp;"|Input"),IF(COUNTIF(Flows!$M$2:$M$1500,$A38&amp;"|"&amp;AW$1&amp;"|Output"),"I/O","IN"),IF(COUNTIF(Flows!$M$2:$M$1500,$A38&amp;"|"&amp;AW$1&amp;"|Output"),"OUT",""))</f>
        <v>IN</v>
      </c>
      <c r="AX38" s="33" t="str">
        <f aca="false">IF(COUNTIF(Flows!$M$2:$M$1500,$A38&amp;"|"&amp;AX$1&amp;"|Input"),IF(COUNTIF(Flows!$M$2:$M$1500,$A38&amp;"|"&amp;AX$1&amp;"|Output"),"I/O","IN"),IF(COUNTIF(Flows!$M$2:$M$1500,$A38&amp;"|"&amp;AX$1&amp;"|Output"),"OUT",""))</f>
        <v/>
      </c>
      <c r="AY38" s="33" t="str">
        <f aca="false">IF(COUNTIF(Flows!$M$2:$M$1500,$A38&amp;"|"&amp;AY$1&amp;"|Input"),IF(COUNTIF(Flows!$M$2:$M$1500,$A38&amp;"|"&amp;AY$1&amp;"|Output"),"I/O","IN"),IF(COUNTIF(Flows!$M$2:$M$1500,$A38&amp;"|"&amp;AY$1&amp;"|Output"),"OUT",""))</f>
        <v/>
      </c>
      <c r="AZ38" s="33" t="str">
        <f aca="false">IF(COUNTIF(Flows!$M$2:$M$1500,$A38&amp;"|"&amp;AZ$1&amp;"|Input"),IF(COUNTIF(Flows!$M$2:$M$1500,$A38&amp;"|"&amp;AZ$1&amp;"|Output"),"I/O","IN"),IF(COUNTIF(Flows!$M$2:$M$1500,$A38&amp;"|"&amp;AZ$1&amp;"|Output"),"OUT",""))</f>
        <v/>
      </c>
      <c r="BA38" s="33" t="str">
        <f aca="false">IF(COUNTIF(Flows!$M$2:$M$1500,$A38&amp;"|"&amp;BA$1&amp;"|Input"),IF(COUNTIF(Flows!$M$2:$M$1500,$A38&amp;"|"&amp;BA$1&amp;"|Output"),"I/O","IN"),IF(COUNTIF(Flows!$M$2:$M$1500,$A38&amp;"|"&amp;BA$1&amp;"|Output"),"OUT",""))</f>
        <v/>
      </c>
      <c r="BB38" s="33" t="str">
        <f aca="false">IF(COUNTIF(Flows!$M$2:$M$1500,$A38&amp;"|"&amp;BB$1&amp;"|Input"),IF(COUNTIF(Flows!$M$2:$M$1500,$A38&amp;"|"&amp;BB$1&amp;"|Output"),"I/O","IN"),IF(COUNTIF(Flows!$M$2:$M$1500,$A38&amp;"|"&amp;BB$1&amp;"|Output"),"OUT",""))</f>
        <v/>
      </c>
      <c r="BC38" s="33" t="str">
        <f aca="false">IF(COUNTIF(Flows!$M$2:$M$1500,$A38&amp;"|"&amp;BC$1&amp;"|Input"),IF(COUNTIF(Flows!$M$2:$M$1500,$A38&amp;"|"&amp;BC$1&amp;"|Output"),"I/O","IN"),IF(COUNTIF(Flows!$M$2:$M$1500,$A38&amp;"|"&amp;BC$1&amp;"|Output"),"OUT",""))</f>
        <v/>
      </c>
      <c r="BD38" s="33" t="str">
        <f aca="false">IF(COUNTIF(Flows!$M$2:$M$1500,$A38&amp;"|"&amp;BD$1&amp;"|Input"),IF(COUNTIF(Flows!$M$2:$M$1500,$A38&amp;"|"&amp;BD$1&amp;"|Output"),"I/O","IN"),IF(COUNTIF(Flows!$M$2:$M$1500,$A38&amp;"|"&amp;BD$1&amp;"|Output"),"OUT",""))</f>
        <v/>
      </c>
      <c r="BE38" s="33" t="str">
        <f aca="false">IF(COUNTIF(Flows!$M$2:$M$1500,$A38&amp;"|"&amp;BE$1&amp;"|Input"),IF(COUNTIF(Flows!$M$2:$M$1500,$A38&amp;"|"&amp;BE$1&amp;"|Output"),"I/O","IN"),IF(COUNTIF(Flows!$M$2:$M$1500,$A38&amp;"|"&amp;BE$1&amp;"|Output"),"OUT",""))</f>
        <v/>
      </c>
      <c r="BF38" s="33" t="str">
        <f aca="false">IF(COUNTIF(Flows!$M$2:$M$1500,$A38&amp;"|"&amp;BF$1&amp;"|Input"),IF(COUNTIF(Flows!$M$2:$M$1500,$A38&amp;"|"&amp;BF$1&amp;"|Output"),"I/O","IN"),IF(COUNTIF(Flows!$M$2:$M$1500,$A38&amp;"|"&amp;BF$1&amp;"|Output"),"OUT",""))</f>
        <v/>
      </c>
      <c r="BG38" s="33" t="str">
        <f aca="false">IF(COUNTIF(Flows!$M$2:$M$1500,$A38&amp;"|"&amp;BG$1&amp;"|Input"),IF(COUNTIF(Flows!$M$2:$M$1500,$A38&amp;"|"&amp;BG$1&amp;"|Output"),"I/O","IN"),IF(COUNTIF(Flows!$M$2:$M$1500,$A38&amp;"|"&amp;BG$1&amp;"|Output"),"OUT",""))</f>
        <v/>
      </c>
      <c r="BH38" s="33" t="str">
        <f aca="false">IF(COUNTIF(Flows!$M$2:$M$1500,$A38&amp;"|"&amp;BH$1&amp;"|Input"),IF(COUNTIF(Flows!$M$2:$M$1500,$A38&amp;"|"&amp;BH$1&amp;"|Output"),"I/O","IN"),IF(COUNTIF(Flows!$M$2:$M$1500,$A38&amp;"|"&amp;BH$1&amp;"|Output"),"OUT",""))</f>
        <v/>
      </c>
      <c r="BI38" s="33" t="str">
        <f aca="false">IF(COUNTIF(Flows!$M$2:$M$1500,$A38&amp;"|"&amp;BI$1&amp;"|Input"),IF(COUNTIF(Flows!$M$2:$M$1500,$A38&amp;"|"&amp;BI$1&amp;"|Output"),"I/O","IN"),IF(COUNTIF(Flows!$M$2:$M$1500,$A38&amp;"|"&amp;BI$1&amp;"|Output"),"OUT",""))</f>
        <v/>
      </c>
      <c r="BJ38" s="33" t="str">
        <f aca="false">IF(COUNTIF(Flows!$M$2:$M$1500,$A38&amp;"|"&amp;BJ$1&amp;"|Input"),IF(COUNTIF(Flows!$M$2:$M$1500,$A38&amp;"|"&amp;BJ$1&amp;"|Output"),"I/O","IN"),IF(COUNTIF(Flows!$M$2:$M$1500,$A38&amp;"|"&amp;BJ$1&amp;"|Output"),"OUT",""))</f>
        <v/>
      </c>
      <c r="BK38" s="33" t="str">
        <f aca="false">IF(COUNTIF(Flows!$M$2:$M$1500,$A38&amp;"|"&amp;BK$1&amp;"|Input"),IF(COUNTIF(Flows!$M$2:$M$1500,$A38&amp;"|"&amp;BK$1&amp;"|Output"),"I/O","IN"),IF(COUNTIF(Flows!$M$2:$M$1500,$A38&amp;"|"&amp;BK$1&amp;"|Output"),"OUT",""))</f>
        <v/>
      </c>
    </row>
    <row r="39" customFormat="false" ht="15" hidden="false" customHeight="true" outlineLevel="0" collapsed="false">
      <c r="A39" s="6" t="str">
        <f aca="false">Systems!B39</f>
        <v>Throne Composting Toilet</v>
      </c>
      <c r="B39" s="33" t="str">
        <f aca="false">IF(COUNTIF(Flows!$M$2:$M$1500,$A39&amp;"|"&amp;B$1&amp;"|Input"),IF(COUNTIF(Flows!$M$2:$M$1500,$A39&amp;"|"&amp;B$1&amp;"|Output"),"I/O","IN"),IF(COUNTIF(Flows!$M$2:$M$1500,$A39&amp;"|"&amp;B$1&amp;"|Output"),"OUT",""))</f>
        <v/>
      </c>
      <c r="C39" s="33" t="str">
        <f aca="false">IF(COUNTIF(Flows!$M$2:$M$1500,$A39&amp;"|"&amp;C$1&amp;"|Input"),IF(COUNTIF(Flows!$M$2:$M$1500,$A39&amp;"|"&amp;C$1&amp;"|Output"),"I/O","IN"),IF(COUNTIF(Flows!$M$2:$M$1500,$A39&amp;"|"&amp;C$1&amp;"|Output"),"OUT",""))</f>
        <v/>
      </c>
      <c r="D39" s="33" t="str">
        <f aca="false">IF(COUNTIF(Flows!$M$2:$M$1500,$A39&amp;"|"&amp;D$1&amp;"|Input"),IF(COUNTIF(Flows!$M$2:$M$1500,$A39&amp;"|"&amp;D$1&amp;"|Output"),"I/O","IN"),IF(COUNTIF(Flows!$M$2:$M$1500,$A39&amp;"|"&amp;D$1&amp;"|Output"),"OUT",""))</f>
        <v/>
      </c>
      <c r="E39" s="33" t="str">
        <f aca="false">IF(COUNTIF(Flows!$M$2:$M$1500,$A39&amp;"|"&amp;E$1&amp;"|Input"),IF(COUNTIF(Flows!$M$2:$M$1500,$A39&amp;"|"&amp;E$1&amp;"|Output"),"I/O","IN"),IF(COUNTIF(Flows!$M$2:$M$1500,$A39&amp;"|"&amp;E$1&amp;"|Output"),"OUT",""))</f>
        <v/>
      </c>
      <c r="F39" s="33" t="str">
        <f aca="false">IF(COUNTIF(Flows!$M$2:$M$1500,$A39&amp;"|"&amp;F$1&amp;"|Input"),IF(COUNTIF(Flows!$M$2:$M$1500,$A39&amp;"|"&amp;F$1&amp;"|Output"),"I/O","IN"),IF(COUNTIF(Flows!$M$2:$M$1500,$A39&amp;"|"&amp;F$1&amp;"|Output"),"OUT",""))</f>
        <v/>
      </c>
      <c r="G39" s="33" t="str">
        <f aca="false">IF(COUNTIF(Flows!$M$2:$M$1500,$A39&amp;"|"&amp;G$1&amp;"|Input"),IF(COUNTIF(Flows!$M$2:$M$1500,$A39&amp;"|"&amp;G$1&amp;"|Output"),"I/O","IN"),IF(COUNTIF(Flows!$M$2:$M$1500,$A39&amp;"|"&amp;G$1&amp;"|Output"),"OUT",""))</f>
        <v/>
      </c>
      <c r="H39" s="33" t="str">
        <f aca="false">IF(COUNTIF(Flows!$M$2:$M$1500,$A39&amp;"|"&amp;H$1&amp;"|Input"),IF(COUNTIF(Flows!$M$2:$M$1500,$A39&amp;"|"&amp;H$1&amp;"|Output"),"I/O","IN"),IF(COUNTIF(Flows!$M$2:$M$1500,$A39&amp;"|"&amp;H$1&amp;"|Output"),"OUT",""))</f>
        <v/>
      </c>
      <c r="I39" s="33" t="str">
        <f aca="false">IF(COUNTIF(Flows!$M$2:$M$1500,$A39&amp;"|"&amp;I$1&amp;"|Input"),IF(COUNTIF(Flows!$M$2:$M$1500,$A39&amp;"|"&amp;I$1&amp;"|Output"),"I/O","IN"),IF(COUNTIF(Flows!$M$2:$M$1500,$A39&amp;"|"&amp;I$1&amp;"|Output"),"OUT",""))</f>
        <v/>
      </c>
      <c r="J39" s="33" t="str">
        <f aca="false">IF(COUNTIF(Flows!$M$2:$M$1500,$A39&amp;"|"&amp;J$1&amp;"|Input"),IF(COUNTIF(Flows!$M$2:$M$1500,$A39&amp;"|"&amp;J$1&amp;"|Output"),"I/O","IN"),IF(COUNTIF(Flows!$M$2:$M$1500,$A39&amp;"|"&amp;J$1&amp;"|Output"),"OUT",""))</f>
        <v/>
      </c>
      <c r="K39" s="33" t="str">
        <f aca="false">IF(COUNTIF(Flows!$M$2:$M$1500,$A39&amp;"|"&amp;K$1&amp;"|Input"),IF(COUNTIF(Flows!$M$2:$M$1500,$A39&amp;"|"&amp;K$1&amp;"|Output"),"I/O","IN"),IF(COUNTIF(Flows!$M$2:$M$1500,$A39&amp;"|"&amp;K$1&amp;"|Output"),"OUT",""))</f>
        <v/>
      </c>
      <c r="L39" s="33" t="str">
        <f aca="false">IF(COUNTIF(Flows!$M$2:$M$1500,$A39&amp;"|"&amp;L$1&amp;"|Input"),IF(COUNTIF(Flows!$M$2:$M$1500,$A39&amp;"|"&amp;L$1&amp;"|Output"),"I/O","IN"),IF(COUNTIF(Flows!$M$2:$M$1500,$A39&amp;"|"&amp;L$1&amp;"|Output"),"OUT",""))</f>
        <v/>
      </c>
      <c r="M39" s="33" t="str">
        <f aca="false">IF(COUNTIF(Flows!$M$2:$M$1500,$A39&amp;"|"&amp;M$1&amp;"|Input"),IF(COUNTIF(Flows!$M$2:$M$1500,$A39&amp;"|"&amp;M$1&amp;"|Output"),"I/O","IN"),IF(COUNTIF(Flows!$M$2:$M$1500,$A39&amp;"|"&amp;M$1&amp;"|Output"),"OUT",""))</f>
        <v/>
      </c>
      <c r="N39" s="33" t="str">
        <f aca="false">IF(COUNTIF(Flows!$M$2:$M$1500,$A39&amp;"|"&amp;N$1&amp;"|Input"),IF(COUNTIF(Flows!$M$2:$M$1500,$A39&amp;"|"&amp;N$1&amp;"|Output"),"I/O","IN"),IF(COUNTIF(Flows!$M$2:$M$1500,$A39&amp;"|"&amp;N$1&amp;"|Output"),"OUT",""))</f>
        <v/>
      </c>
      <c r="O39" s="33" t="str">
        <f aca="false">IF(COUNTIF(Flows!$M$2:$M$1500,$A39&amp;"|"&amp;O$1&amp;"|Input"),IF(COUNTIF(Flows!$M$2:$M$1500,$A39&amp;"|"&amp;O$1&amp;"|Output"),"I/O","IN"),IF(COUNTIF(Flows!$M$2:$M$1500,$A39&amp;"|"&amp;O$1&amp;"|Output"),"OUT",""))</f>
        <v/>
      </c>
      <c r="P39" s="33" t="str">
        <f aca="false">IF(COUNTIF(Flows!$M$2:$M$1500,$A39&amp;"|"&amp;P$1&amp;"|Input"),IF(COUNTIF(Flows!$M$2:$M$1500,$A39&amp;"|"&amp;P$1&amp;"|Output"),"I/O","IN"),IF(COUNTIF(Flows!$M$2:$M$1500,$A39&amp;"|"&amp;P$1&amp;"|Output"),"OUT",""))</f>
        <v/>
      </c>
      <c r="Q39" s="33" t="str">
        <f aca="false">IF(COUNTIF(Flows!$M$2:$M$1500,$A39&amp;"|"&amp;Q$1&amp;"|Input"),IF(COUNTIF(Flows!$M$2:$M$1500,$A39&amp;"|"&amp;Q$1&amp;"|Output"),"I/O","IN"),IF(COUNTIF(Flows!$M$2:$M$1500,$A39&amp;"|"&amp;Q$1&amp;"|Output"),"OUT",""))</f>
        <v/>
      </c>
      <c r="R39" s="33" t="str">
        <f aca="false">IF(COUNTIF(Flows!$M$2:$M$1500,$A39&amp;"|"&amp;R$1&amp;"|Input"),IF(COUNTIF(Flows!$M$2:$M$1500,$A39&amp;"|"&amp;R$1&amp;"|Output"),"I/O","IN"),IF(COUNTIF(Flows!$M$2:$M$1500,$A39&amp;"|"&amp;R$1&amp;"|Output"),"OUT",""))</f>
        <v>OUT</v>
      </c>
      <c r="S39" s="33" t="str">
        <f aca="false">IF(COUNTIF(Flows!$M$2:$M$1500,$A39&amp;"|"&amp;S$1&amp;"|Input"),IF(COUNTIF(Flows!$M$2:$M$1500,$A39&amp;"|"&amp;S$1&amp;"|Output"),"I/O","IN"),IF(COUNTIF(Flows!$M$2:$M$1500,$A39&amp;"|"&amp;S$1&amp;"|Output"),"OUT",""))</f>
        <v>IN</v>
      </c>
      <c r="T39" s="33" t="str">
        <f aca="false">IF(COUNTIF(Flows!$M$2:$M$1500,$A39&amp;"|"&amp;T$1&amp;"|Input"),IF(COUNTIF(Flows!$M$2:$M$1500,$A39&amp;"|"&amp;T$1&amp;"|Output"),"I/O","IN"),IF(COUNTIF(Flows!$M$2:$M$1500,$A39&amp;"|"&amp;T$1&amp;"|Output"),"OUT",""))</f>
        <v/>
      </c>
      <c r="U39" s="33" t="str">
        <f aca="false">IF(COUNTIF(Flows!$M$2:$M$1500,$A39&amp;"|"&amp;U$1&amp;"|Input"),IF(COUNTIF(Flows!$M$2:$M$1500,$A39&amp;"|"&amp;U$1&amp;"|Output"),"I/O","IN"),IF(COUNTIF(Flows!$M$2:$M$1500,$A39&amp;"|"&amp;U$1&amp;"|Output"),"OUT",""))</f>
        <v/>
      </c>
      <c r="V39" s="33" t="str">
        <f aca="false">IF(COUNTIF(Flows!$M$2:$M$1500,$A39&amp;"|"&amp;V$1&amp;"|Input"),IF(COUNTIF(Flows!$M$2:$M$1500,$A39&amp;"|"&amp;V$1&amp;"|Output"),"I/O","IN"),IF(COUNTIF(Flows!$M$2:$M$1500,$A39&amp;"|"&amp;V$1&amp;"|Output"),"OUT",""))</f>
        <v/>
      </c>
      <c r="W39" s="33" t="str">
        <f aca="false">IF(COUNTIF(Flows!$M$2:$M$1500,$A39&amp;"|"&amp;W$1&amp;"|Input"),IF(COUNTIF(Flows!$M$2:$M$1500,$A39&amp;"|"&amp;W$1&amp;"|Output"),"I/O","IN"),IF(COUNTIF(Flows!$M$2:$M$1500,$A39&amp;"|"&amp;W$1&amp;"|Output"),"OUT",""))</f>
        <v/>
      </c>
      <c r="X39" s="33" t="str">
        <f aca="false">IF(COUNTIF(Flows!$M$2:$M$1500,$A39&amp;"|"&amp;X$1&amp;"|Input"),IF(COUNTIF(Flows!$M$2:$M$1500,$A39&amp;"|"&amp;X$1&amp;"|Output"),"I/O","IN"),IF(COUNTIF(Flows!$M$2:$M$1500,$A39&amp;"|"&amp;X$1&amp;"|Output"),"OUT",""))</f>
        <v>IN</v>
      </c>
      <c r="Y39" s="33" t="str">
        <f aca="false">IF(COUNTIF(Flows!$M$2:$M$1500,$A39&amp;"|"&amp;Y$1&amp;"|Input"),IF(COUNTIF(Flows!$M$2:$M$1500,$A39&amp;"|"&amp;Y$1&amp;"|Output"),"I/O","IN"),IF(COUNTIF(Flows!$M$2:$M$1500,$A39&amp;"|"&amp;Y$1&amp;"|Output"),"OUT",""))</f>
        <v/>
      </c>
      <c r="Z39" s="33" t="str">
        <f aca="false">IF(COUNTIF(Flows!$M$2:$M$1500,$A39&amp;"|"&amp;Z$1&amp;"|Input"),IF(COUNTIF(Flows!$M$2:$M$1500,$A39&amp;"|"&amp;Z$1&amp;"|Output"),"I/O","IN"),IF(COUNTIF(Flows!$M$2:$M$1500,$A39&amp;"|"&amp;Z$1&amp;"|Output"),"OUT",""))</f>
        <v/>
      </c>
      <c r="AA39" s="33" t="str">
        <f aca="false">IF(COUNTIF(Flows!$M$2:$M$1500,$A39&amp;"|"&amp;AA$1&amp;"|Input"),IF(COUNTIF(Flows!$M$2:$M$1500,$A39&amp;"|"&amp;AA$1&amp;"|Output"),"I/O","IN"),IF(COUNTIF(Flows!$M$2:$M$1500,$A39&amp;"|"&amp;AA$1&amp;"|Output"),"OUT",""))</f>
        <v/>
      </c>
      <c r="AB39" s="33" t="str">
        <f aca="false">IF(COUNTIF(Flows!$M$2:$M$1500,$A39&amp;"|"&amp;AB$1&amp;"|Input"),IF(COUNTIF(Flows!$M$2:$M$1500,$A39&amp;"|"&amp;AB$1&amp;"|Output"),"I/O","IN"),IF(COUNTIF(Flows!$M$2:$M$1500,$A39&amp;"|"&amp;AB$1&amp;"|Output"),"OUT",""))</f>
        <v/>
      </c>
      <c r="AC39" s="33" t="str">
        <f aca="false">IF(COUNTIF(Flows!$M$2:$M$1500,$A39&amp;"|"&amp;AC$1&amp;"|Input"),IF(COUNTIF(Flows!$M$2:$M$1500,$A39&amp;"|"&amp;AC$1&amp;"|Output"),"I/O","IN"),IF(COUNTIF(Flows!$M$2:$M$1500,$A39&amp;"|"&amp;AC$1&amp;"|Output"),"OUT",""))</f>
        <v/>
      </c>
      <c r="AD39" s="33" t="str">
        <f aca="false">IF(COUNTIF(Flows!$M$2:$M$1500,$A39&amp;"|"&amp;AD$1&amp;"|Input"),IF(COUNTIF(Flows!$M$2:$M$1500,$A39&amp;"|"&amp;AD$1&amp;"|Output"),"I/O","IN"),IF(COUNTIF(Flows!$M$2:$M$1500,$A39&amp;"|"&amp;AD$1&amp;"|Output"),"OUT",""))</f>
        <v/>
      </c>
      <c r="AE39" s="33" t="str">
        <f aca="false">IF(COUNTIF(Flows!$M$2:$M$1500,$A39&amp;"|"&amp;AE$1&amp;"|Input"),IF(COUNTIF(Flows!$M$2:$M$1500,$A39&amp;"|"&amp;AE$1&amp;"|Output"),"I/O","IN"),IF(COUNTIF(Flows!$M$2:$M$1500,$A39&amp;"|"&amp;AE$1&amp;"|Output"),"OUT",""))</f>
        <v/>
      </c>
      <c r="AF39" s="33" t="str">
        <f aca="false">IF(COUNTIF(Flows!$M$2:$M$1500,$A39&amp;"|"&amp;AF$1&amp;"|Input"),IF(COUNTIF(Flows!$M$2:$M$1500,$A39&amp;"|"&amp;AF$1&amp;"|Output"),"I/O","IN"),IF(COUNTIF(Flows!$M$2:$M$1500,$A39&amp;"|"&amp;AF$1&amp;"|Output"),"OUT",""))</f>
        <v/>
      </c>
      <c r="AG39" s="33" t="str">
        <f aca="false">IF(COUNTIF(Flows!$M$2:$M$1500,$A39&amp;"|"&amp;AG$1&amp;"|Input"),IF(COUNTIF(Flows!$M$2:$M$1500,$A39&amp;"|"&amp;AG$1&amp;"|Output"),"I/O","IN"),IF(COUNTIF(Flows!$M$2:$M$1500,$A39&amp;"|"&amp;AG$1&amp;"|Output"),"OUT",""))</f>
        <v/>
      </c>
      <c r="AH39" s="33" t="str">
        <f aca="false">IF(COUNTIF(Flows!$M$2:$M$1500,$A39&amp;"|"&amp;AH$1&amp;"|Input"),IF(COUNTIF(Flows!$M$2:$M$1500,$A39&amp;"|"&amp;AH$1&amp;"|Output"),"I/O","IN"),IF(COUNTIF(Flows!$M$2:$M$1500,$A39&amp;"|"&amp;AH$1&amp;"|Output"),"OUT",""))</f>
        <v/>
      </c>
      <c r="AI39" s="33" t="str">
        <f aca="false">IF(COUNTIF(Flows!$M$2:$M$1500,$A39&amp;"|"&amp;AI$1&amp;"|Input"),IF(COUNTIF(Flows!$M$2:$M$1500,$A39&amp;"|"&amp;AI$1&amp;"|Output"),"I/O","IN"),IF(COUNTIF(Flows!$M$2:$M$1500,$A39&amp;"|"&amp;AI$1&amp;"|Output"),"OUT",""))</f>
        <v/>
      </c>
      <c r="AJ39" s="33" t="str">
        <f aca="false">IF(COUNTIF(Flows!$M$2:$M$1500,$A39&amp;"|"&amp;AJ$1&amp;"|Input"),IF(COUNTIF(Flows!$M$2:$M$1500,$A39&amp;"|"&amp;AJ$1&amp;"|Output"),"I/O","IN"),IF(COUNTIF(Flows!$M$2:$M$1500,$A39&amp;"|"&amp;AJ$1&amp;"|Output"),"OUT",""))</f>
        <v/>
      </c>
      <c r="AK39" s="33" t="str">
        <f aca="false">IF(COUNTIF(Flows!$M$2:$M$1500,$A39&amp;"|"&amp;AK$1&amp;"|Input"),IF(COUNTIF(Flows!$M$2:$M$1500,$A39&amp;"|"&amp;AK$1&amp;"|Output"),"I/O","IN"),IF(COUNTIF(Flows!$M$2:$M$1500,$A39&amp;"|"&amp;AK$1&amp;"|Output"),"OUT",""))</f>
        <v/>
      </c>
      <c r="AL39" s="33" t="str">
        <f aca="false">IF(COUNTIF(Flows!$M$2:$M$1500,$A39&amp;"|"&amp;AL$1&amp;"|Input"),IF(COUNTIF(Flows!$M$2:$M$1500,$A39&amp;"|"&amp;AL$1&amp;"|Output"),"I/O","IN"),IF(COUNTIF(Flows!$M$2:$M$1500,$A39&amp;"|"&amp;AL$1&amp;"|Output"),"OUT",""))</f>
        <v/>
      </c>
      <c r="AM39" s="33" t="str">
        <f aca="false">IF(COUNTIF(Flows!$M$2:$M$1500,$A39&amp;"|"&amp;AM$1&amp;"|Input"),IF(COUNTIF(Flows!$M$2:$M$1500,$A39&amp;"|"&amp;AM$1&amp;"|Output"),"I/O","IN"),IF(COUNTIF(Flows!$M$2:$M$1500,$A39&amp;"|"&amp;AM$1&amp;"|Output"),"OUT",""))</f>
        <v/>
      </c>
      <c r="AN39" s="33" t="str">
        <f aca="false">IF(COUNTIF(Flows!$M$2:$M$1500,$A39&amp;"|"&amp;AN$1&amp;"|Input"),IF(COUNTIF(Flows!$M$2:$M$1500,$A39&amp;"|"&amp;AN$1&amp;"|Output"),"I/O","IN"),IF(COUNTIF(Flows!$M$2:$M$1500,$A39&amp;"|"&amp;AN$1&amp;"|Output"),"OUT",""))</f>
        <v/>
      </c>
      <c r="AO39" s="33" t="str">
        <f aca="false">IF(COUNTIF(Flows!$M$2:$M$1500,$A39&amp;"|"&amp;AO$1&amp;"|Input"),IF(COUNTIF(Flows!$M$2:$M$1500,$A39&amp;"|"&amp;AO$1&amp;"|Output"),"I/O","IN"),IF(COUNTIF(Flows!$M$2:$M$1500,$A39&amp;"|"&amp;AO$1&amp;"|Output"),"OUT",""))</f>
        <v/>
      </c>
      <c r="AP39" s="33" t="str">
        <f aca="false">IF(COUNTIF(Flows!$M$2:$M$1500,$A39&amp;"|"&amp;AP$1&amp;"|Input"),IF(COUNTIF(Flows!$M$2:$M$1500,$A39&amp;"|"&amp;AP$1&amp;"|Output"),"I/O","IN"),IF(COUNTIF(Flows!$M$2:$M$1500,$A39&amp;"|"&amp;AP$1&amp;"|Output"),"OUT",""))</f>
        <v/>
      </c>
      <c r="AQ39" s="33" t="str">
        <f aca="false">IF(COUNTIF(Flows!$M$2:$M$1500,$A39&amp;"|"&amp;AQ$1&amp;"|Input"),IF(COUNTIF(Flows!$M$2:$M$1500,$A39&amp;"|"&amp;AQ$1&amp;"|Output"),"I/O","IN"),IF(COUNTIF(Flows!$M$2:$M$1500,$A39&amp;"|"&amp;AQ$1&amp;"|Output"),"OUT",""))</f>
        <v/>
      </c>
      <c r="AR39" s="33" t="str">
        <f aca="false">IF(COUNTIF(Flows!$M$2:$M$1500,$A39&amp;"|"&amp;AR$1&amp;"|Input"),IF(COUNTIF(Flows!$M$2:$M$1500,$A39&amp;"|"&amp;AR$1&amp;"|Output"),"I/O","IN"),IF(COUNTIF(Flows!$M$2:$M$1500,$A39&amp;"|"&amp;AR$1&amp;"|Output"),"OUT",""))</f>
        <v>IN</v>
      </c>
      <c r="AS39" s="33" t="str">
        <f aca="false">IF(COUNTIF(Flows!$M$2:$M$1500,$A39&amp;"|"&amp;AS$1&amp;"|Input"),IF(COUNTIF(Flows!$M$2:$M$1500,$A39&amp;"|"&amp;AS$1&amp;"|Output"),"I/O","IN"),IF(COUNTIF(Flows!$M$2:$M$1500,$A39&amp;"|"&amp;AS$1&amp;"|Output"),"OUT",""))</f>
        <v>OUT</v>
      </c>
      <c r="AT39" s="33" t="str">
        <f aca="false">IF(COUNTIF(Flows!$M$2:$M$1500,$A39&amp;"|"&amp;AT$1&amp;"|Input"),IF(COUNTIF(Flows!$M$2:$M$1500,$A39&amp;"|"&amp;AT$1&amp;"|Output"),"I/O","IN"),IF(COUNTIF(Flows!$M$2:$M$1500,$A39&amp;"|"&amp;AT$1&amp;"|Output"),"OUT",""))</f>
        <v/>
      </c>
      <c r="AU39" s="33" t="str">
        <f aca="false">IF(COUNTIF(Flows!$M$2:$M$1500,$A39&amp;"|"&amp;AU$1&amp;"|Input"),IF(COUNTIF(Flows!$M$2:$M$1500,$A39&amp;"|"&amp;AU$1&amp;"|Output"),"I/O","IN"),IF(COUNTIF(Flows!$M$2:$M$1500,$A39&amp;"|"&amp;AU$1&amp;"|Output"),"OUT",""))</f>
        <v/>
      </c>
      <c r="AV39" s="33" t="str">
        <f aca="false">IF(COUNTIF(Flows!$M$2:$M$1500,$A39&amp;"|"&amp;AV$1&amp;"|Input"),IF(COUNTIF(Flows!$M$2:$M$1500,$A39&amp;"|"&amp;AV$1&amp;"|Output"),"I/O","IN"),IF(COUNTIF(Flows!$M$2:$M$1500,$A39&amp;"|"&amp;AV$1&amp;"|Output"),"OUT",""))</f>
        <v/>
      </c>
      <c r="AW39" s="33" t="str">
        <f aca="false">IF(COUNTIF(Flows!$M$2:$M$1500,$A39&amp;"|"&amp;AW$1&amp;"|Input"),IF(COUNTIF(Flows!$M$2:$M$1500,$A39&amp;"|"&amp;AW$1&amp;"|Output"),"I/O","IN"),IF(COUNTIF(Flows!$M$2:$M$1500,$A39&amp;"|"&amp;AW$1&amp;"|Output"),"OUT",""))</f>
        <v>IN</v>
      </c>
      <c r="AX39" s="33" t="str">
        <f aca="false">IF(COUNTIF(Flows!$M$2:$M$1500,$A39&amp;"|"&amp;AX$1&amp;"|Input"),IF(COUNTIF(Flows!$M$2:$M$1500,$A39&amp;"|"&amp;AX$1&amp;"|Output"),"I/O","IN"),IF(COUNTIF(Flows!$M$2:$M$1500,$A39&amp;"|"&amp;AX$1&amp;"|Output"),"OUT",""))</f>
        <v/>
      </c>
      <c r="AY39" s="33" t="str">
        <f aca="false">IF(COUNTIF(Flows!$M$2:$M$1500,$A39&amp;"|"&amp;AY$1&amp;"|Input"),IF(COUNTIF(Flows!$M$2:$M$1500,$A39&amp;"|"&amp;AY$1&amp;"|Output"),"I/O","IN"),IF(COUNTIF(Flows!$M$2:$M$1500,$A39&amp;"|"&amp;AY$1&amp;"|Output"),"OUT",""))</f>
        <v/>
      </c>
      <c r="AZ39" s="33" t="str">
        <f aca="false">IF(COUNTIF(Flows!$M$2:$M$1500,$A39&amp;"|"&amp;AZ$1&amp;"|Input"),IF(COUNTIF(Flows!$M$2:$M$1500,$A39&amp;"|"&amp;AZ$1&amp;"|Output"),"I/O","IN"),IF(COUNTIF(Flows!$M$2:$M$1500,$A39&amp;"|"&amp;AZ$1&amp;"|Output"),"OUT",""))</f>
        <v/>
      </c>
      <c r="BA39" s="33" t="str">
        <f aca="false">IF(COUNTIF(Flows!$M$2:$M$1500,$A39&amp;"|"&amp;BA$1&amp;"|Input"),IF(COUNTIF(Flows!$M$2:$M$1500,$A39&amp;"|"&amp;BA$1&amp;"|Output"),"I/O","IN"),IF(COUNTIF(Flows!$M$2:$M$1500,$A39&amp;"|"&amp;BA$1&amp;"|Output"),"OUT",""))</f>
        <v/>
      </c>
      <c r="BB39" s="33" t="str">
        <f aca="false">IF(COUNTIF(Flows!$M$2:$M$1500,$A39&amp;"|"&amp;BB$1&amp;"|Input"),IF(COUNTIF(Flows!$M$2:$M$1500,$A39&amp;"|"&amp;BB$1&amp;"|Output"),"I/O","IN"),IF(COUNTIF(Flows!$M$2:$M$1500,$A39&amp;"|"&amp;BB$1&amp;"|Output"),"OUT",""))</f>
        <v/>
      </c>
      <c r="BC39" s="33" t="str">
        <f aca="false">IF(COUNTIF(Flows!$M$2:$M$1500,$A39&amp;"|"&amp;BC$1&amp;"|Input"),IF(COUNTIF(Flows!$M$2:$M$1500,$A39&amp;"|"&amp;BC$1&amp;"|Output"),"I/O","IN"),IF(COUNTIF(Flows!$M$2:$M$1500,$A39&amp;"|"&amp;BC$1&amp;"|Output"),"OUT",""))</f>
        <v/>
      </c>
      <c r="BD39" s="33" t="str">
        <f aca="false">IF(COUNTIF(Flows!$M$2:$M$1500,$A39&amp;"|"&amp;BD$1&amp;"|Input"),IF(COUNTIF(Flows!$M$2:$M$1500,$A39&amp;"|"&amp;BD$1&amp;"|Output"),"I/O","IN"),IF(COUNTIF(Flows!$M$2:$M$1500,$A39&amp;"|"&amp;BD$1&amp;"|Output"),"OUT",""))</f>
        <v/>
      </c>
      <c r="BE39" s="33" t="str">
        <f aca="false">IF(COUNTIF(Flows!$M$2:$M$1500,$A39&amp;"|"&amp;BE$1&amp;"|Input"),IF(COUNTIF(Flows!$M$2:$M$1500,$A39&amp;"|"&amp;BE$1&amp;"|Output"),"I/O","IN"),IF(COUNTIF(Flows!$M$2:$M$1500,$A39&amp;"|"&amp;BE$1&amp;"|Output"),"OUT",""))</f>
        <v/>
      </c>
      <c r="BF39" s="33" t="str">
        <f aca="false">IF(COUNTIF(Flows!$M$2:$M$1500,$A39&amp;"|"&amp;BF$1&amp;"|Input"),IF(COUNTIF(Flows!$M$2:$M$1500,$A39&amp;"|"&amp;BF$1&amp;"|Output"),"I/O","IN"),IF(COUNTIF(Flows!$M$2:$M$1500,$A39&amp;"|"&amp;BF$1&amp;"|Output"),"OUT",""))</f>
        <v/>
      </c>
      <c r="BG39" s="33" t="str">
        <f aca="false">IF(COUNTIF(Flows!$M$2:$M$1500,$A39&amp;"|"&amp;BG$1&amp;"|Input"),IF(COUNTIF(Flows!$M$2:$M$1500,$A39&amp;"|"&amp;BG$1&amp;"|Output"),"I/O","IN"),IF(COUNTIF(Flows!$M$2:$M$1500,$A39&amp;"|"&amp;BG$1&amp;"|Output"),"OUT",""))</f>
        <v/>
      </c>
      <c r="BH39" s="33" t="str">
        <f aca="false">IF(COUNTIF(Flows!$M$2:$M$1500,$A39&amp;"|"&amp;BH$1&amp;"|Input"),IF(COUNTIF(Flows!$M$2:$M$1500,$A39&amp;"|"&amp;BH$1&amp;"|Output"),"I/O","IN"),IF(COUNTIF(Flows!$M$2:$M$1500,$A39&amp;"|"&amp;BH$1&amp;"|Output"),"OUT",""))</f>
        <v/>
      </c>
      <c r="BI39" s="33" t="str">
        <f aca="false">IF(COUNTIF(Flows!$M$2:$M$1500,$A39&amp;"|"&amp;BI$1&amp;"|Input"),IF(COUNTIF(Flows!$M$2:$M$1500,$A39&amp;"|"&amp;BI$1&amp;"|Output"),"I/O","IN"),IF(COUNTIF(Flows!$M$2:$M$1500,$A39&amp;"|"&amp;BI$1&amp;"|Output"),"OUT",""))</f>
        <v/>
      </c>
      <c r="BJ39" s="33" t="str">
        <f aca="false">IF(COUNTIF(Flows!$M$2:$M$1500,$A39&amp;"|"&amp;BJ$1&amp;"|Input"),IF(COUNTIF(Flows!$M$2:$M$1500,$A39&amp;"|"&amp;BJ$1&amp;"|Output"),"I/O","IN"),IF(COUNTIF(Flows!$M$2:$M$1500,$A39&amp;"|"&amp;BJ$1&amp;"|Output"),"OUT",""))</f>
        <v/>
      </c>
      <c r="BK39" s="33" t="str">
        <f aca="false">IF(COUNTIF(Flows!$M$2:$M$1500,$A39&amp;"|"&amp;BK$1&amp;"|Input"),IF(COUNTIF(Flows!$M$2:$M$1500,$A39&amp;"|"&amp;BK$1&amp;"|Output"),"I/O","IN"),IF(COUNTIF(Flows!$M$2:$M$1500,$A39&amp;"|"&amp;BK$1&amp;"|Output"),"OUT",""))</f>
        <v/>
      </c>
    </row>
    <row r="40" customFormat="false" ht="15" hidden="false" customHeight="true" outlineLevel="0" collapsed="false">
      <c r="A40" s="6" t="str">
        <f aca="false">Systems!B40</f>
        <v>GoSun Solar Oven</v>
      </c>
      <c r="B40" s="33" t="str">
        <f aca="false">IF(COUNTIF(Flows!$M$2:$M$1500,$A40&amp;"|"&amp;B$1&amp;"|Input"),IF(COUNTIF(Flows!$M$2:$M$1500,$A40&amp;"|"&amp;B$1&amp;"|Output"),"I/O","IN"),IF(COUNTIF(Flows!$M$2:$M$1500,$A40&amp;"|"&amp;B$1&amp;"|Output"),"OUT",""))</f>
        <v/>
      </c>
      <c r="C40" s="33" t="str">
        <f aca="false">IF(COUNTIF(Flows!$M$2:$M$1500,$A40&amp;"|"&amp;C$1&amp;"|Input"),IF(COUNTIF(Flows!$M$2:$M$1500,$A40&amp;"|"&amp;C$1&amp;"|Output"),"I/O","IN"),IF(COUNTIF(Flows!$M$2:$M$1500,$A40&amp;"|"&amp;C$1&amp;"|Output"),"OUT",""))</f>
        <v/>
      </c>
      <c r="D40" s="33" t="str">
        <f aca="false">IF(COUNTIF(Flows!$M$2:$M$1500,$A40&amp;"|"&amp;D$1&amp;"|Input"),IF(COUNTIF(Flows!$M$2:$M$1500,$A40&amp;"|"&amp;D$1&amp;"|Output"),"I/O","IN"),IF(COUNTIF(Flows!$M$2:$M$1500,$A40&amp;"|"&amp;D$1&amp;"|Output"),"OUT",""))</f>
        <v/>
      </c>
      <c r="E40" s="33" t="str">
        <f aca="false">IF(COUNTIF(Flows!$M$2:$M$1500,$A40&amp;"|"&amp;E$1&amp;"|Input"),IF(COUNTIF(Flows!$M$2:$M$1500,$A40&amp;"|"&amp;E$1&amp;"|Output"),"I/O","IN"),IF(COUNTIF(Flows!$M$2:$M$1500,$A40&amp;"|"&amp;E$1&amp;"|Output"),"OUT",""))</f>
        <v/>
      </c>
      <c r="F40" s="33" t="str">
        <f aca="false">IF(COUNTIF(Flows!$M$2:$M$1500,$A40&amp;"|"&amp;F$1&amp;"|Input"),IF(COUNTIF(Flows!$M$2:$M$1500,$A40&amp;"|"&amp;F$1&amp;"|Output"),"I/O","IN"),IF(COUNTIF(Flows!$M$2:$M$1500,$A40&amp;"|"&amp;F$1&amp;"|Output"),"OUT",""))</f>
        <v/>
      </c>
      <c r="G40" s="33" t="str">
        <f aca="false">IF(COUNTIF(Flows!$M$2:$M$1500,$A40&amp;"|"&amp;G$1&amp;"|Input"),IF(COUNTIF(Flows!$M$2:$M$1500,$A40&amp;"|"&amp;G$1&amp;"|Output"),"I/O","IN"),IF(COUNTIF(Flows!$M$2:$M$1500,$A40&amp;"|"&amp;G$1&amp;"|Output"),"OUT",""))</f>
        <v/>
      </c>
      <c r="H40" s="33" t="str">
        <f aca="false">IF(COUNTIF(Flows!$M$2:$M$1500,$A40&amp;"|"&amp;H$1&amp;"|Input"),IF(COUNTIF(Flows!$M$2:$M$1500,$A40&amp;"|"&amp;H$1&amp;"|Output"),"I/O","IN"),IF(COUNTIF(Flows!$M$2:$M$1500,$A40&amp;"|"&amp;H$1&amp;"|Output"),"OUT",""))</f>
        <v/>
      </c>
      <c r="I40" s="33" t="str">
        <f aca="false">IF(COUNTIF(Flows!$M$2:$M$1500,$A40&amp;"|"&amp;I$1&amp;"|Input"),IF(COUNTIF(Flows!$M$2:$M$1500,$A40&amp;"|"&amp;I$1&amp;"|Output"),"I/O","IN"),IF(COUNTIF(Flows!$M$2:$M$1500,$A40&amp;"|"&amp;I$1&amp;"|Output"),"OUT",""))</f>
        <v/>
      </c>
      <c r="J40" s="33" t="str">
        <f aca="false">IF(COUNTIF(Flows!$M$2:$M$1500,$A40&amp;"|"&amp;J$1&amp;"|Input"),IF(COUNTIF(Flows!$M$2:$M$1500,$A40&amp;"|"&amp;J$1&amp;"|Output"),"I/O","IN"),IF(COUNTIF(Flows!$M$2:$M$1500,$A40&amp;"|"&amp;J$1&amp;"|Output"),"OUT",""))</f>
        <v/>
      </c>
      <c r="K40" s="33" t="str">
        <f aca="false">IF(COUNTIF(Flows!$M$2:$M$1500,$A40&amp;"|"&amp;K$1&amp;"|Input"),IF(COUNTIF(Flows!$M$2:$M$1500,$A40&amp;"|"&amp;K$1&amp;"|Output"),"I/O","IN"),IF(COUNTIF(Flows!$M$2:$M$1500,$A40&amp;"|"&amp;K$1&amp;"|Output"),"OUT",""))</f>
        <v/>
      </c>
      <c r="L40" s="33" t="str">
        <f aca="false">IF(COUNTIF(Flows!$M$2:$M$1500,$A40&amp;"|"&amp;L$1&amp;"|Input"),IF(COUNTIF(Flows!$M$2:$M$1500,$A40&amp;"|"&amp;L$1&amp;"|Output"),"I/O","IN"),IF(COUNTIF(Flows!$M$2:$M$1500,$A40&amp;"|"&amp;L$1&amp;"|Output"),"OUT",""))</f>
        <v/>
      </c>
      <c r="M40" s="33" t="str">
        <f aca="false">IF(COUNTIF(Flows!$M$2:$M$1500,$A40&amp;"|"&amp;M$1&amp;"|Input"),IF(COUNTIF(Flows!$M$2:$M$1500,$A40&amp;"|"&amp;M$1&amp;"|Output"),"I/O","IN"),IF(COUNTIF(Flows!$M$2:$M$1500,$A40&amp;"|"&amp;M$1&amp;"|Output"),"OUT",""))</f>
        <v/>
      </c>
      <c r="N40" s="33" t="str">
        <f aca="false">IF(COUNTIF(Flows!$M$2:$M$1500,$A40&amp;"|"&amp;N$1&amp;"|Input"),IF(COUNTIF(Flows!$M$2:$M$1500,$A40&amp;"|"&amp;N$1&amp;"|Output"),"I/O","IN"),IF(COUNTIF(Flows!$M$2:$M$1500,$A40&amp;"|"&amp;N$1&amp;"|Output"),"OUT",""))</f>
        <v/>
      </c>
      <c r="O40" s="33" t="str">
        <f aca="false">IF(COUNTIF(Flows!$M$2:$M$1500,$A40&amp;"|"&amp;O$1&amp;"|Input"),IF(COUNTIF(Flows!$M$2:$M$1500,$A40&amp;"|"&amp;O$1&amp;"|Output"),"I/O","IN"),IF(COUNTIF(Flows!$M$2:$M$1500,$A40&amp;"|"&amp;O$1&amp;"|Output"),"OUT",""))</f>
        <v/>
      </c>
      <c r="P40" s="33" t="str">
        <f aca="false">IF(COUNTIF(Flows!$M$2:$M$1500,$A40&amp;"|"&amp;P$1&amp;"|Input"),IF(COUNTIF(Flows!$M$2:$M$1500,$A40&amp;"|"&amp;P$1&amp;"|Output"),"I/O","IN"),IF(COUNTIF(Flows!$M$2:$M$1500,$A40&amp;"|"&amp;P$1&amp;"|Output"),"OUT",""))</f>
        <v/>
      </c>
      <c r="Q40" s="33" t="str">
        <f aca="false">IF(COUNTIF(Flows!$M$2:$M$1500,$A40&amp;"|"&amp;Q$1&amp;"|Input"),IF(COUNTIF(Flows!$M$2:$M$1500,$A40&amp;"|"&amp;Q$1&amp;"|Output"),"I/O","IN"),IF(COUNTIF(Flows!$M$2:$M$1500,$A40&amp;"|"&amp;Q$1&amp;"|Output"),"OUT",""))</f>
        <v/>
      </c>
      <c r="R40" s="33" t="str">
        <f aca="false">IF(COUNTIF(Flows!$M$2:$M$1500,$A40&amp;"|"&amp;R$1&amp;"|Input"),IF(COUNTIF(Flows!$M$2:$M$1500,$A40&amp;"|"&amp;R$1&amp;"|Output"),"I/O","IN"),IF(COUNTIF(Flows!$M$2:$M$1500,$A40&amp;"|"&amp;R$1&amp;"|Output"),"OUT",""))</f>
        <v/>
      </c>
      <c r="S40" s="33" t="str">
        <f aca="false">IF(COUNTIF(Flows!$M$2:$M$1500,$A40&amp;"|"&amp;S$1&amp;"|Input"),IF(COUNTIF(Flows!$M$2:$M$1500,$A40&amp;"|"&amp;S$1&amp;"|Output"),"I/O","IN"),IF(COUNTIF(Flows!$M$2:$M$1500,$A40&amp;"|"&amp;S$1&amp;"|Output"),"OUT",""))</f>
        <v/>
      </c>
      <c r="T40" s="33" t="str">
        <f aca="false">IF(COUNTIF(Flows!$M$2:$M$1500,$A40&amp;"|"&amp;T$1&amp;"|Input"),IF(COUNTIF(Flows!$M$2:$M$1500,$A40&amp;"|"&amp;T$1&amp;"|Output"),"I/O","IN"),IF(COUNTIF(Flows!$M$2:$M$1500,$A40&amp;"|"&amp;T$1&amp;"|Output"),"OUT",""))</f>
        <v/>
      </c>
      <c r="U40" s="33" t="str">
        <f aca="false">IF(COUNTIF(Flows!$M$2:$M$1500,$A40&amp;"|"&amp;U$1&amp;"|Input"),IF(COUNTIF(Flows!$M$2:$M$1500,$A40&amp;"|"&amp;U$1&amp;"|Output"),"I/O","IN"),IF(COUNTIF(Flows!$M$2:$M$1500,$A40&amp;"|"&amp;U$1&amp;"|Output"),"OUT",""))</f>
        <v>OUT</v>
      </c>
      <c r="V40" s="33" t="str">
        <f aca="false">IF(COUNTIF(Flows!$M$2:$M$1500,$A40&amp;"|"&amp;V$1&amp;"|Input"),IF(COUNTIF(Flows!$M$2:$M$1500,$A40&amp;"|"&amp;V$1&amp;"|Output"),"I/O","IN"),IF(COUNTIF(Flows!$M$2:$M$1500,$A40&amp;"|"&amp;V$1&amp;"|Output"),"OUT",""))</f>
        <v/>
      </c>
      <c r="W40" s="33" t="str">
        <f aca="false">IF(COUNTIF(Flows!$M$2:$M$1500,$A40&amp;"|"&amp;W$1&amp;"|Input"),IF(COUNTIF(Flows!$M$2:$M$1500,$A40&amp;"|"&amp;W$1&amp;"|Output"),"I/O","IN"),IF(COUNTIF(Flows!$M$2:$M$1500,$A40&amp;"|"&amp;W$1&amp;"|Output"),"OUT",""))</f>
        <v/>
      </c>
      <c r="X40" s="33" t="str">
        <f aca="false">IF(COUNTIF(Flows!$M$2:$M$1500,$A40&amp;"|"&amp;X$1&amp;"|Input"),IF(COUNTIF(Flows!$M$2:$M$1500,$A40&amp;"|"&amp;X$1&amp;"|Output"),"I/O","IN"),IF(COUNTIF(Flows!$M$2:$M$1500,$A40&amp;"|"&amp;X$1&amp;"|Output"),"OUT",""))</f>
        <v>IN</v>
      </c>
      <c r="Y40" s="33" t="str">
        <f aca="false">IF(COUNTIF(Flows!$M$2:$M$1500,$A40&amp;"|"&amp;Y$1&amp;"|Input"),IF(COUNTIF(Flows!$M$2:$M$1500,$A40&amp;"|"&amp;Y$1&amp;"|Output"),"I/O","IN"),IF(COUNTIF(Flows!$M$2:$M$1500,$A40&amp;"|"&amp;Y$1&amp;"|Output"),"OUT",""))</f>
        <v/>
      </c>
      <c r="Z40" s="33" t="str">
        <f aca="false">IF(COUNTIF(Flows!$M$2:$M$1500,$A40&amp;"|"&amp;Z$1&amp;"|Input"),IF(COUNTIF(Flows!$M$2:$M$1500,$A40&amp;"|"&amp;Z$1&amp;"|Output"),"I/O","IN"),IF(COUNTIF(Flows!$M$2:$M$1500,$A40&amp;"|"&amp;Z$1&amp;"|Output"),"OUT",""))</f>
        <v>IN</v>
      </c>
      <c r="AA40" s="33" t="str">
        <f aca="false">IF(COUNTIF(Flows!$M$2:$M$1500,$A40&amp;"|"&amp;AA$1&amp;"|Input"),IF(COUNTIF(Flows!$M$2:$M$1500,$A40&amp;"|"&amp;AA$1&amp;"|Output"),"I/O","IN"),IF(COUNTIF(Flows!$M$2:$M$1500,$A40&amp;"|"&amp;AA$1&amp;"|Output"),"OUT",""))</f>
        <v/>
      </c>
      <c r="AB40" s="33" t="str">
        <f aca="false">IF(COUNTIF(Flows!$M$2:$M$1500,$A40&amp;"|"&amp;AB$1&amp;"|Input"),IF(COUNTIF(Flows!$M$2:$M$1500,$A40&amp;"|"&amp;AB$1&amp;"|Output"),"I/O","IN"),IF(COUNTIF(Flows!$M$2:$M$1500,$A40&amp;"|"&amp;AB$1&amp;"|Output"),"OUT",""))</f>
        <v/>
      </c>
      <c r="AC40" s="33" t="str">
        <f aca="false">IF(COUNTIF(Flows!$M$2:$M$1500,$A40&amp;"|"&amp;AC$1&amp;"|Input"),IF(COUNTIF(Flows!$M$2:$M$1500,$A40&amp;"|"&amp;AC$1&amp;"|Output"),"I/O","IN"),IF(COUNTIF(Flows!$M$2:$M$1500,$A40&amp;"|"&amp;AC$1&amp;"|Output"),"OUT",""))</f>
        <v/>
      </c>
      <c r="AD40" s="33" t="str">
        <f aca="false">IF(COUNTIF(Flows!$M$2:$M$1500,$A40&amp;"|"&amp;AD$1&amp;"|Input"),IF(COUNTIF(Flows!$M$2:$M$1500,$A40&amp;"|"&amp;AD$1&amp;"|Output"),"I/O","IN"),IF(COUNTIF(Flows!$M$2:$M$1500,$A40&amp;"|"&amp;AD$1&amp;"|Output"),"OUT",""))</f>
        <v/>
      </c>
      <c r="AE40" s="33" t="str">
        <f aca="false">IF(COUNTIF(Flows!$M$2:$M$1500,$A40&amp;"|"&amp;AE$1&amp;"|Input"),IF(COUNTIF(Flows!$M$2:$M$1500,$A40&amp;"|"&amp;AE$1&amp;"|Output"),"I/O","IN"),IF(COUNTIF(Flows!$M$2:$M$1500,$A40&amp;"|"&amp;AE$1&amp;"|Output"),"OUT",""))</f>
        <v/>
      </c>
      <c r="AF40" s="33" t="str">
        <f aca="false">IF(COUNTIF(Flows!$M$2:$M$1500,$A40&amp;"|"&amp;AF$1&amp;"|Input"),IF(COUNTIF(Flows!$M$2:$M$1500,$A40&amp;"|"&amp;AF$1&amp;"|Output"),"I/O","IN"),IF(COUNTIF(Flows!$M$2:$M$1500,$A40&amp;"|"&amp;AF$1&amp;"|Output"),"OUT",""))</f>
        <v/>
      </c>
      <c r="AG40" s="33" t="str">
        <f aca="false">IF(COUNTIF(Flows!$M$2:$M$1500,$A40&amp;"|"&amp;AG$1&amp;"|Input"),IF(COUNTIF(Flows!$M$2:$M$1500,$A40&amp;"|"&amp;AG$1&amp;"|Output"),"I/O","IN"),IF(COUNTIF(Flows!$M$2:$M$1500,$A40&amp;"|"&amp;AG$1&amp;"|Output"),"OUT",""))</f>
        <v/>
      </c>
      <c r="AH40" s="33" t="str">
        <f aca="false">IF(COUNTIF(Flows!$M$2:$M$1500,$A40&amp;"|"&amp;AH$1&amp;"|Input"),IF(COUNTIF(Flows!$M$2:$M$1500,$A40&amp;"|"&amp;AH$1&amp;"|Output"),"I/O","IN"),IF(COUNTIF(Flows!$M$2:$M$1500,$A40&amp;"|"&amp;AH$1&amp;"|Output"),"OUT",""))</f>
        <v/>
      </c>
      <c r="AI40" s="33" t="str">
        <f aca="false">IF(COUNTIF(Flows!$M$2:$M$1500,$A40&amp;"|"&amp;AI$1&amp;"|Input"),IF(COUNTIF(Flows!$M$2:$M$1500,$A40&amp;"|"&amp;AI$1&amp;"|Output"),"I/O","IN"),IF(COUNTIF(Flows!$M$2:$M$1500,$A40&amp;"|"&amp;AI$1&amp;"|Output"),"OUT",""))</f>
        <v/>
      </c>
      <c r="AJ40" s="33" t="str">
        <f aca="false">IF(COUNTIF(Flows!$M$2:$M$1500,$A40&amp;"|"&amp;AJ$1&amp;"|Input"),IF(COUNTIF(Flows!$M$2:$M$1500,$A40&amp;"|"&amp;AJ$1&amp;"|Output"),"I/O","IN"),IF(COUNTIF(Flows!$M$2:$M$1500,$A40&amp;"|"&amp;AJ$1&amp;"|Output"),"OUT",""))</f>
        <v/>
      </c>
      <c r="AK40" s="33" t="str">
        <f aca="false">IF(COUNTIF(Flows!$M$2:$M$1500,$A40&amp;"|"&amp;AK$1&amp;"|Input"),IF(COUNTIF(Flows!$M$2:$M$1500,$A40&amp;"|"&amp;AK$1&amp;"|Output"),"I/O","IN"),IF(COUNTIF(Flows!$M$2:$M$1500,$A40&amp;"|"&amp;AK$1&amp;"|Output"),"OUT",""))</f>
        <v/>
      </c>
      <c r="AL40" s="33" t="str">
        <f aca="false">IF(COUNTIF(Flows!$M$2:$M$1500,$A40&amp;"|"&amp;AL$1&amp;"|Input"),IF(COUNTIF(Flows!$M$2:$M$1500,$A40&amp;"|"&amp;AL$1&amp;"|Output"),"I/O","IN"),IF(COUNTIF(Flows!$M$2:$M$1500,$A40&amp;"|"&amp;AL$1&amp;"|Output"),"OUT",""))</f>
        <v/>
      </c>
      <c r="AM40" s="33" t="str">
        <f aca="false">IF(COUNTIF(Flows!$M$2:$M$1500,$A40&amp;"|"&amp;AM$1&amp;"|Input"),IF(COUNTIF(Flows!$M$2:$M$1500,$A40&amp;"|"&amp;AM$1&amp;"|Output"),"I/O","IN"),IF(COUNTIF(Flows!$M$2:$M$1500,$A40&amp;"|"&amp;AM$1&amp;"|Output"),"OUT",""))</f>
        <v/>
      </c>
      <c r="AN40" s="33" t="str">
        <f aca="false">IF(COUNTIF(Flows!$M$2:$M$1500,$A40&amp;"|"&amp;AN$1&amp;"|Input"),IF(COUNTIF(Flows!$M$2:$M$1500,$A40&amp;"|"&amp;AN$1&amp;"|Output"),"I/O","IN"),IF(COUNTIF(Flows!$M$2:$M$1500,$A40&amp;"|"&amp;AN$1&amp;"|Output"),"OUT",""))</f>
        <v/>
      </c>
      <c r="AO40" s="33" t="str">
        <f aca="false">IF(COUNTIF(Flows!$M$2:$M$1500,$A40&amp;"|"&amp;AO$1&amp;"|Input"),IF(COUNTIF(Flows!$M$2:$M$1500,$A40&amp;"|"&amp;AO$1&amp;"|Output"),"I/O","IN"),IF(COUNTIF(Flows!$M$2:$M$1500,$A40&amp;"|"&amp;AO$1&amp;"|Output"),"OUT",""))</f>
        <v/>
      </c>
      <c r="AP40" s="33" t="str">
        <f aca="false">IF(COUNTIF(Flows!$M$2:$M$1500,$A40&amp;"|"&amp;AP$1&amp;"|Input"),IF(COUNTIF(Flows!$M$2:$M$1500,$A40&amp;"|"&amp;AP$1&amp;"|Output"),"I/O","IN"),IF(COUNTIF(Flows!$M$2:$M$1500,$A40&amp;"|"&amp;AP$1&amp;"|Output"),"OUT",""))</f>
        <v/>
      </c>
      <c r="AQ40" s="33" t="str">
        <f aca="false">IF(COUNTIF(Flows!$M$2:$M$1500,$A40&amp;"|"&amp;AQ$1&amp;"|Input"),IF(COUNTIF(Flows!$M$2:$M$1500,$A40&amp;"|"&amp;AQ$1&amp;"|Output"),"I/O","IN"),IF(COUNTIF(Flows!$M$2:$M$1500,$A40&amp;"|"&amp;AQ$1&amp;"|Output"),"OUT",""))</f>
        <v/>
      </c>
      <c r="AR40" s="33" t="str">
        <f aca="false">IF(COUNTIF(Flows!$M$2:$M$1500,$A40&amp;"|"&amp;AR$1&amp;"|Input"),IF(COUNTIF(Flows!$M$2:$M$1500,$A40&amp;"|"&amp;AR$1&amp;"|Output"),"I/O","IN"),IF(COUNTIF(Flows!$M$2:$M$1500,$A40&amp;"|"&amp;AR$1&amp;"|Output"),"OUT",""))</f>
        <v/>
      </c>
      <c r="AS40" s="33" t="str">
        <f aca="false">IF(COUNTIF(Flows!$M$2:$M$1500,$A40&amp;"|"&amp;AS$1&amp;"|Input"),IF(COUNTIF(Flows!$M$2:$M$1500,$A40&amp;"|"&amp;AS$1&amp;"|Output"),"I/O","IN"),IF(COUNTIF(Flows!$M$2:$M$1500,$A40&amp;"|"&amp;AS$1&amp;"|Output"),"OUT",""))</f>
        <v/>
      </c>
      <c r="AT40" s="33" t="str">
        <f aca="false">IF(COUNTIF(Flows!$M$2:$M$1500,$A40&amp;"|"&amp;AT$1&amp;"|Input"),IF(COUNTIF(Flows!$M$2:$M$1500,$A40&amp;"|"&amp;AT$1&amp;"|Output"),"I/O","IN"),IF(COUNTIF(Flows!$M$2:$M$1500,$A40&amp;"|"&amp;AT$1&amp;"|Output"),"OUT",""))</f>
        <v/>
      </c>
      <c r="AU40" s="33" t="str">
        <f aca="false">IF(COUNTIF(Flows!$M$2:$M$1500,$A40&amp;"|"&amp;AU$1&amp;"|Input"),IF(COUNTIF(Flows!$M$2:$M$1500,$A40&amp;"|"&amp;AU$1&amp;"|Output"),"I/O","IN"),IF(COUNTIF(Flows!$M$2:$M$1500,$A40&amp;"|"&amp;AU$1&amp;"|Output"),"OUT",""))</f>
        <v/>
      </c>
      <c r="AV40" s="33" t="str">
        <f aca="false">IF(COUNTIF(Flows!$M$2:$M$1500,$A40&amp;"|"&amp;AV$1&amp;"|Input"),IF(COUNTIF(Flows!$M$2:$M$1500,$A40&amp;"|"&amp;AV$1&amp;"|Output"),"I/O","IN"),IF(COUNTIF(Flows!$M$2:$M$1500,$A40&amp;"|"&amp;AV$1&amp;"|Output"),"OUT",""))</f>
        <v/>
      </c>
      <c r="AW40" s="33" t="str">
        <f aca="false">IF(COUNTIF(Flows!$M$2:$M$1500,$A40&amp;"|"&amp;AW$1&amp;"|Input"),IF(COUNTIF(Flows!$M$2:$M$1500,$A40&amp;"|"&amp;AW$1&amp;"|Output"),"I/O","IN"),IF(COUNTIF(Flows!$M$2:$M$1500,$A40&amp;"|"&amp;AW$1&amp;"|Output"),"OUT",""))</f>
        <v/>
      </c>
      <c r="AX40" s="33" t="str">
        <f aca="false">IF(COUNTIF(Flows!$M$2:$M$1500,$A40&amp;"|"&amp;AX$1&amp;"|Input"),IF(COUNTIF(Flows!$M$2:$M$1500,$A40&amp;"|"&amp;AX$1&amp;"|Output"),"I/O","IN"),IF(COUNTIF(Flows!$M$2:$M$1500,$A40&amp;"|"&amp;AX$1&amp;"|Output"),"OUT",""))</f>
        <v/>
      </c>
      <c r="AY40" s="33" t="str">
        <f aca="false">IF(COUNTIF(Flows!$M$2:$M$1500,$A40&amp;"|"&amp;AY$1&amp;"|Input"),IF(COUNTIF(Flows!$M$2:$M$1500,$A40&amp;"|"&amp;AY$1&amp;"|Output"),"I/O","IN"),IF(COUNTIF(Flows!$M$2:$M$1500,$A40&amp;"|"&amp;AY$1&amp;"|Output"),"OUT",""))</f>
        <v/>
      </c>
      <c r="AZ40" s="33" t="str">
        <f aca="false">IF(COUNTIF(Flows!$M$2:$M$1500,$A40&amp;"|"&amp;AZ$1&amp;"|Input"),IF(COUNTIF(Flows!$M$2:$M$1500,$A40&amp;"|"&amp;AZ$1&amp;"|Output"),"I/O","IN"),IF(COUNTIF(Flows!$M$2:$M$1500,$A40&amp;"|"&amp;AZ$1&amp;"|Output"),"OUT",""))</f>
        <v/>
      </c>
      <c r="BA40" s="33" t="str">
        <f aca="false">IF(COUNTIF(Flows!$M$2:$M$1500,$A40&amp;"|"&amp;BA$1&amp;"|Input"),IF(COUNTIF(Flows!$M$2:$M$1500,$A40&amp;"|"&amp;BA$1&amp;"|Output"),"I/O","IN"),IF(COUNTIF(Flows!$M$2:$M$1500,$A40&amp;"|"&amp;BA$1&amp;"|Output"),"OUT",""))</f>
        <v/>
      </c>
      <c r="BB40" s="33" t="str">
        <f aca="false">IF(COUNTIF(Flows!$M$2:$M$1500,$A40&amp;"|"&amp;BB$1&amp;"|Input"),IF(COUNTIF(Flows!$M$2:$M$1500,$A40&amp;"|"&amp;BB$1&amp;"|Output"),"I/O","IN"),IF(COUNTIF(Flows!$M$2:$M$1500,$A40&amp;"|"&amp;BB$1&amp;"|Output"),"OUT",""))</f>
        <v/>
      </c>
      <c r="BC40" s="33" t="str">
        <f aca="false">IF(COUNTIF(Flows!$M$2:$M$1500,$A40&amp;"|"&amp;BC$1&amp;"|Input"),IF(COUNTIF(Flows!$M$2:$M$1500,$A40&amp;"|"&amp;BC$1&amp;"|Output"),"I/O","IN"),IF(COUNTIF(Flows!$M$2:$M$1500,$A40&amp;"|"&amp;BC$1&amp;"|Output"),"OUT",""))</f>
        <v/>
      </c>
      <c r="BD40" s="33" t="str">
        <f aca="false">IF(COUNTIF(Flows!$M$2:$M$1500,$A40&amp;"|"&amp;BD$1&amp;"|Input"),IF(COUNTIF(Flows!$M$2:$M$1500,$A40&amp;"|"&amp;BD$1&amp;"|Output"),"I/O","IN"),IF(COUNTIF(Flows!$M$2:$M$1500,$A40&amp;"|"&amp;BD$1&amp;"|Output"),"OUT",""))</f>
        <v/>
      </c>
      <c r="BE40" s="33" t="str">
        <f aca="false">IF(COUNTIF(Flows!$M$2:$M$1500,$A40&amp;"|"&amp;BE$1&amp;"|Input"),IF(COUNTIF(Flows!$M$2:$M$1500,$A40&amp;"|"&amp;BE$1&amp;"|Output"),"I/O","IN"),IF(COUNTIF(Flows!$M$2:$M$1500,$A40&amp;"|"&amp;BE$1&amp;"|Output"),"OUT",""))</f>
        <v/>
      </c>
      <c r="BF40" s="33" t="str">
        <f aca="false">IF(COUNTIF(Flows!$M$2:$M$1500,$A40&amp;"|"&amp;BF$1&amp;"|Input"),IF(COUNTIF(Flows!$M$2:$M$1500,$A40&amp;"|"&amp;BF$1&amp;"|Output"),"I/O","IN"),IF(COUNTIF(Flows!$M$2:$M$1500,$A40&amp;"|"&amp;BF$1&amp;"|Output"),"OUT",""))</f>
        <v/>
      </c>
      <c r="BG40" s="33" t="str">
        <f aca="false">IF(COUNTIF(Flows!$M$2:$M$1500,$A40&amp;"|"&amp;BG$1&amp;"|Input"),IF(COUNTIF(Flows!$M$2:$M$1500,$A40&amp;"|"&amp;BG$1&amp;"|Output"),"I/O","IN"),IF(COUNTIF(Flows!$M$2:$M$1500,$A40&amp;"|"&amp;BG$1&amp;"|Output"),"OUT",""))</f>
        <v/>
      </c>
      <c r="BH40" s="33" t="str">
        <f aca="false">IF(COUNTIF(Flows!$M$2:$M$1500,$A40&amp;"|"&amp;BH$1&amp;"|Input"),IF(COUNTIF(Flows!$M$2:$M$1500,$A40&amp;"|"&amp;BH$1&amp;"|Output"),"I/O","IN"),IF(COUNTIF(Flows!$M$2:$M$1500,$A40&amp;"|"&amp;BH$1&amp;"|Output"),"OUT",""))</f>
        <v/>
      </c>
      <c r="BI40" s="33" t="str">
        <f aca="false">IF(COUNTIF(Flows!$M$2:$M$1500,$A40&amp;"|"&amp;BI$1&amp;"|Input"),IF(COUNTIF(Flows!$M$2:$M$1500,$A40&amp;"|"&amp;BI$1&amp;"|Output"),"I/O","IN"),IF(COUNTIF(Flows!$M$2:$M$1500,$A40&amp;"|"&amp;BI$1&amp;"|Output"),"OUT",""))</f>
        <v/>
      </c>
      <c r="BJ40" s="33" t="str">
        <f aca="false">IF(COUNTIF(Flows!$M$2:$M$1500,$A40&amp;"|"&amp;BJ$1&amp;"|Input"),IF(COUNTIF(Flows!$M$2:$M$1500,$A40&amp;"|"&amp;BJ$1&amp;"|Output"),"I/O","IN"),IF(COUNTIF(Flows!$M$2:$M$1500,$A40&amp;"|"&amp;BJ$1&amp;"|Output"),"OUT",""))</f>
        <v/>
      </c>
      <c r="BK40" s="33" t="str">
        <f aca="false">IF(COUNTIF(Flows!$M$2:$M$1500,$A40&amp;"|"&amp;BK$1&amp;"|Input"),IF(COUNTIF(Flows!$M$2:$M$1500,$A40&amp;"|"&amp;BK$1&amp;"|Output"),"I/O","IN"),IF(COUNTIF(Flows!$M$2:$M$1500,$A40&amp;"|"&amp;BK$1&amp;"|Output"),"OUT",""))</f>
        <v/>
      </c>
    </row>
    <row r="41" customFormat="false" ht="15" hidden="false" customHeight="true" outlineLevel="0" collapsed="false">
      <c r="A41" s="6" t="str">
        <f aca="false">Systems!B41</f>
        <v>Solar Cabin</v>
      </c>
      <c r="B41" s="33" t="str">
        <f aca="false">IF(COUNTIF(Flows!$M$2:$M$1500,$A41&amp;"|"&amp;B$1&amp;"|Input"),IF(COUNTIF(Flows!$M$2:$M$1500,$A41&amp;"|"&amp;B$1&amp;"|Output"),"I/O","IN"),IF(COUNTIF(Flows!$M$2:$M$1500,$A41&amp;"|"&amp;B$1&amp;"|Output"),"OUT",""))</f>
        <v/>
      </c>
      <c r="C41" s="33" t="str">
        <f aca="false">IF(COUNTIF(Flows!$M$2:$M$1500,$A41&amp;"|"&amp;C$1&amp;"|Input"),IF(COUNTIF(Flows!$M$2:$M$1500,$A41&amp;"|"&amp;C$1&amp;"|Output"),"I/O","IN"),IF(COUNTIF(Flows!$M$2:$M$1500,$A41&amp;"|"&amp;C$1&amp;"|Output"),"OUT",""))</f>
        <v/>
      </c>
      <c r="D41" s="33" t="str">
        <f aca="false">IF(COUNTIF(Flows!$M$2:$M$1500,$A41&amp;"|"&amp;D$1&amp;"|Input"),IF(COUNTIF(Flows!$M$2:$M$1500,$A41&amp;"|"&amp;D$1&amp;"|Output"),"I/O","IN"),IF(COUNTIF(Flows!$M$2:$M$1500,$A41&amp;"|"&amp;D$1&amp;"|Output"),"OUT",""))</f>
        <v/>
      </c>
      <c r="E41" s="33" t="str">
        <f aca="false">IF(COUNTIF(Flows!$M$2:$M$1500,$A41&amp;"|"&amp;E$1&amp;"|Input"),IF(COUNTIF(Flows!$M$2:$M$1500,$A41&amp;"|"&amp;E$1&amp;"|Output"),"I/O","IN"),IF(COUNTIF(Flows!$M$2:$M$1500,$A41&amp;"|"&amp;E$1&amp;"|Output"),"OUT",""))</f>
        <v/>
      </c>
      <c r="F41" s="33" t="str">
        <f aca="false">IF(COUNTIF(Flows!$M$2:$M$1500,$A41&amp;"|"&amp;F$1&amp;"|Input"),IF(COUNTIF(Flows!$M$2:$M$1500,$A41&amp;"|"&amp;F$1&amp;"|Output"),"I/O","IN"),IF(COUNTIF(Flows!$M$2:$M$1500,$A41&amp;"|"&amp;F$1&amp;"|Output"),"OUT",""))</f>
        <v/>
      </c>
      <c r="G41" s="33" t="str">
        <f aca="false">IF(COUNTIF(Flows!$M$2:$M$1500,$A41&amp;"|"&amp;G$1&amp;"|Input"),IF(COUNTIF(Flows!$M$2:$M$1500,$A41&amp;"|"&amp;G$1&amp;"|Output"),"I/O","IN"),IF(COUNTIF(Flows!$M$2:$M$1500,$A41&amp;"|"&amp;G$1&amp;"|Output"),"OUT",""))</f>
        <v/>
      </c>
      <c r="H41" s="33" t="str">
        <f aca="false">IF(COUNTIF(Flows!$M$2:$M$1500,$A41&amp;"|"&amp;H$1&amp;"|Input"),IF(COUNTIF(Flows!$M$2:$M$1500,$A41&amp;"|"&amp;H$1&amp;"|Output"),"I/O","IN"),IF(COUNTIF(Flows!$M$2:$M$1500,$A41&amp;"|"&amp;H$1&amp;"|Output"),"OUT",""))</f>
        <v/>
      </c>
      <c r="I41" s="33" t="str">
        <f aca="false">IF(COUNTIF(Flows!$M$2:$M$1500,$A41&amp;"|"&amp;I$1&amp;"|Input"),IF(COUNTIF(Flows!$M$2:$M$1500,$A41&amp;"|"&amp;I$1&amp;"|Output"),"I/O","IN"),IF(COUNTIF(Flows!$M$2:$M$1500,$A41&amp;"|"&amp;I$1&amp;"|Output"),"OUT",""))</f>
        <v/>
      </c>
      <c r="J41" s="33" t="str">
        <f aca="false">IF(COUNTIF(Flows!$M$2:$M$1500,$A41&amp;"|"&amp;J$1&amp;"|Input"),IF(COUNTIF(Flows!$M$2:$M$1500,$A41&amp;"|"&amp;J$1&amp;"|Output"),"I/O","IN"),IF(COUNTIF(Flows!$M$2:$M$1500,$A41&amp;"|"&amp;J$1&amp;"|Output"),"OUT",""))</f>
        <v/>
      </c>
      <c r="K41" s="33" t="str">
        <f aca="false">IF(COUNTIF(Flows!$M$2:$M$1500,$A41&amp;"|"&amp;K$1&amp;"|Input"),IF(COUNTIF(Flows!$M$2:$M$1500,$A41&amp;"|"&amp;K$1&amp;"|Output"),"I/O","IN"),IF(COUNTIF(Flows!$M$2:$M$1500,$A41&amp;"|"&amp;K$1&amp;"|Output"),"OUT",""))</f>
        <v/>
      </c>
      <c r="L41" s="33" t="str">
        <f aca="false">IF(COUNTIF(Flows!$M$2:$M$1500,$A41&amp;"|"&amp;L$1&amp;"|Input"),IF(COUNTIF(Flows!$M$2:$M$1500,$A41&amp;"|"&amp;L$1&amp;"|Output"),"I/O","IN"),IF(COUNTIF(Flows!$M$2:$M$1500,$A41&amp;"|"&amp;L$1&amp;"|Output"),"OUT",""))</f>
        <v/>
      </c>
      <c r="M41" s="33" t="str">
        <f aca="false">IF(COUNTIF(Flows!$M$2:$M$1500,$A41&amp;"|"&amp;M$1&amp;"|Input"),IF(COUNTIF(Flows!$M$2:$M$1500,$A41&amp;"|"&amp;M$1&amp;"|Output"),"I/O","IN"),IF(COUNTIF(Flows!$M$2:$M$1500,$A41&amp;"|"&amp;M$1&amp;"|Output"),"OUT",""))</f>
        <v/>
      </c>
      <c r="N41" s="33" t="str">
        <f aca="false">IF(COUNTIF(Flows!$M$2:$M$1500,$A41&amp;"|"&amp;N$1&amp;"|Input"),IF(COUNTIF(Flows!$M$2:$M$1500,$A41&amp;"|"&amp;N$1&amp;"|Output"),"I/O","IN"),IF(COUNTIF(Flows!$M$2:$M$1500,$A41&amp;"|"&amp;N$1&amp;"|Output"),"OUT",""))</f>
        <v/>
      </c>
      <c r="O41" s="33" t="str">
        <f aca="false">IF(COUNTIF(Flows!$M$2:$M$1500,$A41&amp;"|"&amp;O$1&amp;"|Input"),IF(COUNTIF(Flows!$M$2:$M$1500,$A41&amp;"|"&amp;O$1&amp;"|Output"),"I/O","IN"),IF(COUNTIF(Flows!$M$2:$M$1500,$A41&amp;"|"&amp;O$1&amp;"|Output"),"OUT",""))</f>
        <v/>
      </c>
      <c r="P41" s="33" t="str">
        <f aca="false">IF(COUNTIF(Flows!$M$2:$M$1500,$A41&amp;"|"&amp;P$1&amp;"|Input"),IF(COUNTIF(Flows!$M$2:$M$1500,$A41&amp;"|"&amp;P$1&amp;"|Output"),"I/O","IN"),IF(COUNTIF(Flows!$M$2:$M$1500,$A41&amp;"|"&amp;P$1&amp;"|Output"),"OUT",""))</f>
        <v/>
      </c>
      <c r="Q41" s="33" t="str">
        <f aca="false">IF(COUNTIF(Flows!$M$2:$M$1500,$A41&amp;"|"&amp;Q$1&amp;"|Input"),IF(COUNTIF(Flows!$M$2:$M$1500,$A41&amp;"|"&amp;Q$1&amp;"|Output"),"I/O","IN"),IF(COUNTIF(Flows!$M$2:$M$1500,$A41&amp;"|"&amp;Q$1&amp;"|Output"),"OUT",""))</f>
        <v>OUT</v>
      </c>
      <c r="R41" s="33" t="str">
        <f aca="false">IF(COUNTIF(Flows!$M$2:$M$1500,$A41&amp;"|"&amp;R$1&amp;"|Input"),IF(COUNTIF(Flows!$M$2:$M$1500,$A41&amp;"|"&amp;R$1&amp;"|Output"),"I/O","IN"),IF(COUNTIF(Flows!$M$2:$M$1500,$A41&amp;"|"&amp;R$1&amp;"|Output"),"OUT",""))</f>
        <v/>
      </c>
      <c r="S41" s="33" t="str">
        <f aca="false">IF(COUNTIF(Flows!$M$2:$M$1500,$A41&amp;"|"&amp;S$1&amp;"|Input"),IF(COUNTIF(Flows!$M$2:$M$1500,$A41&amp;"|"&amp;S$1&amp;"|Output"),"I/O","IN"),IF(COUNTIF(Flows!$M$2:$M$1500,$A41&amp;"|"&amp;S$1&amp;"|Output"),"OUT",""))</f>
        <v>OUT</v>
      </c>
      <c r="T41" s="33" t="str">
        <f aca="false">IF(COUNTIF(Flows!$M$2:$M$1500,$A41&amp;"|"&amp;T$1&amp;"|Input"),IF(COUNTIF(Flows!$M$2:$M$1500,$A41&amp;"|"&amp;T$1&amp;"|Output"),"I/O","IN"),IF(COUNTIF(Flows!$M$2:$M$1500,$A41&amp;"|"&amp;T$1&amp;"|Output"),"OUT",""))</f>
        <v/>
      </c>
      <c r="U41" s="33" t="str">
        <f aca="false">IF(COUNTIF(Flows!$M$2:$M$1500,$A41&amp;"|"&amp;U$1&amp;"|Input"),IF(COUNTIF(Flows!$M$2:$M$1500,$A41&amp;"|"&amp;U$1&amp;"|Output"),"I/O","IN"),IF(COUNTIF(Flows!$M$2:$M$1500,$A41&amp;"|"&amp;U$1&amp;"|Output"),"OUT",""))</f>
        <v/>
      </c>
      <c r="V41" s="33" t="str">
        <f aca="false">IF(COUNTIF(Flows!$M$2:$M$1500,$A41&amp;"|"&amp;V$1&amp;"|Input"),IF(COUNTIF(Flows!$M$2:$M$1500,$A41&amp;"|"&amp;V$1&amp;"|Output"),"I/O","IN"),IF(COUNTIF(Flows!$M$2:$M$1500,$A41&amp;"|"&amp;V$1&amp;"|Output"),"OUT",""))</f>
        <v>I/O</v>
      </c>
      <c r="W41" s="33" t="str">
        <f aca="false">IF(COUNTIF(Flows!$M$2:$M$1500,$A41&amp;"|"&amp;W$1&amp;"|Input"),IF(COUNTIF(Flows!$M$2:$M$1500,$A41&amp;"|"&amp;W$1&amp;"|Output"),"I/O","IN"),IF(COUNTIF(Flows!$M$2:$M$1500,$A41&amp;"|"&amp;W$1&amp;"|Output"),"OUT",""))</f>
        <v>IN</v>
      </c>
      <c r="X41" s="33" t="str">
        <f aca="false">IF(COUNTIF(Flows!$M$2:$M$1500,$A41&amp;"|"&amp;X$1&amp;"|Input"),IF(COUNTIF(Flows!$M$2:$M$1500,$A41&amp;"|"&amp;X$1&amp;"|Output"),"I/O","IN"),IF(COUNTIF(Flows!$M$2:$M$1500,$A41&amp;"|"&amp;X$1&amp;"|Output"),"OUT",""))</f>
        <v>IN</v>
      </c>
      <c r="Y41" s="33" t="str">
        <f aca="false">IF(COUNTIF(Flows!$M$2:$M$1500,$A41&amp;"|"&amp;Y$1&amp;"|Input"),IF(COUNTIF(Flows!$M$2:$M$1500,$A41&amp;"|"&amp;Y$1&amp;"|Output"),"I/O","IN"),IF(COUNTIF(Flows!$M$2:$M$1500,$A41&amp;"|"&amp;Y$1&amp;"|Output"),"OUT",""))</f>
        <v/>
      </c>
      <c r="Z41" s="33" t="str">
        <f aca="false">IF(COUNTIF(Flows!$M$2:$M$1500,$A41&amp;"|"&amp;Z$1&amp;"|Input"),IF(COUNTIF(Flows!$M$2:$M$1500,$A41&amp;"|"&amp;Z$1&amp;"|Output"),"I/O","IN"),IF(COUNTIF(Flows!$M$2:$M$1500,$A41&amp;"|"&amp;Z$1&amp;"|Output"),"OUT",""))</f>
        <v>IN</v>
      </c>
      <c r="AA41" s="33" t="str">
        <f aca="false">IF(COUNTIF(Flows!$M$2:$M$1500,$A41&amp;"|"&amp;AA$1&amp;"|Input"),IF(COUNTIF(Flows!$M$2:$M$1500,$A41&amp;"|"&amp;AA$1&amp;"|Output"),"I/O","IN"),IF(COUNTIF(Flows!$M$2:$M$1500,$A41&amp;"|"&amp;AA$1&amp;"|Output"),"OUT",""))</f>
        <v/>
      </c>
      <c r="AB41" s="33" t="str">
        <f aca="false">IF(COUNTIF(Flows!$M$2:$M$1500,$A41&amp;"|"&amp;AB$1&amp;"|Input"),IF(COUNTIF(Flows!$M$2:$M$1500,$A41&amp;"|"&amp;AB$1&amp;"|Output"),"I/O","IN"),IF(COUNTIF(Flows!$M$2:$M$1500,$A41&amp;"|"&amp;AB$1&amp;"|Output"),"OUT",""))</f>
        <v/>
      </c>
      <c r="AC41" s="33" t="str">
        <f aca="false">IF(COUNTIF(Flows!$M$2:$M$1500,$A41&amp;"|"&amp;AC$1&amp;"|Input"),IF(COUNTIF(Flows!$M$2:$M$1500,$A41&amp;"|"&amp;AC$1&amp;"|Output"),"I/O","IN"),IF(COUNTIF(Flows!$M$2:$M$1500,$A41&amp;"|"&amp;AC$1&amp;"|Output"),"OUT",""))</f>
        <v/>
      </c>
      <c r="AD41" s="33" t="str">
        <f aca="false">IF(COUNTIF(Flows!$M$2:$M$1500,$A41&amp;"|"&amp;AD$1&amp;"|Input"),IF(COUNTIF(Flows!$M$2:$M$1500,$A41&amp;"|"&amp;AD$1&amp;"|Output"),"I/O","IN"),IF(COUNTIF(Flows!$M$2:$M$1500,$A41&amp;"|"&amp;AD$1&amp;"|Output"),"OUT",""))</f>
        <v>OUT</v>
      </c>
      <c r="AE41" s="33" t="str">
        <f aca="false">IF(COUNTIF(Flows!$M$2:$M$1500,$A41&amp;"|"&amp;AE$1&amp;"|Input"),IF(COUNTIF(Flows!$M$2:$M$1500,$A41&amp;"|"&amp;AE$1&amp;"|Output"),"I/O","IN"),IF(COUNTIF(Flows!$M$2:$M$1500,$A41&amp;"|"&amp;AE$1&amp;"|Output"),"OUT",""))</f>
        <v/>
      </c>
      <c r="AF41" s="33" t="str">
        <f aca="false">IF(COUNTIF(Flows!$M$2:$M$1500,$A41&amp;"|"&amp;AF$1&amp;"|Input"),IF(COUNTIF(Flows!$M$2:$M$1500,$A41&amp;"|"&amp;AF$1&amp;"|Output"),"I/O","IN"),IF(COUNTIF(Flows!$M$2:$M$1500,$A41&amp;"|"&amp;AF$1&amp;"|Output"),"OUT",""))</f>
        <v/>
      </c>
      <c r="AG41" s="33" t="str">
        <f aca="false">IF(COUNTIF(Flows!$M$2:$M$1500,$A41&amp;"|"&amp;AG$1&amp;"|Input"),IF(COUNTIF(Flows!$M$2:$M$1500,$A41&amp;"|"&amp;AG$1&amp;"|Output"),"I/O","IN"),IF(COUNTIF(Flows!$M$2:$M$1500,$A41&amp;"|"&amp;AG$1&amp;"|Output"),"OUT",""))</f>
        <v/>
      </c>
      <c r="AH41" s="33" t="str">
        <f aca="false">IF(COUNTIF(Flows!$M$2:$M$1500,$A41&amp;"|"&amp;AH$1&amp;"|Input"),IF(COUNTIF(Flows!$M$2:$M$1500,$A41&amp;"|"&amp;AH$1&amp;"|Output"),"I/O","IN"),IF(COUNTIF(Flows!$M$2:$M$1500,$A41&amp;"|"&amp;AH$1&amp;"|Output"),"OUT",""))</f>
        <v/>
      </c>
      <c r="AI41" s="33" t="str">
        <f aca="false">IF(COUNTIF(Flows!$M$2:$M$1500,$A41&amp;"|"&amp;AI$1&amp;"|Input"),IF(COUNTIF(Flows!$M$2:$M$1500,$A41&amp;"|"&amp;AI$1&amp;"|Output"),"I/O","IN"),IF(COUNTIF(Flows!$M$2:$M$1500,$A41&amp;"|"&amp;AI$1&amp;"|Output"),"OUT",""))</f>
        <v/>
      </c>
      <c r="AJ41" s="33" t="str">
        <f aca="false">IF(COUNTIF(Flows!$M$2:$M$1500,$A41&amp;"|"&amp;AJ$1&amp;"|Input"),IF(COUNTIF(Flows!$M$2:$M$1500,$A41&amp;"|"&amp;AJ$1&amp;"|Output"),"I/O","IN"),IF(COUNTIF(Flows!$M$2:$M$1500,$A41&amp;"|"&amp;AJ$1&amp;"|Output"),"OUT",""))</f>
        <v/>
      </c>
      <c r="AK41" s="33" t="str">
        <f aca="false">IF(COUNTIF(Flows!$M$2:$M$1500,$A41&amp;"|"&amp;AK$1&amp;"|Input"),IF(COUNTIF(Flows!$M$2:$M$1500,$A41&amp;"|"&amp;AK$1&amp;"|Output"),"I/O","IN"),IF(COUNTIF(Flows!$M$2:$M$1500,$A41&amp;"|"&amp;AK$1&amp;"|Output"),"OUT",""))</f>
        <v/>
      </c>
      <c r="AL41" s="33" t="str">
        <f aca="false">IF(COUNTIF(Flows!$M$2:$M$1500,$A41&amp;"|"&amp;AL$1&amp;"|Input"),IF(COUNTIF(Flows!$M$2:$M$1500,$A41&amp;"|"&amp;AL$1&amp;"|Output"),"I/O","IN"),IF(COUNTIF(Flows!$M$2:$M$1500,$A41&amp;"|"&amp;AL$1&amp;"|Output"),"OUT",""))</f>
        <v/>
      </c>
      <c r="AM41" s="33" t="str">
        <f aca="false">IF(COUNTIF(Flows!$M$2:$M$1500,$A41&amp;"|"&amp;AM$1&amp;"|Input"),IF(COUNTIF(Flows!$M$2:$M$1500,$A41&amp;"|"&amp;AM$1&amp;"|Output"),"I/O","IN"),IF(COUNTIF(Flows!$M$2:$M$1500,$A41&amp;"|"&amp;AM$1&amp;"|Output"),"OUT",""))</f>
        <v/>
      </c>
      <c r="AN41" s="33" t="str">
        <f aca="false">IF(COUNTIF(Flows!$M$2:$M$1500,$A41&amp;"|"&amp;AN$1&amp;"|Input"),IF(COUNTIF(Flows!$M$2:$M$1500,$A41&amp;"|"&amp;AN$1&amp;"|Output"),"I/O","IN"),IF(COUNTIF(Flows!$M$2:$M$1500,$A41&amp;"|"&amp;AN$1&amp;"|Output"),"OUT",""))</f>
        <v/>
      </c>
      <c r="AO41" s="33" t="str">
        <f aca="false">IF(COUNTIF(Flows!$M$2:$M$1500,$A41&amp;"|"&amp;AO$1&amp;"|Input"),IF(COUNTIF(Flows!$M$2:$M$1500,$A41&amp;"|"&amp;AO$1&amp;"|Output"),"I/O","IN"),IF(COUNTIF(Flows!$M$2:$M$1500,$A41&amp;"|"&amp;AO$1&amp;"|Output"),"OUT",""))</f>
        <v/>
      </c>
      <c r="AP41" s="33" t="str">
        <f aca="false">IF(COUNTIF(Flows!$M$2:$M$1500,$A41&amp;"|"&amp;AP$1&amp;"|Input"),IF(COUNTIF(Flows!$M$2:$M$1500,$A41&amp;"|"&amp;AP$1&amp;"|Output"),"I/O","IN"),IF(COUNTIF(Flows!$M$2:$M$1500,$A41&amp;"|"&amp;AP$1&amp;"|Output"),"OUT",""))</f>
        <v/>
      </c>
      <c r="AQ41" s="33" t="str">
        <f aca="false">IF(COUNTIF(Flows!$M$2:$M$1500,$A41&amp;"|"&amp;AQ$1&amp;"|Input"),IF(COUNTIF(Flows!$M$2:$M$1500,$A41&amp;"|"&amp;AQ$1&amp;"|Output"),"I/O","IN"),IF(COUNTIF(Flows!$M$2:$M$1500,$A41&amp;"|"&amp;AQ$1&amp;"|Output"),"OUT",""))</f>
        <v/>
      </c>
      <c r="AR41" s="33" t="str">
        <f aca="false">IF(COUNTIF(Flows!$M$2:$M$1500,$A41&amp;"|"&amp;AR$1&amp;"|Input"),IF(COUNTIF(Flows!$M$2:$M$1500,$A41&amp;"|"&amp;AR$1&amp;"|Output"),"I/O","IN"),IF(COUNTIF(Flows!$M$2:$M$1500,$A41&amp;"|"&amp;AR$1&amp;"|Output"),"OUT",""))</f>
        <v/>
      </c>
      <c r="AS41" s="33" t="str">
        <f aca="false">IF(COUNTIF(Flows!$M$2:$M$1500,$A41&amp;"|"&amp;AS$1&amp;"|Input"),IF(COUNTIF(Flows!$M$2:$M$1500,$A41&amp;"|"&amp;AS$1&amp;"|Output"),"I/O","IN"),IF(COUNTIF(Flows!$M$2:$M$1500,$A41&amp;"|"&amp;AS$1&amp;"|Output"),"OUT",""))</f>
        <v/>
      </c>
      <c r="AT41" s="33" t="str">
        <f aca="false">IF(COUNTIF(Flows!$M$2:$M$1500,$A41&amp;"|"&amp;AT$1&amp;"|Input"),IF(COUNTIF(Flows!$M$2:$M$1500,$A41&amp;"|"&amp;AT$1&amp;"|Output"),"I/O","IN"),IF(COUNTIF(Flows!$M$2:$M$1500,$A41&amp;"|"&amp;AT$1&amp;"|Output"),"OUT",""))</f>
        <v/>
      </c>
      <c r="AU41" s="33" t="str">
        <f aca="false">IF(COUNTIF(Flows!$M$2:$M$1500,$A41&amp;"|"&amp;AU$1&amp;"|Input"),IF(COUNTIF(Flows!$M$2:$M$1500,$A41&amp;"|"&amp;AU$1&amp;"|Output"),"I/O","IN"),IF(COUNTIF(Flows!$M$2:$M$1500,$A41&amp;"|"&amp;AU$1&amp;"|Output"),"OUT",""))</f>
        <v/>
      </c>
      <c r="AV41" s="33" t="str">
        <f aca="false">IF(COUNTIF(Flows!$M$2:$M$1500,$A41&amp;"|"&amp;AV$1&amp;"|Input"),IF(COUNTIF(Flows!$M$2:$M$1500,$A41&amp;"|"&amp;AV$1&amp;"|Output"),"I/O","IN"),IF(COUNTIF(Flows!$M$2:$M$1500,$A41&amp;"|"&amp;AV$1&amp;"|Output"),"OUT",""))</f>
        <v/>
      </c>
      <c r="AW41" s="33" t="str">
        <f aca="false">IF(COUNTIF(Flows!$M$2:$M$1500,$A41&amp;"|"&amp;AW$1&amp;"|Input"),IF(COUNTIF(Flows!$M$2:$M$1500,$A41&amp;"|"&amp;AW$1&amp;"|Output"),"I/O","IN"),IF(COUNTIF(Flows!$M$2:$M$1500,$A41&amp;"|"&amp;AW$1&amp;"|Output"),"OUT",""))</f>
        <v/>
      </c>
      <c r="AX41" s="33" t="str">
        <f aca="false">IF(COUNTIF(Flows!$M$2:$M$1500,$A41&amp;"|"&amp;AX$1&amp;"|Input"),IF(COUNTIF(Flows!$M$2:$M$1500,$A41&amp;"|"&amp;AX$1&amp;"|Output"),"I/O","IN"),IF(COUNTIF(Flows!$M$2:$M$1500,$A41&amp;"|"&amp;AX$1&amp;"|Output"),"OUT",""))</f>
        <v/>
      </c>
      <c r="AY41" s="33" t="str">
        <f aca="false">IF(COUNTIF(Flows!$M$2:$M$1500,$A41&amp;"|"&amp;AY$1&amp;"|Input"),IF(COUNTIF(Flows!$M$2:$M$1500,$A41&amp;"|"&amp;AY$1&amp;"|Output"),"I/O","IN"),IF(COUNTIF(Flows!$M$2:$M$1500,$A41&amp;"|"&amp;AY$1&amp;"|Output"),"OUT",""))</f>
        <v/>
      </c>
      <c r="AZ41" s="33" t="str">
        <f aca="false">IF(COUNTIF(Flows!$M$2:$M$1500,$A41&amp;"|"&amp;AZ$1&amp;"|Input"),IF(COUNTIF(Flows!$M$2:$M$1500,$A41&amp;"|"&amp;AZ$1&amp;"|Output"),"I/O","IN"),IF(COUNTIF(Flows!$M$2:$M$1500,$A41&amp;"|"&amp;AZ$1&amp;"|Output"),"OUT",""))</f>
        <v/>
      </c>
      <c r="BA41" s="33" t="str">
        <f aca="false">IF(COUNTIF(Flows!$M$2:$M$1500,$A41&amp;"|"&amp;BA$1&amp;"|Input"),IF(COUNTIF(Flows!$M$2:$M$1500,$A41&amp;"|"&amp;BA$1&amp;"|Output"),"I/O","IN"),IF(COUNTIF(Flows!$M$2:$M$1500,$A41&amp;"|"&amp;BA$1&amp;"|Output"),"OUT",""))</f>
        <v/>
      </c>
      <c r="BB41" s="33" t="str">
        <f aca="false">IF(COUNTIF(Flows!$M$2:$M$1500,$A41&amp;"|"&amp;BB$1&amp;"|Input"),IF(COUNTIF(Flows!$M$2:$M$1500,$A41&amp;"|"&amp;BB$1&amp;"|Output"),"I/O","IN"),IF(COUNTIF(Flows!$M$2:$M$1500,$A41&amp;"|"&amp;BB$1&amp;"|Output"),"OUT",""))</f>
        <v/>
      </c>
      <c r="BC41" s="33" t="str">
        <f aca="false">IF(COUNTIF(Flows!$M$2:$M$1500,$A41&amp;"|"&amp;BC$1&amp;"|Input"),IF(COUNTIF(Flows!$M$2:$M$1500,$A41&amp;"|"&amp;BC$1&amp;"|Output"),"I/O","IN"),IF(COUNTIF(Flows!$M$2:$M$1500,$A41&amp;"|"&amp;BC$1&amp;"|Output"),"OUT",""))</f>
        <v/>
      </c>
      <c r="BD41" s="33" t="str">
        <f aca="false">IF(COUNTIF(Flows!$M$2:$M$1500,$A41&amp;"|"&amp;BD$1&amp;"|Input"),IF(COUNTIF(Flows!$M$2:$M$1500,$A41&amp;"|"&amp;BD$1&amp;"|Output"),"I/O","IN"),IF(COUNTIF(Flows!$M$2:$M$1500,$A41&amp;"|"&amp;BD$1&amp;"|Output"),"OUT",""))</f>
        <v/>
      </c>
      <c r="BE41" s="33" t="str">
        <f aca="false">IF(COUNTIF(Flows!$M$2:$M$1500,$A41&amp;"|"&amp;BE$1&amp;"|Input"),IF(COUNTIF(Flows!$M$2:$M$1500,$A41&amp;"|"&amp;BE$1&amp;"|Output"),"I/O","IN"),IF(COUNTIF(Flows!$M$2:$M$1500,$A41&amp;"|"&amp;BE$1&amp;"|Output"),"OUT",""))</f>
        <v/>
      </c>
      <c r="BF41" s="33" t="str">
        <f aca="false">IF(COUNTIF(Flows!$M$2:$M$1500,$A41&amp;"|"&amp;BF$1&amp;"|Input"),IF(COUNTIF(Flows!$M$2:$M$1500,$A41&amp;"|"&amp;BF$1&amp;"|Output"),"I/O","IN"),IF(COUNTIF(Flows!$M$2:$M$1500,$A41&amp;"|"&amp;BF$1&amp;"|Output"),"OUT",""))</f>
        <v/>
      </c>
      <c r="BG41" s="33" t="str">
        <f aca="false">IF(COUNTIF(Flows!$M$2:$M$1500,$A41&amp;"|"&amp;BG$1&amp;"|Input"),IF(COUNTIF(Flows!$M$2:$M$1500,$A41&amp;"|"&amp;BG$1&amp;"|Output"),"I/O","IN"),IF(COUNTIF(Flows!$M$2:$M$1500,$A41&amp;"|"&amp;BG$1&amp;"|Output"),"OUT",""))</f>
        <v/>
      </c>
      <c r="BH41" s="33" t="str">
        <f aca="false">IF(COUNTIF(Flows!$M$2:$M$1500,$A41&amp;"|"&amp;BH$1&amp;"|Input"),IF(COUNTIF(Flows!$M$2:$M$1500,$A41&amp;"|"&amp;BH$1&amp;"|Output"),"I/O","IN"),IF(COUNTIF(Flows!$M$2:$M$1500,$A41&amp;"|"&amp;BH$1&amp;"|Output"),"OUT",""))</f>
        <v/>
      </c>
      <c r="BI41" s="33" t="str">
        <f aca="false">IF(COUNTIF(Flows!$M$2:$M$1500,$A41&amp;"|"&amp;BI$1&amp;"|Input"),IF(COUNTIF(Flows!$M$2:$M$1500,$A41&amp;"|"&amp;BI$1&amp;"|Output"),"I/O","IN"),IF(COUNTIF(Flows!$M$2:$M$1500,$A41&amp;"|"&amp;BI$1&amp;"|Output"),"OUT",""))</f>
        <v/>
      </c>
      <c r="BJ41" s="33" t="str">
        <f aca="false">IF(COUNTIF(Flows!$M$2:$M$1500,$A41&amp;"|"&amp;BJ$1&amp;"|Input"),IF(COUNTIF(Flows!$M$2:$M$1500,$A41&amp;"|"&amp;BJ$1&amp;"|Output"),"I/O","IN"),IF(COUNTIF(Flows!$M$2:$M$1500,$A41&amp;"|"&amp;BJ$1&amp;"|Output"),"OUT",""))</f>
        <v/>
      </c>
      <c r="BK41" s="33" t="str">
        <f aca="false">IF(COUNTIF(Flows!$M$2:$M$1500,$A41&amp;"|"&amp;BK$1&amp;"|Input"),IF(COUNTIF(Flows!$M$2:$M$1500,$A41&amp;"|"&amp;BK$1&amp;"|Output"),"I/O","IN"),IF(COUNTIF(Flows!$M$2:$M$1500,$A41&amp;"|"&amp;BK$1&amp;"|Output"),"OUT",""))</f>
        <v/>
      </c>
    </row>
    <row r="42" customFormat="false" ht="15" hidden="false" customHeight="true" outlineLevel="0" collapsed="false">
      <c r="A42" s="6" t="str">
        <f aca="false">Systems!B42</f>
        <v>Solar Electric Fencing System</v>
      </c>
      <c r="B42" s="33" t="str">
        <f aca="false">IF(COUNTIF(Flows!$M$2:$M$1500,$A42&amp;"|"&amp;B$1&amp;"|Input"),IF(COUNTIF(Flows!$M$2:$M$1500,$A42&amp;"|"&amp;B$1&amp;"|Output"),"I/O","IN"),IF(COUNTIF(Flows!$M$2:$M$1500,$A42&amp;"|"&amp;B$1&amp;"|Output"),"OUT",""))</f>
        <v/>
      </c>
      <c r="C42" s="33" t="str">
        <f aca="false">IF(COUNTIF(Flows!$M$2:$M$1500,$A42&amp;"|"&amp;C$1&amp;"|Input"),IF(COUNTIF(Flows!$M$2:$M$1500,$A42&amp;"|"&amp;C$1&amp;"|Output"),"I/O","IN"),IF(COUNTIF(Flows!$M$2:$M$1500,$A42&amp;"|"&amp;C$1&amp;"|Output"),"OUT",""))</f>
        <v/>
      </c>
      <c r="D42" s="33" t="str">
        <f aca="false">IF(COUNTIF(Flows!$M$2:$M$1500,$A42&amp;"|"&amp;D$1&amp;"|Input"),IF(COUNTIF(Flows!$M$2:$M$1500,$A42&amp;"|"&amp;D$1&amp;"|Output"),"I/O","IN"),IF(COUNTIF(Flows!$M$2:$M$1500,$A42&amp;"|"&amp;D$1&amp;"|Output"),"OUT",""))</f>
        <v/>
      </c>
      <c r="E42" s="33" t="str">
        <f aca="false">IF(COUNTIF(Flows!$M$2:$M$1500,$A42&amp;"|"&amp;E$1&amp;"|Input"),IF(COUNTIF(Flows!$M$2:$M$1500,$A42&amp;"|"&amp;E$1&amp;"|Output"),"I/O","IN"),IF(COUNTIF(Flows!$M$2:$M$1500,$A42&amp;"|"&amp;E$1&amp;"|Output"),"OUT",""))</f>
        <v/>
      </c>
      <c r="F42" s="33" t="str">
        <f aca="false">IF(COUNTIF(Flows!$M$2:$M$1500,$A42&amp;"|"&amp;F$1&amp;"|Input"),IF(COUNTIF(Flows!$M$2:$M$1500,$A42&amp;"|"&amp;F$1&amp;"|Output"),"I/O","IN"),IF(COUNTIF(Flows!$M$2:$M$1500,$A42&amp;"|"&amp;F$1&amp;"|Output"),"OUT",""))</f>
        <v/>
      </c>
      <c r="G42" s="33" t="str">
        <f aca="false">IF(COUNTIF(Flows!$M$2:$M$1500,$A42&amp;"|"&amp;G$1&amp;"|Input"),IF(COUNTIF(Flows!$M$2:$M$1500,$A42&amp;"|"&amp;G$1&amp;"|Output"),"I/O","IN"),IF(COUNTIF(Flows!$M$2:$M$1500,$A42&amp;"|"&amp;G$1&amp;"|Output"),"OUT",""))</f>
        <v/>
      </c>
      <c r="H42" s="33" t="str">
        <f aca="false">IF(COUNTIF(Flows!$M$2:$M$1500,$A42&amp;"|"&amp;H$1&amp;"|Input"),IF(COUNTIF(Flows!$M$2:$M$1500,$A42&amp;"|"&amp;H$1&amp;"|Output"),"I/O","IN"),IF(COUNTIF(Flows!$M$2:$M$1500,$A42&amp;"|"&amp;H$1&amp;"|Output"),"OUT",""))</f>
        <v/>
      </c>
      <c r="I42" s="33" t="str">
        <f aca="false">IF(COUNTIF(Flows!$M$2:$M$1500,$A42&amp;"|"&amp;I$1&amp;"|Input"),IF(COUNTIF(Flows!$M$2:$M$1500,$A42&amp;"|"&amp;I$1&amp;"|Output"),"I/O","IN"),IF(COUNTIF(Flows!$M$2:$M$1500,$A42&amp;"|"&amp;I$1&amp;"|Output"),"OUT",""))</f>
        <v/>
      </c>
      <c r="J42" s="33" t="str">
        <f aca="false">IF(COUNTIF(Flows!$M$2:$M$1500,$A42&amp;"|"&amp;J$1&amp;"|Input"),IF(COUNTIF(Flows!$M$2:$M$1500,$A42&amp;"|"&amp;J$1&amp;"|Output"),"I/O","IN"),IF(COUNTIF(Flows!$M$2:$M$1500,$A42&amp;"|"&amp;J$1&amp;"|Output"),"OUT",""))</f>
        <v/>
      </c>
      <c r="K42" s="33" t="str">
        <f aca="false">IF(COUNTIF(Flows!$M$2:$M$1500,$A42&amp;"|"&amp;K$1&amp;"|Input"),IF(COUNTIF(Flows!$M$2:$M$1500,$A42&amp;"|"&amp;K$1&amp;"|Output"),"I/O","IN"),IF(COUNTIF(Flows!$M$2:$M$1500,$A42&amp;"|"&amp;K$1&amp;"|Output"),"OUT",""))</f>
        <v/>
      </c>
      <c r="L42" s="33" t="str">
        <f aca="false">IF(COUNTIF(Flows!$M$2:$M$1500,$A42&amp;"|"&amp;L$1&amp;"|Input"),IF(COUNTIF(Flows!$M$2:$M$1500,$A42&amp;"|"&amp;L$1&amp;"|Output"),"I/O","IN"),IF(COUNTIF(Flows!$M$2:$M$1500,$A42&amp;"|"&amp;L$1&amp;"|Output"),"OUT",""))</f>
        <v/>
      </c>
      <c r="M42" s="33" t="str">
        <f aca="false">IF(COUNTIF(Flows!$M$2:$M$1500,$A42&amp;"|"&amp;M$1&amp;"|Input"),IF(COUNTIF(Flows!$M$2:$M$1500,$A42&amp;"|"&amp;M$1&amp;"|Output"),"I/O","IN"),IF(COUNTIF(Flows!$M$2:$M$1500,$A42&amp;"|"&amp;M$1&amp;"|Output"),"OUT",""))</f>
        <v/>
      </c>
      <c r="N42" s="33" t="str">
        <f aca="false">IF(COUNTIF(Flows!$M$2:$M$1500,$A42&amp;"|"&amp;N$1&amp;"|Input"),IF(COUNTIF(Flows!$M$2:$M$1500,$A42&amp;"|"&amp;N$1&amp;"|Output"),"I/O","IN"),IF(COUNTIF(Flows!$M$2:$M$1500,$A42&amp;"|"&amp;N$1&amp;"|Output"),"OUT",""))</f>
        <v/>
      </c>
      <c r="O42" s="33" t="str">
        <f aca="false">IF(COUNTIF(Flows!$M$2:$M$1500,$A42&amp;"|"&amp;O$1&amp;"|Input"),IF(COUNTIF(Flows!$M$2:$M$1500,$A42&amp;"|"&amp;O$1&amp;"|Output"),"I/O","IN"),IF(COUNTIF(Flows!$M$2:$M$1500,$A42&amp;"|"&amp;O$1&amp;"|Output"),"OUT",""))</f>
        <v/>
      </c>
      <c r="P42" s="33" t="str">
        <f aca="false">IF(COUNTIF(Flows!$M$2:$M$1500,$A42&amp;"|"&amp;P$1&amp;"|Input"),IF(COUNTIF(Flows!$M$2:$M$1500,$A42&amp;"|"&amp;P$1&amp;"|Output"),"I/O","IN"),IF(COUNTIF(Flows!$M$2:$M$1500,$A42&amp;"|"&amp;P$1&amp;"|Output"),"OUT",""))</f>
        <v/>
      </c>
      <c r="Q42" s="33" t="str">
        <f aca="false">IF(COUNTIF(Flows!$M$2:$M$1500,$A42&amp;"|"&amp;Q$1&amp;"|Input"),IF(COUNTIF(Flows!$M$2:$M$1500,$A42&amp;"|"&amp;Q$1&amp;"|Output"),"I/O","IN"),IF(COUNTIF(Flows!$M$2:$M$1500,$A42&amp;"|"&amp;Q$1&amp;"|Output"),"OUT",""))</f>
        <v/>
      </c>
      <c r="R42" s="33" t="str">
        <f aca="false">IF(COUNTIF(Flows!$M$2:$M$1500,$A42&amp;"|"&amp;R$1&amp;"|Input"),IF(COUNTIF(Flows!$M$2:$M$1500,$A42&amp;"|"&amp;R$1&amp;"|Output"),"I/O","IN"),IF(COUNTIF(Flows!$M$2:$M$1500,$A42&amp;"|"&amp;R$1&amp;"|Output"),"OUT",""))</f>
        <v/>
      </c>
      <c r="S42" s="33" t="str">
        <f aca="false">IF(COUNTIF(Flows!$M$2:$M$1500,$A42&amp;"|"&amp;S$1&amp;"|Input"),IF(COUNTIF(Flows!$M$2:$M$1500,$A42&amp;"|"&amp;S$1&amp;"|Output"),"I/O","IN"),IF(COUNTIF(Flows!$M$2:$M$1500,$A42&amp;"|"&amp;S$1&amp;"|Output"),"OUT",""))</f>
        <v/>
      </c>
      <c r="T42" s="33" t="str">
        <f aca="false">IF(COUNTIF(Flows!$M$2:$M$1500,$A42&amp;"|"&amp;T$1&amp;"|Input"),IF(COUNTIF(Flows!$M$2:$M$1500,$A42&amp;"|"&amp;T$1&amp;"|Output"),"I/O","IN"),IF(COUNTIF(Flows!$M$2:$M$1500,$A42&amp;"|"&amp;T$1&amp;"|Output"),"OUT",""))</f>
        <v/>
      </c>
      <c r="U42" s="33" t="str">
        <f aca="false">IF(COUNTIF(Flows!$M$2:$M$1500,$A42&amp;"|"&amp;U$1&amp;"|Input"),IF(COUNTIF(Flows!$M$2:$M$1500,$A42&amp;"|"&amp;U$1&amp;"|Output"),"I/O","IN"),IF(COUNTIF(Flows!$M$2:$M$1500,$A42&amp;"|"&amp;U$1&amp;"|Output"),"OUT",""))</f>
        <v/>
      </c>
      <c r="V42" s="33" t="str">
        <f aca="false">IF(COUNTIF(Flows!$M$2:$M$1500,$A42&amp;"|"&amp;V$1&amp;"|Input"),IF(COUNTIF(Flows!$M$2:$M$1500,$A42&amp;"|"&amp;V$1&amp;"|Output"),"I/O","IN"),IF(COUNTIF(Flows!$M$2:$M$1500,$A42&amp;"|"&amp;V$1&amp;"|Output"),"OUT",""))</f>
        <v/>
      </c>
      <c r="W42" s="33" t="str">
        <f aca="false">IF(COUNTIF(Flows!$M$2:$M$1500,$A42&amp;"|"&amp;W$1&amp;"|Input"),IF(COUNTIF(Flows!$M$2:$M$1500,$A42&amp;"|"&amp;W$1&amp;"|Output"),"I/O","IN"),IF(COUNTIF(Flows!$M$2:$M$1500,$A42&amp;"|"&amp;W$1&amp;"|Output"),"OUT",""))</f>
        <v/>
      </c>
      <c r="X42" s="33" t="str">
        <f aca="false">IF(COUNTIF(Flows!$M$2:$M$1500,$A42&amp;"|"&amp;X$1&amp;"|Input"),IF(COUNTIF(Flows!$M$2:$M$1500,$A42&amp;"|"&amp;X$1&amp;"|Output"),"I/O","IN"),IF(COUNTIF(Flows!$M$2:$M$1500,$A42&amp;"|"&amp;X$1&amp;"|Output"),"OUT",""))</f>
        <v>IN</v>
      </c>
      <c r="Y42" s="33" t="str">
        <f aca="false">IF(COUNTIF(Flows!$M$2:$M$1500,$A42&amp;"|"&amp;Y$1&amp;"|Input"),IF(COUNTIF(Flows!$M$2:$M$1500,$A42&amp;"|"&amp;Y$1&amp;"|Output"),"I/O","IN"),IF(COUNTIF(Flows!$M$2:$M$1500,$A42&amp;"|"&amp;Y$1&amp;"|Output"),"OUT",""))</f>
        <v/>
      </c>
      <c r="Z42" s="33" t="str">
        <f aca="false">IF(COUNTIF(Flows!$M$2:$M$1500,$A42&amp;"|"&amp;Z$1&amp;"|Input"),IF(COUNTIF(Flows!$M$2:$M$1500,$A42&amp;"|"&amp;Z$1&amp;"|Output"),"I/O","IN"),IF(COUNTIF(Flows!$M$2:$M$1500,$A42&amp;"|"&amp;Z$1&amp;"|Output"),"OUT",""))</f>
        <v>IN</v>
      </c>
      <c r="AA42" s="33" t="str">
        <f aca="false">IF(COUNTIF(Flows!$M$2:$M$1500,$A42&amp;"|"&amp;AA$1&amp;"|Input"),IF(COUNTIF(Flows!$M$2:$M$1500,$A42&amp;"|"&amp;AA$1&amp;"|Output"),"I/O","IN"),IF(COUNTIF(Flows!$M$2:$M$1500,$A42&amp;"|"&amp;AA$1&amp;"|Output"),"OUT",""))</f>
        <v/>
      </c>
      <c r="AB42" s="33" t="str">
        <f aca="false">IF(COUNTIF(Flows!$M$2:$M$1500,$A42&amp;"|"&amp;AB$1&amp;"|Input"),IF(COUNTIF(Flows!$M$2:$M$1500,$A42&amp;"|"&amp;AB$1&amp;"|Output"),"I/O","IN"),IF(COUNTIF(Flows!$M$2:$M$1500,$A42&amp;"|"&amp;AB$1&amp;"|Output"),"OUT",""))</f>
        <v/>
      </c>
      <c r="AC42" s="33" t="str">
        <f aca="false">IF(COUNTIF(Flows!$M$2:$M$1500,$A42&amp;"|"&amp;AC$1&amp;"|Input"),IF(COUNTIF(Flows!$M$2:$M$1500,$A42&amp;"|"&amp;AC$1&amp;"|Output"),"I/O","IN"),IF(COUNTIF(Flows!$M$2:$M$1500,$A42&amp;"|"&amp;AC$1&amp;"|Output"),"OUT",""))</f>
        <v/>
      </c>
      <c r="AD42" s="33" t="str">
        <f aca="false">IF(COUNTIF(Flows!$M$2:$M$1500,$A42&amp;"|"&amp;AD$1&amp;"|Input"),IF(COUNTIF(Flows!$M$2:$M$1500,$A42&amp;"|"&amp;AD$1&amp;"|Output"),"I/O","IN"),IF(COUNTIF(Flows!$M$2:$M$1500,$A42&amp;"|"&amp;AD$1&amp;"|Output"),"OUT",""))</f>
        <v/>
      </c>
      <c r="AE42" s="33" t="str">
        <f aca="false">IF(COUNTIF(Flows!$M$2:$M$1500,$A42&amp;"|"&amp;AE$1&amp;"|Input"),IF(COUNTIF(Flows!$M$2:$M$1500,$A42&amp;"|"&amp;AE$1&amp;"|Output"),"I/O","IN"),IF(COUNTIF(Flows!$M$2:$M$1500,$A42&amp;"|"&amp;AE$1&amp;"|Output"),"OUT",""))</f>
        <v/>
      </c>
      <c r="AF42" s="33" t="str">
        <f aca="false">IF(COUNTIF(Flows!$M$2:$M$1500,$A42&amp;"|"&amp;AF$1&amp;"|Input"),IF(COUNTIF(Flows!$M$2:$M$1500,$A42&amp;"|"&amp;AF$1&amp;"|Output"),"I/O","IN"),IF(COUNTIF(Flows!$M$2:$M$1500,$A42&amp;"|"&amp;AF$1&amp;"|Output"),"OUT",""))</f>
        <v/>
      </c>
      <c r="AG42" s="33" t="str">
        <f aca="false">IF(COUNTIF(Flows!$M$2:$M$1500,$A42&amp;"|"&amp;AG$1&amp;"|Input"),IF(COUNTIF(Flows!$M$2:$M$1500,$A42&amp;"|"&amp;AG$1&amp;"|Output"),"I/O","IN"),IF(COUNTIF(Flows!$M$2:$M$1500,$A42&amp;"|"&amp;AG$1&amp;"|Output"),"OUT",""))</f>
        <v/>
      </c>
      <c r="AH42" s="33" t="str">
        <f aca="false">IF(COUNTIF(Flows!$M$2:$M$1500,$A42&amp;"|"&amp;AH$1&amp;"|Input"),IF(COUNTIF(Flows!$M$2:$M$1500,$A42&amp;"|"&amp;AH$1&amp;"|Output"),"I/O","IN"),IF(COUNTIF(Flows!$M$2:$M$1500,$A42&amp;"|"&amp;AH$1&amp;"|Output"),"OUT",""))</f>
        <v/>
      </c>
      <c r="AI42" s="33" t="str">
        <f aca="false">IF(COUNTIF(Flows!$M$2:$M$1500,$A42&amp;"|"&amp;AI$1&amp;"|Input"),IF(COUNTIF(Flows!$M$2:$M$1500,$A42&amp;"|"&amp;AI$1&amp;"|Output"),"I/O","IN"),IF(COUNTIF(Flows!$M$2:$M$1500,$A42&amp;"|"&amp;AI$1&amp;"|Output"),"OUT",""))</f>
        <v/>
      </c>
      <c r="AJ42" s="33" t="str">
        <f aca="false">IF(COUNTIF(Flows!$M$2:$M$1500,$A42&amp;"|"&amp;AJ$1&amp;"|Input"),IF(COUNTIF(Flows!$M$2:$M$1500,$A42&amp;"|"&amp;AJ$1&amp;"|Output"),"I/O","IN"),IF(COUNTIF(Flows!$M$2:$M$1500,$A42&amp;"|"&amp;AJ$1&amp;"|Output"),"OUT",""))</f>
        <v>OUT</v>
      </c>
      <c r="AK42" s="33" t="str">
        <f aca="false">IF(COUNTIF(Flows!$M$2:$M$1500,$A42&amp;"|"&amp;AK$1&amp;"|Input"),IF(COUNTIF(Flows!$M$2:$M$1500,$A42&amp;"|"&amp;AK$1&amp;"|Output"),"I/O","IN"),IF(COUNTIF(Flows!$M$2:$M$1500,$A42&amp;"|"&amp;AK$1&amp;"|Output"),"OUT",""))</f>
        <v/>
      </c>
      <c r="AL42" s="33" t="str">
        <f aca="false">IF(COUNTIF(Flows!$M$2:$M$1500,$A42&amp;"|"&amp;AL$1&amp;"|Input"),IF(COUNTIF(Flows!$M$2:$M$1500,$A42&amp;"|"&amp;AL$1&amp;"|Output"),"I/O","IN"),IF(COUNTIF(Flows!$M$2:$M$1500,$A42&amp;"|"&amp;AL$1&amp;"|Output"),"OUT",""))</f>
        <v/>
      </c>
      <c r="AM42" s="33" t="str">
        <f aca="false">IF(COUNTIF(Flows!$M$2:$M$1500,$A42&amp;"|"&amp;AM$1&amp;"|Input"),IF(COUNTIF(Flows!$M$2:$M$1500,$A42&amp;"|"&amp;AM$1&amp;"|Output"),"I/O","IN"),IF(COUNTIF(Flows!$M$2:$M$1500,$A42&amp;"|"&amp;AM$1&amp;"|Output"),"OUT",""))</f>
        <v/>
      </c>
      <c r="AN42" s="33" t="str">
        <f aca="false">IF(COUNTIF(Flows!$M$2:$M$1500,$A42&amp;"|"&amp;AN$1&amp;"|Input"),IF(COUNTIF(Flows!$M$2:$M$1500,$A42&amp;"|"&amp;AN$1&amp;"|Output"),"I/O","IN"),IF(COUNTIF(Flows!$M$2:$M$1500,$A42&amp;"|"&amp;AN$1&amp;"|Output"),"OUT",""))</f>
        <v/>
      </c>
      <c r="AO42" s="33" t="str">
        <f aca="false">IF(COUNTIF(Flows!$M$2:$M$1500,$A42&amp;"|"&amp;AO$1&amp;"|Input"),IF(COUNTIF(Flows!$M$2:$M$1500,$A42&amp;"|"&amp;AO$1&amp;"|Output"),"I/O","IN"),IF(COUNTIF(Flows!$M$2:$M$1500,$A42&amp;"|"&amp;AO$1&amp;"|Output"),"OUT",""))</f>
        <v/>
      </c>
      <c r="AP42" s="33" t="str">
        <f aca="false">IF(COUNTIF(Flows!$M$2:$M$1500,$A42&amp;"|"&amp;AP$1&amp;"|Input"),IF(COUNTIF(Flows!$M$2:$M$1500,$A42&amp;"|"&amp;AP$1&amp;"|Output"),"I/O","IN"),IF(COUNTIF(Flows!$M$2:$M$1500,$A42&amp;"|"&amp;AP$1&amp;"|Output"),"OUT",""))</f>
        <v/>
      </c>
      <c r="AQ42" s="33" t="str">
        <f aca="false">IF(COUNTIF(Flows!$M$2:$M$1500,$A42&amp;"|"&amp;AQ$1&amp;"|Input"),IF(COUNTIF(Flows!$M$2:$M$1500,$A42&amp;"|"&amp;AQ$1&amp;"|Output"),"I/O","IN"),IF(COUNTIF(Flows!$M$2:$M$1500,$A42&amp;"|"&amp;AQ$1&amp;"|Output"),"OUT",""))</f>
        <v/>
      </c>
      <c r="AR42" s="33" t="str">
        <f aca="false">IF(COUNTIF(Flows!$M$2:$M$1500,$A42&amp;"|"&amp;AR$1&amp;"|Input"),IF(COUNTIF(Flows!$M$2:$M$1500,$A42&amp;"|"&amp;AR$1&amp;"|Output"),"I/O","IN"),IF(COUNTIF(Flows!$M$2:$M$1500,$A42&amp;"|"&amp;AR$1&amp;"|Output"),"OUT",""))</f>
        <v/>
      </c>
      <c r="AS42" s="33" t="str">
        <f aca="false">IF(COUNTIF(Flows!$M$2:$M$1500,$A42&amp;"|"&amp;AS$1&amp;"|Input"),IF(COUNTIF(Flows!$M$2:$M$1500,$A42&amp;"|"&amp;AS$1&amp;"|Output"),"I/O","IN"),IF(COUNTIF(Flows!$M$2:$M$1500,$A42&amp;"|"&amp;AS$1&amp;"|Output"),"OUT",""))</f>
        <v/>
      </c>
      <c r="AT42" s="33" t="str">
        <f aca="false">IF(COUNTIF(Flows!$M$2:$M$1500,$A42&amp;"|"&amp;AT$1&amp;"|Input"),IF(COUNTIF(Flows!$M$2:$M$1500,$A42&amp;"|"&amp;AT$1&amp;"|Output"),"I/O","IN"),IF(COUNTIF(Flows!$M$2:$M$1500,$A42&amp;"|"&amp;AT$1&amp;"|Output"),"OUT",""))</f>
        <v/>
      </c>
      <c r="AU42" s="33" t="str">
        <f aca="false">IF(COUNTIF(Flows!$M$2:$M$1500,$A42&amp;"|"&amp;AU$1&amp;"|Input"),IF(COUNTIF(Flows!$M$2:$M$1500,$A42&amp;"|"&amp;AU$1&amp;"|Output"),"I/O","IN"),IF(COUNTIF(Flows!$M$2:$M$1500,$A42&amp;"|"&amp;AU$1&amp;"|Output"),"OUT",""))</f>
        <v/>
      </c>
      <c r="AV42" s="33" t="str">
        <f aca="false">IF(COUNTIF(Flows!$M$2:$M$1500,$A42&amp;"|"&amp;AV$1&amp;"|Input"),IF(COUNTIF(Flows!$M$2:$M$1500,$A42&amp;"|"&amp;AV$1&amp;"|Output"),"I/O","IN"),IF(COUNTIF(Flows!$M$2:$M$1500,$A42&amp;"|"&amp;AV$1&amp;"|Output"),"OUT",""))</f>
        <v/>
      </c>
      <c r="AW42" s="33" t="str">
        <f aca="false">IF(COUNTIF(Flows!$M$2:$M$1500,$A42&amp;"|"&amp;AW$1&amp;"|Input"),IF(COUNTIF(Flows!$M$2:$M$1500,$A42&amp;"|"&amp;AW$1&amp;"|Output"),"I/O","IN"),IF(COUNTIF(Flows!$M$2:$M$1500,$A42&amp;"|"&amp;AW$1&amp;"|Output"),"OUT",""))</f>
        <v/>
      </c>
      <c r="AX42" s="33" t="str">
        <f aca="false">IF(COUNTIF(Flows!$M$2:$M$1500,$A42&amp;"|"&amp;AX$1&amp;"|Input"),IF(COUNTIF(Flows!$M$2:$M$1500,$A42&amp;"|"&amp;AX$1&amp;"|Output"),"I/O","IN"),IF(COUNTIF(Flows!$M$2:$M$1500,$A42&amp;"|"&amp;AX$1&amp;"|Output"),"OUT",""))</f>
        <v/>
      </c>
      <c r="AY42" s="33" t="str">
        <f aca="false">IF(COUNTIF(Flows!$M$2:$M$1500,$A42&amp;"|"&amp;AY$1&amp;"|Input"),IF(COUNTIF(Flows!$M$2:$M$1500,$A42&amp;"|"&amp;AY$1&amp;"|Output"),"I/O","IN"),IF(COUNTIF(Flows!$M$2:$M$1500,$A42&amp;"|"&amp;AY$1&amp;"|Output"),"OUT",""))</f>
        <v/>
      </c>
      <c r="AZ42" s="33" t="str">
        <f aca="false">IF(COUNTIF(Flows!$M$2:$M$1500,$A42&amp;"|"&amp;AZ$1&amp;"|Input"),IF(COUNTIF(Flows!$M$2:$M$1500,$A42&amp;"|"&amp;AZ$1&amp;"|Output"),"I/O","IN"),IF(COUNTIF(Flows!$M$2:$M$1500,$A42&amp;"|"&amp;AZ$1&amp;"|Output"),"OUT",""))</f>
        <v/>
      </c>
      <c r="BA42" s="33" t="str">
        <f aca="false">IF(COUNTIF(Flows!$M$2:$M$1500,$A42&amp;"|"&amp;BA$1&amp;"|Input"),IF(COUNTIF(Flows!$M$2:$M$1500,$A42&amp;"|"&amp;BA$1&amp;"|Output"),"I/O","IN"),IF(COUNTIF(Flows!$M$2:$M$1500,$A42&amp;"|"&amp;BA$1&amp;"|Output"),"OUT",""))</f>
        <v/>
      </c>
      <c r="BB42" s="33" t="str">
        <f aca="false">IF(COUNTIF(Flows!$M$2:$M$1500,$A42&amp;"|"&amp;BB$1&amp;"|Input"),IF(COUNTIF(Flows!$M$2:$M$1500,$A42&amp;"|"&amp;BB$1&amp;"|Output"),"I/O","IN"),IF(COUNTIF(Flows!$M$2:$M$1500,$A42&amp;"|"&amp;BB$1&amp;"|Output"),"OUT",""))</f>
        <v/>
      </c>
      <c r="BC42" s="33" t="str">
        <f aca="false">IF(COUNTIF(Flows!$M$2:$M$1500,$A42&amp;"|"&amp;BC$1&amp;"|Input"),IF(COUNTIF(Flows!$M$2:$M$1500,$A42&amp;"|"&amp;BC$1&amp;"|Output"),"I/O","IN"),IF(COUNTIF(Flows!$M$2:$M$1500,$A42&amp;"|"&amp;BC$1&amp;"|Output"),"OUT",""))</f>
        <v/>
      </c>
      <c r="BD42" s="33" t="str">
        <f aca="false">IF(COUNTIF(Flows!$M$2:$M$1500,$A42&amp;"|"&amp;BD$1&amp;"|Input"),IF(COUNTIF(Flows!$M$2:$M$1500,$A42&amp;"|"&amp;BD$1&amp;"|Output"),"I/O","IN"),IF(COUNTIF(Flows!$M$2:$M$1500,$A42&amp;"|"&amp;BD$1&amp;"|Output"),"OUT",""))</f>
        <v/>
      </c>
      <c r="BE42" s="33" t="str">
        <f aca="false">IF(COUNTIF(Flows!$M$2:$M$1500,$A42&amp;"|"&amp;BE$1&amp;"|Input"),IF(COUNTIF(Flows!$M$2:$M$1500,$A42&amp;"|"&amp;BE$1&amp;"|Output"),"I/O","IN"),IF(COUNTIF(Flows!$M$2:$M$1500,$A42&amp;"|"&amp;BE$1&amp;"|Output"),"OUT",""))</f>
        <v/>
      </c>
      <c r="BF42" s="33" t="str">
        <f aca="false">IF(COUNTIF(Flows!$M$2:$M$1500,$A42&amp;"|"&amp;BF$1&amp;"|Input"),IF(COUNTIF(Flows!$M$2:$M$1500,$A42&amp;"|"&amp;BF$1&amp;"|Output"),"I/O","IN"),IF(COUNTIF(Flows!$M$2:$M$1500,$A42&amp;"|"&amp;BF$1&amp;"|Output"),"OUT",""))</f>
        <v/>
      </c>
      <c r="BG42" s="33" t="str">
        <f aca="false">IF(COUNTIF(Flows!$M$2:$M$1500,$A42&amp;"|"&amp;BG$1&amp;"|Input"),IF(COUNTIF(Flows!$M$2:$M$1500,$A42&amp;"|"&amp;BG$1&amp;"|Output"),"I/O","IN"),IF(COUNTIF(Flows!$M$2:$M$1500,$A42&amp;"|"&amp;BG$1&amp;"|Output"),"OUT",""))</f>
        <v/>
      </c>
      <c r="BH42" s="33" t="str">
        <f aca="false">IF(COUNTIF(Flows!$M$2:$M$1500,$A42&amp;"|"&amp;BH$1&amp;"|Input"),IF(COUNTIF(Flows!$M$2:$M$1500,$A42&amp;"|"&amp;BH$1&amp;"|Output"),"I/O","IN"),IF(COUNTIF(Flows!$M$2:$M$1500,$A42&amp;"|"&amp;BH$1&amp;"|Output"),"OUT",""))</f>
        <v/>
      </c>
      <c r="BI42" s="33" t="str">
        <f aca="false">IF(COUNTIF(Flows!$M$2:$M$1500,$A42&amp;"|"&amp;BI$1&amp;"|Input"),IF(COUNTIF(Flows!$M$2:$M$1500,$A42&amp;"|"&amp;BI$1&amp;"|Output"),"I/O","IN"),IF(COUNTIF(Flows!$M$2:$M$1500,$A42&amp;"|"&amp;BI$1&amp;"|Output"),"OUT",""))</f>
        <v/>
      </c>
      <c r="BJ42" s="33" t="str">
        <f aca="false">IF(COUNTIF(Flows!$M$2:$M$1500,$A42&amp;"|"&amp;BJ$1&amp;"|Input"),IF(COUNTIF(Flows!$M$2:$M$1500,$A42&amp;"|"&amp;BJ$1&amp;"|Output"),"I/O","IN"),IF(COUNTIF(Flows!$M$2:$M$1500,$A42&amp;"|"&amp;BJ$1&amp;"|Output"),"OUT",""))</f>
        <v/>
      </c>
      <c r="BK42" s="33" t="str">
        <f aca="false">IF(COUNTIF(Flows!$M$2:$M$1500,$A42&amp;"|"&amp;BK$1&amp;"|Input"),IF(COUNTIF(Flows!$M$2:$M$1500,$A42&amp;"|"&amp;BK$1&amp;"|Output"),"I/O","IN"),IF(COUNTIF(Flows!$M$2:$M$1500,$A42&amp;"|"&amp;BK$1&amp;"|Output"),"OUT",""))</f>
        <v>OUT</v>
      </c>
    </row>
    <row r="43" customFormat="false" ht="15" hidden="false" customHeight="true" outlineLevel="0" collapsed="false">
      <c r="A43" s="6" t="str">
        <f aca="false">Systems!B43</f>
        <v>Solar Golf Cart</v>
      </c>
      <c r="B43" s="33" t="str">
        <f aca="false">IF(COUNTIF(Flows!$M$2:$M$1500,$A43&amp;"|"&amp;B$1&amp;"|Input"),IF(COUNTIF(Flows!$M$2:$M$1500,$A43&amp;"|"&amp;B$1&amp;"|Output"),"I/O","IN"),IF(COUNTIF(Flows!$M$2:$M$1500,$A43&amp;"|"&amp;B$1&amp;"|Output"),"OUT",""))</f>
        <v/>
      </c>
      <c r="C43" s="33" t="str">
        <f aca="false">IF(COUNTIF(Flows!$M$2:$M$1500,$A43&amp;"|"&amp;C$1&amp;"|Input"),IF(COUNTIF(Flows!$M$2:$M$1500,$A43&amp;"|"&amp;C$1&amp;"|Output"),"I/O","IN"),IF(COUNTIF(Flows!$M$2:$M$1500,$A43&amp;"|"&amp;C$1&amp;"|Output"),"OUT",""))</f>
        <v/>
      </c>
      <c r="D43" s="33" t="str">
        <f aca="false">IF(COUNTIF(Flows!$M$2:$M$1500,$A43&amp;"|"&amp;D$1&amp;"|Input"),IF(COUNTIF(Flows!$M$2:$M$1500,$A43&amp;"|"&amp;D$1&amp;"|Output"),"I/O","IN"),IF(COUNTIF(Flows!$M$2:$M$1500,$A43&amp;"|"&amp;D$1&amp;"|Output"),"OUT",""))</f>
        <v/>
      </c>
      <c r="E43" s="33" t="str">
        <f aca="false">IF(COUNTIF(Flows!$M$2:$M$1500,$A43&amp;"|"&amp;E$1&amp;"|Input"),IF(COUNTIF(Flows!$M$2:$M$1500,$A43&amp;"|"&amp;E$1&amp;"|Output"),"I/O","IN"),IF(COUNTIF(Flows!$M$2:$M$1500,$A43&amp;"|"&amp;E$1&amp;"|Output"),"OUT",""))</f>
        <v/>
      </c>
      <c r="F43" s="33" t="str">
        <f aca="false">IF(COUNTIF(Flows!$M$2:$M$1500,$A43&amp;"|"&amp;F$1&amp;"|Input"),IF(COUNTIF(Flows!$M$2:$M$1500,$A43&amp;"|"&amp;F$1&amp;"|Output"),"I/O","IN"),IF(COUNTIF(Flows!$M$2:$M$1500,$A43&amp;"|"&amp;F$1&amp;"|Output"),"OUT",""))</f>
        <v/>
      </c>
      <c r="G43" s="33" t="str">
        <f aca="false">IF(COUNTIF(Flows!$M$2:$M$1500,$A43&amp;"|"&amp;G$1&amp;"|Input"),IF(COUNTIF(Flows!$M$2:$M$1500,$A43&amp;"|"&amp;G$1&amp;"|Output"),"I/O","IN"),IF(COUNTIF(Flows!$M$2:$M$1500,$A43&amp;"|"&amp;G$1&amp;"|Output"),"OUT",""))</f>
        <v/>
      </c>
      <c r="H43" s="33" t="str">
        <f aca="false">IF(COUNTIF(Flows!$M$2:$M$1500,$A43&amp;"|"&amp;H$1&amp;"|Input"),IF(COUNTIF(Flows!$M$2:$M$1500,$A43&amp;"|"&amp;H$1&amp;"|Output"),"I/O","IN"),IF(COUNTIF(Flows!$M$2:$M$1500,$A43&amp;"|"&amp;H$1&amp;"|Output"),"OUT",""))</f>
        <v/>
      </c>
      <c r="I43" s="33" t="str">
        <f aca="false">IF(COUNTIF(Flows!$M$2:$M$1500,$A43&amp;"|"&amp;I$1&amp;"|Input"),IF(COUNTIF(Flows!$M$2:$M$1500,$A43&amp;"|"&amp;I$1&amp;"|Output"),"I/O","IN"),IF(COUNTIF(Flows!$M$2:$M$1500,$A43&amp;"|"&amp;I$1&amp;"|Output"),"OUT",""))</f>
        <v/>
      </c>
      <c r="J43" s="33" t="str">
        <f aca="false">IF(COUNTIF(Flows!$M$2:$M$1500,$A43&amp;"|"&amp;J$1&amp;"|Input"),IF(COUNTIF(Flows!$M$2:$M$1500,$A43&amp;"|"&amp;J$1&amp;"|Output"),"I/O","IN"),IF(COUNTIF(Flows!$M$2:$M$1500,$A43&amp;"|"&amp;J$1&amp;"|Output"),"OUT",""))</f>
        <v/>
      </c>
      <c r="K43" s="33" t="str">
        <f aca="false">IF(COUNTIF(Flows!$M$2:$M$1500,$A43&amp;"|"&amp;K$1&amp;"|Input"),IF(COUNTIF(Flows!$M$2:$M$1500,$A43&amp;"|"&amp;K$1&amp;"|Output"),"I/O","IN"),IF(COUNTIF(Flows!$M$2:$M$1500,$A43&amp;"|"&amp;K$1&amp;"|Output"),"OUT",""))</f>
        <v/>
      </c>
      <c r="L43" s="33" t="str">
        <f aca="false">IF(COUNTIF(Flows!$M$2:$M$1500,$A43&amp;"|"&amp;L$1&amp;"|Input"),IF(COUNTIF(Flows!$M$2:$M$1500,$A43&amp;"|"&amp;L$1&amp;"|Output"),"I/O","IN"),IF(COUNTIF(Flows!$M$2:$M$1500,$A43&amp;"|"&amp;L$1&amp;"|Output"),"OUT",""))</f>
        <v/>
      </c>
      <c r="M43" s="33" t="str">
        <f aca="false">IF(COUNTIF(Flows!$M$2:$M$1500,$A43&amp;"|"&amp;M$1&amp;"|Input"),IF(COUNTIF(Flows!$M$2:$M$1500,$A43&amp;"|"&amp;M$1&amp;"|Output"),"I/O","IN"),IF(COUNTIF(Flows!$M$2:$M$1500,$A43&amp;"|"&amp;M$1&amp;"|Output"),"OUT",""))</f>
        <v/>
      </c>
      <c r="N43" s="33" t="str">
        <f aca="false">IF(COUNTIF(Flows!$M$2:$M$1500,$A43&amp;"|"&amp;N$1&amp;"|Input"),IF(COUNTIF(Flows!$M$2:$M$1500,$A43&amp;"|"&amp;N$1&amp;"|Output"),"I/O","IN"),IF(COUNTIF(Flows!$M$2:$M$1500,$A43&amp;"|"&amp;N$1&amp;"|Output"),"OUT",""))</f>
        <v/>
      </c>
      <c r="O43" s="33" t="str">
        <f aca="false">IF(COUNTIF(Flows!$M$2:$M$1500,$A43&amp;"|"&amp;O$1&amp;"|Input"),IF(COUNTIF(Flows!$M$2:$M$1500,$A43&amp;"|"&amp;O$1&amp;"|Output"),"I/O","IN"),IF(COUNTIF(Flows!$M$2:$M$1500,$A43&amp;"|"&amp;O$1&amp;"|Output"),"OUT",""))</f>
        <v/>
      </c>
      <c r="P43" s="33" t="str">
        <f aca="false">IF(COUNTIF(Flows!$M$2:$M$1500,$A43&amp;"|"&amp;P$1&amp;"|Input"),IF(COUNTIF(Flows!$M$2:$M$1500,$A43&amp;"|"&amp;P$1&amp;"|Output"),"I/O","IN"),IF(COUNTIF(Flows!$M$2:$M$1500,$A43&amp;"|"&amp;P$1&amp;"|Output"),"OUT",""))</f>
        <v/>
      </c>
      <c r="Q43" s="33" t="str">
        <f aca="false">IF(COUNTIF(Flows!$M$2:$M$1500,$A43&amp;"|"&amp;Q$1&amp;"|Input"),IF(COUNTIF(Flows!$M$2:$M$1500,$A43&amp;"|"&amp;Q$1&amp;"|Output"),"I/O","IN"),IF(COUNTIF(Flows!$M$2:$M$1500,$A43&amp;"|"&amp;Q$1&amp;"|Output"),"OUT",""))</f>
        <v/>
      </c>
      <c r="R43" s="33" t="str">
        <f aca="false">IF(COUNTIF(Flows!$M$2:$M$1500,$A43&amp;"|"&amp;R$1&amp;"|Input"),IF(COUNTIF(Flows!$M$2:$M$1500,$A43&amp;"|"&amp;R$1&amp;"|Output"),"I/O","IN"),IF(COUNTIF(Flows!$M$2:$M$1500,$A43&amp;"|"&amp;R$1&amp;"|Output"),"OUT",""))</f>
        <v/>
      </c>
      <c r="S43" s="33" t="str">
        <f aca="false">IF(COUNTIF(Flows!$M$2:$M$1500,$A43&amp;"|"&amp;S$1&amp;"|Input"),IF(COUNTIF(Flows!$M$2:$M$1500,$A43&amp;"|"&amp;S$1&amp;"|Output"),"I/O","IN"),IF(COUNTIF(Flows!$M$2:$M$1500,$A43&amp;"|"&amp;S$1&amp;"|Output"),"OUT",""))</f>
        <v>IN</v>
      </c>
      <c r="T43" s="33" t="str">
        <f aca="false">IF(COUNTIF(Flows!$M$2:$M$1500,$A43&amp;"|"&amp;T$1&amp;"|Input"),IF(COUNTIF(Flows!$M$2:$M$1500,$A43&amp;"|"&amp;T$1&amp;"|Output"),"I/O","IN"),IF(COUNTIF(Flows!$M$2:$M$1500,$A43&amp;"|"&amp;T$1&amp;"|Output"),"OUT",""))</f>
        <v>OUT</v>
      </c>
      <c r="U43" s="33" t="str">
        <f aca="false">IF(COUNTIF(Flows!$M$2:$M$1500,$A43&amp;"|"&amp;U$1&amp;"|Input"),IF(COUNTIF(Flows!$M$2:$M$1500,$A43&amp;"|"&amp;U$1&amp;"|Output"),"I/O","IN"),IF(COUNTIF(Flows!$M$2:$M$1500,$A43&amp;"|"&amp;U$1&amp;"|Output"),"OUT",""))</f>
        <v/>
      </c>
      <c r="V43" s="33" t="str">
        <f aca="false">IF(COUNTIF(Flows!$M$2:$M$1500,$A43&amp;"|"&amp;V$1&amp;"|Input"),IF(COUNTIF(Flows!$M$2:$M$1500,$A43&amp;"|"&amp;V$1&amp;"|Output"),"I/O","IN"),IF(COUNTIF(Flows!$M$2:$M$1500,$A43&amp;"|"&amp;V$1&amp;"|Output"),"OUT",""))</f>
        <v/>
      </c>
      <c r="W43" s="33" t="str">
        <f aca="false">IF(COUNTIF(Flows!$M$2:$M$1500,$A43&amp;"|"&amp;W$1&amp;"|Input"),IF(COUNTIF(Flows!$M$2:$M$1500,$A43&amp;"|"&amp;W$1&amp;"|Output"),"I/O","IN"),IF(COUNTIF(Flows!$M$2:$M$1500,$A43&amp;"|"&amp;W$1&amp;"|Output"),"OUT",""))</f>
        <v/>
      </c>
      <c r="X43" s="33" t="str">
        <f aca="false">IF(COUNTIF(Flows!$M$2:$M$1500,$A43&amp;"|"&amp;X$1&amp;"|Input"),IF(COUNTIF(Flows!$M$2:$M$1500,$A43&amp;"|"&amp;X$1&amp;"|Output"),"I/O","IN"),IF(COUNTIF(Flows!$M$2:$M$1500,$A43&amp;"|"&amp;X$1&amp;"|Output"),"OUT",""))</f>
        <v>IN</v>
      </c>
      <c r="Y43" s="33" t="str">
        <f aca="false">IF(COUNTIF(Flows!$M$2:$M$1500,$A43&amp;"|"&amp;Y$1&amp;"|Input"),IF(COUNTIF(Flows!$M$2:$M$1500,$A43&amp;"|"&amp;Y$1&amp;"|Output"),"I/O","IN"),IF(COUNTIF(Flows!$M$2:$M$1500,$A43&amp;"|"&amp;Y$1&amp;"|Output"),"OUT",""))</f>
        <v/>
      </c>
      <c r="Z43" s="33" t="str">
        <f aca="false">IF(COUNTIF(Flows!$M$2:$M$1500,$A43&amp;"|"&amp;Z$1&amp;"|Input"),IF(COUNTIF(Flows!$M$2:$M$1500,$A43&amp;"|"&amp;Z$1&amp;"|Output"),"I/O","IN"),IF(COUNTIF(Flows!$M$2:$M$1500,$A43&amp;"|"&amp;Z$1&amp;"|Output"),"OUT",""))</f>
        <v>IN</v>
      </c>
      <c r="AA43" s="33" t="str">
        <f aca="false">IF(COUNTIF(Flows!$M$2:$M$1500,$A43&amp;"|"&amp;AA$1&amp;"|Input"),IF(COUNTIF(Flows!$M$2:$M$1500,$A43&amp;"|"&amp;AA$1&amp;"|Output"),"I/O","IN"),IF(COUNTIF(Flows!$M$2:$M$1500,$A43&amp;"|"&amp;AA$1&amp;"|Output"),"OUT",""))</f>
        <v/>
      </c>
      <c r="AB43" s="33" t="str">
        <f aca="false">IF(COUNTIF(Flows!$M$2:$M$1500,$A43&amp;"|"&amp;AB$1&amp;"|Input"),IF(COUNTIF(Flows!$M$2:$M$1500,$A43&amp;"|"&amp;AB$1&amp;"|Output"),"I/O","IN"),IF(COUNTIF(Flows!$M$2:$M$1500,$A43&amp;"|"&amp;AB$1&amp;"|Output"),"OUT",""))</f>
        <v/>
      </c>
      <c r="AC43" s="33" t="str">
        <f aca="false">IF(COUNTIF(Flows!$M$2:$M$1500,$A43&amp;"|"&amp;AC$1&amp;"|Input"),IF(COUNTIF(Flows!$M$2:$M$1500,$A43&amp;"|"&amp;AC$1&amp;"|Output"),"I/O","IN"),IF(COUNTIF(Flows!$M$2:$M$1500,$A43&amp;"|"&amp;AC$1&amp;"|Output"),"OUT",""))</f>
        <v/>
      </c>
      <c r="AD43" s="33" t="str">
        <f aca="false">IF(COUNTIF(Flows!$M$2:$M$1500,$A43&amp;"|"&amp;AD$1&amp;"|Input"),IF(COUNTIF(Flows!$M$2:$M$1500,$A43&amp;"|"&amp;AD$1&amp;"|Output"),"I/O","IN"),IF(COUNTIF(Flows!$M$2:$M$1500,$A43&amp;"|"&amp;AD$1&amp;"|Output"),"OUT",""))</f>
        <v/>
      </c>
      <c r="AE43" s="33" t="str">
        <f aca="false">IF(COUNTIF(Flows!$M$2:$M$1500,$A43&amp;"|"&amp;AE$1&amp;"|Input"),IF(COUNTIF(Flows!$M$2:$M$1500,$A43&amp;"|"&amp;AE$1&amp;"|Output"),"I/O","IN"),IF(COUNTIF(Flows!$M$2:$M$1500,$A43&amp;"|"&amp;AE$1&amp;"|Output"),"OUT",""))</f>
        <v/>
      </c>
      <c r="AF43" s="33" t="str">
        <f aca="false">IF(COUNTIF(Flows!$M$2:$M$1500,$A43&amp;"|"&amp;AF$1&amp;"|Input"),IF(COUNTIF(Flows!$M$2:$M$1500,$A43&amp;"|"&amp;AF$1&amp;"|Output"),"I/O","IN"),IF(COUNTIF(Flows!$M$2:$M$1500,$A43&amp;"|"&amp;AF$1&amp;"|Output"),"OUT",""))</f>
        <v/>
      </c>
      <c r="AG43" s="33" t="str">
        <f aca="false">IF(COUNTIF(Flows!$M$2:$M$1500,$A43&amp;"|"&amp;AG$1&amp;"|Input"),IF(COUNTIF(Flows!$M$2:$M$1500,$A43&amp;"|"&amp;AG$1&amp;"|Output"),"I/O","IN"),IF(COUNTIF(Flows!$M$2:$M$1500,$A43&amp;"|"&amp;AG$1&amp;"|Output"),"OUT",""))</f>
        <v/>
      </c>
      <c r="AH43" s="33" t="str">
        <f aca="false">IF(COUNTIF(Flows!$M$2:$M$1500,$A43&amp;"|"&amp;AH$1&amp;"|Input"),IF(COUNTIF(Flows!$M$2:$M$1500,$A43&amp;"|"&amp;AH$1&amp;"|Output"),"I/O","IN"),IF(COUNTIF(Flows!$M$2:$M$1500,$A43&amp;"|"&amp;AH$1&amp;"|Output"),"OUT",""))</f>
        <v/>
      </c>
      <c r="AI43" s="33" t="str">
        <f aca="false">IF(COUNTIF(Flows!$M$2:$M$1500,$A43&amp;"|"&amp;AI$1&amp;"|Input"),IF(COUNTIF(Flows!$M$2:$M$1500,$A43&amp;"|"&amp;AI$1&amp;"|Output"),"I/O","IN"),IF(COUNTIF(Flows!$M$2:$M$1500,$A43&amp;"|"&amp;AI$1&amp;"|Output"),"OUT",""))</f>
        <v/>
      </c>
      <c r="AJ43" s="33" t="str">
        <f aca="false">IF(COUNTIF(Flows!$M$2:$M$1500,$A43&amp;"|"&amp;AJ$1&amp;"|Input"),IF(COUNTIF(Flows!$M$2:$M$1500,$A43&amp;"|"&amp;AJ$1&amp;"|Output"),"I/O","IN"),IF(COUNTIF(Flows!$M$2:$M$1500,$A43&amp;"|"&amp;AJ$1&amp;"|Output"),"OUT",""))</f>
        <v/>
      </c>
      <c r="AK43" s="33" t="str">
        <f aca="false">IF(COUNTIF(Flows!$M$2:$M$1500,$A43&amp;"|"&amp;AK$1&amp;"|Input"),IF(COUNTIF(Flows!$M$2:$M$1500,$A43&amp;"|"&amp;AK$1&amp;"|Output"),"I/O","IN"),IF(COUNTIF(Flows!$M$2:$M$1500,$A43&amp;"|"&amp;AK$1&amp;"|Output"),"OUT",""))</f>
        <v/>
      </c>
      <c r="AL43" s="33" t="str">
        <f aca="false">IF(COUNTIF(Flows!$M$2:$M$1500,$A43&amp;"|"&amp;AL$1&amp;"|Input"),IF(COUNTIF(Flows!$M$2:$M$1500,$A43&amp;"|"&amp;AL$1&amp;"|Output"),"I/O","IN"),IF(COUNTIF(Flows!$M$2:$M$1500,$A43&amp;"|"&amp;AL$1&amp;"|Output"),"OUT",""))</f>
        <v/>
      </c>
      <c r="AM43" s="33" t="str">
        <f aca="false">IF(COUNTIF(Flows!$M$2:$M$1500,$A43&amp;"|"&amp;AM$1&amp;"|Input"),IF(COUNTIF(Flows!$M$2:$M$1500,$A43&amp;"|"&amp;AM$1&amp;"|Output"),"I/O","IN"),IF(COUNTIF(Flows!$M$2:$M$1500,$A43&amp;"|"&amp;AM$1&amp;"|Output"),"OUT",""))</f>
        <v/>
      </c>
      <c r="AN43" s="33" t="str">
        <f aca="false">IF(COUNTIF(Flows!$M$2:$M$1500,$A43&amp;"|"&amp;AN$1&amp;"|Input"),IF(COUNTIF(Flows!$M$2:$M$1500,$A43&amp;"|"&amp;AN$1&amp;"|Output"),"I/O","IN"),IF(COUNTIF(Flows!$M$2:$M$1500,$A43&amp;"|"&amp;AN$1&amp;"|Output"),"OUT",""))</f>
        <v/>
      </c>
      <c r="AO43" s="33" t="str">
        <f aca="false">IF(COUNTIF(Flows!$M$2:$M$1500,$A43&amp;"|"&amp;AO$1&amp;"|Input"),IF(COUNTIF(Flows!$M$2:$M$1500,$A43&amp;"|"&amp;AO$1&amp;"|Output"),"I/O","IN"),IF(COUNTIF(Flows!$M$2:$M$1500,$A43&amp;"|"&amp;AO$1&amp;"|Output"),"OUT",""))</f>
        <v/>
      </c>
      <c r="AP43" s="33" t="str">
        <f aca="false">IF(COUNTIF(Flows!$M$2:$M$1500,$A43&amp;"|"&amp;AP$1&amp;"|Input"),IF(COUNTIF(Flows!$M$2:$M$1500,$A43&amp;"|"&amp;AP$1&amp;"|Output"),"I/O","IN"),IF(COUNTIF(Flows!$M$2:$M$1500,$A43&amp;"|"&amp;AP$1&amp;"|Output"),"OUT",""))</f>
        <v/>
      </c>
      <c r="AQ43" s="33" t="str">
        <f aca="false">IF(COUNTIF(Flows!$M$2:$M$1500,$A43&amp;"|"&amp;AQ$1&amp;"|Input"),IF(COUNTIF(Flows!$M$2:$M$1500,$A43&amp;"|"&amp;AQ$1&amp;"|Output"),"I/O","IN"),IF(COUNTIF(Flows!$M$2:$M$1500,$A43&amp;"|"&amp;AQ$1&amp;"|Output"),"OUT",""))</f>
        <v/>
      </c>
      <c r="AR43" s="33" t="str">
        <f aca="false">IF(COUNTIF(Flows!$M$2:$M$1500,$A43&amp;"|"&amp;AR$1&amp;"|Input"),IF(COUNTIF(Flows!$M$2:$M$1500,$A43&amp;"|"&amp;AR$1&amp;"|Output"),"I/O","IN"),IF(COUNTIF(Flows!$M$2:$M$1500,$A43&amp;"|"&amp;AR$1&amp;"|Output"),"OUT",""))</f>
        <v/>
      </c>
      <c r="AS43" s="33" t="str">
        <f aca="false">IF(COUNTIF(Flows!$M$2:$M$1500,$A43&amp;"|"&amp;AS$1&amp;"|Input"),IF(COUNTIF(Flows!$M$2:$M$1500,$A43&amp;"|"&amp;AS$1&amp;"|Output"),"I/O","IN"),IF(COUNTIF(Flows!$M$2:$M$1500,$A43&amp;"|"&amp;AS$1&amp;"|Output"),"OUT",""))</f>
        <v/>
      </c>
      <c r="AT43" s="33" t="str">
        <f aca="false">IF(COUNTIF(Flows!$M$2:$M$1500,$A43&amp;"|"&amp;AT$1&amp;"|Input"),IF(COUNTIF(Flows!$M$2:$M$1500,$A43&amp;"|"&amp;AT$1&amp;"|Output"),"I/O","IN"),IF(COUNTIF(Flows!$M$2:$M$1500,$A43&amp;"|"&amp;AT$1&amp;"|Output"),"OUT",""))</f>
        <v/>
      </c>
      <c r="AU43" s="33" t="str">
        <f aca="false">IF(COUNTIF(Flows!$M$2:$M$1500,$A43&amp;"|"&amp;AU$1&amp;"|Input"),IF(COUNTIF(Flows!$M$2:$M$1500,$A43&amp;"|"&amp;AU$1&amp;"|Output"),"I/O","IN"),IF(COUNTIF(Flows!$M$2:$M$1500,$A43&amp;"|"&amp;AU$1&amp;"|Output"),"OUT",""))</f>
        <v/>
      </c>
      <c r="AV43" s="33" t="str">
        <f aca="false">IF(COUNTIF(Flows!$M$2:$M$1500,$A43&amp;"|"&amp;AV$1&amp;"|Input"),IF(COUNTIF(Flows!$M$2:$M$1500,$A43&amp;"|"&amp;AV$1&amp;"|Output"),"I/O","IN"),IF(COUNTIF(Flows!$M$2:$M$1500,$A43&amp;"|"&amp;AV$1&amp;"|Output"),"OUT",""))</f>
        <v/>
      </c>
      <c r="AW43" s="33" t="str">
        <f aca="false">IF(COUNTIF(Flows!$M$2:$M$1500,$A43&amp;"|"&amp;AW$1&amp;"|Input"),IF(COUNTIF(Flows!$M$2:$M$1500,$A43&amp;"|"&amp;AW$1&amp;"|Output"),"I/O","IN"),IF(COUNTIF(Flows!$M$2:$M$1500,$A43&amp;"|"&amp;AW$1&amp;"|Output"),"OUT",""))</f>
        <v/>
      </c>
      <c r="AX43" s="33" t="str">
        <f aca="false">IF(COUNTIF(Flows!$M$2:$M$1500,$A43&amp;"|"&amp;AX$1&amp;"|Input"),IF(COUNTIF(Flows!$M$2:$M$1500,$A43&amp;"|"&amp;AX$1&amp;"|Output"),"I/O","IN"),IF(COUNTIF(Flows!$M$2:$M$1500,$A43&amp;"|"&amp;AX$1&amp;"|Output"),"OUT",""))</f>
        <v/>
      </c>
      <c r="AY43" s="33" t="str">
        <f aca="false">IF(COUNTIF(Flows!$M$2:$M$1500,$A43&amp;"|"&amp;AY$1&amp;"|Input"),IF(COUNTIF(Flows!$M$2:$M$1500,$A43&amp;"|"&amp;AY$1&amp;"|Output"),"I/O","IN"),IF(COUNTIF(Flows!$M$2:$M$1500,$A43&amp;"|"&amp;AY$1&amp;"|Output"),"OUT",""))</f>
        <v/>
      </c>
      <c r="AZ43" s="33" t="str">
        <f aca="false">IF(COUNTIF(Flows!$M$2:$M$1500,$A43&amp;"|"&amp;AZ$1&amp;"|Input"),IF(COUNTIF(Flows!$M$2:$M$1500,$A43&amp;"|"&amp;AZ$1&amp;"|Output"),"I/O","IN"),IF(COUNTIF(Flows!$M$2:$M$1500,$A43&amp;"|"&amp;AZ$1&amp;"|Output"),"OUT",""))</f>
        <v/>
      </c>
      <c r="BA43" s="33" t="str">
        <f aca="false">IF(COUNTIF(Flows!$M$2:$M$1500,$A43&amp;"|"&amp;BA$1&amp;"|Input"),IF(COUNTIF(Flows!$M$2:$M$1500,$A43&amp;"|"&amp;BA$1&amp;"|Output"),"I/O","IN"),IF(COUNTIF(Flows!$M$2:$M$1500,$A43&amp;"|"&amp;BA$1&amp;"|Output"),"OUT",""))</f>
        <v/>
      </c>
      <c r="BB43" s="33" t="str">
        <f aca="false">IF(COUNTIF(Flows!$M$2:$M$1500,$A43&amp;"|"&amp;BB$1&amp;"|Input"),IF(COUNTIF(Flows!$M$2:$M$1500,$A43&amp;"|"&amp;BB$1&amp;"|Output"),"I/O","IN"),IF(COUNTIF(Flows!$M$2:$M$1500,$A43&amp;"|"&amp;BB$1&amp;"|Output"),"OUT",""))</f>
        <v/>
      </c>
      <c r="BC43" s="33" t="str">
        <f aca="false">IF(COUNTIF(Flows!$M$2:$M$1500,$A43&amp;"|"&amp;BC$1&amp;"|Input"),IF(COUNTIF(Flows!$M$2:$M$1500,$A43&amp;"|"&amp;BC$1&amp;"|Output"),"I/O","IN"),IF(COUNTIF(Flows!$M$2:$M$1500,$A43&amp;"|"&amp;BC$1&amp;"|Output"),"OUT",""))</f>
        <v/>
      </c>
      <c r="BD43" s="33" t="str">
        <f aca="false">IF(COUNTIF(Flows!$M$2:$M$1500,$A43&amp;"|"&amp;BD$1&amp;"|Input"),IF(COUNTIF(Flows!$M$2:$M$1500,$A43&amp;"|"&amp;BD$1&amp;"|Output"),"I/O","IN"),IF(COUNTIF(Flows!$M$2:$M$1500,$A43&amp;"|"&amp;BD$1&amp;"|Output"),"OUT",""))</f>
        <v/>
      </c>
      <c r="BE43" s="33" t="str">
        <f aca="false">IF(COUNTIF(Flows!$M$2:$M$1500,$A43&amp;"|"&amp;BE$1&amp;"|Input"),IF(COUNTIF(Flows!$M$2:$M$1500,$A43&amp;"|"&amp;BE$1&amp;"|Output"),"I/O","IN"),IF(COUNTIF(Flows!$M$2:$M$1500,$A43&amp;"|"&amp;BE$1&amp;"|Output"),"OUT",""))</f>
        <v/>
      </c>
      <c r="BF43" s="33" t="str">
        <f aca="false">IF(COUNTIF(Flows!$M$2:$M$1500,$A43&amp;"|"&amp;BF$1&amp;"|Input"),IF(COUNTIF(Flows!$M$2:$M$1500,$A43&amp;"|"&amp;BF$1&amp;"|Output"),"I/O","IN"),IF(COUNTIF(Flows!$M$2:$M$1500,$A43&amp;"|"&amp;BF$1&amp;"|Output"),"OUT",""))</f>
        <v/>
      </c>
      <c r="BG43" s="33" t="str">
        <f aca="false">IF(COUNTIF(Flows!$M$2:$M$1500,$A43&amp;"|"&amp;BG$1&amp;"|Input"),IF(COUNTIF(Flows!$M$2:$M$1500,$A43&amp;"|"&amp;BG$1&amp;"|Output"),"I/O","IN"),IF(COUNTIF(Flows!$M$2:$M$1500,$A43&amp;"|"&amp;BG$1&amp;"|Output"),"OUT",""))</f>
        <v/>
      </c>
      <c r="BH43" s="33" t="str">
        <f aca="false">IF(COUNTIF(Flows!$M$2:$M$1500,$A43&amp;"|"&amp;BH$1&amp;"|Input"),IF(COUNTIF(Flows!$M$2:$M$1500,$A43&amp;"|"&amp;BH$1&amp;"|Output"),"I/O","IN"),IF(COUNTIF(Flows!$M$2:$M$1500,$A43&amp;"|"&amp;BH$1&amp;"|Output"),"OUT",""))</f>
        <v/>
      </c>
      <c r="BI43" s="33" t="str">
        <f aca="false">IF(COUNTIF(Flows!$M$2:$M$1500,$A43&amp;"|"&amp;BI$1&amp;"|Input"),IF(COUNTIF(Flows!$M$2:$M$1500,$A43&amp;"|"&amp;BI$1&amp;"|Output"),"I/O","IN"),IF(COUNTIF(Flows!$M$2:$M$1500,$A43&amp;"|"&amp;BI$1&amp;"|Output"),"OUT",""))</f>
        <v/>
      </c>
      <c r="BJ43" s="33" t="str">
        <f aca="false">IF(COUNTIF(Flows!$M$2:$M$1500,$A43&amp;"|"&amp;BJ$1&amp;"|Input"),IF(COUNTIF(Flows!$M$2:$M$1500,$A43&amp;"|"&amp;BJ$1&amp;"|Output"),"I/O","IN"),IF(COUNTIF(Flows!$M$2:$M$1500,$A43&amp;"|"&amp;BJ$1&amp;"|Output"),"OUT",""))</f>
        <v/>
      </c>
      <c r="BK43" s="33" t="str">
        <f aca="false">IF(COUNTIF(Flows!$M$2:$M$1500,$A43&amp;"|"&amp;BK$1&amp;"|Input"),IF(COUNTIF(Flows!$M$2:$M$1500,$A43&amp;"|"&amp;BK$1&amp;"|Output"),"I/O","IN"),IF(COUNTIF(Flows!$M$2:$M$1500,$A43&amp;"|"&amp;BK$1&amp;"|Output"),"OUT",""))</f>
        <v/>
      </c>
    </row>
    <row r="44" customFormat="false" ht="15" hidden="false" customHeight="true" outlineLevel="0" collapsed="false">
      <c r="A44" s="6" t="str">
        <f aca="false">Systems!B44</f>
        <v>Butterfly Pea Flower</v>
      </c>
      <c r="B44" s="33" t="str">
        <f aca="false">IF(COUNTIF(Flows!$M$2:$M$1500,$A44&amp;"|"&amp;B$1&amp;"|Input"),IF(COUNTIF(Flows!$M$2:$M$1500,$A44&amp;"|"&amp;B$1&amp;"|Output"),"I/O","IN"),IF(COUNTIF(Flows!$M$2:$M$1500,$A44&amp;"|"&amp;B$1&amp;"|Output"),"OUT",""))</f>
        <v>IN</v>
      </c>
      <c r="C44" s="33" t="str">
        <f aca="false">IF(COUNTIF(Flows!$M$2:$M$1500,$A44&amp;"|"&amp;C$1&amp;"|Input"),IF(COUNTIF(Flows!$M$2:$M$1500,$A44&amp;"|"&amp;C$1&amp;"|Output"),"I/O","IN"),IF(COUNTIF(Flows!$M$2:$M$1500,$A44&amp;"|"&amp;C$1&amp;"|Output"),"OUT",""))</f>
        <v/>
      </c>
      <c r="D44" s="33" t="str">
        <f aca="false">IF(COUNTIF(Flows!$M$2:$M$1500,$A44&amp;"|"&amp;D$1&amp;"|Input"),IF(COUNTIF(Flows!$M$2:$M$1500,$A44&amp;"|"&amp;D$1&amp;"|Output"),"I/O","IN"),IF(COUNTIF(Flows!$M$2:$M$1500,$A44&amp;"|"&amp;D$1&amp;"|Output"),"OUT",""))</f>
        <v/>
      </c>
      <c r="E44" s="33" t="str">
        <f aca="false">IF(COUNTIF(Flows!$M$2:$M$1500,$A44&amp;"|"&amp;E$1&amp;"|Input"),IF(COUNTIF(Flows!$M$2:$M$1500,$A44&amp;"|"&amp;E$1&amp;"|Output"),"I/O","IN"),IF(COUNTIF(Flows!$M$2:$M$1500,$A44&amp;"|"&amp;E$1&amp;"|Output"),"OUT",""))</f>
        <v/>
      </c>
      <c r="F44" s="33" t="str">
        <f aca="false">IF(COUNTIF(Flows!$M$2:$M$1500,$A44&amp;"|"&amp;F$1&amp;"|Input"),IF(COUNTIF(Flows!$M$2:$M$1500,$A44&amp;"|"&amp;F$1&amp;"|Output"),"I/O","IN"),IF(COUNTIF(Flows!$M$2:$M$1500,$A44&amp;"|"&amp;F$1&amp;"|Output"),"OUT",""))</f>
        <v/>
      </c>
      <c r="G44" s="33" t="str">
        <f aca="false">IF(COUNTIF(Flows!$M$2:$M$1500,$A44&amp;"|"&amp;G$1&amp;"|Input"),IF(COUNTIF(Flows!$M$2:$M$1500,$A44&amp;"|"&amp;G$1&amp;"|Output"),"I/O","IN"),IF(COUNTIF(Flows!$M$2:$M$1500,$A44&amp;"|"&amp;G$1&amp;"|Output"),"OUT",""))</f>
        <v>OUT</v>
      </c>
      <c r="H44" s="33" t="str">
        <f aca="false">IF(COUNTIF(Flows!$M$2:$M$1500,$A44&amp;"|"&amp;H$1&amp;"|Input"),IF(COUNTIF(Flows!$M$2:$M$1500,$A44&amp;"|"&amp;H$1&amp;"|Output"),"I/O","IN"),IF(COUNTIF(Flows!$M$2:$M$1500,$A44&amp;"|"&amp;H$1&amp;"|Output"),"OUT",""))</f>
        <v/>
      </c>
      <c r="I44" s="33" t="str">
        <f aca="false">IF(COUNTIF(Flows!$M$2:$M$1500,$A44&amp;"|"&amp;I$1&amp;"|Input"),IF(COUNTIF(Flows!$M$2:$M$1500,$A44&amp;"|"&amp;I$1&amp;"|Output"),"I/O","IN"),IF(COUNTIF(Flows!$M$2:$M$1500,$A44&amp;"|"&amp;I$1&amp;"|Output"),"OUT",""))</f>
        <v/>
      </c>
      <c r="J44" s="33" t="str">
        <f aca="false">IF(COUNTIF(Flows!$M$2:$M$1500,$A44&amp;"|"&amp;J$1&amp;"|Input"),IF(COUNTIF(Flows!$M$2:$M$1500,$A44&amp;"|"&amp;J$1&amp;"|Output"),"I/O","IN"),IF(COUNTIF(Flows!$M$2:$M$1500,$A44&amp;"|"&amp;J$1&amp;"|Output"),"OUT",""))</f>
        <v/>
      </c>
      <c r="K44" s="33" t="str">
        <f aca="false">IF(COUNTIF(Flows!$M$2:$M$1500,$A44&amp;"|"&amp;K$1&amp;"|Input"),IF(COUNTIF(Flows!$M$2:$M$1500,$A44&amp;"|"&amp;K$1&amp;"|Output"),"I/O","IN"),IF(COUNTIF(Flows!$M$2:$M$1500,$A44&amp;"|"&amp;K$1&amp;"|Output"),"OUT",""))</f>
        <v/>
      </c>
      <c r="L44" s="33" t="str">
        <f aca="false">IF(COUNTIF(Flows!$M$2:$M$1500,$A44&amp;"|"&amp;L$1&amp;"|Input"),IF(COUNTIF(Flows!$M$2:$M$1500,$A44&amp;"|"&amp;L$1&amp;"|Output"),"I/O","IN"),IF(COUNTIF(Flows!$M$2:$M$1500,$A44&amp;"|"&amp;L$1&amp;"|Output"),"OUT",""))</f>
        <v/>
      </c>
      <c r="M44" s="33" t="str">
        <f aca="false">IF(COUNTIF(Flows!$M$2:$M$1500,$A44&amp;"|"&amp;M$1&amp;"|Input"),IF(COUNTIF(Flows!$M$2:$M$1500,$A44&amp;"|"&amp;M$1&amp;"|Output"),"I/O","IN"),IF(COUNTIF(Flows!$M$2:$M$1500,$A44&amp;"|"&amp;M$1&amp;"|Output"),"OUT",""))</f>
        <v/>
      </c>
      <c r="N44" s="33" t="str">
        <f aca="false">IF(COUNTIF(Flows!$M$2:$M$1500,$A44&amp;"|"&amp;N$1&amp;"|Input"),IF(COUNTIF(Flows!$M$2:$M$1500,$A44&amp;"|"&amp;N$1&amp;"|Output"),"I/O","IN"),IF(COUNTIF(Flows!$M$2:$M$1500,$A44&amp;"|"&amp;N$1&amp;"|Output"),"OUT",""))</f>
        <v/>
      </c>
      <c r="O44" s="33" t="str">
        <f aca="false">IF(COUNTIF(Flows!$M$2:$M$1500,$A44&amp;"|"&amp;O$1&amp;"|Input"),IF(COUNTIF(Flows!$M$2:$M$1500,$A44&amp;"|"&amp;O$1&amp;"|Output"),"I/O","IN"),IF(COUNTIF(Flows!$M$2:$M$1500,$A44&amp;"|"&amp;O$1&amp;"|Output"),"OUT",""))</f>
        <v/>
      </c>
      <c r="P44" s="33" t="str">
        <f aca="false">IF(COUNTIF(Flows!$M$2:$M$1500,$A44&amp;"|"&amp;P$1&amp;"|Input"),IF(COUNTIF(Flows!$M$2:$M$1500,$A44&amp;"|"&amp;P$1&amp;"|Output"),"I/O","IN"),IF(COUNTIF(Flows!$M$2:$M$1500,$A44&amp;"|"&amp;P$1&amp;"|Output"),"OUT",""))</f>
        <v/>
      </c>
      <c r="Q44" s="33" t="str">
        <f aca="false">IF(COUNTIF(Flows!$M$2:$M$1500,$A44&amp;"|"&amp;Q$1&amp;"|Input"),IF(COUNTIF(Flows!$M$2:$M$1500,$A44&amp;"|"&amp;Q$1&amp;"|Output"),"I/O","IN"),IF(COUNTIF(Flows!$M$2:$M$1500,$A44&amp;"|"&amp;Q$1&amp;"|Output"),"OUT",""))</f>
        <v/>
      </c>
      <c r="R44" s="33" t="str">
        <f aca="false">IF(COUNTIF(Flows!$M$2:$M$1500,$A44&amp;"|"&amp;R$1&amp;"|Input"),IF(COUNTIF(Flows!$M$2:$M$1500,$A44&amp;"|"&amp;R$1&amp;"|Output"),"I/O","IN"),IF(COUNTIF(Flows!$M$2:$M$1500,$A44&amp;"|"&amp;R$1&amp;"|Output"),"OUT",""))</f>
        <v/>
      </c>
      <c r="S44" s="33" t="str">
        <f aca="false">IF(COUNTIF(Flows!$M$2:$M$1500,$A44&amp;"|"&amp;S$1&amp;"|Input"),IF(COUNTIF(Flows!$M$2:$M$1500,$A44&amp;"|"&amp;S$1&amp;"|Output"),"I/O","IN"),IF(COUNTIF(Flows!$M$2:$M$1500,$A44&amp;"|"&amp;S$1&amp;"|Output"),"OUT",""))</f>
        <v/>
      </c>
      <c r="T44" s="33" t="str">
        <f aca="false">IF(COUNTIF(Flows!$M$2:$M$1500,$A44&amp;"|"&amp;T$1&amp;"|Input"),IF(COUNTIF(Flows!$M$2:$M$1500,$A44&amp;"|"&amp;T$1&amp;"|Output"),"I/O","IN"),IF(COUNTIF(Flows!$M$2:$M$1500,$A44&amp;"|"&amp;T$1&amp;"|Output"),"OUT",""))</f>
        <v/>
      </c>
      <c r="U44" s="33" t="str">
        <f aca="false">IF(COUNTIF(Flows!$M$2:$M$1500,$A44&amp;"|"&amp;U$1&amp;"|Input"),IF(COUNTIF(Flows!$M$2:$M$1500,$A44&amp;"|"&amp;U$1&amp;"|Output"),"I/O","IN"),IF(COUNTIF(Flows!$M$2:$M$1500,$A44&amp;"|"&amp;U$1&amp;"|Output"),"OUT",""))</f>
        <v/>
      </c>
      <c r="V44" s="33" t="str">
        <f aca="false">IF(COUNTIF(Flows!$M$2:$M$1500,$A44&amp;"|"&amp;V$1&amp;"|Input"),IF(COUNTIF(Flows!$M$2:$M$1500,$A44&amp;"|"&amp;V$1&amp;"|Output"),"I/O","IN"),IF(COUNTIF(Flows!$M$2:$M$1500,$A44&amp;"|"&amp;V$1&amp;"|Output"),"OUT",""))</f>
        <v/>
      </c>
      <c r="W44" s="33" t="str">
        <f aca="false">IF(COUNTIF(Flows!$M$2:$M$1500,$A44&amp;"|"&amp;W$1&amp;"|Input"),IF(COUNTIF(Flows!$M$2:$M$1500,$A44&amp;"|"&amp;W$1&amp;"|Output"),"I/O","IN"),IF(COUNTIF(Flows!$M$2:$M$1500,$A44&amp;"|"&amp;W$1&amp;"|Output"),"OUT",""))</f>
        <v/>
      </c>
      <c r="X44" s="33" t="str">
        <f aca="false">IF(COUNTIF(Flows!$M$2:$M$1500,$A44&amp;"|"&amp;X$1&amp;"|Input"),IF(COUNTIF(Flows!$M$2:$M$1500,$A44&amp;"|"&amp;X$1&amp;"|Output"),"I/O","IN"),IF(COUNTIF(Flows!$M$2:$M$1500,$A44&amp;"|"&amp;X$1&amp;"|Output"),"OUT",""))</f>
        <v>IN</v>
      </c>
      <c r="Y44" s="33" t="str">
        <f aca="false">IF(COUNTIF(Flows!$M$2:$M$1500,$A44&amp;"|"&amp;Y$1&amp;"|Input"),IF(COUNTIF(Flows!$M$2:$M$1500,$A44&amp;"|"&amp;Y$1&amp;"|Output"),"I/O","IN"),IF(COUNTIF(Flows!$M$2:$M$1500,$A44&amp;"|"&amp;Y$1&amp;"|Output"),"OUT",""))</f>
        <v/>
      </c>
      <c r="Z44" s="33" t="str">
        <f aca="false">IF(COUNTIF(Flows!$M$2:$M$1500,$A44&amp;"|"&amp;Z$1&amp;"|Input"),IF(COUNTIF(Flows!$M$2:$M$1500,$A44&amp;"|"&amp;Z$1&amp;"|Output"),"I/O","IN"),IF(COUNTIF(Flows!$M$2:$M$1500,$A44&amp;"|"&amp;Z$1&amp;"|Output"),"OUT",""))</f>
        <v/>
      </c>
      <c r="AA44" s="33" t="str">
        <f aca="false">IF(COUNTIF(Flows!$M$2:$M$1500,$A44&amp;"|"&amp;AA$1&amp;"|Input"),IF(COUNTIF(Flows!$M$2:$M$1500,$A44&amp;"|"&amp;AA$1&amp;"|Output"),"I/O","IN"),IF(COUNTIF(Flows!$M$2:$M$1500,$A44&amp;"|"&amp;AA$1&amp;"|Output"),"OUT",""))</f>
        <v/>
      </c>
      <c r="AB44" s="33" t="str">
        <f aca="false">IF(COUNTIF(Flows!$M$2:$M$1500,$A44&amp;"|"&amp;AB$1&amp;"|Input"),IF(COUNTIF(Flows!$M$2:$M$1500,$A44&amp;"|"&amp;AB$1&amp;"|Output"),"I/O","IN"),IF(COUNTIF(Flows!$M$2:$M$1500,$A44&amp;"|"&amp;AB$1&amp;"|Output"),"OUT",""))</f>
        <v/>
      </c>
      <c r="AC44" s="33" t="str">
        <f aca="false">IF(COUNTIF(Flows!$M$2:$M$1500,$A44&amp;"|"&amp;AC$1&amp;"|Input"),IF(COUNTIF(Flows!$M$2:$M$1500,$A44&amp;"|"&amp;AC$1&amp;"|Output"),"I/O","IN"),IF(COUNTIF(Flows!$M$2:$M$1500,$A44&amp;"|"&amp;AC$1&amp;"|Output"),"OUT",""))</f>
        <v/>
      </c>
      <c r="AD44" s="33" t="str">
        <f aca="false">IF(COUNTIF(Flows!$M$2:$M$1500,$A44&amp;"|"&amp;AD$1&amp;"|Input"),IF(COUNTIF(Flows!$M$2:$M$1500,$A44&amp;"|"&amp;AD$1&amp;"|Output"),"I/O","IN"),IF(COUNTIF(Flows!$M$2:$M$1500,$A44&amp;"|"&amp;AD$1&amp;"|Output"),"OUT",""))</f>
        <v/>
      </c>
      <c r="AE44" s="33" t="str">
        <f aca="false">IF(COUNTIF(Flows!$M$2:$M$1500,$A44&amp;"|"&amp;AE$1&amp;"|Input"),IF(COUNTIF(Flows!$M$2:$M$1500,$A44&amp;"|"&amp;AE$1&amp;"|Output"),"I/O","IN"),IF(COUNTIF(Flows!$M$2:$M$1500,$A44&amp;"|"&amp;AE$1&amp;"|Output"),"OUT",""))</f>
        <v/>
      </c>
      <c r="AF44" s="33" t="str">
        <f aca="false">IF(COUNTIF(Flows!$M$2:$M$1500,$A44&amp;"|"&amp;AF$1&amp;"|Input"),IF(COUNTIF(Flows!$M$2:$M$1500,$A44&amp;"|"&amp;AF$1&amp;"|Output"),"I/O","IN"),IF(COUNTIF(Flows!$M$2:$M$1500,$A44&amp;"|"&amp;AF$1&amp;"|Output"),"OUT",""))</f>
        <v/>
      </c>
      <c r="AG44" s="33" t="str">
        <f aca="false">IF(COUNTIF(Flows!$M$2:$M$1500,$A44&amp;"|"&amp;AG$1&amp;"|Input"),IF(COUNTIF(Flows!$M$2:$M$1500,$A44&amp;"|"&amp;AG$1&amp;"|Output"),"I/O","IN"),IF(COUNTIF(Flows!$M$2:$M$1500,$A44&amp;"|"&amp;AG$1&amp;"|Output"),"OUT",""))</f>
        <v/>
      </c>
      <c r="AH44" s="33" t="str">
        <f aca="false">IF(COUNTIF(Flows!$M$2:$M$1500,$A44&amp;"|"&amp;AH$1&amp;"|Input"),IF(COUNTIF(Flows!$M$2:$M$1500,$A44&amp;"|"&amp;AH$1&amp;"|Output"),"I/O","IN"),IF(COUNTIF(Flows!$M$2:$M$1500,$A44&amp;"|"&amp;AH$1&amp;"|Output"),"OUT",""))</f>
        <v/>
      </c>
      <c r="AI44" s="33" t="str">
        <f aca="false">IF(COUNTIF(Flows!$M$2:$M$1500,$A44&amp;"|"&amp;AI$1&amp;"|Input"),IF(COUNTIF(Flows!$M$2:$M$1500,$A44&amp;"|"&amp;AI$1&amp;"|Output"),"I/O","IN"),IF(COUNTIF(Flows!$M$2:$M$1500,$A44&amp;"|"&amp;AI$1&amp;"|Output"),"OUT",""))</f>
        <v/>
      </c>
      <c r="AJ44" s="33" t="str">
        <f aca="false">IF(COUNTIF(Flows!$M$2:$M$1500,$A44&amp;"|"&amp;AJ$1&amp;"|Input"),IF(COUNTIF(Flows!$M$2:$M$1500,$A44&amp;"|"&amp;AJ$1&amp;"|Output"),"I/O","IN"),IF(COUNTIF(Flows!$M$2:$M$1500,$A44&amp;"|"&amp;AJ$1&amp;"|Output"),"OUT",""))</f>
        <v/>
      </c>
      <c r="AK44" s="33" t="str">
        <f aca="false">IF(COUNTIF(Flows!$M$2:$M$1500,$A44&amp;"|"&amp;AK$1&amp;"|Input"),IF(COUNTIF(Flows!$M$2:$M$1500,$A44&amp;"|"&amp;AK$1&amp;"|Output"),"I/O","IN"),IF(COUNTIF(Flows!$M$2:$M$1500,$A44&amp;"|"&amp;AK$1&amp;"|Output"),"OUT",""))</f>
        <v/>
      </c>
      <c r="AL44" s="33" t="str">
        <f aca="false">IF(COUNTIF(Flows!$M$2:$M$1500,$A44&amp;"|"&amp;AL$1&amp;"|Input"),IF(COUNTIF(Flows!$M$2:$M$1500,$A44&amp;"|"&amp;AL$1&amp;"|Output"),"I/O","IN"),IF(COUNTIF(Flows!$M$2:$M$1500,$A44&amp;"|"&amp;AL$1&amp;"|Output"),"OUT",""))</f>
        <v/>
      </c>
      <c r="AM44" s="33" t="str">
        <f aca="false">IF(COUNTIF(Flows!$M$2:$M$1500,$A44&amp;"|"&amp;AM$1&amp;"|Input"),IF(COUNTIF(Flows!$M$2:$M$1500,$A44&amp;"|"&amp;AM$1&amp;"|Output"),"I/O","IN"),IF(COUNTIF(Flows!$M$2:$M$1500,$A44&amp;"|"&amp;AM$1&amp;"|Output"),"OUT",""))</f>
        <v/>
      </c>
      <c r="AN44" s="33" t="str">
        <f aca="false">IF(COUNTIF(Flows!$M$2:$M$1500,$A44&amp;"|"&amp;AN$1&amp;"|Input"),IF(COUNTIF(Flows!$M$2:$M$1500,$A44&amp;"|"&amp;AN$1&amp;"|Output"),"I/O","IN"),IF(COUNTIF(Flows!$M$2:$M$1500,$A44&amp;"|"&amp;AN$1&amp;"|Output"),"OUT",""))</f>
        <v/>
      </c>
      <c r="AO44" s="33" t="str">
        <f aca="false">IF(COUNTIF(Flows!$M$2:$M$1500,$A44&amp;"|"&amp;AO$1&amp;"|Input"),IF(COUNTIF(Flows!$M$2:$M$1500,$A44&amp;"|"&amp;AO$1&amp;"|Output"),"I/O","IN"),IF(COUNTIF(Flows!$M$2:$M$1500,$A44&amp;"|"&amp;AO$1&amp;"|Output"),"OUT",""))</f>
        <v/>
      </c>
      <c r="AP44" s="33" t="str">
        <f aca="false">IF(COUNTIF(Flows!$M$2:$M$1500,$A44&amp;"|"&amp;AP$1&amp;"|Input"),IF(COUNTIF(Flows!$M$2:$M$1500,$A44&amp;"|"&amp;AP$1&amp;"|Output"),"I/O","IN"),IF(COUNTIF(Flows!$M$2:$M$1500,$A44&amp;"|"&amp;AP$1&amp;"|Output"),"OUT",""))</f>
        <v/>
      </c>
      <c r="AQ44" s="33" t="str">
        <f aca="false">IF(COUNTIF(Flows!$M$2:$M$1500,$A44&amp;"|"&amp;AQ$1&amp;"|Input"),IF(COUNTIF(Flows!$M$2:$M$1500,$A44&amp;"|"&amp;AQ$1&amp;"|Output"),"I/O","IN"),IF(COUNTIF(Flows!$M$2:$M$1500,$A44&amp;"|"&amp;AQ$1&amp;"|Output"),"OUT",""))</f>
        <v/>
      </c>
      <c r="AR44" s="33" t="str">
        <f aca="false">IF(COUNTIF(Flows!$M$2:$M$1500,$A44&amp;"|"&amp;AR$1&amp;"|Input"),IF(COUNTIF(Flows!$M$2:$M$1500,$A44&amp;"|"&amp;AR$1&amp;"|Output"),"I/O","IN"),IF(COUNTIF(Flows!$M$2:$M$1500,$A44&amp;"|"&amp;AR$1&amp;"|Output"),"OUT",""))</f>
        <v/>
      </c>
      <c r="AS44" s="33" t="str">
        <f aca="false">IF(COUNTIF(Flows!$M$2:$M$1500,$A44&amp;"|"&amp;AS$1&amp;"|Input"),IF(COUNTIF(Flows!$M$2:$M$1500,$A44&amp;"|"&amp;AS$1&amp;"|Output"),"I/O","IN"),IF(COUNTIF(Flows!$M$2:$M$1500,$A44&amp;"|"&amp;AS$1&amp;"|Output"),"OUT",""))</f>
        <v/>
      </c>
      <c r="AT44" s="33" t="str">
        <f aca="false">IF(COUNTIF(Flows!$M$2:$M$1500,$A44&amp;"|"&amp;AT$1&amp;"|Input"),IF(COUNTIF(Flows!$M$2:$M$1500,$A44&amp;"|"&amp;AT$1&amp;"|Output"),"I/O","IN"),IF(COUNTIF(Flows!$M$2:$M$1500,$A44&amp;"|"&amp;AT$1&amp;"|Output"),"OUT",""))</f>
        <v/>
      </c>
      <c r="AU44" s="33" t="str">
        <f aca="false">IF(COUNTIF(Flows!$M$2:$M$1500,$A44&amp;"|"&amp;AU$1&amp;"|Input"),IF(COUNTIF(Flows!$M$2:$M$1500,$A44&amp;"|"&amp;AU$1&amp;"|Output"),"I/O","IN"),IF(COUNTIF(Flows!$M$2:$M$1500,$A44&amp;"|"&amp;AU$1&amp;"|Output"),"OUT",""))</f>
        <v/>
      </c>
      <c r="AV44" s="33" t="str">
        <f aca="false">IF(COUNTIF(Flows!$M$2:$M$1500,$A44&amp;"|"&amp;AV$1&amp;"|Input"),IF(COUNTIF(Flows!$M$2:$M$1500,$A44&amp;"|"&amp;AV$1&amp;"|Output"),"I/O","IN"),IF(COUNTIF(Flows!$M$2:$M$1500,$A44&amp;"|"&amp;AV$1&amp;"|Output"),"OUT",""))</f>
        <v/>
      </c>
      <c r="AW44" s="33" t="str">
        <f aca="false">IF(COUNTIF(Flows!$M$2:$M$1500,$A44&amp;"|"&amp;AW$1&amp;"|Input"),IF(COUNTIF(Flows!$M$2:$M$1500,$A44&amp;"|"&amp;AW$1&amp;"|Output"),"I/O","IN"),IF(COUNTIF(Flows!$M$2:$M$1500,$A44&amp;"|"&amp;AW$1&amp;"|Output"),"OUT",""))</f>
        <v/>
      </c>
      <c r="AX44" s="33" t="str">
        <f aca="false">IF(COUNTIF(Flows!$M$2:$M$1500,$A44&amp;"|"&amp;AX$1&amp;"|Input"),IF(COUNTIF(Flows!$M$2:$M$1500,$A44&amp;"|"&amp;AX$1&amp;"|Output"),"I/O","IN"),IF(COUNTIF(Flows!$M$2:$M$1500,$A44&amp;"|"&amp;AX$1&amp;"|Output"),"OUT",""))</f>
        <v/>
      </c>
      <c r="AY44" s="33" t="str">
        <f aca="false">IF(COUNTIF(Flows!$M$2:$M$1500,$A44&amp;"|"&amp;AY$1&amp;"|Input"),IF(COUNTIF(Flows!$M$2:$M$1500,$A44&amp;"|"&amp;AY$1&amp;"|Output"),"I/O","IN"),IF(COUNTIF(Flows!$M$2:$M$1500,$A44&amp;"|"&amp;AY$1&amp;"|Output"),"OUT",""))</f>
        <v/>
      </c>
      <c r="AZ44" s="33" t="str">
        <f aca="false">IF(COUNTIF(Flows!$M$2:$M$1500,$A44&amp;"|"&amp;AZ$1&amp;"|Input"),IF(COUNTIF(Flows!$M$2:$M$1500,$A44&amp;"|"&amp;AZ$1&amp;"|Output"),"I/O","IN"),IF(COUNTIF(Flows!$M$2:$M$1500,$A44&amp;"|"&amp;AZ$1&amp;"|Output"),"OUT",""))</f>
        <v/>
      </c>
      <c r="BA44" s="33" t="str">
        <f aca="false">IF(COUNTIF(Flows!$M$2:$M$1500,$A44&amp;"|"&amp;BA$1&amp;"|Input"),IF(COUNTIF(Flows!$M$2:$M$1500,$A44&amp;"|"&amp;BA$1&amp;"|Output"),"I/O","IN"),IF(COUNTIF(Flows!$M$2:$M$1500,$A44&amp;"|"&amp;BA$1&amp;"|Output"),"OUT",""))</f>
        <v/>
      </c>
      <c r="BB44" s="33" t="str">
        <f aca="false">IF(COUNTIF(Flows!$M$2:$M$1500,$A44&amp;"|"&amp;BB$1&amp;"|Input"),IF(COUNTIF(Flows!$M$2:$M$1500,$A44&amp;"|"&amp;BB$1&amp;"|Output"),"I/O","IN"),IF(COUNTIF(Flows!$M$2:$M$1500,$A44&amp;"|"&amp;BB$1&amp;"|Output"),"OUT",""))</f>
        <v/>
      </c>
      <c r="BC44" s="33" t="str">
        <f aca="false">IF(COUNTIF(Flows!$M$2:$M$1500,$A44&amp;"|"&amp;BC$1&amp;"|Input"),IF(COUNTIF(Flows!$M$2:$M$1500,$A44&amp;"|"&amp;BC$1&amp;"|Output"),"I/O","IN"),IF(COUNTIF(Flows!$M$2:$M$1500,$A44&amp;"|"&amp;BC$1&amp;"|Output"),"OUT",""))</f>
        <v>IN</v>
      </c>
      <c r="BD44" s="33" t="str">
        <f aca="false">IF(COUNTIF(Flows!$M$2:$M$1500,$A44&amp;"|"&amp;BD$1&amp;"|Input"),IF(COUNTIF(Flows!$M$2:$M$1500,$A44&amp;"|"&amp;BD$1&amp;"|Output"),"I/O","IN"),IF(COUNTIF(Flows!$M$2:$M$1500,$A44&amp;"|"&amp;BD$1&amp;"|Output"),"OUT",""))</f>
        <v>OUT</v>
      </c>
      <c r="BE44" s="33" t="str">
        <f aca="false">IF(COUNTIF(Flows!$M$2:$M$1500,$A44&amp;"|"&amp;BE$1&amp;"|Input"),IF(COUNTIF(Flows!$M$2:$M$1500,$A44&amp;"|"&amp;BE$1&amp;"|Output"),"I/O","IN"),IF(COUNTIF(Flows!$M$2:$M$1500,$A44&amp;"|"&amp;BE$1&amp;"|Output"),"OUT",""))</f>
        <v/>
      </c>
      <c r="BF44" s="33" t="str">
        <f aca="false">IF(COUNTIF(Flows!$M$2:$M$1500,$A44&amp;"|"&amp;BF$1&amp;"|Input"),IF(COUNTIF(Flows!$M$2:$M$1500,$A44&amp;"|"&amp;BF$1&amp;"|Output"),"I/O","IN"),IF(COUNTIF(Flows!$M$2:$M$1500,$A44&amp;"|"&amp;BF$1&amp;"|Output"),"OUT",""))</f>
        <v/>
      </c>
      <c r="BG44" s="33" t="str">
        <f aca="false">IF(COUNTIF(Flows!$M$2:$M$1500,$A44&amp;"|"&amp;BG$1&amp;"|Input"),IF(COUNTIF(Flows!$M$2:$M$1500,$A44&amp;"|"&amp;BG$1&amp;"|Output"),"I/O","IN"),IF(COUNTIF(Flows!$M$2:$M$1500,$A44&amp;"|"&amp;BG$1&amp;"|Output"),"OUT",""))</f>
        <v/>
      </c>
      <c r="BH44" s="33" t="str">
        <f aca="false">IF(COUNTIF(Flows!$M$2:$M$1500,$A44&amp;"|"&amp;BH$1&amp;"|Input"),IF(COUNTIF(Flows!$M$2:$M$1500,$A44&amp;"|"&amp;BH$1&amp;"|Output"),"I/O","IN"),IF(COUNTIF(Flows!$M$2:$M$1500,$A44&amp;"|"&amp;BH$1&amp;"|Output"),"OUT",""))</f>
        <v/>
      </c>
      <c r="BI44" s="33" t="str">
        <f aca="false">IF(COUNTIF(Flows!$M$2:$M$1500,$A44&amp;"|"&amp;BI$1&amp;"|Input"),IF(COUNTIF(Flows!$M$2:$M$1500,$A44&amp;"|"&amp;BI$1&amp;"|Output"),"I/O","IN"),IF(COUNTIF(Flows!$M$2:$M$1500,$A44&amp;"|"&amp;BI$1&amp;"|Output"),"OUT",""))</f>
        <v>OUT</v>
      </c>
      <c r="BJ44" s="33" t="str">
        <f aca="false">IF(COUNTIF(Flows!$M$2:$M$1500,$A44&amp;"|"&amp;BJ$1&amp;"|Input"),IF(COUNTIF(Flows!$M$2:$M$1500,$A44&amp;"|"&amp;BJ$1&amp;"|Output"),"I/O","IN"),IF(COUNTIF(Flows!$M$2:$M$1500,$A44&amp;"|"&amp;BJ$1&amp;"|Output"),"OUT",""))</f>
        <v/>
      </c>
      <c r="BK44" s="33" t="str">
        <f aca="false">IF(COUNTIF(Flows!$M$2:$M$1500,$A44&amp;"|"&amp;BK$1&amp;"|Input"),IF(COUNTIF(Flows!$M$2:$M$1500,$A44&amp;"|"&amp;BK$1&amp;"|Output"),"I/O","IN"),IF(COUNTIF(Flows!$M$2:$M$1500,$A44&amp;"|"&amp;BK$1&amp;"|Output"),"OUT",""))</f>
        <v/>
      </c>
    </row>
    <row r="45" customFormat="false" ht="15" hidden="false" customHeight="true" outlineLevel="0" collapsed="false">
      <c r="A45" s="6" t="str">
        <f aca="false">Systems!B45</f>
        <v>Calendula Flower</v>
      </c>
      <c r="B45" s="33" t="str">
        <f aca="false">IF(COUNTIF(Flows!$M$2:$M$1500,$A45&amp;"|"&amp;B$1&amp;"|Input"),IF(COUNTIF(Flows!$M$2:$M$1500,$A45&amp;"|"&amp;B$1&amp;"|Output"),"I/O","IN"),IF(COUNTIF(Flows!$M$2:$M$1500,$A45&amp;"|"&amp;B$1&amp;"|Output"),"OUT",""))</f>
        <v>IN</v>
      </c>
      <c r="C45" s="33" t="str">
        <f aca="false">IF(COUNTIF(Flows!$M$2:$M$1500,$A45&amp;"|"&amp;C$1&amp;"|Input"),IF(COUNTIF(Flows!$M$2:$M$1500,$A45&amp;"|"&amp;C$1&amp;"|Output"),"I/O","IN"),IF(COUNTIF(Flows!$M$2:$M$1500,$A45&amp;"|"&amp;C$1&amp;"|Output"),"OUT",""))</f>
        <v/>
      </c>
      <c r="D45" s="33" t="str">
        <f aca="false">IF(COUNTIF(Flows!$M$2:$M$1500,$A45&amp;"|"&amp;D$1&amp;"|Input"),IF(COUNTIF(Flows!$M$2:$M$1500,$A45&amp;"|"&amp;D$1&amp;"|Output"),"I/O","IN"),IF(COUNTIF(Flows!$M$2:$M$1500,$A45&amp;"|"&amp;D$1&amp;"|Output"),"OUT",""))</f>
        <v/>
      </c>
      <c r="E45" s="33" t="str">
        <f aca="false">IF(COUNTIF(Flows!$M$2:$M$1500,$A45&amp;"|"&amp;E$1&amp;"|Input"),IF(COUNTIF(Flows!$M$2:$M$1500,$A45&amp;"|"&amp;E$1&amp;"|Output"),"I/O","IN"),IF(COUNTIF(Flows!$M$2:$M$1500,$A45&amp;"|"&amp;E$1&amp;"|Output"),"OUT",""))</f>
        <v/>
      </c>
      <c r="F45" s="33" t="str">
        <f aca="false">IF(COUNTIF(Flows!$M$2:$M$1500,$A45&amp;"|"&amp;F$1&amp;"|Input"),IF(COUNTIF(Flows!$M$2:$M$1500,$A45&amp;"|"&amp;F$1&amp;"|Output"),"I/O","IN"),IF(COUNTIF(Flows!$M$2:$M$1500,$A45&amp;"|"&amp;F$1&amp;"|Output"),"OUT",""))</f>
        <v/>
      </c>
      <c r="G45" s="33" t="str">
        <f aca="false">IF(COUNTIF(Flows!$M$2:$M$1500,$A45&amp;"|"&amp;G$1&amp;"|Input"),IF(COUNTIF(Flows!$M$2:$M$1500,$A45&amp;"|"&amp;G$1&amp;"|Output"),"I/O","IN"),IF(COUNTIF(Flows!$M$2:$M$1500,$A45&amp;"|"&amp;G$1&amp;"|Output"),"OUT",""))</f>
        <v/>
      </c>
      <c r="H45" s="33" t="str">
        <f aca="false">IF(COUNTIF(Flows!$M$2:$M$1500,$A45&amp;"|"&amp;H$1&amp;"|Input"),IF(COUNTIF(Flows!$M$2:$M$1500,$A45&amp;"|"&amp;H$1&amp;"|Output"),"I/O","IN"),IF(COUNTIF(Flows!$M$2:$M$1500,$A45&amp;"|"&amp;H$1&amp;"|Output"),"OUT",""))</f>
        <v/>
      </c>
      <c r="I45" s="33" t="str">
        <f aca="false">IF(COUNTIF(Flows!$M$2:$M$1500,$A45&amp;"|"&amp;I$1&amp;"|Input"),IF(COUNTIF(Flows!$M$2:$M$1500,$A45&amp;"|"&amp;I$1&amp;"|Output"),"I/O","IN"),IF(COUNTIF(Flows!$M$2:$M$1500,$A45&amp;"|"&amp;I$1&amp;"|Output"),"OUT",""))</f>
        <v/>
      </c>
      <c r="J45" s="33" t="str">
        <f aca="false">IF(COUNTIF(Flows!$M$2:$M$1500,$A45&amp;"|"&amp;J$1&amp;"|Input"),IF(COUNTIF(Flows!$M$2:$M$1500,$A45&amp;"|"&amp;J$1&amp;"|Output"),"I/O","IN"),IF(COUNTIF(Flows!$M$2:$M$1500,$A45&amp;"|"&amp;J$1&amp;"|Output"),"OUT",""))</f>
        <v/>
      </c>
      <c r="K45" s="33" t="str">
        <f aca="false">IF(COUNTIF(Flows!$M$2:$M$1500,$A45&amp;"|"&amp;K$1&amp;"|Input"),IF(COUNTIF(Flows!$M$2:$M$1500,$A45&amp;"|"&amp;K$1&amp;"|Output"),"I/O","IN"),IF(COUNTIF(Flows!$M$2:$M$1500,$A45&amp;"|"&amp;K$1&amp;"|Output"),"OUT",""))</f>
        <v/>
      </c>
      <c r="L45" s="33" t="str">
        <f aca="false">IF(COUNTIF(Flows!$M$2:$M$1500,$A45&amp;"|"&amp;L$1&amp;"|Input"),IF(COUNTIF(Flows!$M$2:$M$1500,$A45&amp;"|"&amp;L$1&amp;"|Output"),"I/O","IN"),IF(COUNTIF(Flows!$M$2:$M$1500,$A45&amp;"|"&amp;L$1&amp;"|Output"),"OUT",""))</f>
        <v/>
      </c>
      <c r="M45" s="33" t="str">
        <f aca="false">IF(COUNTIF(Flows!$M$2:$M$1500,$A45&amp;"|"&amp;M$1&amp;"|Input"),IF(COUNTIF(Flows!$M$2:$M$1500,$A45&amp;"|"&amp;M$1&amp;"|Output"),"I/O","IN"),IF(COUNTIF(Flows!$M$2:$M$1500,$A45&amp;"|"&amp;M$1&amp;"|Output"),"OUT",""))</f>
        <v/>
      </c>
      <c r="N45" s="33" t="str">
        <f aca="false">IF(COUNTIF(Flows!$M$2:$M$1500,$A45&amp;"|"&amp;N$1&amp;"|Input"),IF(COUNTIF(Flows!$M$2:$M$1500,$A45&amp;"|"&amp;N$1&amp;"|Output"),"I/O","IN"),IF(COUNTIF(Flows!$M$2:$M$1500,$A45&amp;"|"&amp;N$1&amp;"|Output"),"OUT",""))</f>
        <v/>
      </c>
      <c r="O45" s="33" t="str">
        <f aca="false">IF(COUNTIF(Flows!$M$2:$M$1500,$A45&amp;"|"&amp;O$1&amp;"|Input"),IF(COUNTIF(Flows!$M$2:$M$1500,$A45&amp;"|"&amp;O$1&amp;"|Output"),"I/O","IN"),IF(COUNTIF(Flows!$M$2:$M$1500,$A45&amp;"|"&amp;O$1&amp;"|Output"),"OUT",""))</f>
        <v/>
      </c>
      <c r="P45" s="33" t="str">
        <f aca="false">IF(COUNTIF(Flows!$M$2:$M$1500,$A45&amp;"|"&amp;P$1&amp;"|Input"),IF(COUNTIF(Flows!$M$2:$M$1500,$A45&amp;"|"&amp;P$1&amp;"|Output"),"I/O","IN"),IF(COUNTIF(Flows!$M$2:$M$1500,$A45&amp;"|"&amp;P$1&amp;"|Output"),"OUT",""))</f>
        <v/>
      </c>
      <c r="Q45" s="33" t="str">
        <f aca="false">IF(COUNTIF(Flows!$M$2:$M$1500,$A45&amp;"|"&amp;Q$1&amp;"|Input"),IF(COUNTIF(Flows!$M$2:$M$1500,$A45&amp;"|"&amp;Q$1&amp;"|Output"),"I/O","IN"),IF(COUNTIF(Flows!$M$2:$M$1500,$A45&amp;"|"&amp;Q$1&amp;"|Output"),"OUT",""))</f>
        <v/>
      </c>
      <c r="R45" s="33" t="str">
        <f aca="false">IF(COUNTIF(Flows!$M$2:$M$1500,$A45&amp;"|"&amp;R$1&amp;"|Input"),IF(COUNTIF(Flows!$M$2:$M$1500,$A45&amp;"|"&amp;R$1&amp;"|Output"),"I/O","IN"),IF(COUNTIF(Flows!$M$2:$M$1500,$A45&amp;"|"&amp;R$1&amp;"|Output"),"OUT",""))</f>
        <v/>
      </c>
      <c r="S45" s="33" t="str">
        <f aca="false">IF(COUNTIF(Flows!$M$2:$M$1500,$A45&amp;"|"&amp;S$1&amp;"|Input"),IF(COUNTIF(Flows!$M$2:$M$1500,$A45&amp;"|"&amp;S$1&amp;"|Output"),"I/O","IN"),IF(COUNTIF(Flows!$M$2:$M$1500,$A45&amp;"|"&amp;S$1&amp;"|Output"),"OUT",""))</f>
        <v/>
      </c>
      <c r="T45" s="33" t="str">
        <f aca="false">IF(COUNTIF(Flows!$M$2:$M$1500,$A45&amp;"|"&amp;T$1&amp;"|Input"),IF(COUNTIF(Flows!$M$2:$M$1500,$A45&amp;"|"&amp;T$1&amp;"|Output"),"I/O","IN"),IF(COUNTIF(Flows!$M$2:$M$1500,$A45&amp;"|"&amp;T$1&amp;"|Output"),"OUT",""))</f>
        <v/>
      </c>
      <c r="U45" s="33" t="str">
        <f aca="false">IF(COUNTIF(Flows!$M$2:$M$1500,$A45&amp;"|"&amp;U$1&amp;"|Input"),IF(COUNTIF(Flows!$M$2:$M$1500,$A45&amp;"|"&amp;U$1&amp;"|Output"),"I/O","IN"),IF(COUNTIF(Flows!$M$2:$M$1500,$A45&amp;"|"&amp;U$1&amp;"|Output"),"OUT",""))</f>
        <v/>
      </c>
      <c r="V45" s="33" t="str">
        <f aca="false">IF(COUNTIF(Flows!$M$2:$M$1500,$A45&amp;"|"&amp;V$1&amp;"|Input"),IF(COUNTIF(Flows!$M$2:$M$1500,$A45&amp;"|"&amp;V$1&amp;"|Output"),"I/O","IN"),IF(COUNTIF(Flows!$M$2:$M$1500,$A45&amp;"|"&amp;V$1&amp;"|Output"),"OUT",""))</f>
        <v/>
      </c>
      <c r="W45" s="33" t="str">
        <f aca="false">IF(COUNTIF(Flows!$M$2:$M$1500,$A45&amp;"|"&amp;W$1&amp;"|Input"),IF(COUNTIF(Flows!$M$2:$M$1500,$A45&amp;"|"&amp;W$1&amp;"|Output"),"I/O","IN"),IF(COUNTIF(Flows!$M$2:$M$1500,$A45&amp;"|"&amp;W$1&amp;"|Output"),"OUT",""))</f>
        <v/>
      </c>
      <c r="X45" s="33" t="str">
        <f aca="false">IF(COUNTIF(Flows!$M$2:$M$1500,$A45&amp;"|"&amp;X$1&amp;"|Input"),IF(COUNTIF(Flows!$M$2:$M$1500,$A45&amp;"|"&amp;X$1&amp;"|Output"),"I/O","IN"),IF(COUNTIF(Flows!$M$2:$M$1500,$A45&amp;"|"&amp;X$1&amp;"|Output"),"OUT",""))</f>
        <v>IN</v>
      </c>
      <c r="Y45" s="33" t="str">
        <f aca="false">IF(COUNTIF(Flows!$M$2:$M$1500,$A45&amp;"|"&amp;Y$1&amp;"|Input"),IF(COUNTIF(Flows!$M$2:$M$1500,$A45&amp;"|"&amp;Y$1&amp;"|Output"),"I/O","IN"),IF(COUNTIF(Flows!$M$2:$M$1500,$A45&amp;"|"&amp;Y$1&amp;"|Output"),"OUT",""))</f>
        <v/>
      </c>
      <c r="Z45" s="33" t="str">
        <f aca="false">IF(COUNTIF(Flows!$M$2:$M$1500,$A45&amp;"|"&amp;Z$1&amp;"|Input"),IF(COUNTIF(Flows!$M$2:$M$1500,$A45&amp;"|"&amp;Z$1&amp;"|Output"),"I/O","IN"),IF(COUNTIF(Flows!$M$2:$M$1500,$A45&amp;"|"&amp;Z$1&amp;"|Output"),"OUT",""))</f>
        <v/>
      </c>
      <c r="AA45" s="33" t="str">
        <f aca="false">IF(COUNTIF(Flows!$M$2:$M$1500,$A45&amp;"|"&amp;AA$1&amp;"|Input"),IF(COUNTIF(Flows!$M$2:$M$1500,$A45&amp;"|"&amp;AA$1&amp;"|Output"),"I/O","IN"),IF(COUNTIF(Flows!$M$2:$M$1500,$A45&amp;"|"&amp;AA$1&amp;"|Output"),"OUT",""))</f>
        <v/>
      </c>
      <c r="AB45" s="33" t="str">
        <f aca="false">IF(COUNTIF(Flows!$M$2:$M$1500,$A45&amp;"|"&amp;AB$1&amp;"|Input"),IF(COUNTIF(Flows!$M$2:$M$1500,$A45&amp;"|"&amp;AB$1&amp;"|Output"),"I/O","IN"),IF(COUNTIF(Flows!$M$2:$M$1500,$A45&amp;"|"&amp;AB$1&amp;"|Output"),"OUT",""))</f>
        <v/>
      </c>
      <c r="AC45" s="33" t="str">
        <f aca="false">IF(COUNTIF(Flows!$M$2:$M$1500,$A45&amp;"|"&amp;AC$1&amp;"|Input"),IF(COUNTIF(Flows!$M$2:$M$1500,$A45&amp;"|"&amp;AC$1&amp;"|Output"),"I/O","IN"),IF(COUNTIF(Flows!$M$2:$M$1500,$A45&amp;"|"&amp;AC$1&amp;"|Output"),"OUT",""))</f>
        <v/>
      </c>
      <c r="AD45" s="33" t="str">
        <f aca="false">IF(COUNTIF(Flows!$M$2:$M$1500,$A45&amp;"|"&amp;AD$1&amp;"|Input"),IF(COUNTIF(Flows!$M$2:$M$1500,$A45&amp;"|"&amp;AD$1&amp;"|Output"),"I/O","IN"),IF(COUNTIF(Flows!$M$2:$M$1500,$A45&amp;"|"&amp;AD$1&amp;"|Output"),"OUT",""))</f>
        <v/>
      </c>
      <c r="AE45" s="33" t="str">
        <f aca="false">IF(COUNTIF(Flows!$M$2:$M$1500,$A45&amp;"|"&amp;AE$1&amp;"|Input"),IF(COUNTIF(Flows!$M$2:$M$1500,$A45&amp;"|"&amp;AE$1&amp;"|Output"),"I/O","IN"),IF(COUNTIF(Flows!$M$2:$M$1500,$A45&amp;"|"&amp;AE$1&amp;"|Output"),"OUT",""))</f>
        <v/>
      </c>
      <c r="AF45" s="33" t="str">
        <f aca="false">IF(COUNTIF(Flows!$M$2:$M$1500,$A45&amp;"|"&amp;AF$1&amp;"|Input"),IF(COUNTIF(Flows!$M$2:$M$1500,$A45&amp;"|"&amp;AF$1&amp;"|Output"),"I/O","IN"),IF(COUNTIF(Flows!$M$2:$M$1500,$A45&amp;"|"&amp;AF$1&amp;"|Output"),"OUT",""))</f>
        <v/>
      </c>
      <c r="AG45" s="33" t="str">
        <f aca="false">IF(COUNTIF(Flows!$M$2:$M$1500,$A45&amp;"|"&amp;AG$1&amp;"|Input"),IF(COUNTIF(Flows!$M$2:$M$1500,$A45&amp;"|"&amp;AG$1&amp;"|Output"),"I/O","IN"),IF(COUNTIF(Flows!$M$2:$M$1500,$A45&amp;"|"&amp;AG$1&amp;"|Output"),"OUT",""))</f>
        <v/>
      </c>
      <c r="AH45" s="33" t="str">
        <f aca="false">IF(COUNTIF(Flows!$M$2:$M$1500,$A45&amp;"|"&amp;AH$1&amp;"|Input"),IF(COUNTIF(Flows!$M$2:$M$1500,$A45&amp;"|"&amp;AH$1&amp;"|Output"),"I/O","IN"),IF(COUNTIF(Flows!$M$2:$M$1500,$A45&amp;"|"&amp;AH$1&amp;"|Output"),"OUT",""))</f>
        <v/>
      </c>
      <c r="AI45" s="33" t="str">
        <f aca="false">IF(COUNTIF(Flows!$M$2:$M$1500,$A45&amp;"|"&amp;AI$1&amp;"|Input"),IF(COUNTIF(Flows!$M$2:$M$1500,$A45&amp;"|"&amp;AI$1&amp;"|Output"),"I/O","IN"),IF(COUNTIF(Flows!$M$2:$M$1500,$A45&amp;"|"&amp;AI$1&amp;"|Output"),"OUT",""))</f>
        <v/>
      </c>
      <c r="AJ45" s="33" t="str">
        <f aca="false">IF(COUNTIF(Flows!$M$2:$M$1500,$A45&amp;"|"&amp;AJ$1&amp;"|Input"),IF(COUNTIF(Flows!$M$2:$M$1500,$A45&amp;"|"&amp;AJ$1&amp;"|Output"),"I/O","IN"),IF(COUNTIF(Flows!$M$2:$M$1500,$A45&amp;"|"&amp;AJ$1&amp;"|Output"),"OUT",""))</f>
        <v/>
      </c>
      <c r="AK45" s="33" t="str">
        <f aca="false">IF(COUNTIF(Flows!$M$2:$M$1500,$A45&amp;"|"&amp;AK$1&amp;"|Input"),IF(COUNTIF(Flows!$M$2:$M$1500,$A45&amp;"|"&amp;AK$1&amp;"|Output"),"I/O","IN"),IF(COUNTIF(Flows!$M$2:$M$1500,$A45&amp;"|"&amp;AK$1&amp;"|Output"),"OUT",""))</f>
        <v/>
      </c>
      <c r="AL45" s="33" t="str">
        <f aca="false">IF(COUNTIF(Flows!$M$2:$M$1500,$A45&amp;"|"&amp;AL$1&amp;"|Input"),IF(COUNTIF(Flows!$M$2:$M$1500,$A45&amp;"|"&amp;AL$1&amp;"|Output"),"I/O","IN"),IF(COUNTIF(Flows!$M$2:$M$1500,$A45&amp;"|"&amp;AL$1&amp;"|Output"),"OUT",""))</f>
        <v/>
      </c>
      <c r="AM45" s="33" t="str">
        <f aca="false">IF(COUNTIF(Flows!$M$2:$M$1500,$A45&amp;"|"&amp;AM$1&amp;"|Input"),IF(COUNTIF(Flows!$M$2:$M$1500,$A45&amp;"|"&amp;AM$1&amp;"|Output"),"I/O","IN"),IF(COUNTIF(Flows!$M$2:$M$1500,$A45&amp;"|"&amp;AM$1&amp;"|Output"),"OUT",""))</f>
        <v/>
      </c>
      <c r="AN45" s="33" t="str">
        <f aca="false">IF(COUNTIF(Flows!$M$2:$M$1500,$A45&amp;"|"&amp;AN$1&amp;"|Input"),IF(COUNTIF(Flows!$M$2:$M$1500,$A45&amp;"|"&amp;AN$1&amp;"|Output"),"I/O","IN"),IF(COUNTIF(Flows!$M$2:$M$1500,$A45&amp;"|"&amp;AN$1&amp;"|Output"),"OUT",""))</f>
        <v/>
      </c>
      <c r="AO45" s="33" t="str">
        <f aca="false">IF(COUNTIF(Flows!$M$2:$M$1500,$A45&amp;"|"&amp;AO$1&amp;"|Input"),IF(COUNTIF(Flows!$M$2:$M$1500,$A45&amp;"|"&amp;AO$1&amp;"|Output"),"I/O","IN"),IF(COUNTIF(Flows!$M$2:$M$1500,$A45&amp;"|"&amp;AO$1&amp;"|Output"),"OUT",""))</f>
        <v/>
      </c>
      <c r="AP45" s="33" t="str">
        <f aca="false">IF(COUNTIF(Flows!$M$2:$M$1500,$A45&amp;"|"&amp;AP$1&amp;"|Input"),IF(COUNTIF(Flows!$M$2:$M$1500,$A45&amp;"|"&amp;AP$1&amp;"|Output"),"I/O","IN"),IF(COUNTIF(Flows!$M$2:$M$1500,$A45&amp;"|"&amp;AP$1&amp;"|Output"),"OUT",""))</f>
        <v/>
      </c>
      <c r="AQ45" s="33" t="str">
        <f aca="false">IF(COUNTIF(Flows!$M$2:$M$1500,$A45&amp;"|"&amp;AQ$1&amp;"|Input"),IF(COUNTIF(Flows!$M$2:$M$1500,$A45&amp;"|"&amp;AQ$1&amp;"|Output"),"I/O","IN"),IF(COUNTIF(Flows!$M$2:$M$1500,$A45&amp;"|"&amp;AQ$1&amp;"|Output"),"OUT",""))</f>
        <v/>
      </c>
      <c r="AR45" s="33" t="str">
        <f aca="false">IF(COUNTIF(Flows!$M$2:$M$1500,$A45&amp;"|"&amp;AR$1&amp;"|Input"),IF(COUNTIF(Flows!$M$2:$M$1500,$A45&amp;"|"&amp;AR$1&amp;"|Output"),"I/O","IN"),IF(COUNTIF(Flows!$M$2:$M$1500,$A45&amp;"|"&amp;AR$1&amp;"|Output"),"OUT",""))</f>
        <v/>
      </c>
      <c r="AS45" s="33" t="str">
        <f aca="false">IF(COUNTIF(Flows!$M$2:$M$1500,$A45&amp;"|"&amp;AS$1&amp;"|Input"),IF(COUNTIF(Flows!$M$2:$M$1500,$A45&amp;"|"&amp;AS$1&amp;"|Output"),"I/O","IN"),IF(COUNTIF(Flows!$M$2:$M$1500,$A45&amp;"|"&amp;AS$1&amp;"|Output"),"OUT",""))</f>
        <v/>
      </c>
      <c r="AT45" s="33" t="str">
        <f aca="false">IF(COUNTIF(Flows!$M$2:$M$1500,$A45&amp;"|"&amp;AT$1&amp;"|Input"),IF(COUNTIF(Flows!$M$2:$M$1500,$A45&amp;"|"&amp;AT$1&amp;"|Output"),"I/O","IN"),IF(COUNTIF(Flows!$M$2:$M$1500,$A45&amp;"|"&amp;AT$1&amp;"|Output"),"OUT",""))</f>
        <v/>
      </c>
      <c r="AU45" s="33" t="str">
        <f aca="false">IF(COUNTIF(Flows!$M$2:$M$1500,$A45&amp;"|"&amp;AU$1&amp;"|Input"),IF(COUNTIF(Flows!$M$2:$M$1500,$A45&amp;"|"&amp;AU$1&amp;"|Output"),"I/O","IN"),IF(COUNTIF(Flows!$M$2:$M$1500,$A45&amp;"|"&amp;AU$1&amp;"|Output"),"OUT",""))</f>
        <v/>
      </c>
      <c r="AV45" s="33" t="str">
        <f aca="false">IF(COUNTIF(Flows!$M$2:$M$1500,$A45&amp;"|"&amp;AV$1&amp;"|Input"),IF(COUNTIF(Flows!$M$2:$M$1500,$A45&amp;"|"&amp;AV$1&amp;"|Output"),"I/O","IN"),IF(COUNTIF(Flows!$M$2:$M$1500,$A45&amp;"|"&amp;AV$1&amp;"|Output"),"OUT",""))</f>
        <v/>
      </c>
      <c r="AW45" s="33" t="str">
        <f aca="false">IF(COUNTIF(Flows!$M$2:$M$1500,$A45&amp;"|"&amp;AW$1&amp;"|Input"),IF(COUNTIF(Flows!$M$2:$M$1500,$A45&amp;"|"&amp;AW$1&amp;"|Output"),"I/O","IN"),IF(COUNTIF(Flows!$M$2:$M$1500,$A45&amp;"|"&amp;AW$1&amp;"|Output"),"OUT",""))</f>
        <v/>
      </c>
      <c r="AX45" s="33" t="str">
        <f aca="false">IF(COUNTIF(Flows!$M$2:$M$1500,$A45&amp;"|"&amp;AX$1&amp;"|Input"),IF(COUNTIF(Flows!$M$2:$M$1500,$A45&amp;"|"&amp;AX$1&amp;"|Output"),"I/O","IN"),IF(COUNTIF(Flows!$M$2:$M$1500,$A45&amp;"|"&amp;AX$1&amp;"|Output"),"OUT",""))</f>
        <v/>
      </c>
      <c r="AY45" s="33" t="str">
        <f aca="false">IF(COUNTIF(Flows!$M$2:$M$1500,$A45&amp;"|"&amp;AY$1&amp;"|Input"),IF(COUNTIF(Flows!$M$2:$M$1500,$A45&amp;"|"&amp;AY$1&amp;"|Output"),"I/O","IN"),IF(COUNTIF(Flows!$M$2:$M$1500,$A45&amp;"|"&amp;AY$1&amp;"|Output"),"OUT",""))</f>
        <v/>
      </c>
      <c r="AZ45" s="33" t="str">
        <f aca="false">IF(COUNTIF(Flows!$M$2:$M$1500,$A45&amp;"|"&amp;AZ$1&amp;"|Input"),IF(COUNTIF(Flows!$M$2:$M$1500,$A45&amp;"|"&amp;AZ$1&amp;"|Output"),"I/O","IN"),IF(COUNTIF(Flows!$M$2:$M$1500,$A45&amp;"|"&amp;AZ$1&amp;"|Output"),"OUT",""))</f>
        <v/>
      </c>
      <c r="BA45" s="33" t="str">
        <f aca="false">IF(COUNTIF(Flows!$M$2:$M$1500,$A45&amp;"|"&amp;BA$1&amp;"|Input"),IF(COUNTIF(Flows!$M$2:$M$1500,$A45&amp;"|"&amp;BA$1&amp;"|Output"),"I/O","IN"),IF(COUNTIF(Flows!$M$2:$M$1500,$A45&amp;"|"&amp;BA$1&amp;"|Output"),"OUT",""))</f>
        <v/>
      </c>
      <c r="BB45" s="33" t="str">
        <f aca="false">IF(COUNTIF(Flows!$M$2:$M$1500,$A45&amp;"|"&amp;BB$1&amp;"|Input"),IF(COUNTIF(Flows!$M$2:$M$1500,$A45&amp;"|"&amp;BB$1&amp;"|Output"),"I/O","IN"),IF(COUNTIF(Flows!$M$2:$M$1500,$A45&amp;"|"&amp;BB$1&amp;"|Output"),"OUT",""))</f>
        <v>IN</v>
      </c>
      <c r="BC45" s="33" t="str">
        <f aca="false">IF(COUNTIF(Flows!$M$2:$M$1500,$A45&amp;"|"&amp;BC$1&amp;"|Input"),IF(COUNTIF(Flows!$M$2:$M$1500,$A45&amp;"|"&amp;BC$1&amp;"|Output"),"I/O","IN"),IF(COUNTIF(Flows!$M$2:$M$1500,$A45&amp;"|"&amp;BC$1&amp;"|Output"),"OUT",""))</f>
        <v/>
      </c>
      <c r="BD45" s="33" t="str">
        <f aca="false">IF(COUNTIF(Flows!$M$2:$M$1500,$A45&amp;"|"&amp;BD$1&amp;"|Input"),IF(COUNTIF(Flows!$M$2:$M$1500,$A45&amp;"|"&amp;BD$1&amp;"|Output"),"I/O","IN"),IF(COUNTIF(Flows!$M$2:$M$1500,$A45&amp;"|"&amp;BD$1&amp;"|Output"),"OUT",""))</f>
        <v/>
      </c>
      <c r="BE45" s="33" t="str">
        <f aca="false">IF(COUNTIF(Flows!$M$2:$M$1500,$A45&amp;"|"&amp;BE$1&amp;"|Input"),IF(COUNTIF(Flows!$M$2:$M$1500,$A45&amp;"|"&amp;BE$1&amp;"|Output"),"I/O","IN"),IF(COUNTIF(Flows!$M$2:$M$1500,$A45&amp;"|"&amp;BE$1&amp;"|Output"),"OUT",""))</f>
        <v/>
      </c>
      <c r="BF45" s="33" t="str">
        <f aca="false">IF(COUNTIF(Flows!$M$2:$M$1500,$A45&amp;"|"&amp;BF$1&amp;"|Input"),IF(COUNTIF(Flows!$M$2:$M$1500,$A45&amp;"|"&amp;BF$1&amp;"|Output"),"I/O","IN"),IF(COUNTIF(Flows!$M$2:$M$1500,$A45&amp;"|"&amp;BF$1&amp;"|Output"),"OUT",""))</f>
        <v/>
      </c>
      <c r="BG45" s="33" t="str">
        <f aca="false">IF(COUNTIF(Flows!$M$2:$M$1500,$A45&amp;"|"&amp;BG$1&amp;"|Input"),IF(COUNTIF(Flows!$M$2:$M$1500,$A45&amp;"|"&amp;BG$1&amp;"|Output"),"I/O","IN"),IF(COUNTIF(Flows!$M$2:$M$1500,$A45&amp;"|"&amp;BG$1&amp;"|Output"),"OUT",""))</f>
        <v/>
      </c>
      <c r="BH45" s="33" t="str">
        <f aca="false">IF(COUNTIF(Flows!$M$2:$M$1500,$A45&amp;"|"&amp;BH$1&amp;"|Input"),IF(COUNTIF(Flows!$M$2:$M$1500,$A45&amp;"|"&amp;BH$1&amp;"|Output"),"I/O","IN"),IF(COUNTIF(Flows!$M$2:$M$1500,$A45&amp;"|"&amp;BH$1&amp;"|Output"),"OUT",""))</f>
        <v/>
      </c>
      <c r="BI45" s="33" t="str">
        <f aca="false">IF(COUNTIF(Flows!$M$2:$M$1500,$A45&amp;"|"&amp;BI$1&amp;"|Input"),IF(COUNTIF(Flows!$M$2:$M$1500,$A45&amp;"|"&amp;BI$1&amp;"|Output"),"I/O","IN"),IF(COUNTIF(Flows!$M$2:$M$1500,$A45&amp;"|"&amp;BI$1&amp;"|Output"),"OUT",""))</f>
        <v>OUT</v>
      </c>
      <c r="BJ45" s="33" t="str">
        <f aca="false">IF(COUNTIF(Flows!$M$2:$M$1500,$A45&amp;"|"&amp;BJ$1&amp;"|Input"),IF(COUNTIF(Flows!$M$2:$M$1500,$A45&amp;"|"&amp;BJ$1&amp;"|Output"),"I/O","IN"),IF(COUNTIF(Flows!$M$2:$M$1500,$A45&amp;"|"&amp;BJ$1&amp;"|Output"),"OUT",""))</f>
        <v>OUT</v>
      </c>
      <c r="BK45" s="33" t="str">
        <f aca="false">IF(COUNTIF(Flows!$M$2:$M$1500,$A45&amp;"|"&amp;BK$1&amp;"|Input"),IF(COUNTIF(Flows!$M$2:$M$1500,$A45&amp;"|"&amp;BK$1&amp;"|Output"),"I/O","IN"),IF(COUNTIF(Flows!$M$2:$M$1500,$A45&amp;"|"&amp;BK$1&amp;"|Output"),"OUT",""))</f>
        <v>OUT</v>
      </c>
    </row>
    <row r="46" customFormat="false" ht="15" hidden="false" customHeight="true" outlineLevel="0" collapsed="false">
      <c r="A46" s="6" t="str">
        <f aca="false">Systems!B46</f>
        <v>Comfrey</v>
      </c>
      <c r="B46" s="33" t="str">
        <f aca="false">IF(COUNTIF(Flows!$M$2:$M$1500,$A46&amp;"|"&amp;B$1&amp;"|Input"),IF(COUNTIF(Flows!$M$2:$M$1500,$A46&amp;"|"&amp;B$1&amp;"|Output"),"I/O","IN"),IF(COUNTIF(Flows!$M$2:$M$1500,$A46&amp;"|"&amp;B$1&amp;"|Output"),"OUT",""))</f>
        <v>IN</v>
      </c>
      <c r="C46" s="33" t="str">
        <f aca="false">IF(COUNTIF(Flows!$M$2:$M$1500,$A46&amp;"|"&amp;C$1&amp;"|Input"),IF(COUNTIF(Flows!$M$2:$M$1500,$A46&amp;"|"&amp;C$1&amp;"|Output"),"I/O","IN"),IF(COUNTIF(Flows!$M$2:$M$1500,$A46&amp;"|"&amp;C$1&amp;"|Output"),"OUT",""))</f>
        <v/>
      </c>
      <c r="D46" s="33" t="str">
        <f aca="false">IF(COUNTIF(Flows!$M$2:$M$1500,$A46&amp;"|"&amp;D$1&amp;"|Input"),IF(COUNTIF(Flows!$M$2:$M$1500,$A46&amp;"|"&amp;D$1&amp;"|Output"),"I/O","IN"),IF(COUNTIF(Flows!$M$2:$M$1500,$A46&amp;"|"&amp;D$1&amp;"|Output"),"OUT",""))</f>
        <v/>
      </c>
      <c r="E46" s="33" t="str">
        <f aca="false">IF(COUNTIF(Flows!$M$2:$M$1500,$A46&amp;"|"&amp;E$1&amp;"|Input"),IF(COUNTIF(Flows!$M$2:$M$1500,$A46&amp;"|"&amp;E$1&amp;"|Output"),"I/O","IN"),IF(COUNTIF(Flows!$M$2:$M$1500,$A46&amp;"|"&amp;E$1&amp;"|Output"),"OUT",""))</f>
        <v/>
      </c>
      <c r="F46" s="33" t="str">
        <f aca="false">IF(COUNTIF(Flows!$M$2:$M$1500,$A46&amp;"|"&amp;F$1&amp;"|Input"),IF(COUNTIF(Flows!$M$2:$M$1500,$A46&amp;"|"&amp;F$1&amp;"|Output"),"I/O","IN"),IF(COUNTIF(Flows!$M$2:$M$1500,$A46&amp;"|"&amp;F$1&amp;"|Output"),"OUT",""))</f>
        <v/>
      </c>
      <c r="G46" s="33" t="str">
        <f aca="false">IF(COUNTIF(Flows!$M$2:$M$1500,$A46&amp;"|"&amp;G$1&amp;"|Input"),IF(COUNTIF(Flows!$M$2:$M$1500,$A46&amp;"|"&amp;G$1&amp;"|Output"),"I/O","IN"),IF(COUNTIF(Flows!$M$2:$M$1500,$A46&amp;"|"&amp;G$1&amp;"|Output"),"OUT",""))</f>
        <v/>
      </c>
      <c r="H46" s="33" t="str">
        <f aca="false">IF(COUNTIF(Flows!$M$2:$M$1500,$A46&amp;"|"&amp;H$1&amp;"|Input"),IF(COUNTIF(Flows!$M$2:$M$1500,$A46&amp;"|"&amp;H$1&amp;"|Output"),"I/O","IN"),IF(COUNTIF(Flows!$M$2:$M$1500,$A46&amp;"|"&amp;H$1&amp;"|Output"),"OUT",""))</f>
        <v/>
      </c>
      <c r="I46" s="33" t="str">
        <f aca="false">IF(COUNTIF(Flows!$M$2:$M$1500,$A46&amp;"|"&amp;I$1&amp;"|Input"),IF(COUNTIF(Flows!$M$2:$M$1500,$A46&amp;"|"&amp;I$1&amp;"|Output"),"I/O","IN"),IF(COUNTIF(Flows!$M$2:$M$1500,$A46&amp;"|"&amp;I$1&amp;"|Output"),"OUT",""))</f>
        <v/>
      </c>
      <c r="J46" s="33" t="str">
        <f aca="false">IF(COUNTIF(Flows!$M$2:$M$1500,$A46&amp;"|"&amp;J$1&amp;"|Input"),IF(COUNTIF(Flows!$M$2:$M$1500,$A46&amp;"|"&amp;J$1&amp;"|Output"),"I/O","IN"),IF(COUNTIF(Flows!$M$2:$M$1500,$A46&amp;"|"&amp;J$1&amp;"|Output"),"OUT",""))</f>
        <v/>
      </c>
      <c r="K46" s="33" t="str">
        <f aca="false">IF(COUNTIF(Flows!$M$2:$M$1500,$A46&amp;"|"&amp;K$1&amp;"|Input"),IF(COUNTIF(Flows!$M$2:$M$1500,$A46&amp;"|"&amp;K$1&amp;"|Output"),"I/O","IN"),IF(COUNTIF(Flows!$M$2:$M$1500,$A46&amp;"|"&amp;K$1&amp;"|Output"),"OUT",""))</f>
        <v/>
      </c>
      <c r="L46" s="33" t="str">
        <f aca="false">IF(COUNTIF(Flows!$M$2:$M$1500,$A46&amp;"|"&amp;L$1&amp;"|Input"),IF(COUNTIF(Flows!$M$2:$M$1500,$A46&amp;"|"&amp;L$1&amp;"|Output"),"I/O","IN"),IF(COUNTIF(Flows!$M$2:$M$1500,$A46&amp;"|"&amp;L$1&amp;"|Output"),"OUT",""))</f>
        <v/>
      </c>
      <c r="M46" s="33" t="str">
        <f aca="false">IF(COUNTIF(Flows!$M$2:$M$1500,$A46&amp;"|"&amp;M$1&amp;"|Input"),IF(COUNTIF(Flows!$M$2:$M$1500,$A46&amp;"|"&amp;M$1&amp;"|Output"),"I/O","IN"),IF(COUNTIF(Flows!$M$2:$M$1500,$A46&amp;"|"&amp;M$1&amp;"|Output"),"OUT",""))</f>
        <v/>
      </c>
      <c r="N46" s="33" t="str">
        <f aca="false">IF(COUNTIF(Flows!$M$2:$M$1500,$A46&amp;"|"&amp;N$1&amp;"|Input"),IF(COUNTIF(Flows!$M$2:$M$1500,$A46&amp;"|"&amp;N$1&amp;"|Output"),"I/O","IN"),IF(COUNTIF(Flows!$M$2:$M$1500,$A46&amp;"|"&amp;N$1&amp;"|Output"),"OUT",""))</f>
        <v/>
      </c>
      <c r="O46" s="33" t="str">
        <f aca="false">IF(COUNTIF(Flows!$M$2:$M$1500,$A46&amp;"|"&amp;O$1&amp;"|Input"),IF(COUNTIF(Flows!$M$2:$M$1500,$A46&amp;"|"&amp;O$1&amp;"|Output"),"I/O","IN"),IF(COUNTIF(Flows!$M$2:$M$1500,$A46&amp;"|"&amp;O$1&amp;"|Output"),"OUT",""))</f>
        <v/>
      </c>
      <c r="P46" s="33" t="str">
        <f aca="false">IF(COUNTIF(Flows!$M$2:$M$1500,$A46&amp;"|"&amp;P$1&amp;"|Input"),IF(COUNTIF(Flows!$M$2:$M$1500,$A46&amp;"|"&amp;P$1&amp;"|Output"),"I/O","IN"),IF(COUNTIF(Flows!$M$2:$M$1500,$A46&amp;"|"&amp;P$1&amp;"|Output"),"OUT",""))</f>
        <v/>
      </c>
      <c r="Q46" s="33" t="str">
        <f aca="false">IF(COUNTIF(Flows!$M$2:$M$1500,$A46&amp;"|"&amp;Q$1&amp;"|Input"),IF(COUNTIF(Flows!$M$2:$M$1500,$A46&amp;"|"&amp;Q$1&amp;"|Output"),"I/O","IN"),IF(COUNTIF(Flows!$M$2:$M$1500,$A46&amp;"|"&amp;Q$1&amp;"|Output"),"OUT",""))</f>
        <v/>
      </c>
      <c r="R46" s="33" t="str">
        <f aca="false">IF(COUNTIF(Flows!$M$2:$M$1500,$A46&amp;"|"&amp;R$1&amp;"|Input"),IF(COUNTIF(Flows!$M$2:$M$1500,$A46&amp;"|"&amp;R$1&amp;"|Output"),"I/O","IN"),IF(COUNTIF(Flows!$M$2:$M$1500,$A46&amp;"|"&amp;R$1&amp;"|Output"),"OUT",""))</f>
        <v/>
      </c>
      <c r="S46" s="33" t="str">
        <f aca="false">IF(COUNTIF(Flows!$M$2:$M$1500,$A46&amp;"|"&amp;S$1&amp;"|Input"),IF(COUNTIF(Flows!$M$2:$M$1500,$A46&amp;"|"&amp;S$1&amp;"|Output"),"I/O","IN"),IF(COUNTIF(Flows!$M$2:$M$1500,$A46&amp;"|"&amp;S$1&amp;"|Output"),"OUT",""))</f>
        <v/>
      </c>
      <c r="T46" s="33" t="str">
        <f aca="false">IF(COUNTIF(Flows!$M$2:$M$1500,$A46&amp;"|"&amp;T$1&amp;"|Input"),IF(COUNTIF(Flows!$M$2:$M$1500,$A46&amp;"|"&amp;T$1&amp;"|Output"),"I/O","IN"),IF(COUNTIF(Flows!$M$2:$M$1500,$A46&amp;"|"&amp;T$1&amp;"|Output"),"OUT",""))</f>
        <v/>
      </c>
      <c r="U46" s="33" t="str">
        <f aca="false">IF(COUNTIF(Flows!$M$2:$M$1500,$A46&amp;"|"&amp;U$1&amp;"|Input"),IF(COUNTIF(Flows!$M$2:$M$1500,$A46&amp;"|"&amp;U$1&amp;"|Output"),"I/O","IN"),IF(COUNTIF(Flows!$M$2:$M$1500,$A46&amp;"|"&amp;U$1&amp;"|Output"),"OUT",""))</f>
        <v/>
      </c>
      <c r="V46" s="33" t="str">
        <f aca="false">IF(COUNTIF(Flows!$M$2:$M$1500,$A46&amp;"|"&amp;V$1&amp;"|Input"),IF(COUNTIF(Flows!$M$2:$M$1500,$A46&amp;"|"&amp;V$1&amp;"|Output"),"I/O","IN"),IF(COUNTIF(Flows!$M$2:$M$1500,$A46&amp;"|"&amp;V$1&amp;"|Output"),"OUT",""))</f>
        <v/>
      </c>
      <c r="W46" s="33" t="str">
        <f aca="false">IF(COUNTIF(Flows!$M$2:$M$1500,$A46&amp;"|"&amp;W$1&amp;"|Input"),IF(COUNTIF(Flows!$M$2:$M$1500,$A46&amp;"|"&amp;W$1&amp;"|Output"),"I/O","IN"),IF(COUNTIF(Flows!$M$2:$M$1500,$A46&amp;"|"&amp;W$1&amp;"|Output"),"OUT",""))</f>
        <v/>
      </c>
      <c r="X46" s="33" t="str">
        <f aca="false">IF(COUNTIF(Flows!$M$2:$M$1500,$A46&amp;"|"&amp;X$1&amp;"|Input"),IF(COUNTIF(Flows!$M$2:$M$1500,$A46&amp;"|"&amp;X$1&amp;"|Output"),"I/O","IN"),IF(COUNTIF(Flows!$M$2:$M$1500,$A46&amp;"|"&amp;X$1&amp;"|Output"),"OUT",""))</f>
        <v>IN</v>
      </c>
      <c r="Y46" s="33" t="str">
        <f aca="false">IF(COUNTIF(Flows!$M$2:$M$1500,$A46&amp;"|"&amp;Y$1&amp;"|Input"),IF(COUNTIF(Flows!$M$2:$M$1500,$A46&amp;"|"&amp;Y$1&amp;"|Output"),"I/O","IN"),IF(COUNTIF(Flows!$M$2:$M$1500,$A46&amp;"|"&amp;Y$1&amp;"|Output"),"OUT",""))</f>
        <v/>
      </c>
      <c r="Z46" s="33" t="str">
        <f aca="false">IF(COUNTIF(Flows!$M$2:$M$1500,$A46&amp;"|"&amp;Z$1&amp;"|Input"),IF(COUNTIF(Flows!$M$2:$M$1500,$A46&amp;"|"&amp;Z$1&amp;"|Output"),"I/O","IN"),IF(COUNTIF(Flows!$M$2:$M$1500,$A46&amp;"|"&amp;Z$1&amp;"|Output"),"OUT",""))</f>
        <v/>
      </c>
      <c r="AA46" s="33" t="str">
        <f aca="false">IF(COUNTIF(Flows!$M$2:$M$1500,$A46&amp;"|"&amp;AA$1&amp;"|Input"),IF(COUNTIF(Flows!$M$2:$M$1500,$A46&amp;"|"&amp;AA$1&amp;"|Output"),"I/O","IN"),IF(COUNTIF(Flows!$M$2:$M$1500,$A46&amp;"|"&amp;AA$1&amp;"|Output"),"OUT",""))</f>
        <v/>
      </c>
      <c r="AB46" s="33" t="str">
        <f aca="false">IF(COUNTIF(Flows!$M$2:$M$1500,$A46&amp;"|"&amp;AB$1&amp;"|Input"),IF(COUNTIF(Flows!$M$2:$M$1500,$A46&amp;"|"&amp;AB$1&amp;"|Output"),"I/O","IN"),IF(COUNTIF(Flows!$M$2:$M$1500,$A46&amp;"|"&amp;AB$1&amp;"|Output"),"OUT",""))</f>
        <v/>
      </c>
      <c r="AC46" s="33" t="str">
        <f aca="false">IF(COUNTIF(Flows!$M$2:$M$1500,$A46&amp;"|"&amp;AC$1&amp;"|Input"),IF(COUNTIF(Flows!$M$2:$M$1500,$A46&amp;"|"&amp;AC$1&amp;"|Output"),"I/O","IN"),IF(COUNTIF(Flows!$M$2:$M$1500,$A46&amp;"|"&amp;AC$1&amp;"|Output"),"OUT",""))</f>
        <v/>
      </c>
      <c r="AD46" s="33" t="str">
        <f aca="false">IF(COUNTIF(Flows!$M$2:$M$1500,$A46&amp;"|"&amp;AD$1&amp;"|Input"),IF(COUNTIF(Flows!$M$2:$M$1500,$A46&amp;"|"&amp;AD$1&amp;"|Output"),"I/O","IN"),IF(COUNTIF(Flows!$M$2:$M$1500,$A46&amp;"|"&amp;AD$1&amp;"|Output"),"OUT",""))</f>
        <v/>
      </c>
      <c r="AE46" s="33" t="str">
        <f aca="false">IF(COUNTIF(Flows!$M$2:$M$1500,$A46&amp;"|"&amp;AE$1&amp;"|Input"),IF(COUNTIF(Flows!$M$2:$M$1500,$A46&amp;"|"&amp;AE$1&amp;"|Output"),"I/O","IN"),IF(COUNTIF(Flows!$M$2:$M$1500,$A46&amp;"|"&amp;AE$1&amp;"|Output"),"OUT",""))</f>
        <v/>
      </c>
      <c r="AF46" s="33" t="str">
        <f aca="false">IF(COUNTIF(Flows!$M$2:$M$1500,$A46&amp;"|"&amp;AF$1&amp;"|Input"),IF(COUNTIF(Flows!$M$2:$M$1500,$A46&amp;"|"&amp;AF$1&amp;"|Output"),"I/O","IN"),IF(COUNTIF(Flows!$M$2:$M$1500,$A46&amp;"|"&amp;AF$1&amp;"|Output"),"OUT",""))</f>
        <v/>
      </c>
      <c r="AG46" s="33" t="str">
        <f aca="false">IF(COUNTIF(Flows!$M$2:$M$1500,$A46&amp;"|"&amp;AG$1&amp;"|Input"),IF(COUNTIF(Flows!$M$2:$M$1500,$A46&amp;"|"&amp;AG$1&amp;"|Output"),"I/O","IN"),IF(COUNTIF(Flows!$M$2:$M$1500,$A46&amp;"|"&amp;AG$1&amp;"|Output"),"OUT",""))</f>
        <v/>
      </c>
      <c r="AH46" s="33" t="str">
        <f aca="false">IF(COUNTIF(Flows!$M$2:$M$1500,$A46&amp;"|"&amp;AH$1&amp;"|Input"),IF(COUNTIF(Flows!$M$2:$M$1500,$A46&amp;"|"&amp;AH$1&amp;"|Output"),"I/O","IN"),IF(COUNTIF(Flows!$M$2:$M$1500,$A46&amp;"|"&amp;AH$1&amp;"|Output"),"OUT",""))</f>
        <v/>
      </c>
      <c r="AI46" s="33" t="str">
        <f aca="false">IF(COUNTIF(Flows!$M$2:$M$1500,$A46&amp;"|"&amp;AI$1&amp;"|Input"),IF(COUNTIF(Flows!$M$2:$M$1500,$A46&amp;"|"&amp;AI$1&amp;"|Output"),"I/O","IN"),IF(COUNTIF(Flows!$M$2:$M$1500,$A46&amp;"|"&amp;AI$1&amp;"|Output"),"OUT",""))</f>
        <v/>
      </c>
      <c r="AJ46" s="33" t="str">
        <f aca="false">IF(COUNTIF(Flows!$M$2:$M$1500,$A46&amp;"|"&amp;AJ$1&amp;"|Input"),IF(COUNTIF(Flows!$M$2:$M$1500,$A46&amp;"|"&amp;AJ$1&amp;"|Output"),"I/O","IN"),IF(COUNTIF(Flows!$M$2:$M$1500,$A46&amp;"|"&amp;AJ$1&amp;"|Output"),"OUT",""))</f>
        <v/>
      </c>
      <c r="AK46" s="33" t="str">
        <f aca="false">IF(COUNTIF(Flows!$M$2:$M$1500,$A46&amp;"|"&amp;AK$1&amp;"|Input"),IF(COUNTIF(Flows!$M$2:$M$1500,$A46&amp;"|"&amp;AK$1&amp;"|Output"),"I/O","IN"),IF(COUNTIF(Flows!$M$2:$M$1500,$A46&amp;"|"&amp;AK$1&amp;"|Output"),"OUT",""))</f>
        <v/>
      </c>
      <c r="AL46" s="33" t="str">
        <f aca="false">IF(COUNTIF(Flows!$M$2:$M$1500,$A46&amp;"|"&amp;AL$1&amp;"|Input"),IF(COUNTIF(Flows!$M$2:$M$1500,$A46&amp;"|"&amp;AL$1&amp;"|Output"),"I/O","IN"),IF(COUNTIF(Flows!$M$2:$M$1500,$A46&amp;"|"&amp;AL$1&amp;"|Output"),"OUT",""))</f>
        <v/>
      </c>
      <c r="AM46" s="33" t="str">
        <f aca="false">IF(COUNTIF(Flows!$M$2:$M$1500,$A46&amp;"|"&amp;AM$1&amp;"|Input"),IF(COUNTIF(Flows!$M$2:$M$1500,$A46&amp;"|"&amp;AM$1&amp;"|Output"),"I/O","IN"),IF(COUNTIF(Flows!$M$2:$M$1500,$A46&amp;"|"&amp;AM$1&amp;"|Output"),"OUT",""))</f>
        <v/>
      </c>
      <c r="AN46" s="33" t="str">
        <f aca="false">IF(COUNTIF(Flows!$M$2:$M$1500,$A46&amp;"|"&amp;AN$1&amp;"|Input"),IF(COUNTIF(Flows!$M$2:$M$1500,$A46&amp;"|"&amp;AN$1&amp;"|Output"),"I/O","IN"),IF(COUNTIF(Flows!$M$2:$M$1500,$A46&amp;"|"&amp;AN$1&amp;"|Output"),"OUT",""))</f>
        <v/>
      </c>
      <c r="AO46" s="33" t="str">
        <f aca="false">IF(COUNTIF(Flows!$M$2:$M$1500,$A46&amp;"|"&amp;AO$1&amp;"|Input"),IF(COUNTIF(Flows!$M$2:$M$1500,$A46&amp;"|"&amp;AO$1&amp;"|Output"),"I/O","IN"),IF(COUNTIF(Flows!$M$2:$M$1500,$A46&amp;"|"&amp;AO$1&amp;"|Output"),"OUT",""))</f>
        <v/>
      </c>
      <c r="AP46" s="33" t="str">
        <f aca="false">IF(COUNTIF(Flows!$M$2:$M$1500,$A46&amp;"|"&amp;AP$1&amp;"|Input"),IF(COUNTIF(Flows!$M$2:$M$1500,$A46&amp;"|"&amp;AP$1&amp;"|Output"),"I/O","IN"),IF(COUNTIF(Flows!$M$2:$M$1500,$A46&amp;"|"&amp;AP$1&amp;"|Output"),"OUT",""))</f>
        <v>OUT</v>
      </c>
      <c r="AQ46" s="33" t="str">
        <f aca="false">IF(COUNTIF(Flows!$M$2:$M$1500,$A46&amp;"|"&amp;AQ$1&amp;"|Input"),IF(COUNTIF(Flows!$M$2:$M$1500,$A46&amp;"|"&amp;AQ$1&amp;"|Output"),"I/O","IN"),IF(COUNTIF(Flows!$M$2:$M$1500,$A46&amp;"|"&amp;AQ$1&amp;"|Output"),"OUT",""))</f>
        <v/>
      </c>
      <c r="AR46" s="33" t="str">
        <f aca="false">IF(COUNTIF(Flows!$M$2:$M$1500,$A46&amp;"|"&amp;AR$1&amp;"|Input"),IF(COUNTIF(Flows!$M$2:$M$1500,$A46&amp;"|"&amp;AR$1&amp;"|Output"),"I/O","IN"),IF(COUNTIF(Flows!$M$2:$M$1500,$A46&amp;"|"&amp;AR$1&amp;"|Output"),"OUT",""))</f>
        <v/>
      </c>
      <c r="AS46" s="33" t="str">
        <f aca="false">IF(COUNTIF(Flows!$M$2:$M$1500,$A46&amp;"|"&amp;AS$1&amp;"|Input"),IF(COUNTIF(Flows!$M$2:$M$1500,$A46&amp;"|"&amp;AS$1&amp;"|Output"),"I/O","IN"),IF(COUNTIF(Flows!$M$2:$M$1500,$A46&amp;"|"&amp;AS$1&amp;"|Output"),"OUT",""))</f>
        <v/>
      </c>
      <c r="AT46" s="33" t="str">
        <f aca="false">IF(COUNTIF(Flows!$M$2:$M$1500,$A46&amp;"|"&amp;AT$1&amp;"|Input"),IF(COUNTIF(Flows!$M$2:$M$1500,$A46&amp;"|"&amp;AT$1&amp;"|Output"),"I/O","IN"),IF(COUNTIF(Flows!$M$2:$M$1500,$A46&amp;"|"&amp;AT$1&amp;"|Output"),"OUT",""))</f>
        <v/>
      </c>
      <c r="AU46" s="33" t="str">
        <f aca="false">IF(COUNTIF(Flows!$M$2:$M$1500,$A46&amp;"|"&amp;AU$1&amp;"|Input"),IF(COUNTIF(Flows!$M$2:$M$1500,$A46&amp;"|"&amp;AU$1&amp;"|Output"),"I/O","IN"),IF(COUNTIF(Flows!$M$2:$M$1500,$A46&amp;"|"&amp;AU$1&amp;"|Output"),"OUT",""))</f>
        <v/>
      </c>
      <c r="AV46" s="33" t="str">
        <f aca="false">IF(COUNTIF(Flows!$M$2:$M$1500,$A46&amp;"|"&amp;AV$1&amp;"|Input"),IF(COUNTIF(Flows!$M$2:$M$1500,$A46&amp;"|"&amp;AV$1&amp;"|Output"),"I/O","IN"),IF(COUNTIF(Flows!$M$2:$M$1500,$A46&amp;"|"&amp;AV$1&amp;"|Output"),"OUT",""))</f>
        <v/>
      </c>
      <c r="AW46" s="33" t="str">
        <f aca="false">IF(COUNTIF(Flows!$M$2:$M$1500,$A46&amp;"|"&amp;AW$1&amp;"|Input"),IF(COUNTIF(Flows!$M$2:$M$1500,$A46&amp;"|"&amp;AW$1&amp;"|Output"),"I/O","IN"),IF(COUNTIF(Flows!$M$2:$M$1500,$A46&amp;"|"&amp;AW$1&amp;"|Output"),"OUT",""))</f>
        <v/>
      </c>
      <c r="AX46" s="33" t="str">
        <f aca="false">IF(COUNTIF(Flows!$M$2:$M$1500,$A46&amp;"|"&amp;AX$1&amp;"|Input"),IF(COUNTIF(Flows!$M$2:$M$1500,$A46&amp;"|"&amp;AX$1&amp;"|Output"),"I/O","IN"),IF(COUNTIF(Flows!$M$2:$M$1500,$A46&amp;"|"&amp;AX$1&amp;"|Output"),"OUT",""))</f>
        <v/>
      </c>
      <c r="AY46" s="33" t="str">
        <f aca="false">IF(COUNTIF(Flows!$M$2:$M$1500,$A46&amp;"|"&amp;AY$1&amp;"|Input"),IF(COUNTIF(Flows!$M$2:$M$1500,$A46&amp;"|"&amp;AY$1&amp;"|Output"),"I/O","IN"),IF(COUNTIF(Flows!$M$2:$M$1500,$A46&amp;"|"&amp;AY$1&amp;"|Output"),"OUT",""))</f>
        <v/>
      </c>
      <c r="AZ46" s="33" t="str">
        <f aca="false">IF(COUNTIF(Flows!$M$2:$M$1500,$A46&amp;"|"&amp;AZ$1&amp;"|Input"),IF(COUNTIF(Flows!$M$2:$M$1500,$A46&amp;"|"&amp;AZ$1&amp;"|Output"),"I/O","IN"),IF(COUNTIF(Flows!$M$2:$M$1500,$A46&amp;"|"&amp;AZ$1&amp;"|Output"),"OUT",""))</f>
        <v/>
      </c>
      <c r="BA46" s="33" t="str">
        <f aca="false">IF(COUNTIF(Flows!$M$2:$M$1500,$A46&amp;"|"&amp;BA$1&amp;"|Input"),IF(COUNTIF(Flows!$M$2:$M$1500,$A46&amp;"|"&amp;BA$1&amp;"|Output"),"I/O","IN"),IF(COUNTIF(Flows!$M$2:$M$1500,$A46&amp;"|"&amp;BA$1&amp;"|Output"),"OUT",""))</f>
        <v/>
      </c>
      <c r="BB46" s="33" t="str">
        <f aca="false">IF(COUNTIF(Flows!$M$2:$M$1500,$A46&amp;"|"&amp;BB$1&amp;"|Input"),IF(COUNTIF(Flows!$M$2:$M$1500,$A46&amp;"|"&amp;BB$1&amp;"|Output"),"I/O","IN"),IF(COUNTIF(Flows!$M$2:$M$1500,$A46&amp;"|"&amp;BB$1&amp;"|Output"),"OUT",""))</f>
        <v/>
      </c>
      <c r="BC46" s="33" t="str">
        <f aca="false">IF(COUNTIF(Flows!$M$2:$M$1500,$A46&amp;"|"&amp;BC$1&amp;"|Input"),IF(COUNTIF(Flows!$M$2:$M$1500,$A46&amp;"|"&amp;BC$1&amp;"|Output"),"I/O","IN"),IF(COUNTIF(Flows!$M$2:$M$1500,$A46&amp;"|"&amp;BC$1&amp;"|Output"),"OUT",""))</f>
        <v>IN</v>
      </c>
      <c r="BD46" s="33" t="str">
        <f aca="false">IF(COUNTIF(Flows!$M$2:$M$1500,$A46&amp;"|"&amp;BD$1&amp;"|Input"),IF(COUNTIF(Flows!$M$2:$M$1500,$A46&amp;"|"&amp;BD$1&amp;"|Output"),"I/O","IN"),IF(COUNTIF(Flows!$M$2:$M$1500,$A46&amp;"|"&amp;BD$1&amp;"|Output"),"OUT",""))</f>
        <v/>
      </c>
      <c r="BE46" s="33" t="str">
        <f aca="false">IF(COUNTIF(Flows!$M$2:$M$1500,$A46&amp;"|"&amp;BE$1&amp;"|Input"),IF(COUNTIF(Flows!$M$2:$M$1500,$A46&amp;"|"&amp;BE$1&amp;"|Output"),"I/O","IN"),IF(COUNTIF(Flows!$M$2:$M$1500,$A46&amp;"|"&amp;BE$1&amp;"|Output"),"OUT",""))</f>
        <v/>
      </c>
      <c r="BF46" s="33" t="str">
        <f aca="false">IF(COUNTIF(Flows!$M$2:$M$1500,$A46&amp;"|"&amp;BF$1&amp;"|Input"),IF(COUNTIF(Flows!$M$2:$M$1500,$A46&amp;"|"&amp;BF$1&amp;"|Output"),"I/O","IN"),IF(COUNTIF(Flows!$M$2:$M$1500,$A46&amp;"|"&amp;BF$1&amp;"|Output"),"OUT",""))</f>
        <v/>
      </c>
      <c r="BG46" s="33" t="str">
        <f aca="false">IF(COUNTIF(Flows!$M$2:$M$1500,$A46&amp;"|"&amp;BG$1&amp;"|Input"),IF(COUNTIF(Flows!$M$2:$M$1500,$A46&amp;"|"&amp;BG$1&amp;"|Output"),"I/O","IN"),IF(COUNTIF(Flows!$M$2:$M$1500,$A46&amp;"|"&amp;BG$1&amp;"|Output"),"OUT",""))</f>
        <v/>
      </c>
      <c r="BH46" s="33" t="str">
        <f aca="false">IF(COUNTIF(Flows!$M$2:$M$1500,$A46&amp;"|"&amp;BH$1&amp;"|Input"),IF(COUNTIF(Flows!$M$2:$M$1500,$A46&amp;"|"&amp;BH$1&amp;"|Output"),"I/O","IN"),IF(COUNTIF(Flows!$M$2:$M$1500,$A46&amp;"|"&amp;BH$1&amp;"|Output"),"OUT",""))</f>
        <v/>
      </c>
      <c r="BI46" s="33" t="str">
        <f aca="false">IF(COUNTIF(Flows!$M$2:$M$1500,$A46&amp;"|"&amp;BI$1&amp;"|Input"),IF(COUNTIF(Flows!$M$2:$M$1500,$A46&amp;"|"&amp;BI$1&amp;"|Output"),"I/O","IN"),IF(COUNTIF(Flows!$M$2:$M$1500,$A46&amp;"|"&amp;BI$1&amp;"|Output"),"OUT",""))</f>
        <v>OUT</v>
      </c>
      <c r="BJ46" s="33" t="str">
        <f aca="false">IF(COUNTIF(Flows!$M$2:$M$1500,$A46&amp;"|"&amp;BJ$1&amp;"|Input"),IF(COUNTIF(Flows!$M$2:$M$1500,$A46&amp;"|"&amp;BJ$1&amp;"|Output"),"I/O","IN"),IF(COUNTIF(Flows!$M$2:$M$1500,$A46&amp;"|"&amp;BJ$1&amp;"|Output"),"OUT",""))</f>
        <v/>
      </c>
      <c r="BK46" s="33" t="str">
        <f aca="false">IF(COUNTIF(Flows!$M$2:$M$1500,$A46&amp;"|"&amp;BK$1&amp;"|Input"),IF(COUNTIF(Flows!$M$2:$M$1500,$A46&amp;"|"&amp;BK$1&amp;"|Output"),"I/O","IN"),IF(COUNTIF(Flows!$M$2:$M$1500,$A46&amp;"|"&amp;BK$1&amp;"|Output"),"OUT",""))</f>
        <v>OUT</v>
      </c>
    </row>
    <row r="47" customFormat="false" ht="15" hidden="false" customHeight="true" outlineLevel="0" collapsed="false">
      <c r="A47" s="6" t="str">
        <f aca="false">Systems!B47</f>
        <v>Elderberry Bush</v>
      </c>
      <c r="B47" s="33" t="str">
        <f aca="false">IF(COUNTIF(Flows!$M$2:$M$1500,$A47&amp;"|"&amp;B$1&amp;"|Input"),IF(COUNTIF(Flows!$M$2:$M$1500,$A47&amp;"|"&amp;B$1&amp;"|Output"),"I/O","IN"),IF(COUNTIF(Flows!$M$2:$M$1500,$A47&amp;"|"&amp;B$1&amp;"|Output"),"OUT",""))</f>
        <v>IN</v>
      </c>
      <c r="C47" s="33" t="str">
        <f aca="false">IF(COUNTIF(Flows!$M$2:$M$1500,$A47&amp;"|"&amp;C$1&amp;"|Input"),IF(COUNTIF(Flows!$M$2:$M$1500,$A47&amp;"|"&amp;C$1&amp;"|Output"),"I/O","IN"),IF(COUNTIF(Flows!$M$2:$M$1500,$A47&amp;"|"&amp;C$1&amp;"|Output"),"OUT",""))</f>
        <v/>
      </c>
      <c r="D47" s="33" t="str">
        <f aca="false">IF(COUNTIF(Flows!$M$2:$M$1500,$A47&amp;"|"&amp;D$1&amp;"|Input"),IF(COUNTIF(Flows!$M$2:$M$1500,$A47&amp;"|"&amp;D$1&amp;"|Output"),"I/O","IN"),IF(COUNTIF(Flows!$M$2:$M$1500,$A47&amp;"|"&amp;D$1&amp;"|Output"),"OUT",""))</f>
        <v/>
      </c>
      <c r="E47" s="33" t="str">
        <f aca="false">IF(COUNTIF(Flows!$M$2:$M$1500,$A47&amp;"|"&amp;E$1&amp;"|Input"),IF(COUNTIF(Flows!$M$2:$M$1500,$A47&amp;"|"&amp;E$1&amp;"|Output"),"I/O","IN"),IF(COUNTIF(Flows!$M$2:$M$1500,$A47&amp;"|"&amp;E$1&amp;"|Output"),"OUT",""))</f>
        <v/>
      </c>
      <c r="F47" s="33" t="str">
        <f aca="false">IF(COUNTIF(Flows!$M$2:$M$1500,$A47&amp;"|"&amp;F$1&amp;"|Input"),IF(COUNTIF(Flows!$M$2:$M$1500,$A47&amp;"|"&amp;F$1&amp;"|Output"),"I/O","IN"),IF(COUNTIF(Flows!$M$2:$M$1500,$A47&amp;"|"&amp;F$1&amp;"|Output"),"OUT",""))</f>
        <v/>
      </c>
      <c r="G47" s="33" t="str">
        <f aca="false">IF(COUNTIF(Flows!$M$2:$M$1500,$A47&amp;"|"&amp;G$1&amp;"|Input"),IF(COUNTIF(Flows!$M$2:$M$1500,$A47&amp;"|"&amp;G$1&amp;"|Output"),"I/O","IN"),IF(COUNTIF(Flows!$M$2:$M$1500,$A47&amp;"|"&amp;G$1&amp;"|Output"),"OUT",""))</f>
        <v>OUT</v>
      </c>
      <c r="H47" s="33" t="str">
        <f aca="false">IF(COUNTIF(Flows!$M$2:$M$1500,$A47&amp;"|"&amp;H$1&amp;"|Input"),IF(COUNTIF(Flows!$M$2:$M$1500,$A47&amp;"|"&amp;H$1&amp;"|Output"),"I/O","IN"),IF(COUNTIF(Flows!$M$2:$M$1500,$A47&amp;"|"&amp;H$1&amp;"|Output"),"OUT",""))</f>
        <v/>
      </c>
      <c r="I47" s="33" t="str">
        <f aca="false">IF(COUNTIF(Flows!$M$2:$M$1500,$A47&amp;"|"&amp;I$1&amp;"|Input"),IF(COUNTIF(Flows!$M$2:$M$1500,$A47&amp;"|"&amp;I$1&amp;"|Output"),"I/O","IN"),IF(COUNTIF(Flows!$M$2:$M$1500,$A47&amp;"|"&amp;I$1&amp;"|Output"),"OUT",""))</f>
        <v/>
      </c>
      <c r="J47" s="33" t="str">
        <f aca="false">IF(COUNTIF(Flows!$M$2:$M$1500,$A47&amp;"|"&amp;J$1&amp;"|Input"),IF(COUNTIF(Flows!$M$2:$M$1500,$A47&amp;"|"&amp;J$1&amp;"|Output"),"I/O","IN"),IF(COUNTIF(Flows!$M$2:$M$1500,$A47&amp;"|"&amp;J$1&amp;"|Output"),"OUT",""))</f>
        <v/>
      </c>
      <c r="K47" s="33" t="str">
        <f aca="false">IF(COUNTIF(Flows!$M$2:$M$1500,$A47&amp;"|"&amp;K$1&amp;"|Input"),IF(COUNTIF(Flows!$M$2:$M$1500,$A47&amp;"|"&amp;K$1&amp;"|Output"),"I/O","IN"),IF(COUNTIF(Flows!$M$2:$M$1500,$A47&amp;"|"&amp;K$1&amp;"|Output"),"OUT",""))</f>
        <v/>
      </c>
      <c r="L47" s="33" t="str">
        <f aca="false">IF(COUNTIF(Flows!$M$2:$M$1500,$A47&amp;"|"&amp;L$1&amp;"|Input"),IF(COUNTIF(Flows!$M$2:$M$1500,$A47&amp;"|"&amp;L$1&amp;"|Output"),"I/O","IN"),IF(COUNTIF(Flows!$M$2:$M$1500,$A47&amp;"|"&amp;L$1&amp;"|Output"),"OUT",""))</f>
        <v/>
      </c>
      <c r="M47" s="33" t="str">
        <f aca="false">IF(COUNTIF(Flows!$M$2:$M$1500,$A47&amp;"|"&amp;M$1&amp;"|Input"),IF(COUNTIF(Flows!$M$2:$M$1500,$A47&amp;"|"&amp;M$1&amp;"|Output"),"I/O","IN"),IF(COUNTIF(Flows!$M$2:$M$1500,$A47&amp;"|"&amp;M$1&amp;"|Output"),"OUT",""))</f>
        <v/>
      </c>
      <c r="N47" s="33" t="str">
        <f aca="false">IF(COUNTIF(Flows!$M$2:$M$1500,$A47&amp;"|"&amp;N$1&amp;"|Input"),IF(COUNTIF(Flows!$M$2:$M$1500,$A47&amp;"|"&amp;N$1&amp;"|Output"),"I/O","IN"),IF(COUNTIF(Flows!$M$2:$M$1500,$A47&amp;"|"&amp;N$1&amp;"|Output"),"OUT",""))</f>
        <v/>
      </c>
      <c r="O47" s="33" t="str">
        <f aca="false">IF(COUNTIF(Flows!$M$2:$M$1500,$A47&amp;"|"&amp;O$1&amp;"|Input"),IF(COUNTIF(Flows!$M$2:$M$1500,$A47&amp;"|"&amp;O$1&amp;"|Output"),"I/O","IN"),IF(COUNTIF(Flows!$M$2:$M$1500,$A47&amp;"|"&amp;O$1&amp;"|Output"),"OUT",""))</f>
        <v/>
      </c>
      <c r="P47" s="33" t="str">
        <f aca="false">IF(COUNTIF(Flows!$M$2:$M$1500,$A47&amp;"|"&amp;P$1&amp;"|Input"),IF(COUNTIF(Flows!$M$2:$M$1500,$A47&amp;"|"&amp;P$1&amp;"|Output"),"I/O","IN"),IF(COUNTIF(Flows!$M$2:$M$1500,$A47&amp;"|"&amp;P$1&amp;"|Output"),"OUT",""))</f>
        <v/>
      </c>
      <c r="Q47" s="33" t="str">
        <f aca="false">IF(COUNTIF(Flows!$M$2:$M$1500,$A47&amp;"|"&amp;Q$1&amp;"|Input"),IF(COUNTIF(Flows!$M$2:$M$1500,$A47&amp;"|"&amp;Q$1&amp;"|Output"),"I/O","IN"),IF(COUNTIF(Flows!$M$2:$M$1500,$A47&amp;"|"&amp;Q$1&amp;"|Output"),"OUT",""))</f>
        <v/>
      </c>
      <c r="R47" s="33" t="str">
        <f aca="false">IF(COUNTIF(Flows!$M$2:$M$1500,$A47&amp;"|"&amp;R$1&amp;"|Input"),IF(COUNTIF(Flows!$M$2:$M$1500,$A47&amp;"|"&amp;R$1&amp;"|Output"),"I/O","IN"),IF(COUNTIF(Flows!$M$2:$M$1500,$A47&amp;"|"&amp;R$1&amp;"|Output"),"OUT",""))</f>
        <v/>
      </c>
      <c r="S47" s="33" t="str">
        <f aca="false">IF(COUNTIF(Flows!$M$2:$M$1500,$A47&amp;"|"&amp;S$1&amp;"|Input"),IF(COUNTIF(Flows!$M$2:$M$1500,$A47&amp;"|"&amp;S$1&amp;"|Output"),"I/O","IN"),IF(COUNTIF(Flows!$M$2:$M$1500,$A47&amp;"|"&amp;S$1&amp;"|Output"),"OUT",""))</f>
        <v/>
      </c>
      <c r="T47" s="33" t="str">
        <f aca="false">IF(COUNTIF(Flows!$M$2:$M$1500,$A47&amp;"|"&amp;T$1&amp;"|Input"),IF(COUNTIF(Flows!$M$2:$M$1500,$A47&amp;"|"&amp;T$1&amp;"|Output"),"I/O","IN"),IF(COUNTIF(Flows!$M$2:$M$1500,$A47&amp;"|"&amp;T$1&amp;"|Output"),"OUT",""))</f>
        <v/>
      </c>
      <c r="U47" s="33" t="str">
        <f aca="false">IF(COUNTIF(Flows!$M$2:$M$1500,$A47&amp;"|"&amp;U$1&amp;"|Input"),IF(COUNTIF(Flows!$M$2:$M$1500,$A47&amp;"|"&amp;U$1&amp;"|Output"),"I/O","IN"),IF(COUNTIF(Flows!$M$2:$M$1500,$A47&amp;"|"&amp;U$1&amp;"|Output"),"OUT",""))</f>
        <v/>
      </c>
      <c r="V47" s="33" t="str">
        <f aca="false">IF(COUNTIF(Flows!$M$2:$M$1500,$A47&amp;"|"&amp;V$1&amp;"|Input"),IF(COUNTIF(Flows!$M$2:$M$1500,$A47&amp;"|"&amp;V$1&amp;"|Output"),"I/O","IN"),IF(COUNTIF(Flows!$M$2:$M$1500,$A47&amp;"|"&amp;V$1&amp;"|Output"),"OUT",""))</f>
        <v/>
      </c>
      <c r="W47" s="33" t="str">
        <f aca="false">IF(COUNTIF(Flows!$M$2:$M$1500,$A47&amp;"|"&amp;W$1&amp;"|Input"),IF(COUNTIF(Flows!$M$2:$M$1500,$A47&amp;"|"&amp;W$1&amp;"|Output"),"I/O","IN"),IF(COUNTIF(Flows!$M$2:$M$1500,$A47&amp;"|"&amp;W$1&amp;"|Output"),"OUT",""))</f>
        <v/>
      </c>
      <c r="X47" s="33" t="str">
        <f aca="false">IF(COUNTIF(Flows!$M$2:$M$1500,$A47&amp;"|"&amp;X$1&amp;"|Input"),IF(COUNTIF(Flows!$M$2:$M$1500,$A47&amp;"|"&amp;X$1&amp;"|Output"),"I/O","IN"),IF(COUNTIF(Flows!$M$2:$M$1500,$A47&amp;"|"&amp;X$1&amp;"|Output"),"OUT",""))</f>
        <v>IN</v>
      </c>
      <c r="Y47" s="33" t="str">
        <f aca="false">IF(COUNTIF(Flows!$M$2:$M$1500,$A47&amp;"|"&amp;Y$1&amp;"|Input"),IF(COUNTIF(Flows!$M$2:$M$1500,$A47&amp;"|"&amp;Y$1&amp;"|Output"),"I/O","IN"),IF(COUNTIF(Flows!$M$2:$M$1500,$A47&amp;"|"&amp;Y$1&amp;"|Output"),"OUT",""))</f>
        <v/>
      </c>
      <c r="Z47" s="33" t="str">
        <f aca="false">IF(COUNTIF(Flows!$M$2:$M$1500,$A47&amp;"|"&amp;Z$1&amp;"|Input"),IF(COUNTIF(Flows!$M$2:$M$1500,$A47&amp;"|"&amp;Z$1&amp;"|Output"),"I/O","IN"),IF(COUNTIF(Flows!$M$2:$M$1500,$A47&amp;"|"&amp;Z$1&amp;"|Output"),"OUT",""))</f>
        <v/>
      </c>
      <c r="AA47" s="33" t="str">
        <f aca="false">IF(COUNTIF(Flows!$M$2:$M$1500,$A47&amp;"|"&amp;AA$1&amp;"|Input"),IF(COUNTIF(Flows!$M$2:$M$1500,$A47&amp;"|"&amp;AA$1&amp;"|Output"),"I/O","IN"),IF(COUNTIF(Flows!$M$2:$M$1500,$A47&amp;"|"&amp;AA$1&amp;"|Output"),"OUT",""))</f>
        <v/>
      </c>
      <c r="AB47" s="33" t="str">
        <f aca="false">IF(COUNTIF(Flows!$M$2:$M$1500,$A47&amp;"|"&amp;AB$1&amp;"|Input"),IF(COUNTIF(Flows!$M$2:$M$1500,$A47&amp;"|"&amp;AB$1&amp;"|Output"),"I/O","IN"),IF(COUNTIF(Flows!$M$2:$M$1500,$A47&amp;"|"&amp;AB$1&amp;"|Output"),"OUT",""))</f>
        <v/>
      </c>
      <c r="AC47" s="33" t="str">
        <f aca="false">IF(COUNTIF(Flows!$M$2:$M$1500,$A47&amp;"|"&amp;AC$1&amp;"|Input"),IF(COUNTIF(Flows!$M$2:$M$1500,$A47&amp;"|"&amp;AC$1&amp;"|Output"),"I/O","IN"),IF(COUNTIF(Flows!$M$2:$M$1500,$A47&amp;"|"&amp;AC$1&amp;"|Output"),"OUT",""))</f>
        <v/>
      </c>
      <c r="AD47" s="33" t="str">
        <f aca="false">IF(COUNTIF(Flows!$M$2:$M$1500,$A47&amp;"|"&amp;AD$1&amp;"|Input"),IF(COUNTIF(Flows!$M$2:$M$1500,$A47&amp;"|"&amp;AD$1&amp;"|Output"),"I/O","IN"),IF(COUNTIF(Flows!$M$2:$M$1500,$A47&amp;"|"&amp;AD$1&amp;"|Output"),"OUT",""))</f>
        <v/>
      </c>
      <c r="AE47" s="33" t="str">
        <f aca="false">IF(COUNTIF(Flows!$M$2:$M$1500,$A47&amp;"|"&amp;AE$1&amp;"|Input"),IF(COUNTIF(Flows!$M$2:$M$1500,$A47&amp;"|"&amp;AE$1&amp;"|Output"),"I/O","IN"),IF(COUNTIF(Flows!$M$2:$M$1500,$A47&amp;"|"&amp;AE$1&amp;"|Output"),"OUT",""))</f>
        <v/>
      </c>
      <c r="AF47" s="33" t="str">
        <f aca="false">IF(COUNTIF(Flows!$M$2:$M$1500,$A47&amp;"|"&amp;AF$1&amp;"|Input"),IF(COUNTIF(Flows!$M$2:$M$1500,$A47&amp;"|"&amp;AF$1&amp;"|Output"),"I/O","IN"),IF(COUNTIF(Flows!$M$2:$M$1500,$A47&amp;"|"&amp;AF$1&amp;"|Output"),"OUT",""))</f>
        <v/>
      </c>
      <c r="AG47" s="33" t="str">
        <f aca="false">IF(COUNTIF(Flows!$M$2:$M$1500,$A47&amp;"|"&amp;AG$1&amp;"|Input"),IF(COUNTIF(Flows!$M$2:$M$1500,$A47&amp;"|"&amp;AG$1&amp;"|Output"),"I/O","IN"),IF(COUNTIF(Flows!$M$2:$M$1500,$A47&amp;"|"&amp;AG$1&amp;"|Output"),"OUT",""))</f>
        <v/>
      </c>
      <c r="AH47" s="33" t="str">
        <f aca="false">IF(COUNTIF(Flows!$M$2:$M$1500,$A47&amp;"|"&amp;AH$1&amp;"|Input"),IF(COUNTIF(Flows!$M$2:$M$1500,$A47&amp;"|"&amp;AH$1&amp;"|Output"),"I/O","IN"),IF(COUNTIF(Flows!$M$2:$M$1500,$A47&amp;"|"&amp;AH$1&amp;"|Output"),"OUT",""))</f>
        <v/>
      </c>
      <c r="AI47" s="33" t="str">
        <f aca="false">IF(COUNTIF(Flows!$M$2:$M$1500,$A47&amp;"|"&amp;AI$1&amp;"|Input"),IF(COUNTIF(Flows!$M$2:$M$1500,$A47&amp;"|"&amp;AI$1&amp;"|Output"),"I/O","IN"),IF(COUNTIF(Flows!$M$2:$M$1500,$A47&amp;"|"&amp;AI$1&amp;"|Output"),"OUT",""))</f>
        <v/>
      </c>
      <c r="AJ47" s="33" t="str">
        <f aca="false">IF(COUNTIF(Flows!$M$2:$M$1500,$A47&amp;"|"&amp;AJ$1&amp;"|Input"),IF(COUNTIF(Flows!$M$2:$M$1500,$A47&amp;"|"&amp;AJ$1&amp;"|Output"),"I/O","IN"),IF(COUNTIF(Flows!$M$2:$M$1500,$A47&amp;"|"&amp;AJ$1&amp;"|Output"),"OUT",""))</f>
        <v/>
      </c>
      <c r="AK47" s="33" t="str">
        <f aca="false">IF(COUNTIF(Flows!$M$2:$M$1500,$A47&amp;"|"&amp;AK$1&amp;"|Input"),IF(COUNTIF(Flows!$M$2:$M$1500,$A47&amp;"|"&amp;AK$1&amp;"|Output"),"I/O","IN"),IF(COUNTIF(Flows!$M$2:$M$1500,$A47&amp;"|"&amp;AK$1&amp;"|Output"),"OUT",""))</f>
        <v/>
      </c>
      <c r="AL47" s="33" t="str">
        <f aca="false">IF(COUNTIF(Flows!$M$2:$M$1500,$A47&amp;"|"&amp;AL$1&amp;"|Input"),IF(COUNTIF(Flows!$M$2:$M$1500,$A47&amp;"|"&amp;AL$1&amp;"|Output"),"I/O","IN"),IF(COUNTIF(Flows!$M$2:$M$1500,$A47&amp;"|"&amp;AL$1&amp;"|Output"),"OUT",""))</f>
        <v/>
      </c>
      <c r="AM47" s="33" t="str">
        <f aca="false">IF(COUNTIF(Flows!$M$2:$M$1500,$A47&amp;"|"&amp;AM$1&amp;"|Input"),IF(COUNTIF(Flows!$M$2:$M$1500,$A47&amp;"|"&amp;AM$1&amp;"|Output"),"I/O","IN"),IF(COUNTIF(Flows!$M$2:$M$1500,$A47&amp;"|"&amp;AM$1&amp;"|Output"),"OUT",""))</f>
        <v/>
      </c>
      <c r="AN47" s="33" t="str">
        <f aca="false">IF(COUNTIF(Flows!$M$2:$M$1500,$A47&amp;"|"&amp;AN$1&amp;"|Input"),IF(COUNTIF(Flows!$M$2:$M$1500,$A47&amp;"|"&amp;AN$1&amp;"|Output"),"I/O","IN"),IF(COUNTIF(Flows!$M$2:$M$1500,$A47&amp;"|"&amp;AN$1&amp;"|Output"),"OUT",""))</f>
        <v/>
      </c>
      <c r="AO47" s="33" t="str">
        <f aca="false">IF(COUNTIF(Flows!$M$2:$M$1500,$A47&amp;"|"&amp;AO$1&amp;"|Input"),IF(COUNTIF(Flows!$M$2:$M$1500,$A47&amp;"|"&amp;AO$1&amp;"|Output"),"I/O","IN"),IF(COUNTIF(Flows!$M$2:$M$1500,$A47&amp;"|"&amp;AO$1&amp;"|Output"),"OUT",""))</f>
        <v/>
      </c>
      <c r="AP47" s="33" t="str">
        <f aca="false">IF(COUNTIF(Flows!$M$2:$M$1500,$A47&amp;"|"&amp;AP$1&amp;"|Input"),IF(COUNTIF(Flows!$M$2:$M$1500,$A47&amp;"|"&amp;AP$1&amp;"|Output"),"I/O","IN"),IF(COUNTIF(Flows!$M$2:$M$1500,$A47&amp;"|"&amp;AP$1&amp;"|Output"),"OUT",""))</f>
        <v/>
      </c>
      <c r="AQ47" s="33" t="str">
        <f aca="false">IF(COUNTIF(Flows!$M$2:$M$1500,$A47&amp;"|"&amp;AQ$1&amp;"|Input"),IF(COUNTIF(Flows!$M$2:$M$1500,$A47&amp;"|"&amp;AQ$1&amp;"|Output"),"I/O","IN"),IF(COUNTIF(Flows!$M$2:$M$1500,$A47&amp;"|"&amp;AQ$1&amp;"|Output"),"OUT",""))</f>
        <v/>
      </c>
      <c r="AR47" s="33" t="str">
        <f aca="false">IF(COUNTIF(Flows!$M$2:$M$1500,$A47&amp;"|"&amp;AR$1&amp;"|Input"),IF(COUNTIF(Flows!$M$2:$M$1500,$A47&amp;"|"&amp;AR$1&amp;"|Output"),"I/O","IN"),IF(COUNTIF(Flows!$M$2:$M$1500,$A47&amp;"|"&amp;AR$1&amp;"|Output"),"OUT",""))</f>
        <v/>
      </c>
      <c r="AS47" s="33" t="str">
        <f aca="false">IF(COUNTIF(Flows!$M$2:$M$1500,$A47&amp;"|"&amp;AS$1&amp;"|Input"),IF(COUNTIF(Flows!$M$2:$M$1500,$A47&amp;"|"&amp;AS$1&amp;"|Output"),"I/O","IN"),IF(COUNTIF(Flows!$M$2:$M$1500,$A47&amp;"|"&amp;AS$1&amp;"|Output"),"OUT",""))</f>
        <v/>
      </c>
      <c r="AT47" s="33" t="str">
        <f aca="false">IF(COUNTIF(Flows!$M$2:$M$1500,$A47&amp;"|"&amp;AT$1&amp;"|Input"),IF(COUNTIF(Flows!$M$2:$M$1500,$A47&amp;"|"&amp;AT$1&amp;"|Output"),"I/O","IN"),IF(COUNTIF(Flows!$M$2:$M$1500,$A47&amp;"|"&amp;AT$1&amp;"|Output"),"OUT",""))</f>
        <v/>
      </c>
      <c r="AU47" s="33" t="str">
        <f aca="false">IF(COUNTIF(Flows!$M$2:$M$1500,$A47&amp;"|"&amp;AU$1&amp;"|Input"),IF(COUNTIF(Flows!$M$2:$M$1500,$A47&amp;"|"&amp;AU$1&amp;"|Output"),"I/O","IN"),IF(COUNTIF(Flows!$M$2:$M$1500,$A47&amp;"|"&amp;AU$1&amp;"|Output"),"OUT",""))</f>
        <v/>
      </c>
      <c r="AV47" s="33" t="str">
        <f aca="false">IF(COUNTIF(Flows!$M$2:$M$1500,$A47&amp;"|"&amp;AV$1&amp;"|Input"),IF(COUNTIF(Flows!$M$2:$M$1500,$A47&amp;"|"&amp;AV$1&amp;"|Output"),"I/O","IN"),IF(COUNTIF(Flows!$M$2:$M$1500,$A47&amp;"|"&amp;AV$1&amp;"|Output"),"OUT",""))</f>
        <v/>
      </c>
      <c r="AW47" s="33" t="str">
        <f aca="false">IF(COUNTIF(Flows!$M$2:$M$1500,$A47&amp;"|"&amp;AW$1&amp;"|Input"),IF(COUNTIF(Flows!$M$2:$M$1500,$A47&amp;"|"&amp;AW$1&amp;"|Output"),"I/O","IN"),IF(COUNTIF(Flows!$M$2:$M$1500,$A47&amp;"|"&amp;AW$1&amp;"|Output"),"OUT",""))</f>
        <v/>
      </c>
      <c r="AX47" s="33" t="str">
        <f aca="false">IF(COUNTIF(Flows!$M$2:$M$1500,$A47&amp;"|"&amp;AX$1&amp;"|Input"),IF(COUNTIF(Flows!$M$2:$M$1500,$A47&amp;"|"&amp;AX$1&amp;"|Output"),"I/O","IN"),IF(COUNTIF(Flows!$M$2:$M$1500,$A47&amp;"|"&amp;AX$1&amp;"|Output"),"OUT",""))</f>
        <v/>
      </c>
      <c r="AY47" s="33" t="str">
        <f aca="false">IF(COUNTIF(Flows!$M$2:$M$1500,$A47&amp;"|"&amp;AY$1&amp;"|Input"),IF(COUNTIF(Flows!$M$2:$M$1500,$A47&amp;"|"&amp;AY$1&amp;"|Output"),"I/O","IN"),IF(COUNTIF(Flows!$M$2:$M$1500,$A47&amp;"|"&amp;AY$1&amp;"|Output"),"OUT",""))</f>
        <v/>
      </c>
      <c r="AZ47" s="33" t="str">
        <f aca="false">IF(COUNTIF(Flows!$M$2:$M$1500,$A47&amp;"|"&amp;AZ$1&amp;"|Input"),IF(COUNTIF(Flows!$M$2:$M$1500,$A47&amp;"|"&amp;AZ$1&amp;"|Output"),"I/O","IN"),IF(COUNTIF(Flows!$M$2:$M$1500,$A47&amp;"|"&amp;AZ$1&amp;"|Output"),"OUT",""))</f>
        <v/>
      </c>
      <c r="BA47" s="33" t="str">
        <f aca="false">IF(COUNTIF(Flows!$M$2:$M$1500,$A47&amp;"|"&amp;BA$1&amp;"|Input"),IF(COUNTIF(Flows!$M$2:$M$1500,$A47&amp;"|"&amp;BA$1&amp;"|Output"),"I/O","IN"),IF(COUNTIF(Flows!$M$2:$M$1500,$A47&amp;"|"&amp;BA$1&amp;"|Output"),"OUT",""))</f>
        <v/>
      </c>
      <c r="BB47" s="33" t="str">
        <f aca="false">IF(COUNTIF(Flows!$M$2:$M$1500,$A47&amp;"|"&amp;BB$1&amp;"|Input"),IF(COUNTIF(Flows!$M$2:$M$1500,$A47&amp;"|"&amp;BB$1&amp;"|Output"),"I/O","IN"),IF(COUNTIF(Flows!$M$2:$M$1500,$A47&amp;"|"&amp;BB$1&amp;"|Output"),"OUT",""))</f>
        <v/>
      </c>
      <c r="BC47" s="33" t="str">
        <f aca="false">IF(COUNTIF(Flows!$M$2:$M$1500,$A47&amp;"|"&amp;BC$1&amp;"|Input"),IF(COUNTIF(Flows!$M$2:$M$1500,$A47&amp;"|"&amp;BC$1&amp;"|Output"),"I/O","IN"),IF(COUNTIF(Flows!$M$2:$M$1500,$A47&amp;"|"&amp;BC$1&amp;"|Output"),"OUT",""))</f>
        <v>IN</v>
      </c>
      <c r="BD47" s="33" t="str">
        <f aca="false">IF(COUNTIF(Flows!$M$2:$M$1500,$A47&amp;"|"&amp;BD$1&amp;"|Input"),IF(COUNTIF(Flows!$M$2:$M$1500,$A47&amp;"|"&amp;BD$1&amp;"|Output"),"I/O","IN"),IF(COUNTIF(Flows!$M$2:$M$1500,$A47&amp;"|"&amp;BD$1&amp;"|Output"),"OUT",""))</f>
        <v/>
      </c>
      <c r="BE47" s="33" t="str">
        <f aca="false">IF(COUNTIF(Flows!$M$2:$M$1500,$A47&amp;"|"&amp;BE$1&amp;"|Input"),IF(COUNTIF(Flows!$M$2:$M$1500,$A47&amp;"|"&amp;BE$1&amp;"|Output"),"I/O","IN"),IF(COUNTIF(Flows!$M$2:$M$1500,$A47&amp;"|"&amp;BE$1&amp;"|Output"),"OUT",""))</f>
        <v/>
      </c>
      <c r="BF47" s="33" t="str">
        <f aca="false">IF(COUNTIF(Flows!$M$2:$M$1500,$A47&amp;"|"&amp;BF$1&amp;"|Input"),IF(COUNTIF(Flows!$M$2:$M$1500,$A47&amp;"|"&amp;BF$1&amp;"|Output"),"I/O","IN"),IF(COUNTIF(Flows!$M$2:$M$1500,$A47&amp;"|"&amp;BF$1&amp;"|Output"),"OUT",""))</f>
        <v/>
      </c>
      <c r="BG47" s="33" t="str">
        <f aca="false">IF(COUNTIF(Flows!$M$2:$M$1500,$A47&amp;"|"&amp;BG$1&amp;"|Input"),IF(COUNTIF(Flows!$M$2:$M$1500,$A47&amp;"|"&amp;BG$1&amp;"|Output"),"I/O","IN"),IF(COUNTIF(Flows!$M$2:$M$1500,$A47&amp;"|"&amp;BG$1&amp;"|Output"),"OUT",""))</f>
        <v/>
      </c>
      <c r="BH47" s="33" t="str">
        <f aca="false">IF(COUNTIF(Flows!$M$2:$M$1500,$A47&amp;"|"&amp;BH$1&amp;"|Input"),IF(COUNTIF(Flows!$M$2:$M$1500,$A47&amp;"|"&amp;BH$1&amp;"|Output"),"I/O","IN"),IF(COUNTIF(Flows!$M$2:$M$1500,$A47&amp;"|"&amp;BH$1&amp;"|Output"),"OUT",""))</f>
        <v/>
      </c>
      <c r="BI47" s="33" t="str">
        <f aca="false">IF(COUNTIF(Flows!$M$2:$M$1500,$A47&amp;"|"&amp;BI$1&amp;"|Input"),IF(COUNTIF(Flows!$M$2:$M$1500,$A47&amp;"|"&amp;BI$1&amp;"|Output"),"I/O","IN"),IF(COUNTIF(Flows!$M$2:$M$1500,$A47&amp;"|"&amp;BI$1&amp;"|Output"),"OUT",""))</f>
        <v>OUT</v>
      </c>
      <c r="BJ47" s="33" t="str">
        <f aca="false">IF(COUNTIF(Flows!$M$2:$M$1500,$A47&amp;"|"&amp;BJ$1&amp;"|Input"),IF(COUNTIF(Flows!$M$2:$M$1500,$A47&amp;"|"&amp;BJ$1&amp;"|Output"),"I/O","IN"),IF(COUNTIF(Flows!$M$2:$M$1500,$A47&amp;"|"&amp;BJ$1&amp;"|Output"),"OUT",""))</f>
        <v/>
      </c>
      <c r="BK47" s="33" t="str">
        <f aca="false">IF(COUNTIF(Flows!$M$2:$M$1500,$A47&amp;"|"&amp;BK$1&amp;"|Input"),IF(COUNTIF(Flows!$M$2:$M$1500,$A47&amp;"|"&amp;BK$1&amp;"|Output"),"I/O","IN"),IF(COUNTIF(Flows!$M$2:$M$1500,$A47&amp;"|"&amp;BK$1&amp;"|Output"),"OUT",""))</f>
        <v/>
      </c>
    </row>
    <row r="48" customFormat="false" ht="15" hidden="false" customHeight="true" outlineLevel="0" collapsed="false">
      <c r="A48" s="6" t="str">
        <f aca="false">Systems!B48</f>
        <v>Hardwood Tree</v>
      </c>
      <c r="B48" s="33" t="str">
        <f aca="false">IF(COUNTIF(Flows!$M$2:$M$1500,$A48&amp;"|"&amp;B$1&amp;"|Input"),IF(COUNTIF(Flows!$M$2:$M$1500,$A48&amp;"|"&amp;B$1&amp;"|Output"),"I/O","IN"),IF(COUNTIF(Flows!$M$2:$M$1500,$A48&amp;"|"&amp;B$1&amp;"|Output"),"OUT",""))</f>
        <v>IN</v>
      </c>
      <c r="C48" s="33" t="str">
        <f aca="false">IF(COUNTIF(Flows!$M$2:$M$1500,$A48&amp;"|"&amp;C$1&amp;"|Input"),IF(COUNTIF(Flows!$M$2:$M$1500,$A48&amp;"|"&amp;C$1&amp;"|Output"),"I/O","IN"),IF(COUNTIF(Flows!$M$2:$M$1500,$A48&amp;"|"&amp;C$1&amp;"|Output"),"OUT",""))</f>
        <v/>
      </c>
      <c r="D48" s="33" t="str">
        <f aca="false">IF(COUNTIF(Flows!$M$2:$M$1500,$A48&amp;"|"&amp;D$1&amp;"|Input"),IF(COUNTIF(Flows!$M$2:$M$1500,$A48&amp;"|"&amp;D$1&amp;"|Output"),"I/O","IN"),IF(COUNTIF(Flows!$M$2:$M$1500,$A48&amp;"|"&amp;D$1&amp;"|Output"),"OUT",""))</f>
        <v/>
      </c>
      <c r="E48" s="33" t="str">
        <f aca="false">IF(COUNTIF(Flows!$M$2:$M$1500,$A48&amp;"|"&amp;E$1&amp;"|Input"),IF(COUNTIF(Flows!$M$2:$M$1500,$A48&amp;"|"&amp;E$1&amp;"|Output"),"I/O","IN"),IF(COUNTIF(Flows!$M$2:$M$1500,$A48&amp;"|"&amp;E$1&amp;"|Output"),"OUT",""))</f>
        <v/>
      </c>
      <c r="F48" s="33" t="str">
        <f aca="false">IF(COUNTIF(Flows!$M$2:$M$1500,$A48&amp;"|"&amp;F$1&amp;"|Input"),IF(COUNTIF(Flows!$M$2:$M$1500,$A48&amp;"|"&amp;F$1&amp;"|Output"),"I/O","IN"),IF(COUNTIF(Flows!$M$2:$M$1500,$A48&amp;"|"&amp;F$1&amp;"|Output"),"OUT",""))</f>
        <v/>
      </c>
      <c r="G48" s="33" t="str">
        <f aca="false">IF(COUNTIF(Flows!$M$2:$M$1500,$A48&amp;"|"&amp;G$1&amp;"|Input"),IF(COUNTIF(Flows!$M$2:$M$1500,$A48&amp;"|"&amp;G$1&amp;"|Output"),"I/O","IN"),IF(COUNTIF(Flows!$M$2:$M$1500,$A48&amp;"|"&amp;G$1&amp;"|Output"),"OUT",""))</f>
        <v/>
      </c>
      <c r="H48" s="33" t="str">
        <f aca="false">IF(COUNTIF(Flows!$M$2:$M$1500,$A48&amp;"|"&amp;H$1&amp;"|Input"),IF(COUNTIF(Flows!$M$2:$M$1500,$A48&amp;"|"&amp;H$1&amp;"|Output"),"I/O","IN"),IF(COUNTIF(Flows!$M$2:$M$1500,$A48&amp;"|"&amp;H$1&amp;"|Output"),"OUT",""))</f>
        <v/>
      </c>
      <c r="I48" s="33" t="str">
        <f aca="false">IF(COUNTIF(Flows!$M$2:$M$1500,$A48&amp;"|"&amp;I$1&amp;"|Input"),IF(COUNTIF(Flows!$M$2:$M$1500,$A48&amp;"|"&amp;I$1&amp;"|Output"),"I/O","IN"),IF(COUNTIF(Flows!$M$2:$M$1500,$A48&amp;"|"&amp;I$1&amp;"|Output"),"OUT",""))</f>
        <v/>
      </c>
      <c r="J48" s="33" t="str">
        <f aca="false">IF(COUNTIF(Flows!$M$2:$M$1500,$A48&amp;"|"&amp;J$1&amp;"|Input"),IF(COUNTIF(Flows!$M$2:$M$1500,$A48&amp;"|"&amp;J$1&amp;"|Output"),"I/O","IN"),IF(COUNTIF(Flows!$M$2:$M$1500,$A48&amp;"|"&amp;J$1&amp;"|Output"),"OUT",""))</f>
        <v/>
      </c>
      <c r="K48" s="33" t="str">
        <f aca="false">IF(COUNTIF(Flows!$M$2:$M$1500,$A48&amp;"|"&amp;K$1&amp;"|Input"),IF(COUNTIF(Flows!$M$2:$M$1500,$A48&amp;"|"&amp;K$1&amp;"|Output"),"I/O","IN"),IF(COUNTIF(Flows!$M$2:$M$1500,$A48&amp;"|"&amp;K$1&amp;"|Output"),"OUT",""))</f>
        <v/>
      </c>
      <c r="L48" s="33" t="str">
        <f aca="false">IF(COUNTIF(Flows!$M$2:$M$1500,$A48&amp;"|"&amp;L$1&amp;"|Input"),IF(COUNTIF(Flows!$M$2:$M$1500,$A48&amp;"|"&amp;L$1&amp;"|Output"),"I/O","IN"),IF(COUNTIF(Flows!$M$2:$M$1500,$A48&amp;"|"&amp;L$1&amp;"|Output"),"OUT",""))</f>
        <v/>
      </c>
      <c r="M48" s="33" t="str">
        <f aca="false">IF(COUNTIF(Flows!$M$2:$M$1500,$A48&amp;"|"&amp;M$1&amp;"|Input"),IF(COUNTIF(Flows!$M$2:$M$1500,$A48&amp;"|"&amp;M$1&amp;"|Output"),"I/O","IN"),IF(COUNTIF(Flows!$M$2:$M$1500,$A48&amp;"|"&amp;M$1&amp;"|Output"),"OUT",""))</f>
        <v/>
      </c>
      <c r="N48" s="33" t="str">
        <f aca="false">IF(COUNTIF(Flows!$M$2:$M$1500,$A48&amp;"|"&amp;N$1&amp;"|Input"),IF(COUNTIF(Flows!$M$2:$M$1500,$A48&amp;"|"&amp;N$1&amp;"|Output"),"I/O","IN"),IF(COUNTIF(Flows!$M$2:$M$1500,$A48&amp;"|"&amp;N$1&amp;"|Output"),"OUT",""))</f>
        <v/>
      </c>
      <c r="O48" s="33" t="str">
        <f aca="false">IF(COUNTIF(Flows!$M$2:$M$1500,$A48&amp;"|"&amp;O$1&amp;"|Input"),IF(COUNTIF(Flows!$M$2:$M$1500,$A48&amp;"|"&amp;O$1&amp;"|Output"),"I/O","IN"),IF(COUNTIF(Flows!$M$2:$M$1500,$A48&amp;"|"&amp;O$1&amp;"|Output"),"OUT",""))</f>
        <v/>
      </c>
      <c r="P48" s="33" t="str">
        <f aca="false">IF(COUNTIF(Flows!$M$2:$M$1500,$A48&amp;"|"&amp;P$1&amp;"|Input"),IF(COUNTIF(Flows!$M$2:$M$1500,$A48&amp;"|"&amp;P$1&amp;"|Output"),"I/O","IN"),IF(COUNTIF(Flows!$M$2:$M$1500,$A48&amp;"|"&amp;P$1&amp;"|Output"),"OUT",""))</f>
        <v/>
      </c>
      <c r="Q48" s="33" t="str">
        <f aca="false">IF(COUNTIF(Flows!$M$2:$M$1500,$A48&amp;"|"&amp;Q$1&amp;"|Input"),IF(COUNTIF(Flows!$M$2:$M$1500,$A48&amp;"|"&amp;Q$1&amp;"|Output"),"I/O","IN"),IF(COUNTIF(Flows!$M$2:$M$1500,$A48&amp;"|"&amp;Q$1&amp;"|Output"),"OUT",""))</f>
        <v/>
      </c>
      <c r="R48" s="33" t="str">
        <f aca="false">IF(COUNTIF(Flows!$M$2:$M$1500,$A48&amp;"|"&amp;R$1&amp;"|Input"),IF(COUNTIF(Flows!$M$2:$M$1500,$A48&amp;"|"&amp;R$1&amp;"|Output"),"I/O","IN"),IF(COUNTIF(Flows!$M$2:$M$1500,$A48&amp;"|"&amp;R$1&amp;"|Output"),"OUT",""))</f>
        <v/>
      </c>
      <c r="S48" s="33" t="str">
        <f aca="false">IF(COUNTIF(Flows!$M$2:$M$1500,$A48&amp;"|"&amp;S$1&amp;"|Input"),IF(COUNTIF(Flows!$M$2:$M$1500,$A48&amp;"|"&amp;S$1&amp;"|Output"),"I/O","IN"),IF(COUNTIF(Flows!$M$2:$M$1500,$A48&amp;"|"&amp;S$1&amp;"|Output"),"OUT",""))</f>
        <v/>
      </c>
      <c r="T48" s="33" t="str">
        <f aca="false">IF(COUNTIF(Flows!$M$2:$M$1500,$A48&amp;"|"&amp;T$1&amp;"|Input"),IF(COUNTIF(Flows!$M$2:$M$1500,$A48&amp;"|"&amp;T$1&amp;"|Output"),"I/O","IN"),IF(COUNTIF(Flows!$M$2:$M$1500,$A48&amp;"|"&amp;T$1&amp;"|Output"),"OUT",""))</f>
        <v/>
      </c>
      <c r="U48" s="33" t="str">
        <f aca="false">IF(COUNTIF(Flows!$M$2:$M$1500,$A48&amp;"|"&amp;U$1&amp;"|Input"),IF(COUNTIF(Flows!$M$2:$M$1500,$A48&amp;"|"&amp;U$1&amp;"|Output"),"I/O","IN"),IF(COUNTIF(Flows!$M$2:$M$1500,$A48&amp;"|"&amp;U$1&amp;"|Output"),"OUT",""))</f>
        <v/>
      </c>
      <c r="V48" s="33" t="str">
        <f aca="false">IF(COUNTIF(Flows!$M$2:$M$1500,$A48&amp;"|"&amp;V$1&amp;"|Input"),IF(COUNTIF(Flows!$M$2:$M$1500,$A48&amp;"|"&amp;V$1&amp;"|Output"),"I/O","IN"),IF(COUNTIF(Flows!$M$2:$M$1500,$A48&amp;"|"&amp;V$1&amp;"|Output"),"OUT",""))</f>
        <v/>
      </c>
      <c r="W48" s="33" t="str">
        <f aca="false">IF(COUNTIF(Flows!$M$2:$M$1500,$A48&amp;"|"&amp;W$1&amp;"|Input"),IF(COUNTIF(Flows!$M$2:$M$1500,$A48&amp;"|"&amp;W$1&amp;"|Output"),"I/O","IN"),IF(COUNTIF(Flows!$M$2:$M$1500,$A48&amp;"|"&amp;W$1&amp;"|Output"),"OUT",""))</f>
        <v/>
      </c>
      <c r="X48" s="33" t="str">
        <f aca="false">IF(COUNTIF(Flows!$M$2:$M$1500,$A48&amp;"|"&amp;X$1&amp;"|Input"),IF(COUNTIF(Flows!$M$2:$M$1500,$A48&amp;"|"&amp;X$1&amp;"|Output"),"I/O","IN"),IF(COUNTIF(Flows!$M$2:$M$1500,$A48&amp;"|"&amp;X$1&amp;"|Output"),"OUT",""))</f>
        <v>IN</v>
      </c>
      <c r="Y48" s="33" t="str">
        <f aca="false">IF(COUNTIF(Flows!$M$2:$M$1500,$A48&amp;"|"&amp;Y$1&amp;"|Input"),IF(COUNTIF(Flows!$M$2:$M$1500,$A48&amp;"|"&amp;Y$1&amp;"|Output"),"I/O","IN"),IF(COUNTIF(Flows!$M$2:$M$1500,$A48&amp;"|"&amp;Y$1&amp;"|Output"),"OUT",""))</f>
        <v/>
      </c>
      <c r="Z48" s="33" t="str">
        <f aca="false">IF(COUNTIF(Flows!$M$2:$M$1500,$A48&amp;"|"&amp;Z$1&amp;"|Input"),IF(COUNTIF(Flows!$M$2:$M$1500,$A48&amp;"|"&amp;Z$1&amp;"|Output"),"I/O","IN"),IF(COUNTIF(Flows!$M$2:$M$1500,$A48&amp;"|"&amp;Z$1&amp;"|Output"),"OUT",""))</f>
        <v/>
      </c>
      <c r="AA48" s="33" t="str">
        <f aca="false">IF(COUNTIF(Flows!$M$2:$M$1500,$A48&amp;"|"&amp;AA$1&amp;"|Input"),IF(COUNTIF(Flows!$M$2:$M$1500,$A48&amp;"|"&amp;AA$1&amp;"|Output"),"I/O","IN"),IF(COUNTIF(Flows!$M$2:$M$1500,$A48&amp;"|"&amp;AA$1&amp;"|Output"),"OUT",""))</f>
        <v/>
      </c>
      <c r="AB48" s="33" t="str">
        <f aca="false">IF(COUNTIF(Flows!$M$2:$M$1500,$A48&amp;"|"&amp;AB$1&amp;"|Input"),IF(COUNTIF(Flows!$M$2:$M$1500,$A48&amp;"|"&amp;AB$1&amp;"|Output"),"I/O","IN"),IF(COUNTIF(Flows!$M$2:$M$1500,$A48&amp;"|"&amp;AB$1&amp;"|Output"),"OUT",""))</f>
        <v/>
      </c>
      <c r="AC48" s="33" t="str">
        <f aca="false">IF(COUNTIF(Flows!$M$2:$M$1500,$A48&amp;"|"&amp;AC$1&amp;"|Input"),IF(COUNTIF(Flows!$M$2:$M$1500,$A48&amp;"|"&amp;AC$1&amp;"|Output"),"I/O","IN"),IF(COUNTIF(Flows!$M$2:$M$1500,$A48&amp;"|"&amp;AC$1&amp;"|Output"),"OUT",""))</f>
        <v/>
      </c>
      <c r="AD48" s="33" t="str">
        <f aca="false">IF(COUNTIF(Flows!$M$2:$M$1500,$A48&amp;"|"&amp;AD$1&amp;"|Input"),IF(COUNTIF(Flows!$M$2:$M$1500,$A48&amp;"|"&amp;AD$1&amp;"|Output"),"I/O","IN"),IF(COUNTIF(Flows!$M$2:$M$1500,$A48&amp;"|"&amp;AD$1&amp;"|Output"),"OUT",""))</f>
        <v/>
      </c>
      <c r="AE48" s="33" t="str">
        <f aca="false">IF(COUNTIF(Flows!$M$2:$M$1500,$A48&amp;"|"&amp;AE$1&amp;"|Input"),IF(COUNTIF(Flows!$M$2:$M$1500,$A48&amp;"|"&amp;AE$1&amp;"|Output"),"I/O","IN"),IF(COUNTIF(Flows!$M$2:$M$1500,$A48&amp;"|"&amp;AE$1&amp;"|Output"),"OUT",""))</f>
        <v/>
      </c>
      <c r="AF48" s="33" t="str">
        <f aca="false">IF(COUNTIF(Flows!$M$2:$M$1500,$A48&amp;"|"&amp;AF$1&amp;"|Input"),IF(COUNTIF(Flows!$M$2:$M$1500,$A48&amp;"|"&amp;AF$1&amp;"|Output"),"I/O","IN"),IF(COUNTIF(Flows!$M$2:$M$1500,$A48&amp;"|"&amp;AF$1&amp;"|Output"),"OUT",""))</f>
        <v/>
      </c>
      <c r="AG48" s="33" t="str">
        <f aca="false">IF(COUNTIF(Flows!$M$2:$M$1500,$A48&amp;"|"&amp;AG$1&amp;"|Input"),IF(COUNTIF(Flows!$M$2:$M$1500,$A48&amp;"|"&amp;AG$1&amp;"|Output"),"I/O","IN"),IF(COUNTIF(Flows!$M$2:$M$1500,$A48&amp;"|"&amp;AG$1&amp;"|Output"),"OUT",""))</f>
        <v/>
      </c>
      <c r="AH48" s="33" t="str">
        <f aca="false">IF(COUNTIF(Flows!$M$2:$M$1500,$A48&amp;"|"&amp;AH$1&amp;"|Input"),IF(COUNTIF(Flows!$M$2:$M$1500,$A48&amp;"|"&amp;AH$1&amp;"|Output"),"I/O","IN"),IF(COUNTIF(Flows!$M$2:$M$1500,$A48&amp;"|"&amp;AH$1&amp;"|Output"),"OUT",""))</f>
        <v/>
      </c>
      <c r="AI48" s="33" t="str">
        <f aca="false">IF(COUNTIF(Flows!$M$2:$M$1500,$A48&amp;"|"&amp;AI$1&amp;"|Input"),IF(COUNTIF(Flows!$M$2:$M$1500,$A48&amp;"|"&amp;AI$1&amp;"|Output"),"I/O","IN"),IF(COUNTIF(Flows!$M$2:$M$1500,$A48&amp;"|"&amp;AI$1&amp;"|Output"),"OUT",""))</f>
        <v/>
      </c>
      <c r="AJ48" s="33" t="str">
        <f aca="false">IF(COUNTIF(Flows!$M$2:$M$1500,$A48&amp;"|"&amp;AJ$1&amp;"|Input"),IF(COUNTIF(Flows!$M$2:$M$1500,$A48&amp;"|"&amp;AJ$1&amp;"|Output"),"I/O","IN"),IF(COUNTIF(Flows!$M$2:$M$1500,$A48&amp;"|"&amp;AJ$1&amp;"|Output"),"OUT",""))</f>
        <v/>
      </c>
      <c r="AK48" s="33" t="str">
        <f aca="false">IF(COUNTIF(Flows!$M$2:$M$1500,$A48&amp;"|"&amp;AK$1&amp;"|Input"),IF(COUNTIF(Flows!$M$2:$M$1500,$A48&amp;"|"&amp;AK$1&amp;"|Output"),"I/O","IN"),IF(COUNTIF(Flows!$M$2:$M$1500,$A48&amp;"|"&amp;AK$1&amp;"|Output"),"OUT",""))</f>
        <v/>
      </c>
      <c r="AL48" s="33" t="str">
        <f aca="false">IF(COUNTIF(Flows!$M$2:$M$1500,$A48&amp;"|"&amp;AL$1&amp;"|Input"),IF(COUNTIF(Flows!$M$2:$M$1500,$A48&amp;"|"&amp;AL$1&amp;"|Output"),"I/O","IN"),IF(COUNTIF(Flows!$M$2:$M$1500,$A48&amp;"|"&amp;AL$1&amp;"|Output"),"OUT",""))</f>
        <v>OUT</v>
      </c>
      <c r="AM48" s="33" t="str">
        <f aca="false">IF(COUNTIF(Flows!$M$2:$M$1500,$A48&amp;"|"&amp;AM$1&amp;"|Input"),IF(COUNTIF(Flows!$M$2:$M$1500,$A48&amp;"|"&amp;AM$1&amp;"|Output"),"I/O","IN"),IF(COUNTIF(Flows!$M$2:$M$1500,$A48&amp;"|"&amp;AM$1&amp;"|Output"),"OUT",""))</f>
        <v/>
      </c>
      <c r="AN48" s="33" t="str">
        <f aca="false">IF(COUNTIF(Flows!$M$2:$M$1500,$A48&amp;"|"&amp;AN$1&amp;"|Input"),IF(COUNTIF(Flows!$M$2:$M$1500,$A48&amp;"|"&amp;AN$1&amp;"|Output"),"I/O","IN"),IF(COUNTIF(Flows!$M$2:$M$1500,$A48&amp;"|"&amp;AN$1&amp;"|Output"),"OUT",""))</f>
        <v/>
      </c>
      <c r="AO48" s="33" t="str">
        <f aca="false">IF(COUNTIF(Flows!$M$2:$M$1500,$A48&amp;"|"&amp;AO$1&amp;"|Input"),IF(COUNTIF(Flows!$M$2:$M$1500,$A48&amp;"|"&amp;AO$1&amp;"|Output"),"I/O","IN"),IF(COUNTIF(Flows!$M$2:$M$1500,$A48&amp;"|"&amp;AO$1&amp;"|Output"),"OUT",""))</f>
        <v/>
      </c>
      <c r="AP48" s="33" t="str">
        <f aca="false">IF(COUNTIF(Flows!$M$2:$M$1500,$A48&amp;"|"&amp;AP$1&amp;"|Input"),IF(COUNTIF(Flows!$M$2:$M$1500,$A48&amp;"|"&amp;AP$1&amp;"|Output"),"I/O","IN"),IF(COUNTIF(Flows!$M$2:$M$1500,$A48&amp;"|"&amp;AP$1&amp;"|Output"),"OUT",""))</f>
        <v/>
      </c>
      <c r="AQ48" s="33" t="str">
        <f aca="false">IF(COUNTIF(Flows!$M$2:$M$1500,$A48&amp;"|"&amp;AQ$1&amp;"|Input"),IF(COUNTIF(Flows!$M$2:$M$1500,$A48&amp;"|"&amp;AQ$1&amp;"|Output"),"I/O","IN"),IF(COUNTIF(Flows!$M$2:$M$1500,$A48&amp;"|"&amp;AQ$1&amp;"|Output"),"OUT",""))</f>
        <v/>
      </c>
      <c r="AR48" s="33" t="str">
        <f aca="false">IF(COUNTIF(Flows!$M$2:$M$1500,$A48&amp;"|"&amp;AR$1&amp;"|Input"),IF(COUNTIF(Flows!$M$2:$M$1500,$A48&amp;"|"&amp;AR$1&amp;"|Output"),"I/O","IN"),IF(COUNTIF(Flows!$M$2:$M$1500,$A48&amp;"|"&amp;AR$1&amp;"|Output"),"OUT",""))</f>
        <v>OUT</v>
      </c>
      <c r="AS48" s="33" t="str">
        <f aca="false">IF(COUNTIF(Flows!$M$2:$M$1500,$A48&amp;"|"&amp;AS$1&amp;"|Input"),IF(COUNTIF(Flows!$M$2:$M$1500,$A48&amp;"|"&amp;AS$1&amp;"|Output"),"I/O","IN"),IF(COUNTIF(Flows!$M$2:$M$1500,$A48&amp;"|"&amp;AS$1&amp;"|Output"),"OUT",""))</f>
        <v/>
      </c>
      <c r="AT48" s="33" t="str">
        <f aca="false">IF(COUNTIF(Flows!$M$2:$M$1500,$A48&amp;"|"&amp;AT$1&amp;"|Input"),IF(COUNTIF(Flows!$M$2:$M$1500,$A48&amp;"|"&amp;AT$1&amp;"|Output"),"I/O","IN"),IF(COUNTIF(Flows!$M$2:$M$1500,$A48&amp;"|"&amp;AT$1&amp;"|Output"),"OUT",""))</f>
        <v/>
      </c>
      <c r="AU48" s="33" t="str">
        <f aca="false">IF(COUNTIF(Flows!$M$2:$M$1500,$A48&amp;"|"&amp;AU$1&amp;"|Input"),IF(COUNTIF(Flows!$M$2:$M$1500,$A48&amp;"|"&amp;AU$1&amp;"|Output"),"I/O","IN"),IF(COUNTIF(Flows!$M$2:$M$1500,$A48&amp;"|"&amp;AU$1&amp;"|Output"),"OUT",""))</f>
        <v/>
      </c>
      <c r="AV48" s="33" t="str">
        <f aca="false">IF(COUNTIF(Flows!$M$2:$M$1500,$A48&amp;"|"&amp;AV$1&amp;"|Input"),IF(COUNTIF(Flows!$M$2:$M$1500,$A48&amp;"|"&amp;AV$1&amp;"|Output"),"I/O","IN"),IF(COUNTIF(Flows!$M$2:$M$1500,$A48&amp;"|"&amp;AV$1&amp;"|Output"),"OUT",""))</f>
        <v/>
      </c>
      <c r="AW48" s="33" t="str">
        <f aca="false">IF(COUNTIF(Flows!$M$2:$M$1500,$A48&amp;"|"&amp;AW$1&amp;"|Input"),IF(COUNTIF(Flows!$M$2:$M$1500,$A48&amp;"|"&amp;AW$1&amp;"|Output"),"I/O","IN"),IF(COUNTIF(Flows!$M$2:$M$1500,$A48&amp;"|"&amp;AW$1&amp;"|Output"),"OUT",""))</f>
        <v/>
      </c>
      <c r="AX48" s="33" t="str">
        <f aca="false">IF(COUNTIF(Flows!$M$2:$M$1500,$A48&amp;"|"&amp;AX$1&amp;"|Input"),IF(COUNTIF(Flows!$M$2:$M$1500,$A48&amp;"|"&amp;AX$1&amp;"|Output"),"I/O","IN"),IF(COUNTIF(Flows!$M$2:$M$1500,$A48&amp;"|"&amp;AX$1&amp;"|Output"),"OUT",""))</f>
        <v/>
      </c>
      <c r="AY48" s="33" t="str">
        <f aca="false">IF(COUNTIF(Flows!$M$2:$M$1500,$A48&amp;"|"&amp;AY$1&amp;"|Input"),IF(COUNTIF(Flows!$M$2:$M$1500,$A48&amp;"|"&amp;AY$1&amp;"|Output"),"I/O","IN"),IF(COUNTIF(Flows!$M$2:$M$1500,$A48&amp;"|"&amp;AY$1&amp;"|Output"),"OUT",""))</f>
        <v/>
      </c>
      <c r="AZ48" s="33" t="str">
        <f aca="false">IF(COUNTIF(Flows!$M$2:$M$1500,$A48&amp;"|"&amp;AZ$1&amp;"|Input"),IF(COUNTIF(Flows!$M$2:$M$1500,$A48&amp;"|"&amp;AZ$1&amp;"|Output"),"I/O","IN"),IF(COUNTIF(Flows!$M$2:$M$1500,$A48&amp;"|"&amp;AZ$1&amp;"|Output"),"OUT",""))</f>
        <v/>
      </c>
      <c r="BA48" s="33" t="str">
        <f aca="false">IF(COUNTIF(Flows!$M$2:$M$1500,$A48&amp;"|"&amp;BA$1&amp;"|Input"),IF(COUNTIF(Flows!$M$2:$M$1500,$A48&amp;"|"&amp;BA$1&amp;"|Output"),"I/O","IN"),IF(COUNTIF(Flows!$M$2:$M$1500,$A48&amp;"|"&amp;BA$1&amp;"|Output"),"OUT",""))</f>
        <v/>
      </c>
      <c r="BB48" s="33" t="str">
        <f aca="false">IF(COUNTIF(Flows!$M$2:$M$1500,$A48&amp;"|"&amp;BB$1&amp;"|Input"),IF(COUNTIF(Flows!$M$2:$M$1500,$A48&amp;"|"&amp;BB$1&amp;"|Output"),"I/O","IN"),IF(COUNTIF(Flows!$M$2:$M$1500,$A48&amp;"|"&amp;BB$1&amp;"|Output"),"OUT",""))</f>
        <v/>
      </c>
      <c r="BC48" s="33" t="str">
        <f aca="false">IF(COUNTIF(Flows!$M$2:$M$1500,$A48&amp;"|"&amp;BC$1&amp;"|Input"),IF(COUNTIF(Flows!$M$2:$M$1500,$A48&amp;"|"&amp;BC$1&amp;"|Output"),"I/O","IN"),IF(COUNTIF(Flows!$M$2:$M$1500,$A48&amp;"|"&amp;BC$1&amp;"|Output"),"OUT",""))</f>
        <v>IN</v>
      </c>
      <c r="BD48" s="33" t="str">
        <f aca="false">IF(COUNTIF(Flows!$M$2:$M$1500,$A48&amp;"|"&amp;BD$1&amp;"|Input"),IF(COUNTIF(Flows!$M$2:$M$1500,$A48&amp;"|"&amp;BD$1&amp;"|Output"),"I/O","IN"),IF(COUNTIF(Flows!$M$2:$M$1500,$A48&amp;"|"&amp;BD$1&amp;"|Output"),"OUT",""))</f>
        <v/>
      </c>
      <c r="BE48" s="33" t="str">
        <f aca="false">IF(COUNTIF(Flows!$M$2:$M$1500,$A48&amp;"|"&amp;BE$1&amp;"|Input"),IF(COUNTIF(Flows!$M$2:$M$1500,$A48&amp;"|"&amp;BE$1&amp;"|Output"),"I/O","IN"),IF(COUNTIF(Flows!$M$2:$M$1500,$A48&amp;"|"&amp;BE$1&amp;"|Output"),"OUT",""))</f>
        <v/>
      </c>
      <c r="BF48" s="33" t="str">
        <f aca="false">IF(COUNTIF(Flows!$M$2:$M$1500,$A48&amp;"|"&amp;BF$1&amp;"|Input"),IF(COUNTIF(Flows!$M$2:$M$1500,$A48&amp;"|"&amp;BF$1&amp;"|Output"),"I/O","IN"),IF(COUNTIF(Flows!$M$2:$M$1500,$A48&amp;"|"&amp;BF$1&amp;"|Output"),"OUT",""))</f>
        <v/>
      </c>
      <c r="BG48" s="33" t="str">
        <f aca="false">IF(COUNTIF(Flows!$M$2:$M$1500,$A48&amp;"|"&amp;BG$1&amp;"|Input"),IF(COUNTIF(Flows!$M$2:$M$1500,$A48&amp;"|"&amp;BG$1&amp;"|Output"),"I/O","IN"),IF(COUNTIF(Flows!$M$2:$M$1500,$A48&amp;"|"&amp;BG$1&amp;"|Output"),"OUT",""))</f>
        <v/>
      </c>
      <c r="BH48" s="33" t="str">
        <f aca="false">IF(COUNTIF(Flows!$M$2:$M$1500,$A48&amp;"|"&amp;BH$1&amp;"|Input"),IF(COUNTIF(Flows!$M$2:$M$1500,$A48&amp;"|"&amp;BH$1&amp;"|Output"),"I/O","IN"),IF(COUNTIF(Flows!$M$2:$M$1500,$A48&amp;"|"&amp;BH$1&amp;"|Output"),"OUT",""))</f>
        <v/>
      </c>
      <c r="BI48" s="33" t="str">
        <f aca="false">IF(COUNTIF(Flows!$M$2:$M$1500,$A48&amp;"|"&amp;BI$1&amp;"|Input"),IF(COUNTIF(Flows!$M$2:$M$1500,$A48&amp;"|"&amp;BI$1&amp;"|Output"),"I/O","IN"),IF(COUNTIF(Flows!$M$2:$M$1500,$A48&amp;"|"&amp;BI$1&amp;"|Output"),"OUT",""))</f>
        <v/>
      </c>
      <c r="BJ48" s="33" t="str">
        <f aca="false">IF(COUNTIF(Flows!$M$2:$M$1500,$A48&amp;"|"&amp;BJ$1&amp;"|Input"),IF(COUNTIF(Flows!$M$2:$M$1500,$A48&amp;"|"&amp;BJ$1&amp;"|Output"),"I/O","IN"),IF(COUNTIF(Flows!$M$2:$M$1500,$A48&amp;"|"&amp;BJ$1&amp;"|Output"),"OUT",""))</f>
        <v/>
      </c>
      <c r="BK48" s="33" t="str">
        <f aca="false">IF(COUNTIF(Flows!$M$2:$M$1500,$A48&amp;"|"&amp;BK$1&amp;"|Input"),IF(COUNTIF(Flows!$M$2:$M$1500,$A48&amp;"|"&amp;BK$1&amp;"|Output"),"I/O","IN"),IF(COUNTIF(Flows!$M$2:$M$1500,$A48&amp;"|"&amp;BK$1&amp;"|Output"),"OUT",""))</f>
        <v>OUT</v>
      </c>
    </row>
    <row r="49" customFormat="false" ht="15" hidden="false" customHeight="true" outlineLevel="0" collapsed="false">
      <c r="A49" s="6" t="str">
        <f aca="false">Systems!B49</f>
        <v>Organic Liquid Anaerobic Fertilizer</v>
      </c>
      <c r="B49" s="33" t="str">
        <f aca="false">IF(COUNTIF(Flows!$M$2:$M$1500,$A49&amp;"|"&amp;B$1&amp;"|Input"),IF(COUNTIF(Flows!$M$2:$M$1500,$A49&amp;"|"&amp;B$1&amp;"|Output"),"I/O","IN"),IF(COUNTIF(Flows!$M$2:$M$1500,$A49&amp;"|"&amp;B$1&amp;"|Output"),"OUT",""))</f>
        <v>IN</v>
      </c>
      <c r="C49" s="33" t="str">
        <f aca="false">IF(COUNTIF(Flows!$M$2:$M$1500,$A49&amp;"|"&amp;C$1&amp;"|Input"),IF(COUNTIF(Flows!$M$2:$M$1500,$A49&amp;"|"&amp;C$1&amp;"|Output"),"I/O","IN"),IF(COUNTIF(Flows!$M$2:$M$1500,$A49&amp;"|"&amp;C$1&amp;"|Output"),"OUT",""))</f>
        <v/>
      </c>
      <c r="D49" s="33" t="str">
        <f aca="false">IF(COUNTIF(Flows!$M$2:$M$1500,$A49&amp;"|"&amp;D$1&amp;"|Input"),IF(COUNTIF(Flows!$M$2:$M$1500,$A49&amp;"|"&amp;D$1&amp;"|Output"),"I/O","IN"),IF(COUNTIF(Flows!$M$2:$M$1500,$A49&amp;"|"&amp;D$1&amp;"|Output"),"OUT",""))</f>
        <v/>
      </c>
      <c r="E49" s="33" t="str">
        <f aca="false">IF(COUNTIF(Flows!$M$2:$M$1500,$A49&amp;"|"&amp;E$1&amp;"|Input"),IF(COUNTIF(Flows!$M$2:$M$1500,$A49&amp;"|"&amp;E$1&amp;"|Output"),"I/O","IN"),IF(COUNTIF(Flows!$M$2:$M$1500,$A49&amp;"|"&amp;E$1&amp;"|Output"),"OUT",""))</f>
        <v/>
      </c>
      <c r="F49" s="33" t="str">
        <f aca="false">IF(COUNTIF(Flows!$M$2:$M$1500,$A49&amp;"|"&amp;F$1&amp;"|Input"),IF(COUNTIF(Flows!$M$2:$M$1500,$A49&amp;"|"&amp;F$1&amp;"|Output"),"I/O","IN"),IF(COUNTIF(Flows!$M$2:$M$1500,$A49&amp;"|"&amp;F$1&amp;"|Output"),"OUT",""))</f>
        <v/>
      </c>
      <c r="G49" s="33" t="str">
        <f aca="false">IF(COUNTIF(Flows!$M$2:$M$1500,$A49&amp;"|"&amp;G$1&amp;"|Input"),IF(COUNTIF(Flows!$M$2:$M$1500,$A49&amp;"|"&amp;G$1&amp;"|Output"),"I/O","IN"),IF(COUNTIF(Flows!$M$2:$M$1500,$A49&amp;"|"&amp;G$1&amp;"|Output"),"OUT",""))</f>
        <v/>
      </c>
      <c r="H49" s="33" t="str">
        <f aca="false">IF(COUNTIF(Flows!$M$2:$M$1500,$A49&amp;"|"&amp;H$1&amp;"|Input"),IF(COUNTIF(Flows!$M$2:$M$1500,$A49&amp;"|"&amp;H$1&amp;"|Output"),"I/O","IN"),IF(COUNTIF(Flows!$M$2:$M$1500,$A49&amp;"|"&amp;H$1&amp;"|Output"),"OUT",""))</f>
        <v/>
      </c>
      <c r="I49" s="33" t="str">
        <f aca="false">IF(COUNTIF(Flows!$M$2:$M$1500,$A49&amp;"|"&amp;I$1&amp;"|Input"),IF(COUNTIF(Flows!$M$2:$M$1500,$A49&amp;"|"&amp;I$1&amp;"|Output"),"I/O","IN"),IF(COUNTIF(Flows!$M$2:$M$1500,$A49&amp;"|"&amp;I$1&amp;"|Output"),"OUT",""))</f>
        <v/>
      </c>
      <c r="J49" s="33" t="str">
        <f aca="false">IF(COUNTIF(Flows!$M$2:$M$1500,$A49&amp;"|"&amp;J$1&amp;"|Input"),IF(COUNTIF(Flows!$M$2:$M$1500,$A49&amp;"|"&amp;J$1&amp;"|Output"),"I/O","IN"),IF(COUNTIF(Flows!$M$2:$M$1500,$A49&amp;"|"&amp;J$1&amp;"|Output"),"OUT",""))</f>
        <v/>
      </c>
      <c r="K49" s="33" t="str">
        <f aca="false">IF(COUNTIF(Flows!$M$2:$M$1500,$A49&amp;"|"&amp;K$1&amp;"|Input"),IF(COUNTIF(Flows!$M$2:$M$1500,$A49&amp;"|"&amp;K$1&amp;"|Output"),"I/O","IN"),IF(COUNTIF(Flows!$M$2:$M$1500,$A49&amp;"|"&amp;K$1&amp;"|Output"),"OUT",""))</f>
        <v/>
      </c>
      <c r="L49" s="33" t="str">
        <f aca="false">IF(COUNTIF(Flows!$M$2:$M$1500,$A49&amp;"|"&amp;L$1&amp;"|Input"),IF(COUNTIF(Flows!$M$2:$M$1500,$A49&amp;"|"&amp;L$1&amp;"|Output"),"I/O","IN"),IF(COUNTIF(Flows!$M$2:$M$1500,$A49&amp;"|"&amp;L$1&amp;"|Output"),"OUT",""))</f>
        <v/>
      </c>
      <c r="M49" s="33" t="str">
        <f aca="false">IF(COUNTIF(Flows!$M$2:$M$1500,$A49&amp;"|"&amp;M$1&amp;"|Input"),IF(COUNTIF(Flows!$M$2:$M$1500,$A49&amp;"|"&amp;M$1&amp;"|Output"),"I/O","IN"),IF(COUNTIF(Flows!$M$2:$M$1500,$A49&amp;"|"&amp;M$1&amp;"|Output"),"OUT",""))</f>
        <v/>
      </c>
      <c r="N49" s="33" t="str">
        <f aca="false">IF(COUNTIF(Flows!$M$2:$M$1500,$A49&amp;"|"&amp;N$1&amp;"|Input"),IF(COUNTIF(Flows!$M$2:$M$1500,$A49&amp;"|"&amp;N$1&amp;"|Output"),"I/O","IN"),IF(COUNTIF(Flows!$M$2:$M$1500,$A49&amp;"|"&amp;N$1&amp;"|Output"),"OUT",""))</f>
        <v/>
      </c>
      <c r="O49" s="33" t="str">
        <f aca="false">IF(COUNTIF(Flows!$M$2:$M$1500,$A49&amp;"|"&amp;O$1&amp;"|Input"),IF(COUNTIF(Flows!$M$2:$M$1500,$A49&amp;"|"&amp;O$1&amp;"|Output"),"I/O","IN"),IF(COUNTIF(Flows!$M$2:$M$1500,$A49&amp;"|"&amp;O$1&amp;"|Output"),"OUT",""))</f>
        <v/>
      </c>
      <c r="P49" s="33" t="str">
        <f aca="false">IF(COUNTIF(Flows!$M$2:$M$1500,$A49&amp;"|"&amp;P$1&amp;"|Input"),IF(COUNTIF(Flows!$M$2:$M$1500,$A49&amp;"|"&amp;P$1&amp;"|Output"),"I/O","IN"),IF(COUNTIF(Flows!$M$2:$M$1500,$A49&amp;"|"&amp;P$1&amp;"|Output"),"OUT",""))</f>
        <v/>
      </c>
      <c r="Q49" s="33" t="str">
        <f aca="false">IF(COUNTIF(Flows!$M$2:$M$1500,$A49&amp;"|"&amp;Q$1&amp;"|Input"),IF(COUNTIF(Flows!$M$2:$M$1500,$A49&amp;"|"&amp;Q$1&amp;"|Output"),"I/O","IN"),IF(COUNTIF(Flows!$M$2:$M$1500,$A49&amp;"|"&amp;Q$1&amp;"|Output"),"OUT",""))</f>
        <v/>
      </c>
      <c r="R49" s="33" t="str">
        <f aca="false">IF(COUNTIF(Flows!$M$2:$M$1500,$A49&amp;"|"&amp;R$1&amp;"|Input"),IF(COUNTIF(Flows!$M$2:$M$1500,$A49&amp;"|"&amp;R$1&amp;"|Output"),"I/O","IN"),IF(COUNTIF(Flows!$M$2:$M$1500,$A49&amp;"|"&amp;R$1&amp;"|Output"),"OUT",""))</f>
        <v/>
      </c>
      <c r="S49" s="33" t="str">
        <f aca="false">IF(COUNTIF(Flows!$M$2:$M$1500,$A49&amp;"|"&amp;S$1&amp;"|Input"),IF(COUNTIF(Flows!$M$2:$M$1500,$A49&amp;"|"&amp;S$1&amp;"|Output"),"I/O","IN"),IF(COUNTIF(Flows!$M$2:$M$1500,$A49&amp;"|"&amp;S$1&amp;"|Output"),"OUT",""))</f>
        <v/>
      </c>
      <c r="T49" s="33" t="str">
        <f aca="false">IF(COUNTIF(Flows!$M$2:$M$1500,$A49&amp;"|"&amp;T$1&amp;"|Input"),IF(COUNTIF(Flows!$M$2:$M$1500,$A49&amp;"|"&amp;T$1&amp;"|Output"),"I/O","IN"),IF(COUNTIF(Flows!$M$2:$M$1500,$A49&amp;"|"&amp;T$1&amp;"|Output"),"OUT",""))</f>
        <v/>
      </c>
      <c r="U49" s="33" t="str">
        <f aca="false">IF(COUNTIF(Flows!$M$2:$M$1500,$A49&amp;"|"&amp;U$1&amp;"|Input"),IF(COUNTIF(Flows!$M$2:$M$1500,$A49&amp;"|"&amp;U$1&amp;"|Output"),"I/O","IN"),IF(COUNTIF(Flows!$M$2:$M$1500,$A49&amp;"|"&amp;U$1&amp;"|Output"),"OUT",""))</f>
        <v/>
      </c>
      <c r="V49" s="33" t="str">
        <f aca="false">IF(COUNTIF(Flows!$M$2:$M$1500,$A49&amp;"|"&amp;V$1&amp;"|Input"),IF(COUNTIF(Flows!$M$2:$M$1500,$A49&amp;"|"&amp;V$1&amp;"|Output"),"I/O","IN"),IF(COUNTIF(Flows!$M$2:$M$1500,$A49&amp;"|"&amp;V$1&amp;"|Output"),"OUT",""))</f>
        <v/>
      </c>
      <c r="W49" s="33" t="str">
        <f aca="false">IF(COUNTIF(Flows!$M$2:$M$1500,$A49&amp;"|"&amp;W$1&amp;"|Input"),IF(COUNTIF(Flows!$M$2:$M$1500,$A49&amp;"|"&amp;W$1&amp;"|Output"),"I/O","IN"),IF(COUNTIF(Flows!$M$2:$M$1500,$A49&amp;"|"&amp;W$1&amp;"|Output"),"OUT",""))</f>
        <v/>
      </c>
      <c r="X49" s="33" t="str">
        <f aca="false">IF(COUNTIF(Flows!$M$2:$M$1500,$A49&amp;"|"&amp;X$1&amp;"|Input"),IF(COUNTIF(Flows!$M$2:$M$1500,$A49&amp;"|"&amp;X$1&amp;"|Output"),"I/O","IN"),IF(COUNTIF(Flows!$M$2:$M$1500,$A49&amp;"|"&amp;X$1&amp;"|Output"),"OUT",""))</f>
        <v>IN</v>
      </c>
      <c r="Y49" s="33" t="str">
        <f aca="false">IF(COUNTIF(Flows!$M$2:$M$1500,$A49&amp;"|"&amp;Y$1&amp;"|Input"),IF(COUNTIF(Flows!$M$2:$M$1500,$A49&amp;"|"&amp;Y$1&amp;"|Output"),"I/O","IN"),IF(COUNTIF(Flows!$M$2:$M$1500,$A49&amp;"|"&amp;Y$1&amp;"|Output"),"OUT",""))</f>
        <v/>
      </c>
      <c r="Z49" s="33" t="str">
        <f aca="false">IF(COUNTIF(Flows!$M$2:$M$1500,$A49&amp;"|"&amp;Z$1&amp;"|Input"),IF(COUNTIF(Flows!$M$2:$M$1500,$A49&amp;"|"&amp;Z$1&amp;"|Output"),"I/O","IN"),IF(COUNTIF(Flows!$M$2:$M$1500,$A49&amp;"|"&amp;Z$1&amp;"|Output"),"OUT",""))</f>
        <v/>
      </c>
      <c r="AA49" s="33" t="str">
        <f aca="false">IF(COUNTIF(Flows!$M$2:$M$1500,$A49&amp;"|"&amp;AA$1&amp;"|Input"),IF(COUNTIF(Flows!$M$2:$M$1500,$A49&amp;"|"&amp;AA$1&amp;"|Output"),"I/O","IN"),IF(COUNTIF(Flows!$M$2:$M$1500,$A49&amp;"|"&amp;AA$1&amp;"|Output"),"OUT",""))</f>
        <v/>
      </c>
      <c r="AB49" s="33" t="str">
        <f aca="false">IF(COUNTIF(Flows!$M$2:$M$1500,$A49&amp;"|"&amp;AB$1&amp;"|Input"),IF(COUNTIF(Flows!$M$2:$M$1500,$A49&amp;"|"&amp;AB$1&amp;"|Output"),"I/O","IN"),IF(COUNTIF(Flows!$M$2:$M$1500,$A49&amp;"|"&amp;AB$1&amp;"|Output"),"OUT",""))</f>
        <v/>
      </c>
      <c r="AC49" s="33" t="str">
        <f aca="false">IF(COUNTIF(Flows!$M$2:$M$1500,$A49&amp;"|"&amp;AC$1&amp;"|Input"),IF(COUNTIF(Flows!$M$2:$M$1500,$A49&amp;"|"&amp;AC$1&amp;"|Output"),"I/O","IN"),IF(COUNTIF(Flows!$M$2:$M$1500,$A49&amp;"|"&amp;AC$1&amp;"|Output"),"OUT",""))</f>
        <v/>
      </c>
      <c r="AD49" s="33" t="str">
        <f aca="false">IF(COUNTIF(Flows!$M$2:$M$1500,$A49&amp;"|"&amp;AD$1&amp;"|Input"),IF(COUNTIF(Flows!$M$2:$M$1500,$A49&amp;"|"&amp;AD$1&amp;"|Output"),"I/O","IN"),IF(COUNTIF(Flows!$M$2:$M$1500,$A49&amp;"|"&amp;AD$1&amp;"|Output"),"OUT",""))</f>
        <v/>
      </c>
      <c r="AE49" s="33" t="str">
        <f aca="false">IF(COUNTIF(Flows!$M$2:$M$1500,$A49&amp;"|"&amp;AE$1&amp;"|Input"),IF(COUNTIF(Flows!$M$2:$M$1500,$A49&amp;"|"&amp;AE$1&amp;"|Output"),"I/O","IN"),IF(COUNTIF(Flows!$M$2:$M$1500,$A49&amp;"|"&amp;AE$1&amp;"|Output"),"OUT",""))</f>
        <v/>
      </c>
      <c r="AF49" s="33" t="str">
        <f aca="false">IF(COUNTIF(Flows!$M$2:$M$1500,$A49&amp;"|"&amp;AF$1&amp;"|Input"),IF(COUNTIF(Flows!$M$2:$M$1500,$A49&amp;"|"&amp;AF$1&amp;"|Output"),"I/O","IN"),IF(COUNTIF(Flows!$M$2:$M$1500,$A49&amp;"|"&amp;AF$1&amp;"|Output"),"OUT",""))</f>
        <v/>
      </c>
      <c r="AG49" s="33" t="str">
        <f aca="false">IF(COUNTIF(Flows!$M$2:$M$1500,$A49&amp;"|"&amp;AG$1&amp;"|Input"),IF(COUNTIF(Flows!$M$2:$M$1500,$A49&amp;"|"&amp;AG$1&amp;"|Output"),"I/O","IN"),IF(COUNTIF(Flows!$M$2:$M$1500,$A49&amp;"|"&amp;AG$1&amp;"|Output"),"OUT",""))</f>
        <v/>
      </c>
      <c r="AH49" s="33" t="str">
        <f aca="false">IF(COUNTIF(Flows!$M$2:$M$1500,$A49&amp;"|"&amp;AH$1&amp;"|Input"),IF(COUNTIF(Flows!$M$2:$M$1500,$A49&amp;"|"&amp;AH$1&amp;"|Output"),"I/O","IN"),IF(COUNTIF(Flows!$M$2:$M$1500,$A49&amp;"|"&amp;AH$1&amp;"|Output"),"OUT",""))</f>
        <v/>
      </c>
      <c r="AI49" s="33" t="str">
        <f aca="false">IF(COUNTIF(Flows!$M$2:$M$1500,$A49&amp;"|"&amp;AI$1&amp;"|Input"),IF(COUNTIF(Flows!$M$2:$M$1500,$A49&amp;"|"&amp;AI$1&amp;"|Output"),"I/O","IN"),IF(COUNTIF(Flows!$M$2:$M$1500,$A49&amp;"|"&amp;AI$1&amp;"|Output"),"OUT",""))</f>
        <v/>
      </c>
      <c r="AJ49" s="33" t="str">
        <f aca="false">IF(COUNTIF(Flows!$M$2:$M$1500,$A49&amp;"|"&amp;AJ$1&amp;"|Input"),IF(COUNTIF(Flows!$M$2:$M$1500,$A49&amp;"|"&amp;AJ$1&amp;"|Output"),"I/O","IN"),IF(COUNTIF(Flows!$M$2:$M$1500,$A49&amp;"|"&amp;AJ$1&amp;"|Output"),"OUT",""))</f>
        <v/>
      </c>
      <c r="AK49" s="33" t="str">
        <f aca="false">IF(COUNTIF(Flows!$M$2:$M$1500,$A49&amp;"|"&amp;AK$1&amp;"|Input"),IF(COUNTIF(Flows!$M$2:$M$1500,$A49&amp;"|"&amp;AK$1&amp;"|Output"),"I/O","IN"),IF(COUNTIF(Flows!$M$2:$M$1500,$A49&amp;"|"&amp;AK$1&amp;"|Output"),"OUT",""))</f>
        <v/>
      </c>
      <c r="AL49" s="33" t="str">
        <f aca="false">IF(COUNTIF(Flows!$M$2:$M$1500,$A49&amp;"|"&amp;AL$1&amp;"|Input"),IF(COUNTIF(Flows!$M$2:$M$1500,$A49&amp;"|"&amp;AL$1&amp;"|Output"),"I/O","IN"),IF(COUNTIF(Flows!$M$2:$M$1500,$A49&amp;"|"&amp;AL$1&amp;"|Output"),"OUT",""))</f>
        <v/>
      </c>
      <c r="AM49" s="33" t="str">
        <f aca="false">IF(COUNTIF(Flows!$M$2:$M$1500,$A49&amp;"|"&amp;AM$1&amp;"|Input"),IF(COUNTIF(Flows!$M$2:$M$1500,$A49&amp;"|"&amp;AM$1&amp;"|Output"),"I/O","IN"),IF(COUNTIF(Flows!$M$2:$M$1500,$A49&amp;"|"&amp;AM$1&amp;"|Output"),"OUT",""))</f>
        <v/>
      </c>
      <c r="AN49" s="33" t="str">
        <f aca="false">IF(COUNTIF(Flows!$M$2:$M$1500,$A49&amp;"|"&amp;AN$1&amp;"|Input"),IF(COUNTIF(Flows!$M$2:$M$1500,$A49&amp;"|"&amp;AN$1&amp;"|Output"),"I/O","IN"),IF(COUNTIF(Flows!$M$2:$M$1500,$A49&amp;"|"&amp;AN$1&amp;"|Output"),"OUT",""))</f>
        <v/>
      </c>
      <c r="AO49" s="33" t="str">
        <f aca="false">IF(COUNTIF(Flows!$M$2:$M$1500,$A49&amp;"|"&amp;AO$1&amp;"|Input"),IF(COUNTIF(Flows!$M$2:$M$1500,$A49&amp;"|"&amp;AO$1&amp;"|Output"),"I/O","IN"),IF(COUNTIF(Flows!$M$2:$M$1500,$A49&amp;"|"&amp;AO$1&amp;"|Output"),"OUT",""))</f>
        <v/>
      </c>
      <c r="AP49" s="33" t="str">
        <f aca="false">IF(COUNTIF(Flows!$M$2:$M$1500,$A49&amp;"|"&amp;AP$1&amp;"|Input"),IF(COUNTIF(Flows!$M$2:$M$1500,$A49&amp;"|"&amp;AP$1&amp;"|Output"),"I/O","IN"),IF(COUNTIF(Flows!$M$2:$M$1500,$A49&amp;"|"&amp;AP$1&amp;"|Output"),"OUT",""))</f>
        <v>IN</v>
      </c>
      <c r="AQ49" s="33" t="str">
        <f aca="false">IF(COUNTIF(Flows!$M$2:$M$1500,$A49&amp;"|"&amp;AQ$1&amp;"|Input"),IF(COUNTIF(Flows!$M$2:$M$1500,$A49&amp;"|"&amp;AQ$1&amp;"|Output"),"I/O","IN"),IF(COUNTIF(Flows!$M$2:$M$1500,$A49&amp;"|"&amp;AQ$1&amp;"|Output"),"OUT",""))</f>
        <v/>
      </c>
      <c r="AR49" s="33" t="str">
        <f aca="false">IF(COUNTIF(Flows!$M$2:$M$1500,$A49&amp;"|"&amp;AR$1&amp;"|Input"),IF(COUNTIF(Flows!$M$2:$M$1500,$A49&amp;"|"&amp;AR$1&amp;"|Output"),"I/O","IN"),IF(COUNTIF(Flows!$M$2:$M$1500,$A49&amp;"|"&amp;AR$1&amp;"|Output"),"OUT",""))</f>
        <v/>
      </c>
      <c r="AS49" s="33" t="str">
        <f aca="false">IF(COUNTIF(Flows!$M$2:$M$1500,$A49&amp;"|"&amp;AS$1&amp;"|Input"),IF(COUNTIF(Flows!$M$2:$M$1500,$A49&amp;"|"&amp;AS$1&amp;"|Output"),"I/O","IN"),IF(COUNTIF(Flows!$M$2:$M$1500,$A49&amp;"|"&amp;AS$1&amp;"|Output"),"OUT",""))</f>
        <v/>
      </c>
      <c r="AT49" s="33" t="str">
        <f aca="false">IF(COUNTIF(Flows!$M$2:$M$1500,$A49&amp;"|"&amp;AT$1&amp;"|Input"),IF(COUNTIF(Flows!$M$2:$M$1500,$A49&amp;"|"&amp;AT$1&amp;"|Output"),"I/O","IN"),IF(COUNTIF(Flows!$M$2:$M$1500,$A49&amp;"|"&amp;AT$1&amp;"|Output"),"OUT",""))</f>
        <v>IN</v>
      </c>
      <c r="AU49" s="33" t="str">
        <f aca="false">IF(COUNTIF(Flows!$M$2:$M$1500,$A49&amp;"|"&amp;AU$1&amp;"|Input"),IF(COUNTIF(Flows!$M$2:$M$1500,$A49&amp;"|"&amp;AU$1&amp;"|Output"),"I/O","IN"),IF(COUNTIF(Flows!$M$2:$M$1500,$A49&amp;"|"&amp;AU$1&amp;"|Output"),"OUT",""))</f>
        <v>OUT</v>
      </c>
      <c r="AV49" s="33" t="str">
        <f aca="false">IF(COUNTIF(Flows!$M$2:$M$1500,$A49&amp;"|"&amp;AV$1&amp;"|Input"),IF(COUNTIF(Flows!$M$2:$M$1500,$A49&amp;"|"&amp;AV$1&amp;"|Output"),"I/O","IN"),IF(COUNTIF(Flows!$M$2:$M$1500,$A49&amp;"|"&amp;AV$1&amp;"|Output"),"OUT",""))</f>
        <v/>
      </c>
      <c r="AW49" s="33" t="str">
        <f aca="false">IF(COUNTIF(Flows!$M$2:$M$1500,$A49&amp;"|"&amp;AW$1&amp;"|Input"),IF(COUNTIF(Flows!$M$2:$M$1500,$A49&amp;"|"&amp;AW$1&amp;"|Output"),"I/O","IN"),IF(COUNTIF(Flows!$M$2:$M$1500,$A49&amp;"|"&amp;AW$1&amp;"|Output"),"OUT",""))</f>
        <v/>
      </c>
      <c r="AX49" s="33" t="str">
        <f aca="false">IF(COUNTIF(Flows!$M$2:$M$1500,$A49&amp;"|"&amp;AX$1&amp;"|Input"),IF(COUNTIF(Flows!$M$2:$M$1500,$A49&amp;"|"&amp;AX$1&amp;"|Output"),"I/O","IN"),IF(COUNTIF(Flows!$M$2:$M$1500,$A49&amp;"|"&amp;AX$1&amp;"|Output"),"OUT",""))</f>
        <v/>
      </c>
      <c r="AY49" s="33" t="str">
        <f aca="false">IF(COUNTIF(Flows!$M$2:$M$1500,$A49&amp;"|"&amp;AY$1&amp;"|Input"),IF(COUNTIF(Flows!$M$2:$M$1500,$A49&amp;"|"&amp;AY$1&amp;"|Output"),"I/O","IN"),IF(COUNTIF(Flows!$M$2:$M$1500,$A49&amp;"|"&amp;AY$1&amp;"|Output"),"OUT",""))</f>
        <v/>
      </c>
      <c r="AZ49" s="33" t="str">
        <f aca="false">IF(COUNTIF(Flows!$M$2:$M$1500,$A49&amp;"|"&amp;AZ$1&amp;"|Input"),IF(COUNTIF(Flows!$M$2:$M$1500,$A49&amp;"|"&amp;AZ$1&amp;"|Output"),"I/O","IN"),IF(COUNTIF(Flows!$M$2:$M$1500,$A49&amp;"|"&amp;AZ$1&amp;"|Output"),"OUT",""))</f>
        <v/>
      </c>
      <c r="BA49" s="33" t="str">
        <f aca="false">IF(COUNTIF(Flows!$M$2:$M$1500,$A49&amp;"|"&amp;BA$1&amp;"|Input"),IF(COUNTIF(Flows!$M$2:$M$1500,$A49&amp;"|"&amp;BA$1&amp;"|Output"),"I/O","IN"),IF(COUNTIF(Flows!$M$2:$M$1500,$A49&amp;"|"&amp;BA$1&amp;"|Output"),"OUT",""))</f>
        <v/>
      </c>
      <c r="BB49" s="33" t="str">
        <f aca="false">IF(COUNTIF(Flows!$M$2:$M$1500,$A49&amp;"|"&amp;BB$1&amp;"|Input"),IF(COUNTIF(Flows!$M$2:$M$1500,$A49&amp;"|"&amp;BB$1&amp;"|Output"),"I/O","IN"),IF(COUNTIF(Flows!$M$2:$M$1500,$A49&amp;"|"&amp;BB$1&amp;"|Output"),"OUT",""))</f>
        <v/>
      </c>
      <c r="BC49" s="33" t="str">
        <f aca="false">IF(COUNTIF(Flows!$M$2:$M$1500,$A49&amp;"|"&amp;BC$1&amp;"|Input"),IF(COUNTIF(Flows!$M$2:$M$1500,$A49&amp;"|"&amp;BC$1&amp;"|Output"),"I/O","IN"),IF(COUNTIF(Flows!$M$2:$M$1500,$A49&amp;"|"&amp;BC$1&amp;"|Output"),"OUT",""))</f>
        <v/>
      </c>
      <c r="BD49" s="33" t="str">
        <f aca="false">IF(COUNTIF(Flows!$M$2:$M$1500,$A49&amp;"|"&amp;BD$1&amp;"|Input"),IF(COUNTIF(Flows!$M$2:$M$1500,$A49&amp;"|"&amp;BD$1&amp;"|Output"),"I/O","IN"),IF(COUNTIF(Flows!$M$2:$M$1500,$A49&amp;"|"&amp;BD$1&amp;"|Output"),"OUT",""))</f>
        <v/>
      </c>
      <c r="BE49" s="33" t="str">
        <f aca="false">IF(COUNTIF(Flows!$M$2:$M$1500,$A49&amp;"|"&amp;BE$1&amp;"|Input"),IF(COUNTIF(Flows!$M$2:$M$1500,$A49&amp;"|"&amp;BE$1&amp;"|Output"),"I/O","IN"),IF(COUNTIF(Flows!$M$2:$M$1500,$A49&amp;"|"&amp;BE$1&amp;"|Output"),"OUT",""))</f>
        <v/>
      </c>
      <c r="BF49" s="33" t="str">
        <f aca="false">IF(COUNTIF(Flows!$M$2:$M$1500,$A49&amp;"|"&amp;BF$1&amp;"|Input"),IF(COUNTIF(Flows!$M$2:$M$1500,$A49&amp;"|"&amp;BF$1&amp;"|Output"),"I/O","IN"),IF(COUNTIF(Flows!$M$2:$M$1500,$A49&amp;"|"&amp;BF$1&amp;"|Output"),"OUT",""))</f>
        <v/>
      </c>
      <c r="BG49" s="33" t="str">
        <f aca="false">IF(COUNTIF(Flows!$M$2:$M$1500,$A49&amp;"|"&amp;BG$1&amp;"|Input"),IF(COUNTIF(Flows!$M$2:$M$1500,$A49&amp;"|"&amp;BG$1&amp;"|Output"),"I/O","IN"),IF(COUNTIF(Flows!$M$2:$M$1500,$A49&amp;"|"&amp;BG$1&amp;"|Output"),"OUT",""))</f>
        <v/>
      </c>
      <c r="BH49" s="33" t="str">
        <f aca="false">IF(COUNTIF(Flows!$M$2:$M$1500,$A49&amp;"|"&amp;BH$1&amp;"|Input"),IF(COUNTIF(Flows!$M$2:$M$1500,$A49&amp;"|"&amp;BH$1&amp;"|Output"),"I/O","IN"),IF(COUNTIF(Flows!$M$2:$M$1500,$A49&amp;"|"&amp;BH$1&amp;"|Output"),"OUT",""))</f>
        <v/>
      </c>
      <c r="BI49" s="33" t="str">
        <f aca="false">IF(COUNTIF(Flows!$M$2:$M$1500,$A49&amp;"|"&amp;BI$1&amp;"|Input"),IF(COUNTIF(Flows!$M$2:$M$1500,$A49&amp;"|"&amp;BI$1&amp;"|Output"),"I/O","IN"),IF(COUNTIF(Flows!$M$2:$M$1500,$A49&amp;"|"&amp;BI$1&amp;"|Output"),"OUT",""))</f>
        <v/>
      </c>
      <c r="BJ49" s="33" t="str">
        <f aca="false">IF(COUNTIF(Flows!$M$2:$M$1500,$A49&amp;"|"&amp;BJ$1&amp;"|Input"),IF(COUNTIF(Flows!$M$2:$M$1500,$A49&amp;"|"&amp;BJ$1&amp;"|Output"),"I/O","IN"),IF(COUNTIF(Flows!$M$2:$M$1500,$A49&amp;"|"&amp;BJ$1&amp;"|Output"),"OUT",""))</f>
        <v/>
      </c>
      <c r="BK49" s="33" t="str">
        <f aca="false">IF(COUNTIF(Flows!$M$2:$M$1500,$A49&amp;"|"&amp;BK$1&amp;"|Input"),IF(COUNTIF(Flows!$M$2:$M$1500,$A49&amp;"|"&amp;BK$1&amp;"|Output"),"I/O","IN"),IF(COUNTIF(Flows!$M$2:$M$1500,$A49&amp;"|"&amp;BK$1&amp;"|Output"),"OUT",""))</f>
        <v/>
      </c>
    </row>
    <row r="50" customFormat="false" ht="15" hidden="false" customHeight="true" outlineLevel="0" collapsed="false">
      <c r="A50" s="6" t="str">
        <f aca="false">Systems!B50</f>
        <v>Toolshed Workshop</v>
      </c>
      <c r="B50" s="33" t="str">
        <f aca="false">IF(COUNTIF(Flows!$M$2:$M$1500,$A50&amp;"|"&amp;B$1&amp;"|Input"),IF(COUNTIF(Flows!$M$2:$M$1500,$A50&amp;"|"&amp;B$1&amp;"|Output"),"I/O","IN"),IF(COUNTIF(Flows!$M$2:$M$1500,$A50&amp;"|"&amp;B$1&amp;"|Output"),"OUT",""))</f>
        <v/>
      </c>
      <c r="C50" s="33" t="str">
        <f aca="false">IF(COUNTIF(Flows!$M$2:$M$1500,$A50&amp;"|"&amp;C$1&amp;"|Input"),IF(COUNTIF(Flows!$M$2:$M$1500,$A50&amp;"|"&amp;C$1&amp;"|Output"),"I/O","IN"),IF(COUNTIF(Flows!$M$2:$M$1500,$A50&amp;"|"&amp;C$1&amp;"|Output"),"OUT",""))</f>
        <v/>
      </c>
      <c r="D50" s="33" t="str">
        <f aca="false">IF(COUNTIF(Flows!$M$2:$M$1500,$A50&amp;"|"&amp;D$1&amp;"|Input"),IF(COUNTIF(Flows!$M$2:$M$1500,$A50&amp;"|"&amp;D$1&amp;"|Output"),"I/O","IN"),IF(COUNTIF(Flows!$M$2:$M$1500,$A50&amp;"|"&amp;D$1&amp;"|Output"),"OUT",""))</f>
        <v/>
      </c>
      <c r="E50" s="33" t="str">
        <f aca="false">IF(COUNTIF(Flows!$M$2:$M$1500,$A50&amp;"|"&amp;E$1&amp;"|Input"),IF(COUNTIF(Flows!$M$2:$M$1500,$A50&amp;"|"&amp;E$1&amp;"|Output"),"I/O","IN"),IF(COUNTIF(Flows!$M$2:$M$1500,$A50&amp;"|"&amp;E$1&amp;"|Output"),"OUT",""))</f>
        <v/>
      </c>
      <c r="F50" s="33" t="str">
        <f aca="false">IF(COUNTIF(Flows!$M$2:$M$1500,$A50&amp;"|"&amp;F$1&amp;"|Input"),IF(COUNTIF(Flows!$M$2:$M$1500,$A50&amp;"|"&amp;F$1&amp;"|Output"),"I/O","IN"),IF(COUNTIF(Flows!$M$2:$M$1500,$A50&amp;"|"&amp;F$1&amp;"|Output"),"OUT",""))</f>
        <v/>
      </c>
      <c r="G50" s="33" t="str">
        <f aca="false">IF(COUNTIF(Flows!$M$2:$M$1500,$A50&amp;"|"&amp;G$1&amp;"|Input"),IF(COUNTIF(Flows!$M$2:$M$1500,$A50&amp;"|"&amp;G$1&amp;"|Output"),"I/O","IN"),IF(COUNTIF(Flows!$M$2:$M$1500,$A50&amp;"|"&amp;G$1&amp;"|Output"),"OUT",""))</f>
        <v/>
      </c>
      <c r="H50" s="33" t="str">
        <f aca="false">IF(COUNTIF(Flows!$M$2:$M$1500,$A50&amp;"|"&amp;H$1&amp;"|Input"),IF(COUNTIF(Flows!$M$2:$M$1500,$A50&amp;"|"&amp;H$1&amp;"|Output"),"I/O","IN"),IF(COUNTIF(Flows!$M$2:$M$1500,$A50&amp;"|"&amp;H$1&amp;"|Output"),"OUT",""))</f>
        <v/>
      </c>
      <c r="I50" s="33" t="str">
        <f aca="false">IF(COUNTIF(Flows!$M$2:$M$1500,$A50&amp;"|"&amp;I$1&amp;"|Input"),IF(COUNTIF(Flows!$M$2:$M$1500,$A50&amp;"|"&amp;I$1&amp;"|Output"),"I/O","IN"),IF(COUNTIF(Flows!$M$2:$M$1500,$A50&amp;"|"&amp;I$1&amp;"|Output"),"OUT",""))</f>
        <v/>
      </c>
      <c r="J50" s="33" t="str">
        <f aca="false">IF(COUNTIF(Flows!$M$2:$M$1500,$A50&amp;"|"&amp;J$1&amp;"|Input"),IF(COUNTIF(Flows!$M$2:$M$1500,$A50&amp;"|"&amp;J$1&amp;"|Output"),"I/O","IN"),IF(COUNTIF(Flows!$M$2:$M$1500,$A50&amp;"|"&amp;J$1&amp;"|Output"),"OUT",""))</f>
        <v/>
      </c>
      <c r="K50" s="33" t="str">
        <f aca="false">IF(COUNTIF(Flows!$M$2:$M$1500,$A50&amp;"|"&amp;K$1&amp;"|Input"),IF(COUNTIF(Flows!$M$2:$M$1500,$A50&amp;"|"&amp;K$1&amp;"|Output"),"I/O","IN"),IF(COUNTIF(Flows!$M$2:$M$1500,$A50&amp;"|"&amp;K$1&amp;"|Output"),"OUT",""))</f>
        <v/>
      </c>
      <c r="L50" s="33" t="str">
        <f aca="false">IF(COUNTIF(Flows!$M$2:$M$1500,$A50&amp;"|"&amp;L$1&amp;"|Input"),IF(COUNTIF(Flows!$M$2:$M$1500,$A50&amp;"|"&amp;L$1&amp;"|Output"),"I/O","IN"),IF(COUNTIF(Flows!$M$2:$M$1500,$A50&amp;"|"&amp;L$1&amp;"|Output"),"OUT",""))</f>
        <v/>
      </c>
      <c r="M50" s="33" t="str">
        <f aca="false">IF(COUNTIF(Flows!$M$2:$M$1500,$A50&amp;"|"&amp;M$1&amp;"|Input"),IF(COUNTIF(Flows!$M$2:$M$1500,$A50&amp;"|"&amp;M$1&amp;"|Output"),"I/O","IN"),IF(COUNTIF(Flows!$M$2:$M$1500,$A50&amp;"|"&amp;M$1&amp;"|Output"),"OUT",""))</f>
        <v/>
      </c>
      <c r="N50" s="33" t="str">
        <f aca="false">IF(COUNTIF(Flows!$M$2:$M$1500,$A50&amp;"|"&amp;N$1&amp;"|Input"),IF(COUNTIF(Flows!$M$2:$M$1500,$A50&amp;"|"&amp;N$1&amp;"|Output"),"I/O","IN"),IF(COUNTIF(Flows!$M$2:$M$1500,$A50&amp;"|"&amp;N$1&amp;"|Output"),"OUT",""))</f>
        <v/>
      </c>
      <c r="O50" s="33" t="str">
        <f aca="false">IF(COUNTIF(Flows!$M$2:$M$1500,$A50&amp;"|"&amp;O$1&amp;"|Input"),IF(COUNTIF(Flows!$M$2:$M$1500,$A50&amp;"|"&amp;O$1&amp;"|Output"),"I/O","IN"),IF(COUNTIF(Flows!$M$2:$M$1500,$A50&amp;"|"&amp;O$1&amp;"|Output"),"OUT",""))</f>
        <v/>
      </c>
      <c r="P50" s="33" t="str">
        <f aca="false">IF(COUNTIF(Flows!$M$2:$M$1500,$A50&amp;"|"&amp;P$1&amp;"|Input"),IF(COUNTIF(Flows!$M$2:$M$1500,$A50&amp;"|"&amp;P$1&amp;"|Output"),"I/O","IN"),IF(COUNTIF(Flows!$M$2:$M$1500,$A50&amp;"|"&amp;P$1&amp;"|Output"),"OUT",""))</f>
        <v/>
      </c>
      <c r="Q50" s="33" t="str">
        <f aca="false">IF(COUNTIF(Flows!$M$2:$M$1500,$A50&amp;"|"&amp;Q$1&amp;"|Input"),IF(COUNTIF(Flows!$M$2:$M$1500,$A50&amp;"|"&amp;Q$1&amp;"|Output"),"I/O","IN"),IF(COUNTIF(Flows!$M$2:$M$1500,$A50&amp;"|"&amp;Q$1&amp;"|Output"),"OUT",""))</f>
        <v/>
      </c>
      <c r="R50" s="33" t="str">
        <f aca="false">IF(COUNTIF(Flows!$M$2:$M$1500,$A50&amp;"|"&amp;R$1&amp;"|Input"),IF(COUNTIF(Flows!$M$2:$M$1500,$A50&amp;"|"&amp;R$1&amp;"|Output"),"I/O","IN"),IF(COUNTIF(Flows!$M$2:$M$1500,$A50&amp;"|"&amp;R$1&amp;"|Output"),"OUT",""))</f>
        <v/>
      </c>
      <c r="S50" s="33" t="str">
        <f aca="false">IF(COUNTIF(Flows!$M$2:$M$1500,$A50&amp;"|"&amp;S$1&amp;"|Input"),IF(COUNTIF(Flows!$M$2:$M$1500,$A50&amp;"|"&amp;S$1&amp;"|Output"),"I/O","IN"),IF(COUNTIF(Flows!$M$2:$M$1500,$A50&amp;"|"&amp;S$1&amp;"|Output"),"OUT",""))</f>
        <v/>
      </c>
      <c r="T50" s="33" t="str">
        <f aca="false">IF(COUNTIF(Flows!$M$2:$M$1500,$A50&amp;"|"&amp;T$1&amp;"|Input"),IF(COUNTIF(Flows!$M$2:$M$1500,$A50&amp;"|"&amp;T$1&amp;"|Output"),"I/O","IN"),IF(COUNTIF(Flows!$M$2:$M$1500,$A50&amp;"|"&amp;T$1&amp;"|Output"),"OUT",""))</f>
        <v/>
      </c>
      <c r="U50" s="33" t="str">
        <f aca="false">IF(COUNTIF(Flows!$M$2:$M$1500,$A50&amp;"|"&amp;U$1&amp;"|Input"),IF(COUNTIF(Flows!$M$2:$M$1500,$A50&amp;"|"&amp;U$1&amp;"|Output"),"I/O","IN"),IF(COUNTIF(Flows!$M$2:$M$1500,$A50&amp;"|"&amp;U$1&amp;"|Output"),"OUT",""))</f>
        <v/>
      </c>
      <c r="V50" s="33" t="str">
        <f aca="false">IF(COUNTIF(Flows!$M$2:$M$1500,$A50&amp;"|"&amp;V$1&amp;"|Input"),IF(COUNTIF(Flows!$M$2:$M$1500,$A50&amp;"|"&amp;V$1&amp;"|Output"),"I/O","IN"),IF(COUNTIF(Flows!$M$2:$M$1500,$A50&amp;"|"&amp;V$1&amp;"|Output"),"OUT",""))</f>
        <v/>
      </c>
      <c r="W50" s="33" t="str">
        <f aca="false">IF(COUNTIF(Flows!$M$2:$M$1500,$A50&amp;"|"&amp;W$1&amp;"|Input"),IF(COUNTIF(Flows!$M$2:$M$1500,$A50&amp;"|"&amp;W$1&amp;"|Output"),"I/O","IN"),IF(COUNTIF(Flows!$M$2:$M$1500,$A50&amp;"|"&amp;W$1&amp;"|Output"),"OUT",""))</f>
        <v/>
      </c>
      <c r="X50" s="33" t="str">
        <f aca="false">IF(COUNTIF(Flows!$M$2:$M$1500,$A50&amp;"|"&amp;X$1&amp;"|Input"),IF(COUNTIF(Flows!$M$2:$M$1500,$A50&amp;"|"&amp;X$1&amp;"|Output"),"I/O","IN"),IF(COUNTIF(Flows!$M$2:$M$1500,$A50&amp;"|"&amp;X$1&amp;"|Output"),"OUT",""))</f>
        <v>IN</v>
      </c>
      <c r="Y50" s="33" t="str">
        <f aca="false">IF(COUNTIF(Flows!$M$2:$M$1500,$A50&amp;"|"&amp;Y$1&amp;"|Input"),IF(COUNTIF(Flows!$M$2:$M$1500,$A50&amp;"|"&amp;Y$1&amp;"|Output"),"I/O","IN"),IF(COUNTIF(Flows!$M$2:$M$1500,$A50&amp;"|"&amp;Y$1&amp;"|Output"),"OUT",""))</f>
        <v/>
      </c>
      <c r="Z50" s="33" t="str">
        <f aca="false">IF(COUNTIF(Flows!$M$2:$M$1500,$A50&amp;"|"&amp;Z$1&amp;"|Input"),IF(COUNTIF(Flows!$M$2:$M$1500,$A50&amp;"|"&amp;Z$1&amp;"|Output"),"I/O","IN"),IF(COUNTIF(Flows!$M$2:$M$1500,$A50&amp;"|"&amp;Z$1&amp;"|Output"),"OUT",""))</f>
        <v/>
      </c>
      <c r="AA50" s="33" t="str">
        <f aca="false">IF(COUNTIF(Flows!$M$2:$M$1500,$A50&amp;"|"&amp;AA$1&amp;"|Input"),IF(COUNTIF(Flows!$M$2:$M$1500,$A50&amp;"|"&amp;AA$1&amp;"|Output"),"I/O","IN"),IF(COUNTIF(Flows!$M$2:$M$1500,$A50&amp;"|"&amp;AA$1&amp;"|Output"),"OUT",""))</f>
        <v/>
      </c>
      <c r="AB50" s="33" t="str">
        <f aca="false">IF(COUNTIF(Flows!$M$2:$M$1500,$A50&amp;"|"&amp;AB$1&amp;"|Input"),IF(COUNTIF(Flows!$M$2:$M$1500,$A50&amp;"|"&amp;AB$1&amp;"|Output"),"I/O","IN"),IF(COUNTIF(Flows!$M$2:$M$1500,$A50&amp;"|"&amp;AB$1&amp;"|Output"),"OUT",""))</f>
        <v/>
      </c>
      <c r="AC50" s="33" t="str">
        <f aca="false">IF(COUNTIF(Flows!$M$2:$M$1500,$A50&amp;"|"&amp;AC$1&amp;"|Input"),IF(COUNTIF(Flows!$M$2:$M$1500,$A50&amp;"|"&amp;AC$1&amp;"|Output"),"I/O","IN"),IF(COUNTIF(Flows!$M$2:$M$1500,$A50&amp;"|"&amp;AC$1&amp;"|Output"),"OUT",""))</f>
        <v/>
      </c>
      <c r="AD50" s="33" t="str">
        <f aca="false">IF(COUNTIF(Flows!$M$2:$M$1500,$A50&amp;"|"&amp;AD$1&amp;"|Input"),IF(COUNTIF(Flows!$M$2:$M$1500,$A50&amp;"|"&amp;AD$1&amp;"|Output"),"I/O","IN"),IF(COUNTIF(Flows!$M$2:$M$1500,$A50&amp;"|"&amp;AD$1&amp;"|Output"),"OUT",""))</f>
        <v>OUT</v>
      </c>
      <c r="AE50" s="33" t="str">
        <f aca="false">IF(COUNTIF(Flows!$M$2:$M$1500,$A50&amp;"|"&amp;AE$1&amp;"|Input"),IF(COUNTIF(Flows!$M$2:$M$1500,$A50&amp;"|"&amp;AE$1&amp;"|Output"),"I/O","IN"),IF(COUNTIF(Flows!$M$2:$M$1500,$A50&amp;"|"&amp;AE$1&amp;"|Output"),"OUT",""))</f>
        <v/>
      </c>
      <c r="AF50" s="33" t="str">
        <f aca="false">IF(COUNTIF(Flows!$M$2:$M$1500,$A50&amp;"|"&amp;AF$1&amp;"|Input"),IF(COUNTIF(Flows!$M$2:$M$1500,$A50&amp;"|"&amp;AF$1&amp;"|Output"),"I/O","IN"),IF(COUNTIF(Flows!$M$2:$M$1500,$A50&amp;"|"&amp;AF$1&amp;"|Output"),"OUT",""))</f>
        <v/>
      </c>
      <c r="AG50" s="33" t="str">
        <f aca="false">IF(COUNTIF(Flows!$M$2:$M$1500,$A50&amp;"|"&amp;AG$1&amp;"|Input"),IF(COUNTIF(Flows!$M$2:$M$1500,$A50&amp;"|"&amp;AG$1&amp;"|Output"),"I/O","IN"),IF(COUNTIF(Flows!$M$2:$M$1500,$A50&amp;"|"&amp;AG$1&amp;"|Output"),"OUT",""))</f>
        <v/>
      </c>
      <c r="AH50" s="33" t="str">
        <f aca="false">IF(COUNTIF(Flows!$M$2:$M$1500,$A50&amp;"|"&amp;AH$1&amp;"|Input"),IF(COUNTIF(Flows!$M$2:$M$1500,$A50&amp;"|"&amp;AH$1&amp;"|Output"),"I/O","IN"),IF(COUNTIF(Flows!$M$2:$M$1500,$A50&amp;"|"&amp;AH$1&amp;"|Output"),"OUT",""))</f>
        <v>OUT</v>
      </c>
      <c r="AI50" s="33" t="str">
        <f aca="false">IF(COUNTIF(Flows!$M$2:$M$1500,$A50&amp;"|"&amp;AI$1&amp;"|Input"),IF(COUNTIF(Flows!$M$2:$M$1500,$A50&amp;"|"&amp;AI$1&amp;"|Output"),"I/O","IN"),IF(COUNTIF(Flows!$M$2:$M$1500,$A50&amp;"|"&amp;AI$1&amp;"|Output"),"OUT",""))</f>
        <v/>
      </c>
      <c r="AJ50" s="33" t="str">
        <f aca="false">IF(COUNTIF(Flows!$M$2:$M$1500,$A50&amp;"|"&amp;AJ$1&amp;"|Input"),IF(COUNTIF(Flows!$M$2:$M$1500,$A50&amp;"|"&amp;AJ$1&amp;"|Output"),"I/O","IN"),IF(COUNTIF(Flows!$M$2:$M$1500,$A50&amp;"|"&amp;AJ$1&amp;"|Output"),"OUT",""))</f>
        <v/>
      </c>
      <c r="AK50" s="33" t="str">
        <f aca="false">IF(COUNTIF(Flows!$M$2:$M$1500,$A50&amp;"|"&amp;AK$1&amp;"|Input"),IF(COUNTIF(Flows!$M$2:$M$1500,$A50&amp;"|"&amp;AK$1&amp;"|Output"),"I/O","IN"),IF(COUNTIF(Flows!$M$2:$M$1500,$A50&amp;"|"&amp;AK$1&amp;"|Output"),"OUT",""))</f>
        <v/>
      </c>
      <c r="AL50" s="33" t="str">
        <f aca="false">IF(COUNTIF(Flows!$M$2:$M$1500,$A50&amp;"|"&amp;AL$1&amp;"|Input"),IF(COUNTIF(Flows!$M$2:$M$1500,$A50&amp;"|"&amp;AL$1&amp;"|Output"),"I/O","IN"),IF(COUNTIF(Flows!$M$2:$M$1500,$A50&amp;"|"&amp;AL$1&amp;"|Output"),"OUT",""))</f>
        <v/>
      </c>
      <c r="AM50" s="33" t="str">
        <f aca="false">IF(COUNTIF(Flows!$M$2:$M$1500,$A50&amp;"|"&amp;AM$1&amp;"|Input"),IF(COUNTIF(Flows!$M$2:$M$1500,$A50&amp;"|"&amp;AM$1&amp;"|Output"),"I/O","IN"),IF(COUNTIF(Flows!$M$2:$M$1500,$A50&amp;"|"&amp;AM$1&amp;"|Output"),"OUT",""))</f>
        <v/>
      </c>
      <c r="AN50" s="33" t="str">
        <f aca="false">IF(COUNTIF(Flows!$M$2:$M$1500,$A50&amp;"|"&amp;AN$1&amp;"|Input"),IF(COUNTIF(Flows!$M$2:$M$1500,$A50&amp;"|"&amp;AN$1&amp;"|Output"),"I/O","IN"),IF(COUNTIF(Flows!$M$2:$M$1500,$A50&amp;"|"&amp;AN$1&amp;"|Output"),"OUT",""))</f>
        <v/>
      </c>
      <c r="AO50" s="33" t="str">
        <f aca="false">IF(COUNTIF(Flows!$M$2:$M$1500,$A50&amp;"|"&amp;AO$1&amp;"|Input"),IF(COUNTIF(Flows!$M$2:$M$1500,$A50&amp;"|"&amp;AO$1&amp;"|Output"),"I/O","IN"),IF(COUNTIF(Flows!$M$2:$M$1500,$A50&amp;"|"&amp;AO$1&amp;"|Output"),"OUT",""))</f>
        <v>IN</v>
      </c>
      <c r="AP50" s="33" t="str">
        <f aca="false">IF(COUNTIF(Flows!$M$2:$M$1500,$A50&amp;"|"&amp;AP$1&amp;"|Input"),IF(COUNTIF(Flows!$M$2:$M$1500,$A50&amp;"|"&amp;AP$1&amp;"|Output"),"I/O","IN"),IF(COUNTIF(Flows!$M$2:$M$1500,$A50&amp;"|"&amp;AP$1&amp;"|Output"),"OUT",""))</f>
        <v/>
      </c>
      <c r="AQ50" s="33" t="str">
        <f aca="false">IF(COUNTIF(Flows!$M$2:$M$1500,$A50&amp;"|"&amp;AQ$1&amp;"|Input"),IF(COUNTIF(Flows!$M$2:$M$1500,$A50&amp;"|"&amp;AQ$1&amp;"|Output"),"I/O","IN"),IF(COUNTIF(Flows!$M$2:$M$1500,$A50&amp;"|"&amp;AQ$1&amp;"|Output"),"OUT",""))</f>
        <v/>
      </c>
      <c r="AR50" s="33" t="str">
        <f aca="false">IF(COUNTIF(Flows!$M$2:$M$1500,$A50&amp;"|"&amp;AR$1&amp;"|Input"),IF(COUNTIF(Flows!$M$2:$M$1500,$A50&amp;"|"&amp;AR$1&amp;"|Output"),"I/O","IN"),IF(COUNTIF(Flows!$M$2:$M$1500,$A50&amp;"|"&amp;AR$1&amp;"|Output"),"OUT",""))</f>
        <v/>
      </c>
      <c r="AS50" s="33" t="str">
        <f aca="false">IF(COUNTIF(Flows!$M$2:$M$1500,$A50&amp;"|"&amp;AS$1&amp;"|Input"),IF(COUNTIF(Flows!$M$2:$M$1500,$A50&amp;"|"&amp;AS$1&amp;"|Output"),"I/O","IN"),IF(COUNTIF(Flows!$M$2:$M$1500,$A50&amp;"|"&amp;AS$1&amp;"|Output"),"OUT",""))</f>
        <v/>
      </c>
      <c r="AT50" s="33" t="str">
        <f aca="false">IF(COUNTIF(Flows!$M$2:$M$1500,$A50&amp;"|"&amp;AT$1&amp;"|Input"),IF(COUNTIF(Flows!$M$2:$M$1500,$A50&amp;"|"&amp;AT$1&amp;"|Output"),"I/O","IN"),IF(COUNTIF(Flows!$M$2:$M$1500,$A50&amp;"|"&amp;AT$1&amp;"|Output"),"OUT",""))</f>
        <v/>
      </c>
      <c r="AU50" s="33" t="str">
        <f aca="false">IF(COUNTIF(Flows!$M$2:$M$1500,$A50&amp;"|"&amp;AU$1&amp;"|Input"),IF(COUNTIF(Flows!$M$2:$M$1500,$A50&amp;"|"&amp;AU$1&amp;"|Output"),"I/O","IN"),IF(COUNTIF(Flows!$M$2:$M$1500,$A50&amp;"|"&amp;AU$1&amp;"|Output"),"OUT",""))</f>
        <v/>
      </c>
      <c r="AV50" s="33" t="str">
        <f aca="false">IF(COUNTIF(Flows!$M$2:$M$1500,$A50&amp;"|"&amp;AV$1&amp;"|Input"),IF(COUNTIF(Flows!$M$2:$M$1500,$A50&amp;"|"&amp;AV$1&amp;"|Output"),"I/O","IN"),IF(COUNTIF(Flows!$M$2:$M$1500,$A50&amp;"|"&amp;AV$1&amp;"|Output"),"OUT",""))</f>
        <v/>
      </c>
      <c r="AW50" s="33" t="str">
        <f aca="false">IF(COUNTIF(Flows!$M$2:$M$1500,$A50&amp;"|"&amp;AW$1&amp;"|Input"),IF(COUNTIF(Flows!$M$2:$M$1500,$A50&amp;"|"&amp;AW$1&amp;"|Output"),"I/O","IN"),IF(COUNTIF(Flows!$M$2:$M$1500,$A50&amp;"|"&amp;AW$1&amp;"|Output"),"OUT",""))</f>
        <v/>
      </c>
      <c r="AX50" s="33" t="str">
        <f aca="false">IF(COUNTIF(Flows!$M$2:$M$1500,$A50&amp;"|"&amp;AX$1&amp;"|Input"),IF(COUNTIF(Flows!$M$2:$M$1500,$A50&amp;"|"&amp;AX$1&amp;"|Output"),"I/O","IN"),IF(COUNTIF(Flows!$M$2:$M$1500,$A50&amp;"|"&amp;AX$1&amp;"|Output"),"OUT",""))</f>
        <v/>
      </c>
      <c r="AY50" s="33" t="str">
        <f aca="false">IF(COUNTIF(Flows!$M$2:$M$1500,$A50&amp;"|"&amp;AY$1&amp;"|Input"),IF(COUNTIF(Flows!$M$2:$M$1500,$A50&amp;"|"&amp;AY$1&amp;"|Output"),"I/O","IN"),IF(COUNTIF(Flows!$M$2:$M$1500,$A50&amp;"|"&amp;AY$1&amp;"|Output"),"OUT",""))</f>
        <v/>
      </c>
      <c r="AZ50" s="33" t="str">
        <f aca="false">IF(COUNTIF(Flows!$M$2:$M$1500,$A50&amp;"|"&amp;AZ$1&amp;"|Input"),IF(COUNTIF(Flows!$M$2:$M$1500,$A50&amp;"|"&amp;AZ$1&amp;"|Output"),"I/O","IN"),IF(COUNTIF(Flows!$M$2:$M$1500,$A50&amp;"|"&amp;AZ$1&amp;"|Output"),"OUT",""))</f>
        <v/>
      </c>
      <c r="BA50" s="33" t="str">
        <f aca="false">IF(COUNTIF(Flows!$M$2:$M$1500,$A50&amp;"|"&amp;BA$1&amp;"|Input"),IF(COUNTIF(Flows!$M$2:$M$1500,$A50&amp;"|"&amp;BA$1&amp;"|Output"),"I/O","IN"),IF(COUNTIF(Flows!$M$2:$M$1500,$A50&amp;"|"&amp;BA$1&amp;"|Output"),"OUT",""))</f>
        <v/>
      </c>
      <c r="BB50" s="33" t="str">
        <f aca="false">IF(COUNTIF(Flows!$M$2:$M$1500,$A50&amp;"|"&amp;BB$1&amp;"|Input"),IF(COUNTIF(Flows!$M$2:$M$1500,$A50&amp;"|"&amp;BB$1&amp;"|Output"),"I/O","IN"),IF(COUNTIF(Flows!$M$2:$M$1500,$A50&amp;"|"&amp;BB$1&amp;"|Output"),"OUT",""))</f>
        <v/>
      </c>
      <c r="BC50" s="33" t="str">
        <f aca="false">IF(COUNTIF(Flows!$M$2:$M$1500,$A50&amp;"|"&amp;BC$1&amp;"|Input"),IF(COUNTIF(Flows!$M$2:$M$1500,$A50&amp;"|"&amp;BC$1&amp;"|Output"),"I/O","IN"),IF(COUNTIF(Flows!$M$2:$M$1500,$A50&amp;"|"&amp;BC$1&amp;"|Output"),"OUT",""))</f>
        <v/>
      </c>
      <c r="BD50" s="33" t="str">
        <f aca="false">IF(COUNTIF(Flows!$M$2:$M$1500,$A50&amp;"|"&amp;BD$1&amp;"|Input"),IF(COUNTIF(Flows!$M$2:$M$1500,$A50&amp;"|"&amp;BD$1&amp;"|Output"),"I/O","IN"),IF(COUNTIF(Flows!$M$2:$M$1500,$A50&amp;"|"&amp;BD$1&amp;"|Output"),"OUT",""))</f>
        <v/>
      </c>
      <c r="BE50" s="33" t="str">
        <f aca="false">IF(COUNTIF(Flows!$M$2:$M$1500,$A50&amp;"|"&amp;BE$1&amp;"|Input"),IF(COUNTIF(Flows!$M$2:$M$1500,$A50&amp;"|"&amp;BE$1&amp;"|Output"),"I/O","IN"),IF(COUNTIF(Flows!$M$2:$M$1500,$A50&amp;"|"&amp;BE$1&amp;"|Output"),"OUT",""))</f>
        <v/>
      </c>
      <c r="BF50" s="33" t="str">
        <f aca="false">IF(COUNTIF(Flows!$M$2:$M$1500,$A50&amp;"|"&amp;BF$1&amp;"|Input"),IF(COUNTIF(Flows!$M$2:$M$1500,$A50&amp;"|"&amp;BF$1&amp;"|Output"),"I/O","IN"),IF(COUNTIF(Flows!$M$2:$M$1500,$A50&amp;"|"&amp;BF$1&amp;"|Output"),"OUT",""))</f>
        <v/>
      </c>
      <c r="BG50" s="33" t="str">
        <f aca="false">IF(COUNTIF(Flows!$M$2:$M$1500,$A50&amp;"|"&amp;BG$1&amp;"|Input"),IF(COUNTIF(Flows!$M$2:$M$1500,$A50&amp;"|"&amp;BG$1&amp;"|Output"),"I/O","IN"),IF(COUNTIF(Flows!$M$2:$M$1500,$A50&amp;"|"&amp;BG$1&amp;"|Output"),"OUT",""))</f>
        <v/>
      </c>
      <c r="BH50" s="33" t="str">
        <f aca="false">IF(COUNTIF(Flows!$M$2:$M$1500,$A50&amp;"|"&amp;BH$1&amp;"|Input"),IF(COUNTIF(Flows!$M$2:$M$1500,$A50&amp;"|"&amp;BH$1&amp;"|Output"),"I/O","IN"),IF(COUNTIF(Flows!$M$2:$M$1500,$A50&amp;"|"&amp;BH$1&amp;"|Output"),"OUT",""))</f>
        <v/>
      </c>
      <c r="BI50" s="33" t="str">
        <f aca="false">IF(COUNTIF(Flows!$M$2:$M$1500,$A50&amp;"|"&amp;BI$1&amp;"|Input"),IF(COUNTIF(Flows!$M$2:$M$1500,$A50&amp;"|"&amp;BI$1&amp;"|Output"),"I/O","IN"),IF(COUNTIF(Flows!$M$2:$M$1500,$A50&amp;"|"&amp;BI$1&amp;"|Output"),"OUT",""))</f>
        <v/>
      </c>
      <c r="BJ50" s="33" t="str">
        <f aca="false">IF(COUNTIF(Flows!$M$2:$M$1500,$A50&amp;"|"&amp;BJ$1&amp;"|Input"),IF(COUNTIF(Flows!$M$2:$M$1500,$A50&amp;"|"&amp;BJ$1&amp;"|Output"),"I/O","IN"),IF(COUNTIF(Flows!$M$2:$M$1500,$A50&amp;"|"&amp;BJ$1&amp;"|Output"),"OUT",""))</f>
        <v/>
      </c>
      <c r="BK50" s="33" t="str">
        <f aca="false">IF(COUNTIF(Flows!$M$2:$M$1500,$A50&amp;"|"&amp;BK$1&amp;"|Input"),IF(COUNTIF(Flows!$M$2:$M$1500,$A50&amp;"|"&amp;BK$1&amp;"|Output"),"I/O","IN"),IF(COUNTIF(Flows!$M$2:$M$1500,$A50&amp;"|"&amp;BK$1&amp;"|Output"),"OUT",""))</f>
        <v>OUT</v>
      </c>
    </row>
    <row r="51" customFormat="false" ht="15" hidden="false" customHeight="true" outlineLevel="0" collapsed="false">
      <c r="A51" s="6" t="str">
        <f aca="false">Systems!B51</f>
        <v>Duck</v>
      </c>
      <c r="B51" s="33" t="str">
        <f aca="false">IF(COUNTIF(Flows!$M$2:$M$1500,$A51&amp;"|"&amp;B$1&amp;"|Input"),IF(COUNTIF(Flows!$M$2:$M$1500,$A51&amp;"|"&amp;B$1&amp;"|Output"),"I/O","IN"),IF(COUNTIF(Flows!$M$2:$M$1500,$A51&amp;"|"&amp;B$1&amp;"|Output"),"OUT",""))</f>
        <v>IN</v>
      </c>
      <c r="C51" s="33" t="str">
        <f aca="false">IF(COUNTIF(Flows!$M$2:$M$1500,$A51&amp;"|"&amp;C$1&amp;"|Input"),IF(COUNTIF(Flows!$M$2:$M$1500,$A51&amp;"|"&amp;C$1&amp;"|Output"),"I/O","IN"),IF(COUNTIF(Flows!$M$2:$M$1500,$A51&amp;"|"&amp;C$1&amp;"|Output"),"OUT",""))</f>
        <v/>
      </c>
      <c r="D51" s="33" t="str">
        <f aca="false">IF(COUNTIF(Flows!$M$2:$M$1500,$A51&amp;"|"&amp;D$1&amp;"|Input"),IF(COUNTIF(Flows!$M$2:$M$1500,$A51&amp;"|"&amp;D$1&amp;"|Output"),"I/O","IN"),IF(COUNTIF(Flows!$M$2:$M$1500,$A51&amp;"|"&amp;D$1&amp;"|Output"),"OUT",""))</f>
        <v/>
      </c>
      <c r="E51" s="33" t="str">
        <f aca="false">IF(COUNTIF(Flows!$M$2:$M$1500,$A51&amp;"|"&amp;E$1&amp;"|Input"),IF(COUNTIF(Flows!$M$2:$M$1500,$A51&amp;"|"&amp;E$1&amp;"|Output"),"I/O","IN"),IF(COUNTIF(Flows!$M$2:$M$1500,$A51&amp;"|"&amp;E$1&amp;"|Output"),"OUT",""))</f>
        <v/>
      </c>
      <c r="F51" s="33" t="str">
        <f aca="false">IF(COUNTIF(Flows!$M$2:$M$1500,$A51&amp;"|"&amp;F$1&amp;"|Input"),IF(COUNTIF(Flows!$M$2:$M$1500,$A51&amp;"|"&amp;F$1&amp;"|Output"),"I/O","IN"),IF(COUNTIF(Flows!$M$2:$M$1500,$A51&amp;"|"&amp;F$1&amp;"|Output"),"OUT",""))</f>
        <v/>
      </c>
      <c r="G51" s="33" t="str">
        <f aca="false">IF(COUNTIF(Flows!$M$2:$M$1500,$A51&amp;"|"&amp;G$1&amp;"|Input"),IF(COUNTIF(Flows!$M$2:$M$1500,$A51&amp;"|"&amp;G$1&amp;"|Output"),"I/O","IN"),IF(COUNTIF(Flows!$M$2:$M$1500,$A51&amp;"|"&amp;G$1&amp;"|Output"),"OUT",""))</f>
        <v/>
      </c>
      <c r="H51" s="33" t="str">
        <f aca="false">IF(COUNTIF(Flows!$M$2:$M$1500,$A51&amp;"|"&amp;H$1&amp;"|Input"),IF(COUNTIF(Flows!$M$2:$M$1500,$A51&amp;"|"&amp;H$1&amp;"|Output"),"I/O","IN"),IF(COUNTIF(Flows!$M$2:$M$1500,$A51&amp;"|"&amp;H$1&amp;"|Output"),"OUT",""))</f>
        <v/>
      </c>
      <c r="I51" s="33" t="str">
        <f aca="false">IF(COUNTIF(Flows!$M$2:$M$1500,$A51&amp;"|"&amp;I$1&amp;"|Input"),IF(COUNTIF(Flows!$M$2:$M$1500,$A51&amp;"|"&amp;I$1&amp;"|Output"),"I/O","IN"),IF(COUNTIF(Flows!$M$2:$M$1500,$A51&amp;"|"&amp;I$1&amp;"|Output"),"OUT",""))</f>
        <v/>
      </c>
      <c r="J51" s="33" t="str">
        <f aca="false">IF(COUNTIF(Flows!$M$2:$M$1500,$A51&amp;"|"&amp;J$1&amp;"|Input"),IF(COUNTIF(Flows!$M$2:$M$1500,$A51&amp;"|"&amp;J$1&amp;"|Output"),"I/O","IN"),IF(COUNTIF(Flows!$M$2:$M$1500,$A51&amp;"|"&amp;J$1&amp;"|Output"),"OUT",""))</f>
        <v>OUT</v>
      </c>
      <c r="K51" s="33" t="str">
        <f aca="false">IF(COUNTIF(Flows!$M$2:$M$1500,$A51&amp;"|"&amp;K$1&amp;"|Input"),IF(COUNTIF(Flows!$M$2:$M$1500,$A51&amp;"|"&amp;K$1&amp;"|Output"),"I/O","IN"),IF(COUNTIF(Flows!$M$2:$M$1500,$A51&amp;"|"&amp;K$1&amp;"|Output"),"OUT",""))</f>
        <v/>
      </c>
      <c r="L51" s="33" t="str">
        <f aca="false">IF(COUNTIF(Flows!$M$2:$M$1500,$A51&amp;"|"&amp;L$1&amp;"|Input"),IF(COUNTIF(Flows!$M$2:$M$1500,$A51&amp;"|"&amp;L$1&amp;"|Output"),"I/O","IN"),IF(COUNTIF(Flows!$M$2:$M$1500,$A51&amp;"|"&amp;L$1&amp;"|Output"),"OUT",""))</f>
        <v/>
      </c>
      <c r="M51" s="33" t="str">
        <f aca="false">IF(COUNTIF(Flows!$M$2:$M$1500,$A51&amp;"|"&amp;M$1&amp;"|Input"),IF(COUNTIF(Flows!$M$2:$M$1500,$A51&amp;"|"&amp;M$1&amp;"|Output"),"I/O","IN"),IF(COUNTIF(Flows!$M$2:$M$1500,$A51&amp;"|"&amp;M$1&amp;"|Output"),"OUT",""))</f>
        <v/>
      </c>
      <c r="N51" s="33" t="str">
        <f aca="false">IF(COUNTIF(Flows!$M$2:$M$1500,$A51&amp;"|"&amp;N$1&amp;"|Input"),IF(COUNTIF(Flows!$M$2:$M$1500,$A51&amp;"|"&amp;N$1&amp;"|Output"),"I/O","IN"),IF(COUNTIF(Flows!$M$2:$M$1500,$A51&amp;"|"&amp;N$1&amp;"|Output"),"OUT",""))</f>
        <v/>
      </c>
      <c r="O51" s="33" t="str">
        <f aca="false">IF(COUNTIF(Flows!$M$2:$M$1500,$A51&amp;"|"&amp;O$1&amp;"|Input"),IF(COUNTIF(Flows!$M$2:$M$1500,$A51&amp;"|"&amp;O$1&amp;"|Output"),"I/O","IN"),IF(COUNTIF(Flows!$M$2:$M$1500,$A51&amp;"|"&amp;O$1&amp;"|Output"),"OUT",""))</f>
        <v/>
      </c>
      <c r="P51" s="33" t="str">
        <f aca="false">IF(COUNTIF(Flows!$M$2:$M$1500,$A51&amp;"|"&amp;P$1&amp;"|Input"),IF(COUNTIF(Flows!$M$2:$M$1500,$A51&amp;"|"&amp;P$1&amp;"|Output"),"I/O","IN"),IF(COUNTIF(Flows!$M$2:$M$1500,$A51&amp;"|"&amp;P$1&amp;"|Output"),"OUT",""))</f>
        <v/>
      </c>
      <c r="Q51" s="33" t="str">
        <f aca="false">IF(COUNTIF(Flows!$M$2:$M$1500,$A51&amp;"|"&amp;Q$1&amp;"|Input"),IF(COUNTIF(Flows!$M$2:$M$1500,$A51&amp;"|"&amp;Q$1&amp;"|Output"),"I/O","IN"),IF(COUNTIF(Flows!$M$2:$M$1500,$A51&amp;"|"&amp;Q$1&amp;"|Output"),"OUT",""))</f>
        <v/>
      </c>
      <c r="R51" s="33" t="str">
        <f aca="false">IF(COUNTIF(Flows!$M$2:$M$1500,$A51&amp;"|"&amp;R$1&amp;"|Input"),IF(COUNTIF(Flows!$M$2:$M$1500,$A51&amp;"|"&amp;R$1&amp;"|Output"),"I/O","IN"),IF(COUNTIF(Flows!$M$2:$M$1500,$A51&amp;"|"&amp;R$1&amp;"|Output"),"OUT",""))</f>
        <v/>
      </c>
      <c r="S51" s="33" t="str">
        <f aca="false">IF(COUNTIF(Flows!$M$2:$M$1500,$A51&amp;"|"&amp;S$1&amp;"|Input"),IF(COUNTIF(Flows!$M$2:$M$1500,$A51&amp;"|"&amp;S$1&amp;"|Output"),"I/O","IN"),IF(COUNTIF(Flows!$M$2:$M$1500,$A51&amp;"|"&amp;S$1&amp;"|Output"),"OUT",""))</f>
        <v/>
      </c>
      <c r="T51" s="33" t="str">
        <f aca="false">IF(COUNTIF(Flows!$M$2:$M$1500,$A51&amp;"|"&amp;T$1&amp;"|Input"),IF(COUNTIF(Flows!$M$2:$M$1500,$A51&amp;"|"&amp;T$1&amp;"|Output"),"I/O","IN"),IF(COUNTIF(Flows!$M$2:$M$1500,$A51&amp;"|"&amp;T$1&amp;"|Output"),"OUT",""))</f>
        <v/>
      </c>
      <c r="U51" s="33" t="str">
        <f aca="false">IF(COUNTIF(Flows!$M$2:$M$1500,$A51&amp;"|"&amp;U$1&amp;"|Input"),IF(COUNTIF(Flows!$M$2:$M$1500,$A51&amp;"|"&amp;U$1&amp;"|Output"),"I/O","IN"),IF(COUNTIF(Flows!$M$2:$M$1500,$A51&amp;"|"&amp;U$1&amp;"|Output"),"OUT",""))</f>
        <v/>
      </c>
      <c r="V51" s="33" t="str">
        <f aca="false">IF(COUNTIF(Flows!$M$2:$M$1500,$A51&amp;"|"&amp;V$1&amp;"|Input"),IF(COUNTIF(Flows!$M$2:$M$1500,$A51&amp;"|"&amp;V$1&amp;"|Output"),"I/O","IN"),IF(COUNTIF(Flows!$M$2:$M$1500,$A51&amp;"|"&amp;V$1&amp;"|Output"),"OUT",""))</f>
        <v/>
      </c>
      <c r="W51" s="33" t="str">
        <f aca="false">IF(COUNTIF(Flows!$M$2:$M$1500,$A51&amp;"|"&amp;W$1&amp;"|Input"),IF(COUNTIF(Flows!$M$2:$M$1500,$A51&amp;"|"&amp;W$1&amp;"|Output"),"I/O","IN"),IF(COUNTIF(Flows!$M$2:$M$1500,$A51&amp;"|"&amp;W$1&amp;"|Output"),"OUT",""))</f>
        <v/>
      </c>
      <c r="X51" s="33" t="str">
        <f aca="false">IF(COUNTIF(Flows!$M$2:$M$1500,$A51&amp;"|"&amp;X$1&amp;"|Input"),IF(COUNTIF(Flows!$M$2:$M$1500,$A51&amp;"|"&amp;X$1&amp;"|Output"),"I/O","IN"),IF(COUNTIF(Flows!$M$2:$M$1500,$A51&amp;"|"&amp;X$1&amp;"|Output"),"OUT",""))</f>
        <v>IN</v>
      </c>
      <c r="Y51" s="33" t="str">
        <f aca="false">IF(COUNTIF(Flows!$M$2:$M$1500,$A51&amp;"|"&amp;Y$1&amp;"|Input"),IF(COUNTIF(Flows!$M$2:$M$1500,$A51&amp;"|"&amp;Y$1&amp;"|Output"),"I/O","IN"),IF(COUNTIF(Flows!$M$2:$M$1500,$A51&amp;"|"&amp;Y$1&amp;"|Output"),"OUT",""))</f>
        <v/>
      </c>
      <c r="Z51" s="33" t="str">
        <f aca="false">IF(COUNTIF(Flows!$M$2:$M$1500,$A51&amp;"|"&amp;Z$1&amp;"|Input"),IF(COUNTIF(Flows!$M$2:$M$1500,$A51&amp;"|"&amp;Z$1&amp;"|Output"),"I/O","IN"),IF(COUNTIF(Flows!$M$2:$M$1500,$A51&amp;"|"&amp;Z$1&amp;"|Output"),"OUT",""))</f>
        <v/>
      </c>
      <c r="AA51" s="33" t="str">
        <f aca="false">IF(COUNTIF(Flows!$M$2:$M$1500,$A51&amp;"|"&amp;AA$1&amp;"|Input"),IF(COUNTIF(Flows!$M$2:$M$1500,$A51&amp;"|"&amp;AA$1&amp;"|Output"),"I/O","IN"),IF(COUNTIF(Flows!$M$2:$M$1500,$A51&amp;"|"&amp;AA$1&amp;"|Output"),"OUT",""))</f>
        <v/>
      </c>
      <c r="AB51" s="33" t="str">
        <f aca="false">IF(COUNTIF(Flows!$M$2:$M$1500,$A51&amp;"|"&amp;AB$1&amp;"|Input"),IF(COUNTIF(Flows!$M$2:$M$1500,$A51&amp;"|"&amp;AB$1&amp;"|Output"),"I/O","IN"),IF(COUNTIF(Flows!$M$2:$M$1500,$A51&amp;"|"&amp;AB$1&amp;"|Output"),"OUT",""))</f>
        <v/>
      </c>
      <c r="AC51" s="33" t="str">
        <f aca="false">IF(COUNTIF(Flows!$M$2:$M$1500,$A51&amp;"|"&amp;AC$1&amp;"|Input"),IF(COUNTIF(Flows!$M$2:$M$1500,$A51&amp;"|"&amp;AC$1&amp;"|Output"),"I/O","IN"),IF(COUNTIF(Flows!$M$2:$M$1500,$A51&amp;"|"&amp;AC$1&amp;"|Output"),"OUT",""))</f>
        <v/>
      </c>
      <c r="AD51" s="33" t="str">
        <f aca="false">IF(COUNTIF(Flows!$M$2:$M$1500,$A51&amp;"|"&amp;AD$1&amp;"|Input"),IF(COUNTIF(Flows!$M$2:$M$1500,$A51&amp;"|"&amp;AD$1&amp;"|Output"),"I/O","IN"),IF(COUNTIF(Flows!$M$2:$M$1500,$A51&amp;"|"&amp;AD$1&amp;"|Output"),"OUT",""))</f>
        <v/>
      </c>
      <c r="AE51" s="33" t="str">
        <f aca="false">IF(COUNTIF(Flows!$M$2:$M$1500,$A51&amp;"|"&amp;AE$1&amp;"|Input"),IF(COUNTIF(Flows!$M$2:$M$1500,$A51&amp;"|"&amp;AE$1&amp;"|Output"),"I/O","IN"),IF(COUNTIF(Flows!$M$2:$M$1500,$A51&amp;"|"&amp;AE$1&amp;"|Output"),"OUT",""))</f>
        <v/>
      </c>
      <c r="AF51" s="33" t="str">
        <f aca="false">IF(COUNTIF(Flows!$M$2:$M$1500,$A51&amp;"|"&amp;AF$1&amp;"|Input"),IF(COUNTIF(Flows!$M$2:$M$1500,$A51&amp;"|"&amp;AF$1&amp;"|Output"),"I/O","IN"),IF(COUNTIF(Flows!$M$2:$M$1500,$A51&amp;"|"&amp;AF$1&amp;"|Output"),"OUT",""))</f>
        <v/>
      </c>
      <c r="AG51" s="33" t="str">
        <f aca="false">IF(COUNTIF(Flows!$M$2:$M$1500,$A51&amp;"|"&amp;AG$1&amp;"|Input"),IF(COUNTIF(Flows!$M$2:$M$1500,$A51&amp;"|"&amp;AG$1&amp;"|Output"),"I/O","IN"),IF(COUNTIF(Flows!$M$2:$M$1500,$A51&amp;"|"&amp;AG$1&amp;"|Output"),"OUT",""))</f>
        <v/>
      </c>
      <c r="AH51" s="33" t="str">
        <f aca="false">IF(COUNTIF(Flows!$M$2:$M$1500,$A51&amp;"|"&amp;AH$1&amp;"|Input"),IF(COUNTIF(Flows!$M$2:$M$1500,$A51&amp;"|"&amp;AH$1&amp;"|Output"),"I/O","IN"),IF(COUNTIF(Flows!$M$2:$M$1500,$A51&amp;"|"&amp;AH$1&amp;"|Output"),"OUT",""))</f>
        <v/>
      </c>
      <c r="AI51" s="33" t="str">
        <f aca="false">IF(COUNTIF(Flows!$M$2:$M$1500,$A51&amp;"|"&amp;AI$1&amp;"|Input"),IF(COUNTIF(Flows!$M$2:$M$1500,$A51&amp;"|"&amp;AI$1&amp;"|Output"),"I/O","IN"),IF(COUNTIF(Flows!$M$2:$M$1500,$A51&amp;"|"&amp;AI$1&amp;"|Output"),"OUT",""))</f>
        <v/>
      </c>
      <c r="AJ51" s="33" t="str">
        <f aca="false">IF(COUNTIF(Flows!$M$2:$M$1500,$A51&amp;"|"&amp;AJ$1&amp;"|Input"),IF(COUNTIF(Flows!$M$2:$M$1500,$A51&amp;"|"&amp;AJ$1&amp;"|Output"),"I/O","IN"),IF(COUNTIF(Flows!$M$2:$M$1500,$A51&amp;"|"&amp;AJ$1&amp;"|Output"),"OUT",""))</f>
        <v/>
      </c>
      <c r="AK51" s="33" t="str">
        <f aca="false">IF(COUNTIF(Flows!$M$2:$M$1500,$A51&amp;"|"&amp;AK$1&amp;"|Input"),IF(COUNTIF(Flows!$M$2:$M$1500,$A51&amp;"|"&amp;AK$1&amp;"|Output"),"I/O","IN"),IF(COUNTIF(Flows!$M$2:$M$1500,$A51&amp;"|"&amp;AK$1&amp;"|Output"),"OUT",""))</f>
        <v/>
      </c>
      <c r="AL51" s="33" t="str">
        <f aca="false">IF(COUNTIF(Flows!$M$2:$M$1500,$A51&amp;"|"&amp;AL$1&amp;"|Input"),IF(COUNTIF(Flows!$M$2:$M$1500,$A51&amp;"|"&amp;AL$1&amp;"|Output"),"I/O","IN"),IF(COUNTIF(Flows!$M$2:$M$1500,$A51&amp;"|"&amp;AL$1&amp;"|Output"),"OUT",""))</f>
        <v/>
      </c>
      <c r="AM51" s="33" t="str">
        <f aca="false">IF(COUNTIF(Flows!$M$2:$M$1500,$A51&amp;"|"&amp;AM$1&amp;"|Input"),IF(COUNTIF(Flows!$M$2:$M$1500,$A51&amp;"|"&amp;AM$1&amp;"|Output"),"I/O","IN"),IF(COUNTIF(Flows!$M$2:$M$1500,$A51&amp;"|"&amp;AM$1&amp;"|Output"),"OUT",""))</f>
        <v/>
      </c>
      <c r="AN51" s="33" t="str">
        <f aca="false">IF(COUNTIF(Flows!$M$2:$M$1500,$A51&amp;"|"&amp;AN$1&amp;"|Input"),IF(COUNTIF(Flows!$M$2:$M$1500,$A51&amp;"|"&amp;AN$1&amp;"|Output"),"I/O","IN"),IF(COUNTIF(Flows!$M$2:$M$1500,$A51&amp;"|"&amp;AN$1&amp;"|Output"),"OUT",""))</f>
        <v/>
      </c>
      <c r="AO51" s="33" t="str">
        <f aca="false">IF(COUNTIF(Flows!$M$2:$M$1500,$A51&amp;"|"&amp;AO$1&amp;"|Input"),IF(COUNTIF(Flows!$M$2:$M$1500,$A51&amp;"|"&amp;AO$1&amp;"|Output"),"I/O","IN"),IF(COUNTIF(Flows!$M$2:$M$1500,$A51&amp;"|"&amp;AO$1&amp;"|Output"),"OUT",""))</f>
        <v/>
      </c>
      <c r="AP51" s="33" t="str">
        <f aca="false">IF(COUNTIF(Flows!$M$2:$M$1500,$A51&amp;"|"&amp;AP$1&amp;"|Input"),IF(COUNTIF(Flows!$M$2:$M$1500,$A51&amp;"|"&amp;AP$1&amp;"|Output"),"I/O","IN"),IF(COUNTIF(Flows!$M$2:$M$1500,$A51&amp;"|"&amp;AP$1&amp;"|Output"),"OUT",""))</f>
        <v>IN</v>
      </c>
      <c r="AQ51" s="33" t="str">
        <f aca="false">IF(COUNTIF(Flows!$M$2:$M$1500,$A51&amp;"|"&amp;AQ$1&amp;"|Input"),IF(COUNTIF(Flows!$M$2:$M$1500,$A51&amp;"|"&amp;AQ$1&amp;"|Output"),"I/O","IN"),IF(COUNTIF(Flows!$M$2:$M$1500,$A51&amp;"|"&amp;AQ$1&amp;"|Output"),"OUT",""))</f>
        <v/>
      </c>
      <c r="AR51" s="33" t="str">
        <f aca="false">IF(COUNTIF(Flows!$M$2:$M$1500,$A51&amp;"|"&amp;AR$1&amp;"|Input"),IF(COUNTIF(Flows!$M$2:$M$1500,$A51&amp;"|"&amp;AR$1&amp;"|Output"),"I/O","IN"),IF(COUNTIF(Flows!$M$2:$M$1500,$A51&amp;"|"&amp;AR$1&amp;"|Output"),"OUT",""))</f>
        <v/>
      </c>
      <c r="AS51" s="33" t="str">
        <f aca="false">IF(COUNTIF(Flows!$M$2:$M$1500,$A51&amp;"|"&amp;AS$1&amp;"|Input"),IF(COUNTIF(Flows!$M$2:$M$1500,$A51&amp;"|"&amp;AS$1&amp;"|Output"),"I/O","IN"),IF(COUNTIF(Flows!$M$2:$M$1500,$A51&amp;"|"&amp;AS$1&amp;"|Output"),"OUT",""))</f>
        <v/>
      </c>
      <c r="AT51" s="33" t="str">
        <f aca="false">IF(COUNTIF(Flows!$M$2:$M$1500,$A51&amp;"|"&amp;AT$1&amp;"|Input"),IF(COUNTIF(Flows!$M$2:$M$1500,$A51&amp;"|"&amp;AT$1&amp;"|Output"),"I/O","IN"),IF(COUNTIF(Flows!$M$2:$M$1500,$A51&amp;"|"&amp;AT$1&amp;"|Output"),"OUT",""))</f>
        <v>OUT</v>
      </c>
      <c r="AU51" s="33" t="str">
        <f aca="false">IF(COUNTIF(Flows!$M$2:$M$1500,$A51&amp;"|"&amp;AU$1&amp;"|Input"),IF(COUNTIF(Flows!$M$2:$M$1500,$A51&amp;"|"&amp;AU$1&amp;"|Output"),"I/O","IN"),IF(COUNTIF(Flows!$M$2:$M$1500,$A51&amp;"|"&amp;AU$1&amp;"|Output"),"OUT",""))</f>
        <v/>
      </c>
      <c r="AV51" s="33" t="str">
        <f aca="false">IF(COUNTIF(Flows!$M$2:$M$1500,$A51&amp;"|"&amp;AV$1&amp;"|Input"),IF(COUNTIF(Flows!$M$2:$M$1500,$A51&amp;"|"&amp;AV$1&amp;"|Output"),"I/O","IN"),IF(COUNTIF(Flows!$M$2:$M$1500,$A51&amp;"|"&amp;AV$1&amp;"|Output"),"OUT",""))</f>
        <v/>
      </c>
      <c r="AW51" s="33" t="str">
        <f aca="false">IF(COUNTIF(Flows!$M$2:$M$1500,$A51&amp;"|"&amp;AW$1&amp;"|Input"),IF(COUNTIF(Flows!$M$2:$M$1500,$A51&amp;"|"&amp;AW$1&amp;"|Output"),"I/O","IN"),IF(COUNTIF(Flows!$M$2:$M$1500,$A51&amp;"|"&amp;AW$1&amp;"|Output"),"OUT",""))</f>
        <v/>
      </c>
      <c r="AX51" s="33" t="str">
        <f aca="false">IF(COUNTIF(Flows!$M$2:$M$1500,$A51&amp;"|"&amp;AX$1&amp;"|Input"),IF(COUNTIF(Flows!$M$2:$M$1500,$A51&amp;"|"&amp;AX$1&amp;"|Output"),"I/O","IN"),IF(COUNTIF(Flows!$M$2:$M$1500,$A51&amp;"|"&amp;AX$1&amp;"|Output"),"OUT",""))</f>
        <v/>
      </c>
      <c r="AY51" s="33" t="str">
        <f aca="false">IF(COUNTIF(Flows!$M$2:$M$1500,$A51&amp;"|"&amp;AY$1&amp;"|Input"),IF(COUNTIF(Flows!$M$2:$M$1500,$A51&amp;"|"&amp;AY$1&amp;"|Output"),"I/O","IN"),IF(COUNTIF(Flows!$M$2:$M$1500,$A51&amp;"|"&amp;AY$1&amp;"|Output"),"OUT",""))</f>
        <v/>
      </c>
      <c r="AZ51" s="33" t="str">
        <f aca="false">IF(COUNTIF(Flows!$M$2:$M$1500,$A51&amp;"|"&amp;AZ$1&amp;"|Input"),IF(COUNTIF(Flows!$M$2:$M$1500,$A51&amp;"|"&amp;AZ$1&amp;"|Output"),"I/O","IN"),IF(COUNTIF(Flows!$M$2:$M$1500,$A51&amp;"|"&amp;AZ$1&amp;"|Output"),"OUT",""))</f>
        <v>IN</v>
      </c>
      <c r="BA51" s="33" t="str">
        <f aca="false">IF(COUNTIF(Flows!$M$2:$M$1500,$A51&amp;"|"&amp;BA$1&amp;"|Input"),IF(COUNTIF(Flows!$M$2:$M$1500,$A51&amp;"|"&amp;BA$1&amp;"|Output"),"I/O","IN"),IF(COUNTIF(Flows!$M$2:$M$1500,$A51&amp;"|"&amp;BA$1&amp;"|Output"),"OUT",""))</f>
        <v/>
      </c>
      <c r="BB51" s="33" t="str">
        <f aca="false">IF(COUNTIF(Flows!$M$2:$M$1500,$A51&amp;"|"&amp;BB$1&amp;"|Input"),IF(COUNTIF(Flows!$M$2:$M$1500,$A51&amp;"|"&amp;BB$1&amp;"|Output"),"I/O","IN"),IF(COUNTIF(Flows!$M$2:$M$1500,$A51&amp;"|"&amp;BB$1&amp;"|Output"),"OUT",""))</f>
        <v/>
      </c>
      <c r="BC51" s="33" t="str">
        <f aca="false">IF(COUNTIF(Flows!$M$2:$M$1500,$A51&amp;"|"&amp;BC$1&amp;"|Input"),IF(COUNTIF(Flows!$M$2:$M$1500,$A51&amp;"|"&amp;BC$1&amp;"|Output"),"I/O","IN"),IF(COUNTIF(Flows!$M$2:$M$1500,$A51&amp;"|"&amp;BC$1&amp;"|Output"),"OUT",""))</f>
        <v/>
      </c>
      <c r="BD51" s="33" t="str">
        <f aca="false">IF(COUNTIF(Flows!$M$2:$M$1500,$A51&amp;"|"&amp;BD$1&amp;"|Input"),IF(COUNTIF(Flows!$M$2:$M$1500,$A51&amp;"|"&amp;BD$1&amp;"|Output"),"I/O","IN"),IF(COUNTIF(Flows!$M$2:$M$1500,$A51&amp;"|"&amp;BD$1&amp;"|Output"),"OUT",""))</f>
        <v/>
      </c>
      <c r="BE51" s="33" t="str">
        <f aca="false">IF(COUNTIF(Flows!$M$2:$M$1500,$A51&amp;"|"&amp;BE$1&amp;"|Input"),IF(COUNTIF(Flows!$M$2:$M$1500,$A51&amp;"|"&amp;BE$1&amp;"|Output"),"I/O","IN"),IF(COUNTIF(Flows!$M$2:$M$1500,$A51&amp;"|"&amp;BE$1&amp;"|Output"),"OUT",""))</f>
        <v/>
      </c>
      <c r="BF51" s="33" t="str">
        <f aca="false">IF(COUNTIF(Flows!$M$2:$M$1500,$A51&amp;"|"&amp;BF$1&amp;"|Input"),IF(COUNTIF(Flows!$M$2:$M$1500,$A51&amp;"|"&amp;BF$1&amp;"|Output"),"I/O","IN"),IF(COUNTIF(Flows!$M$2:$M$1500,$A51&amp;"|"&amp;BF$1&amp;"|Output"),"OUT",""))</f>
        <v/>
      </c>
      <c r="BG51" s="33" t="str">
        <f aca="false">IF(COUNTIF(Flows!$M$2:$M$1500,$A51&amp;"|"&amp;BG$1&amp;"|Input"),IF(COUNTIF(Flows!$M$2:$M$1500,$A51&amp;"|"&amp;BG$1&amp;"|Output"),"I/O","IN"),IF(COUNTIF(Flows!$M$2:$M$1500,$A51&amp;"|"&amp;BG$1&amp;"|Output"),"OUT",""))</f>
        <v/>
      </c>
      <c r="BH51" s="33" t="str">
        <f aca="false">IF(COUNTIF(Flows!$M$2:$M$1500,$A51&amp;"|"&amp;BH$1&amp;"|Input"),IF(COUNTIF(Flows!$M$2:$M$1500,$A51&amp;"|"&amp;BH$1&amp;"|Output"),"I/O","IN"),IF(COUNTIF(Flows!$M$2:$M$1500,$A51&amp;"|"&amp;BH$1&amp;"|Output"),"OUT",""))</f>
        <v/>
      </c>
      <c r="BI51" s="33" t="str">
        <f aca="false">IF(COUNTIF(Flows!$M$2:$M$1500,$A51&amp;"|"&amp;BI$1&amp;"|Input"),IF(COUNTIF(Flows!$M$2:$M$1500,$A51&amp;"|"&amp;BI$1&amp;"|Output"),"I/O","IN"),IF(COUNTIF(Flows!$M$2:$M$1500,$A51&amp;"|"&amp;BI$1&amp;"|Output"),"OUT",""))</f>
        <v/>
      </c>
      <c r="BJ51" s="33" t="str">
        <f aca="false">IF(COUNTIF(Flows!$M$2:$M$1500,$A51&amp;"|"&amp;BJ$1&amp;"|Input"),IF(COUNTIF(Flows!$M$2:$M$1500,$A51&amp;"|"&amp;BJ$1&amp;"|Output"),"I/O","IN"),IF(COUNTIF(Flows!$M$2:$M$1500,$A51&amp;"|"&amp;BJ$1&amp;"|Output"),"OUT",""))</f>
        <v>OUT</v>
      </c>
      <c r="BK51" s="33" t="str">
        <f aca="false">IF(COUNTIF(Flows!$M$2:$M$1500,$A51&amp;"|"&amp;BK$1&amp;"|Input"),IF(COUNTIF(Flows!$M$2:$M$1500,$A51&amp;"|"&amp;BK$1&amp;"|Output"),"I/O","IN"),IF(COUNTIF(Flows!$M$2:$M$1500,$A51&amp;"|"&amp;BK$1&amp;"|Output"),"OUT",""))</f>
        <v/>
      </c>
    </row>
    <row r="52" customFormat="false" ht="15" hidden="false" customHeight="true" outlineLevel="0" collapsed="false">
      <c r="A52" s="6" t="str">
        <f aca="false">Systems!B52</f>
        <v>Turkey</v>
      </c>
      <c r="B52" s="33" t="str">
        <f aca="false">IF(COUNTIF(Flows!$M$2:$M$1500,$A52&amp;"|"&amp;B$1&amp;"|Input"),IF(COUNTIF(Flows!$M$2:$M$1500,$A52&amp;"|"&amp;B$1&amp;"|Output"),"I/O","IN"),IF(COUNTIF(Flows!$M$2:$M$1500,$A52&amp;"|"&amp;B$1&amp;"|Output"),"OUT",""))</f>
        <v>IN</v>
      </c>
      <c r="C52" s="33" t="str">
        <f aca="false">IF(COUNTIF(Flows!$M$2:$M$1500,$A52&amp;"|"&amp;C$1&amp;"|Input"),IF(COUNTIF(Flows!$M$2:$M$1500,$A52&amp;"|"&amp;C$1&amp;"|Output"),"I/O","IN"),IF(COUNTIF(Flows!$M$2:$M$1500,$A52&amp;"|"&amp;C$1&amp;"|Output"),"OUT",""))</f>
        <v/>
      </c>
      <c r="D52" s="33" t="str">
        <f aca="false">IF(COUNTIF(Flows!$M$2:$M$1500,$A52&amp;"|"&amp;D$1&amp;"|Input"),IF(COUNTIF(Flows!$M$2:$M$1500,$A52&amp;"|"&amp;D$1&amp;"|Output"),"I/O","IN"),IF(COUNTIF(Flows!$M$2:$M$1500,$A52&amp;"|"&amp;D$1&amp;"|Output"),"OUT",""))</f>
        <v/>
      </c>
      <c r="E52" s="33" t="str">
        <f aca="false">IF(COUNTIF(Flows!$M$2:$M$1500,$A52&amp;"|"&amp;E$1&amp;"|Input"),IF(COUNTIF(Flows!$M$2:$M$1500,$A52&amp;"|"&amp;E$1&amp;"|Output"),"I/O","IN"),IF(COUNTIF(Flows!$M$2:$M$1500,$A52&amp;"|"&amp;E$1&amp;"|Output"),"OUT",""))</f>
        <v/>
      </c>
      <c r="F52" s="33" t="str">
        <f aca="false">IF(COUNTIF(Flows!$M$2:$M$1500,$A52&amp;"|"&amp;F$1&amp;"|Input"),IF(COUNTIF(Flows!$M$2:$M$1500,$A52&amp;"|"&amp;F$1&amp;"|Output"),"I/O","IN"),IF(COUNTIF(Flows!$M$2:$M$1500,$A52&amp;"|"&amp;F$1&amp;"|Output"),"OUT",""))</f>
        <v/>
      </c>
      <c r="G52" s="33" t="str">
        <f aca="false">IF(COUNTIF(Flows!$M$2:$M$1500,$A52&amp;"|"&amp;G$1&amp;"|Input"),IF(COUNTIF(Flows!$M$2:$M$1500,$A52&amp;"|"&amp;G$1&amp;"|Output"),"I/O","IN"),IF(COUNTIF(Flows!$M$2:$M$1500,$A52&amp;"|"&amp;G$1&amp;"|Output"),"OUT",""))</f>
        <v/>
      </c>
      <c r="H52" s="33" t="str">
        <f aca="false">IF(COUNTIF(Flows!$M$2:$M$1500,$A52&amp;"|"&amp;H$1&amp;"|Input"),IF(COUNTIF(Flows!$M$2:$M$1500,$A52&amp;"|"&amp;H$1&amp;"|Output"),"I/O","IN"),IF(COUNTIF(Flows!$M$2:$M$1500,$A52&amp;"|"&amp;H$1&amp;"|Output"),"OUT",""))</f>
        <v/>
      </c>
      <c r="I52" s="33" t="str">
        <f aca="false">IF(COUNTIF(Flows!$M$2:$M$1500,$A52&amp;"|"&amp;I$1&amp;"|Input"),IF(COUNTIF(Flows!$M$2:$M$1500,$A52&amp;"|"&amp;I$1&amp;"|Output"),"I/O","IN"),IF(COUNTIF(Flows!$M$2:$M$1500,$A52&amp;"|"&amp;I$1&amp;"|Output"),"OUT",""))</f>
        <v/>
      </c>
      <c r="J52" s="33" t="str">
        <f aca="false">IF(COUNTIF(Flows!$M$2:$M$1500,$A52&amp;"|"&amp;J$1&amp;"|Input"),IF(COUNTIF(Flows!$M$2:$M$1500,$A52&amp;"|"&amp;J$1&amp;"|Output"),"I/O","IN"),IF(COUNTIF(Flows!$M$2:$M$1500,$A52&amp;"|"&amp;J$1&amp;"|Output"),"OUT",""))</f>
        <v/>
      </c>
      <c r="K52" s="33" t="str">
        <f aca="false">IF(COUNTIF(Flows!$M$2:$M$1500,$A52&amp;"|"&amp;K$1&amp;"|Input"),IF(COUNTIF(Flows!$M$2:$M$1500,$A52&amp;"|"&amp;K$1&amp;"|Output"),"I/O","IN"),IF(COUNTIF(Flows!$M$2:$M$1500,$A52&amp;"|"&amp;K$1&amp;"|Output"),"OUT",""))</f>
        <v/>
      </c>
      <c r="L52" s="33" t="str">
        <f aca="false">IF(COUNTIF(Flows!$M$2:$M$1500,$A52&amp;"|"&amp;L$1&amp;"|Input"),IF(COUNTIF(Flows!$M$2:$M$1500,$A52&amp;"|"&amp;L$1&amp;"|Output"),"I/O","IN"),IF(COUNTIF(Flows!$M$2:$M$1500,$A52&amp;"|"&amp;L$1&amp;"|Output"),"OUT",""))</f>
        <v>OUT</v>
      </c>
      <c r="M52" s="33" t="str">
        <f aca="false">IF(COUNTIF(Flows!$M$2:$M$1500,$A52&amp;"|"&amp;M$1&amp;"|Input"),IF(COUNTIF(Flows!$M$2:$M$1500,$A52&amp;"|"&amp;M$1&amp;"|Output"),"I/O","IN"),IF(COUNTIF(Flows!$M$2:$M$1500,$A52&amp;"|"&amp;M$1&amp;"|Output"),"OUT",""))</f>
        <v/>
      </c>
      <c r="N52" s="33" t="str">
        <f aca="false">IF(COUNTIF(Flows!$M$2:$M$1500,$A52&amp;"|"&amp;N$1&amp;"|Input"),IF(COUNTIF(Flows!$M$2:$M$1500,$A52&amp;"|"&amp;N$1&amp;"|Output"),"I/O","IN"),IF(COUNTIF(Flows!$M$2:$M$1500,$A52&amp;"|"&amp;N$1&amp;"|Output"),"OUT",""))</f>
        <v/>
      </c>
      <c r="O52" s="33" t="str">
        <f aca="false">IF(COUNTIF(Flows!$M$2:$M$1500,$A52&amp;"|"&amp;O$1&amp;"|Input"),IF(COUNTIF(Flows!$M$2:$M$1500,$A52&amp;"|"&amp;O$1&amp;"|Output"),"I/O","IN"),IF(COUNTIF(Flows!$M$2:$M$1500,$A52&amp;"|"&amp;O$1&amp;"|Output"),"OUT",""))</f>
        <v/>
      </c>
      <c r="P52" s="33" t="str">
        <f aca="false">IF(COUNTIF(Flows!$M$2:$M$1500,$A52&amp;"|"&amp;P$1&amp;"|Input"),IF(COUNTIF(Flows!$M$2:$M$1500,$A52&amp;"|"&amp;P$1&amp;"|Output"),"I/O","IN"),IF(COUNTIF(Flows!$M$2:$M$1500,$A52&amp;"|"&amp;P$1&amp;"|Output"),"OUT",""))</f>
        <v/>
      </c>
      <c r="Q52" s="33" t="str">
        <f aca="false">IF(COUNTIF(Flows!$M$2:$M$1500,$A52&amp;"|"&amp;Q$1&amp;"|Input"),IF(COUNTIF(Flows!$M$2:$M$1500,$A52&amp;"|"&amp;Q$1&amp;"|Output"),"I/O","IN"),IF(COUNTIF(Flows!$M$2:$M$1500,$A52&amp;"|"&amp;Q$1&amp;"|Output"),"OUT",""))</f>
        <v/>
      </c>
      <c r="R52" s="33" t="str">
        <f aca="false">IF(COUNTIF(Flows!$M$2:$M$1500,$A52&amp;"|"&amp;R$1&amp;"|Input"),IF(COUNTIF(Flows!$M$2:$M$1500,$A52&amp;"|"&amp;R$1&amp;"|Output"),"I/O","IN"),IF(COUNTIF(Flows!$M$2:$M$1500,$A52&amp;"|"&amp;R$1&amp;"|Output"),"OUT",""))</f>
        <v/>
      </c>
      <c r="S52" s="33" t="str">
        <f aca="false">IF(COUNTIF(Flows!$M$2:$M$1500,$A52&amp;"|"&amp;S$1&amp;"|Input"),IF(COUNTIF(Flows!$M$2:$M$1500,$A52&amp;"|"&amp;S$1&amp;"|Output"),"I/O","IN"),IF(COUNTIF(Flows!$M$2:$M$1500,$A52&amp;"|"&amp;S$1&amp;"|Output"),"OUT",""))</f>
        <v/>
      </c>
      <c r="T52" s="33" t="str">
        <f aca="false">IF(COUNTIF(Flows!$M$2:$M$1500,$A52&amp;"|"&amp;T$1&amp;"|Input"),IF(COUNTIF(Flows!$M$2:$M$1500,$A52&amp;"|"&amp;T$1&amp;"|Output"),"I/O","IN"),IF(COUNTIF(Flows!$M$2:$M$1500,$A52&amp;"|"&amp;T$1&amp;"|Output"),"OUT",""))</f>
        <v/>
      </c>
      <c r="U52" s="33" t="str">
        <f aca="false">IF(COUNTIF(Flows!$M$2:$M$1500,$A52&amp;"|"&amp;U$1&amp;"|Input"),IF(COUNTIF(Flows!$M$2:$M$1500,$A52&amp;"|"&amp;U$1&amp;"|Output"),"I/O","IN"),IF(COUNTIF(Flows!$M$2:$M$1500,$A52&amp;"|"&amp;U$1&amp;"|Output"),"OUT",""))</f>
        <v/>
      </c>
      <c r="V52" s="33" t="str">
        <f aca="false">IF(COUNTIF(Flows!$M$2:$M$1500,$A52&amp;"|"&amp;V$1&amp;"|Input"),IF(COUNTIF(Flows!$M$2:$M$1500,$A52&amp;"|"&amp;V$1&amp;"|Output"),"I/O","IN"),IF(COUNTIF(Flows!$M$2:$M$1500,$A52&amp;"|"&amp;V$1&amp;"|Output"),"OUT",""))</f>
        <v/>
      </c>
      <c r="W52" s="33" t="str">
        <f aca="false">IF(COUNTIF(Flows!$M$2:$M$1500,$A52&amp;"|"&amp;W$1&amp;"|Input"),IF(COUNTIF(Flows!$M$2:$M$1500,$A52&amp;"|"&amp;W$1&amp;"|Output"),"I/O","IN"),IF(COUNTIF(Flows!$M$2:$M$1500,$A52&amp;"|"&amp;W$1&amp;"|Output"),"OUT",""))</f>
        <v/>
      </c>
      <c r="X52" s="33" t="str">
        <f aca="false">IF(COUNTIF(Flows!$M$2:$M$1500,$A52&amp;"|"&amp;X$1&amp;"|Input"),IF(COUNTIF(Flows!$M$2:$M$1500,$A52&amp;"|"&amp;X$1&amp;"|Output"),"I/O","IN"),IF(COUNTIF(Flows!$M$2:$M$1500,$A52&amp;"|"&amp;X$1&amp;"|Output"),"OUT",""))</f>
        <v>IN</v>
      </c>
      <c r="Y52" s="33" t="str">
        <f aca="false">IF(COUNTIF(Flows!$M$2:$M$1500,$A52&amp;"|"&amp;Y$1&amp;"|Input"),IF(COUNTIF(Flows!$M$2:$M$1500,$A52&amp;"|"&amp;Y$1&amp;"|Output"),"I/O","IN"),IF(COUNTIF(Flows!$M$2:$M$1500,$A52&amp;"|"&amp;Y$1&amp;"|Output"),"OUT",""))</f>
        <v/>
      </c>
      <c r="Z52" s="33" t="str">
        <f aca="false">IF(COUNTIF(Flows!$M$2:$M$1500,$A52&amp;"|"&amp;Z$1&amp;"|Input"),IF(COUNTIF(Flows!$M$2:$M$1500,$A52&amp;"|"&amp;Z$1&amp;"|Output"),"I/O","IN"),IF(COUNTIF(Flows!$M$2:$M$1500,$A52&amp;"|"&amp;Z$1&amp;"|Output"),"OUT",""))</f>
        <v/>
      </c>
      <c r="AA52" s="33" t="str">
        <f aca="false">IF(COUNTIF(Flows!$M$2:$M$1500,$A52&amp;"|"&amp;AA$1&amp;"|Input"),IF(COUNTIF(Flows!$M$2:$M$1500,$A52&amp;"|"&amp;AA$1&amp;"|Output"),"I/O","IN"),IF(COUNTIF(Flows!$M$2:$M$1500,$A52&amp;"|"&amp;AA$1&amp;"|Output"),"OUT",""))</f>
        <v/>
      </c>
      <c r="AB52" s="33" t="str">
        <f aca="false">IF(COUNTIF(Flows!$M$2:$M$1500,$A52&amp;"|"&amp;AB$1&amp;"|Input"),IF(COUNTIF(Flows!$M$2:$M$1500,$A52&amp;"|"&amp;AB$1&amp;"|Output"),"I/O","IN"),IF(COUNTIF(Flows!$M$2:$M$1500,$A52&amp;"|"&amp;AB$1&amp;"|Output"),"OUT",""))</f>
        <v/>
      </c>
      <c r="AC52" s="33" t="str">
        <f aca="false">IF(COUNTIF(Flows!$M$2:$M$1500,$A52&amp;"|"&amp;AC$1&amp;"|Input"),IF(COUNTIF(Flows!$M$2:$M$1500,$A52&amp;"|"&amp;AC$1&amp;"|Output"),"I/O","IN"),IF(COUNTIF(Flows!$M$2:$M$1500,$A52&amp;"|"&amp;AC$1&amp;"|Output"),"OUT",""))</f>
        <v/>
      </c>
      <c r="AD52" s="33" t="str">
        <f aca="false">IF(COUNTIF(Flows!$M$2:$M$1500,$A52&amp;"|"&amp;AD$1&amp;"|Input"),IF(COUNTIF(Flows!$M$2:$M$1500,$A52&amp;"|"&amp;AD$1&amp;"|Output"),"I/O","IN"),IF(COUNTIF(Flows!$M$2:$M$1500,$A52&amp;"|"&amp;AD$1&amp;"|Output"),"OUT",""))</f>
        <v/>
      </c>
      <c r="AE52" s="33" t="str">
        <f aca="false">IF(COUNTIF(Flows!$M$2:$M$1500,$A52&amp;"|"&amp;AE$1&amp;"|Input"),IF(COUNTIF(Flows!$M$2:$M$1500,$A52&amp;"|"&amp;AE$1&amp;"|Output"),"I/O","IN"),IF(COUNTIF(Flows!$M$2:$M$1500,$A52&amp;"|"&amp;AE$1&amp;"|Output"),"OUT",""))</f>
        <v/>
      </c>
      <c r="AF52" s="33" t="str">
        <f aca="false">IF(COUNTIF(Flows!$M$2:$M$1500,$A52&amp;"|"&amp;AF$1&amp;"|Input"),IF(COUNTIF(Flows!$M$2:$M$1500,$A52&amp;"|"&amp;AF$1&amp;"|Output"),"I/O","IN"),IF(COUNTIF(Flows!$M$2:$M$1500,$A52&amp;"|"&amp;AF$1&amp;"|Output"),"OUT",""))</f>
        <v/>
      </c>
      <c r="AG52" s="33" t="str">
        <f aca="false">IF(COUNTIF(Flows!$M$2:$M$1500,$A52&amp;"|"&amp;AG$1&amp;"|Input"),IF(COUNTIF(Flows!$M$2:$M$1500,$A52&amp;"|"&amp;AG$1&amp;"|Output"),"I/O","IN"),IF(COUNTIF(Flows!$M$2:$M$1500,$A52&amp;"|"&amp;AG$1&amp;"|Output"),"OUT",""))</f>
        <v/>
      </c>
      <c r="AH52" s="33" t="str">
        <f aca="false">IF(COUNTIF(Flows!$M$2:$M$1500,$A52&amp;"|"&amp;AH$1&amp;"|Input"),IF(COUNTIF(Flows!$M$2:$M$1500,$A52&amp;"|"&amp;AH$1&amp;"|Output"),"I/O","IN"),IF(COUNTIF(Flows!$M$2:$M$1500,$A52&amp;"|"&amp;AH$1&amp;"|Output"),"OUT",""))</f>
        <v/>
      </c>
      <c r="AI52" s="33" t="str">
        <f aca="false">IF(COUNTIF(Flows!$M$2:$M$1500,$A52&amp;"|"&amp;AI$1&amp;"|Input"),IF(COUNTIF(Flows!$M$2:$M$1500,$A52&amp;"|"&amp;AI$1&amp;"|Output"),"I/O","IN"),IF(COUNTIF(Flows!$M$2:$M$1500,$A52&amp;"|"&amp;AI$1&amp;"|Output"),"OUT",""))</f>
        <v/>
      </c>
      <c r="AJ52" s="33" t="str">
        <f aca="false">IF(COUNTIF(Flows!$M$2:$M$1500,$A52&amp;"|"&amp;AJ$1&amp;"|Input"),IF(COUNTIF(Flows!$M$2:$M$1500,$A52&amp;"|"&amp;AJ$1&amp;"|Output"),"I/O","IN"),IF(COUNTIF(Flows!$M$2:$M$1500,$A52&amp;"|"&amp;AJ$1&amp;"|Output"),"OUT",""))</f>
        <v/>
      </c>
      <c r="AK52" s="33" t="str">
        <f aca="false">IF(COUNTIF(Flows!$M$2:$M$1500,$A52&amp;"|"&amp;AK$1&amp;"|Input"),IF(COUNTIF(Flows!$M$2:$M$1500,$A52&amp;"|"&amp;AK$1&amp;"|Output"),"I/O","IN"),IF(COUNTIF(Flows!$M$2:$M$1500,$A52&amp;"|"&amp;AK$1&amp;"|Output"),"OUT",""))</f>
        <v/>
      </c>
      <c r="AL52" s="33" t="str">
        <f aca="false">IF(COUNTIF(Flows!$M$2:$M$1500,$A52&amp;"|"&amp;AL$1&amp;"|Input"),IF(COUNTIF(Flows!$M$2:$M$1500,$A52&amp;"|"&amp;AL$1&amp;"|Output"),"I/O","IN"),IF(COUNTIF(Flows!$M$2:$M$1500,$A52&amp;"|"&amp;AL$1&amp;"|Output"),"OUT",""))</f>
        <v/>
      </c>
      <c r="AM52" s="33" t="str">
        <f aca="false">IF(COUNTIF(Flows!$M$2:$M$1500,$A52&amp;"|"&amp;AM$1&amp;"|Input"),IF(COUNTIF(Flows!$M$2:$M$1500,$A52&amp;"|"&amp;AM$1&amp;"|Output"),"I/O","IN"),IF(COUNTIF(Flows!$M$2:$M$1500,$A52&amp;"|"&amp;AM$1&amp;"|Output"),"OUT",""))</f>
        <v/>
      </c>
      <c r="AN52" s="33" t="str">
        <f aca="false">IF(COUNTIF(Flows!$M$2:$M$1500,$A52&amp;"|"&amp;AN$1&amp;"|Input"),IF(COUNTIF(Flows!$M$2:$M$1500,$A52&amp;"|"&amp;AN$1&amp;"|Output"),"I/O","IN"),IF(COUNTIF(Flows!$M$2:$M$1500,$A52&amp;"|"&amp;AN$1&amp;"|Output"),"OUT",""))</f>
        <v/>
      </c>
      <c r="AO52" s="33" t="str">
        <f aca="false">IF(COUNTIF(Flows!$M$2:$M$1500,$A52&amp;"|"&amp;AO$1&amp;"|Input"),IF(COUNTIF(Flows!$M$2:$M$1500,$A52&amp;"|"&amp;AO$1&amp;"|Output"),"I/O","IN"),IF(COUNTIF(Flows!$M$2:$M$1500,$A52&amp;"|"&amp;AO$1&amp;"|Output"),"OUT",""))</f>
        <v/>
      </c>
      <c r="AP52" s="33" t="str">
        <f aca="false">IF(COUNTIF(Flows!$M$2:$M$1500,$A52&amp;"|"&amp;AP$1&amp;"|Input"),IF(COUNTIF(Flows!$M$2:$M$1500,$A52&amp;"|"&amp;AP$1&amp;"|Output"),"I/O","IN"),IF(COUNTIF(Flows!$M$2:$M$1500,$A52&amp;"|"&amp;AP$1&amp;"|Output"),"OUT",""))</f>
        <v>IN</v>
      </c>
      <c r="AQ52" s="33" t="str">
        <f aca="false">IF(COUNTIF(Flows!$M$2:$M$1500,$A52&amp;"|"&amp;AQ$1&amp;"|Input"),IF(COUNTIF(Flows!$M$2:$M$1500,$A52&amp;"|"&amp;AQ$1&amp;"|Output"),"I/O","IN"),IF(COUNTIF(Flows!$M$2:$M$1500,$A52&amp;"|"&amp;AQ$1&amp;"|Output"),"OUT",""))</f>
        <v/>
      </c>
      <c r="AR52" s="33" t="str">
        <f aca="false">IF(COUNTIF(Flows!$M$2:$M$1500,$A52&amp;"|"&amp;AR$1&amp;"|Input"),IF(COUNTIF(Flows!$M$2:$M$1500,$A52&amp;"|"&amp;AR$1&amp;"|Output"),"I/O","IN"),IF(COUNTIF(Flows!$M$2:$M$1500,$A52&amp;"|"&amp;AR$1&amp;"|Output"),"OUT",""))</f>
        <v/>
      </c>
      <c r="AS52" s="33" t="str">
        <f aca="false">IF(COUNTIF(Flows!$M$2:$M$1500,$A52&amp;"|"&amp;AS$1&amp;"|Input"),IF(COUNTIF(Flows!$M$2:$M$1500,$A52&amp;"|"&amp;AS$1&amp;"|Output"),"I/O","IN"),IF(COUNTIF(Flows!$M$2:$M$1500,$A52&amp;"|"&amp;AS$1&amp;"|Output"),"OUT",""))</f>
        <v/>
      </c>
      <c r="AT52" s="33" t="str">
        <f aca="false">IF(COUNTIF(Flows!$M$2:$M$1500,$A52&amp;"|"&amp;AT$1&amp;"|Input"),IF(COUNTIF(Flows!$M$2:$M$1500,$A52&amp;"|"&amp;AT$1&amp;"|Output"),"I/O","IN"),IF(COUNTIF(Flows!$M$2:$M$1500,$A52&amp;"|"&amp;AT$1&amp;"|Output"),"OUT",""))</f>
        <v>OUT</v>
      </c>
      <c r="AU52" s="33" t="str">
        <f aca="false">IF(COUNTIF(Flows!$M$2:$M$1500,$A52&amp;"|"&amp;AU$1&amp;"|Input"),IF(COUNTIF(Flows!$M$2:$M$1500,$A52&amp;"|"&amp;AU$1&amp;"|Output"),"I/O","IN"),IF(COUNTIF(Flows!$M$2:$M$1500,$A52&amp;"|"&amp;AU$1&amp;"|Output"),"OUT",""))</f>
        <v/>
      </c>
      <c r="AV52" s="33" t="str">
        <f aca="false">IF(COUNTIF(Flows!$M$2:$M$1500,$A52&amp;"|"&amp;AV$1&amp;"|Input"),IF(COUNTIF(Flows!$M$2:$M$1500,$A52&amp;"|"&amp;AV$1&amp;"|Output"),"I/O","IN"),IF(COUNTIF(Flows!$M$2:$M$1500,$A52&amp;"|"&amp;AV$1&amp;"|Output"),"OUT",""))</f>
        <v/>
      </c>
      <c r="AW52" s="33" t="str">
        <f aca="false">IF(COUNTIF(Flows!$M$2:$M$1500,$A52&amp;"|"&amp;AW$1&amp;"|Input"),IF(COUNTIF(Flows!$M$2:$M$1500,$A52&amp;"|"&amp;AW$1&amp;"|Output"),"I/O","IN"),IF(COUNTIF(Flows!$M$2:$M$1500,$A52&amp;"|"&amp;AW$1&amp;"|Output"),"OUT",""))</f>
        <v/>
      </c>
      <c r="AX52" s="33" t="str">
        <f aca="false">IF(COUNTIF(Flows!$M$2:$M$1500,$A52&amp;"|"&amp;AX$1&amp;"|Input"),IF(COUNTIF(Flows!$M$2:$M$1500,$A52&amp;"|"&amp;AX$1&amp;"|Output"),"I/O","IN"),IF(COUNTIF(Flows!$M$2:$M$1500,$A52&amp;"|"&amp;AX$1&amp;"|Output"),"OUT",""))</f>
        <v>IN</v>
      </c>
      <c r="AY52" s="33" t="str">
        <f aca="false">IF(COUNTIF(Flows!$M$2:$M$1500,$A52&amp;"|"&amp;AY$1&amp;"|Input"),IF(COUNTIF(Flows!$M$2:$M$1500,$A52&amp;"|"&amp;AY$1&amp;"|Output"),"I/O","IN"),IF(COUNTIF(Flows!$M$2:$M$1500,$A52&amp;"|"&amp;AY$1&amp;"|Output"),"OUT",""))</f>
        <v/>
      </c>
      <c r="AZ52" s="33" t="str">
        <f aca="false">IF(COUNTIF(Flows!$M$2:$M$1500,$A52&amp;"|"&amp;AZ$1&amp;"|Input"),IF(COUNTIF(Flows!$M$2:$M$1500,$A52&amp;"|"&amp;AZ$1&amp;"|Output"),"I/O","IN"),IF(COUNTIF(Flows!$M$2:$M$1500,$A52&amp;"|"&amp;AZ$1&amp;"|Output"),"OUT",""))</f>
        <v>IN</v>
      </c>
      <c r="BA52" s="33" t="str">
        <f aca="false">IF(COUNTIF(Flows!$M$2:$M$1500,$A52&amp;"|"&amp;BA$1&amp;"|Input"),IF(COUNTIF(Flows!$M$2:$M$1500,$A52&amp;"|"&amp;BA$1&amp;"|Output"),"I/O","IN"),IF(COUNTIF(Flows!$M$2:$M$1500,$A52&amp;"|"&amp;BA$1&amp;"|Output"),"OUT",""))</f>
        <v>IN</v>
      </c>
      <c r="BB52" s="33" t="str">
        <f aca="false">IF(COUNTIF(Flows!$M$2:$M$1500,$A52&amp;"|"&amp;BB$1&amp;"|Input"),IF(COUNTIF(Flows!$M$2:$M$1500,$A52&amp;"|"&amp;BB$1&amp;"|Output"),"I/O","IN"),IF(COUNTIF(Flows!$M$2:$M$1500,$A52&amp;"|"&amp;BB$1&amp;"|Output"),"OUT",""))</f>
        <v/>
      </c>
      <c r="BC52" s="33" t="str">
        <f aca="false">IF(COUNTIF(Flows!$M$2:$M$1500,$A52&amp;"|"&amp;BC$1&amp;"|Input"),IF(COUNTIF(Flows!$M$2:$M$1500,$A52&amp;"|"&amp;BC$1&amp;"|Output"),"I/O","IN"),IF(COUNTIF(Flows!$M$2:$M$1500,$A52&amp;"|"&amp;BC$1&amp;"|Output"),"OUT",""))</f>
        <v/>
      </c>
      <c r="BD52" s="33" t="str">
        <f aca="false">IF(COUNTIF(Flows!$M$2:$M$1500,$A52&amp;"|"&amp;BD$1&amp;"|Input"),IF(COUNTIF(Flows!$M$2:$M$1500,$A52&amp;"|"&amp;BD$1&amp;"|Output"),"I/O","IN"),IF(COUNTIF(Flows!$M$2:$M$1500,$A52&amp;"|"&amp;BD$1&amp;"|Output"),"OUT",""))</f>
        <v/>
      </c>
      <c r="BE52" s="33" t="str">
        <f aca="false">IF(COUNTIF(Flows!$M$2:$M$1500,$A52&amp;"|"&amp;BE$1&amp;"|Input"),IF(COUNTIF(Flows!$M$2:$M$1500,$A52&amp;"|"&amp;BE$1&amp;"|Output"),"I/O","IN"),IF(COUNTIF(Flows!$M$2:$M$1500,$A52&amp;"|"&amp;BE$1&amp;"|Output"),"OUT",""))</f>
        <v/>
      </c>
      <c r="BF52" s="33" t="str">
        <f aca="false">IF(COUNTIF(Flows!$M$2:$M$1500,$A52&amp;"|"&amp;BF$1&amp;"|Input"),IF(COUNTIF(Flows!$M$2:$M$1500,$A52&amp;"|"&amp;BF$1&amp;"|Output"),"I/O","IN"),IF(COUNTIF(Flows!$M$2:$M$1500,$A52&amp;"|"&amp;BF$1&amp;"|Output"),"OUT",""))</f>
        <v/>
      </c>
      <c r="BG52" s="33" t="str">
        <f aca="false">IF(COUNTIF(Flows!$M$2:$M$1500,$A52&amp;"|"&amp;BG$1&amp;"|Input"),IF(COUNTIF(Flows!$M$2:$M$1500,$A52&amp;"|"&amp;BG$1&amp;"|Output"),"I/O","IN"),IF(COUNTIF(Flows!$M$2:$M$1500,$A52&amp;"|"&amp;BG$1&amp;"|Output"),"OUT",""))</f>
        <v/>
      </c>
      <c r="BH52" s="33" t="str">
        <f aca="false">IF(COUNTIF(Flows!$M$2:$M$1500,$A52&amp;"|"&amp;BH$1&amp;"|Input"),IF(COUNTIF(Flows!$M$2:$M$1500,$A52&amp;"|"&amp;BH$1&amp;"|Output"),"I/O","IN"),IF(COUNTIF(Flows!$M$2:$M$1500,$A52&amp;"|"&amp;BH$1&amp;"|Output"),"OUT",""))</f>
        <v/>
      </c>
      <c r="BI52" s="33" t="str">
        <f aca="false">IF(COUNTIF(Flows!$M$2:$M$1500,$A52&amp;"|"&amp;BI$1&amp;"|Input"),IF(COUNTIF(Flows!$M$2:$M$1500,$A52&amp;"|"&amp;BI$1&amp;"|Output"),"I/O","IN"),IF(COUNTIF(Flows!$M$2:$M$1500,$A52&amp;"|"&amp;BI$1&amp;"|Output"),"OUT",""))</f>
        <v/>
      </c>
      <c r="BJ52" s="33" t="str">
        <f aca="false">IF(COUNTIF(Flows!$M$2:$M$1500,$A52&amp;"|"&amp;BJ$1&amp;"|Input"),IF(COUNTIF(Flows!$M$2:$M$1500,$A52&amp;"|"&amp;BJ$1&amp;"|Output"),"I/O","IN"),IF(COUNTIF(Flows!$M$2:$M$1500,$A52&amp;"|"&amp;BJ$1&amp;"|Output"),"OUT",""))</f>
        <v/>
      </c>
      <c r="BK52" s="33" t="str">
        <f aca="false">IF(COUNTIF(Flows!$M$2:$M$1500,$A52&amp;"|"&amp;BK$1&amp;"|Input"),IF(COUNTIF(Flows!$M$2:$M$1500,$A52&amp;"|"&amp;BK$1&amp;"|Output"),"I/O","IN"),IF(COUNTIF(Flows!$M$2:$M$1500,$A52&amp;"|"&amp;BK$1&amp;"|Output"),"OUT",""))</f>
        <v/>
      </c>
    </row>
    <row r="53" customFormat="false" ht="15" hidden="false" customHeight="true" outlineLevel="0" collapsed="false">
      <c r="A53" s="6" t="str">
        <f aca="false">Systems!B53</f>
        <v>Pollinators</v>
      </c>
      <c r="B53" s="33" t="str">
        <f aca="false">IF(COUNTIF(Flows!$M$2:$M$1500,$A53&amp;"|"&amp;B$1&amp;"|Input"),IF(COUNTIF(Flows!$M$2:$M$1500,$A53&amp;"|"&amp;B$1&amp;"|Output"),"I/O","IN"),IF(COUNTIF(Flows!$M$2:$M$1500,$A53&amp;"|"&amp;B$1&amp;"|Output"),"OUT",""))</f>
        <v/>
      </c>
      <c r="C53" s="33" t="str">
        <f aca="false">IF(COUNTIF(Flows!$M$2:$M$1500,$A53&amp;"|"&amp;C$1&amp;"|Input"),IF(COUNTIF(Flows!$M$2:$M$1500,$A53&amp;"|"&amp;C$1&amp;"|Output"),"I/O","IN"),IF(COUNTIF(Flows!$M$2:$M$1500,$A53&amp;"|"&amp;C$1&amp;"|Output"),"OUT",""))</f>
        <v/>
      </c>
      <c r="D53" s="33" t="str">
        <f aca="false">IF(COUNTIF(Flows!$M$2:$M$1500,$A53&amp;"|"&amp;D$1&amp;"|Input"),IF(COUNTIF(Flows!$M$2:$M$1500,$A53&amp;"|"&amp;D$1&amp;"|Output"),"I/O","IN"),IF(COUNTIF(Flows!$M$2:$M$1500,$A53&amp;"|"&amp;D$1&amp;"|Output"),"OUT",""))</f>
        <v/>
      </c>
      <c r="E53" s="33" t="str">
        <f aca="false">IF(COUNTIF(Flows!$M$2:$M$1500,$A53&amp;"|"&amp;E$1&amp;"|Input"),IF(COUNTIF(Flows!$M$2:$M$1500,$A53&amp;"|"&amp;E$1&amp;"|Output"),"I/O","IN"),IF(COUNTIF(Flows!$M$2:$M$1500,$A53&amp;"|"&amp;E$1&amp;"|Output"),"OUT",""))</f>
        <v/>
      </c>
      <c r="F53" s="33" t="str">
        <f aca="false">IF(COUNTIF(Flows!$M$2:$M$1500,$A53&amp;"|"&amp;F$1&amp;"|Input"),IF(COUNTIF(Flows!$M$2:$M$1500,$A53&amp;"|"&amp;F$1&amp;"|Output"),"I/O","IN"),IF(COUNTIF(Flows!$M$2:$M$1500,$A53&amp;"|"&amp;F$1&amp;"|Output"),"OUT",""))</f>
        <v/>
      </c>
      <c r="G53" s="33" t="str">
        <f aca="false">IF(COUNTIF(Flows!$M$2:$M$1500,$A53&amp;"|"&amp;G$1&amp;"|Input"),IF(COUNTIF(Flows!$M$2:$M$1500,$A53&amp;"|"&amp;G$1&amp;"|Output"),"I/O","IN"),IF(COUNTIF(Flows!$M$2:$M$1500,$A53&amp;"|"&amp;G$1&amp;"|Output"),"OUT",""))</f>
        <v/>
      </c>
      <c r="H53" s="33" t="str">
        <f aca="false">IF(COUNTIF(Flows!$M$2:$M$1500,$A53&amp;"|"&amp;H$1&amp;"|Input"),IF(COUNTIF(Flows!$M$2:$M$1500,$A53&amp;"|"&amp;H$1&amp;"|Output"),"I/O","IN"),IF(COUNTIF(Flows!$M$2:$M$1500,$A53&amp;"|"&amp;H$1&amp;"|Output"),"OUT",""))</f>
        <v/>
      </c>
      <c r="I53" s="33" t="str">
        <f aca="false">IF(COUNTIF(Flows!$M$2:$M$1500,$A53&amp;"|"&amp;I$1&amp;"|Input"),IF(COUNTIF(Flows!$M$2:$M$1500,$A53&amp;"|"&amp;I$1&amp;"|Output"),"I/O","IN"),IF(COUNTIF(Flows!$M$2:$M$1500,$A53&amp;"|"&amp;I$1&amp;"|Output"),"OUT",""))</f>
        <v/>
      </c>
      <c r="J53" s="33" t="str">
        <f aca="false">IF(COUNTIF(Flows!$M$2:$M$1500,$A53&amp;"|"&amp;J$1&amp;"|Input"),IF(COUNTIF(Flows!$M$2:$M$1500,$A53&amp;"|"&amp;J$1&amp;"|Output"),"I/O","IN"),IF(COUNTIF(Flows!$M$2:$M$1500,$A53&amp;"|"&amp;J$1&amp;"|Output"),"OUT",""))</f>
        <v/>
      </c>
      <c r="K53" s="33" t="str">
        <f aca="false">IF(COUNTIF(Flows!$M$2:$M$1500,$A53&amp;"|"&amp;K$1&amp;"|Input"),IF(COUNTIF(Flows!$M$2:$M$1500,$A53&amp;"|"&amp;K$1&amp;"|Output"),"I/O","IN"),IF(COUNTIF(Flows!$M$2:$M$1500,$A53&amp;"|"&amp;K$1&amp;"|Output"),"OUT",""))</f>
        <v/>
      </c>
      <c r="L53" s="33" t="str">
        <f aca="false">IF(COUNTIF(Flows!$M$2:$M$1500,$A53&amp;"|"&amp;L$1&amp;"|Input"),IF(COUNTIF(Flows!$M$2:$M$1500,$A53&amp;"|"&amp;L$1&amp;"|Output"),"I/O","IN"),IF(COUNTIF(Flows!$M$2:$M$1500,$A53&amp;"|"&amp;L$1&amp;"|Output"),"OUT",""))</f>
        <v/>
      </c>
      <c r="M53" s="33" t="str">
        <f aca="false">IF(COUNTIF(Flows!$M$2:$M$1500,$A53&amp;"|"&amp;M$1&amp;"|Input"),IF(COUNTIF(Flows!$M$2:$M$1500,$A53&amp;"|"&amp;M$1&amp;"|Output"),"I/O","IN"),IF(COUNTIF(Flows!$M$2:$M$1500,$A53&amp;"|"&amp;M$1&amp;"|Output"),"OUT",""))</f>
        <v/>
      </c>
      <c r="N53" s="33" t="str">
        <f aca="false">IF(COUNTIF(Flows!$M$2:$M$1500,$A53&amp;"|"&amp;N$1&amp;"|Input"),IF(COUNTIF(Flows!$M$2:$M$1500,$A53&amp;"|"&amp;N$1&amp;"|Output"),"I/O","IN"),IF(COUNTIF(Flows!$M$2:$M$1500,$A53&amp;"|"&amp;N$1&amp;"|Output"),"OUT",""))</f>
        <v/>
      </c>
      <c r="O53" s="33" t="str">
        <f aca="false">IF(COUNTIF(Flows!$M$2:$M$1500,$A53&amp;"|"&amp;O$1&amp;"|Input"),IF(COUNTIF(Flows!$M$2:$M$1500,$A53&amp;"|"&amp;O$1&amp;"|Output"),"I/O","IN"),IF(COUNTIF(Flows!$M$2:$M$1500,$A53&amp;"|"&amp;O$1&amp;"|Output"),"OUT",""))</f>
        <v/>
      </c>
      <c r="P53" s="33" t="str">
        <f aca="false">IF(COUNTIF(Flows!$M$2:$M$1500,$A53&amp;"|"&amp;P$1&amp;"|Input"),IF(COUNTIF(Flows!$M$2:$M$1500,$A53&amp;"|"&amp;P$1&amp;"|Output"),"I/O","IN"),IF(COUNTIF(Flows!$M$2:$M$1500,$A53&amp;"|"&amp;P$1&amp;"|Output"),"OUT",""))</f>
        <v/>
      </c>
      <c r="Q53" s="33" t="str">
        <f aca="false">IF(COUNTIF(Flows!$M$2:$M$1500,$A53&amp;"|"&amp;Q$1&amp;"|Input"),IF(COUNTIF(Flows!$M$2:$M$1500,$A53&amp;"|"&amp;Q$1&amp;"|Output"),"I/O","IN"),IF(COUNTIF(Flows!$M$2:$M$1500,$A53&amp;"|"&amp;Q$1&amp;"|Output"),"OUT",""))</f>
        <v/>
      </c>
      <c r="R53" s="33" t="str">
        <f aca="false">IF(COUNTIF(Flows!$M$2:$M$1500,$A53&amp;"|"&amp;R$1&amp;"|Input"),IF(COUNTIF(Flows!$M$2:$M$1500,$A53&amp;"|"&amp;R$1&amp;"|Output"),"I/O","IN"),IF(COUNTIF(Flows!$M$2:$M$1500,$A53&amp;"|"&amp;R$1&amp;"|Output"),"OUT",""))</f>
        <v/>
      </c>
      <c r="S53" s="33" t="str">
        <f aca="false">IF(COUNTIF(Flows!$M$2:$M$1500,$A53&amp;"|"&amp;S$1&amp;"|Input"),IF(COUNTIF(Flows!$M$2:$M$1500,$A53&amp;"|"&amp;S$1&amp;"|Output"),"I/O","IN"),IF(COUNTIF(Flows!$M$2:$M$1500,$A53&amp;"|"&amp;S$1&amp;"|Output"),"OUT",""))</f>
        <v/>
      </c>
      <c r="T53" s="33" t="str">
        <f aca="false">IF(COUNTIF(Flows!$M$2:$M$1500,$A53&amp;"|"&amp;T$1&amp;"|Input"),IF(COUNTIF(Flows!$M$2:$M$1500,$A53&amp;"|"&amp;T$1&amp;"|Output"),"I/O","IN"),IF(COUNTIF(Flows!$M$2:$M$1500,$A53&amp;"|"&amp;T$1&amp;"|Output"),"OUT",""))</f>
        <v/>
      </c>
      <c r="U53" s="33" t="str">
        <f aca="false">IF(COUNTIF(Flows!$M$2:$M$1500,$A53&amp;"|"&amp;U$1&amp;"|Input"),IF(COUNTIF(Flows!$M$2:$M$1500,$A53&amp;"|"&amp;U$1&amp;"|Output"),"I/O","IN"),IF(COUNTIF(Flows!$M$2:$M$1500,$A53&amp;"|"&amp;U$1&amp;"|Output"),"OUT",""))</f>
        <v/>
      </c>
      <c r="V53" s="33" t="str">
        <f aca="false">IF(COUNTIF(Flows!$M$2:$M$1500,$A53&amp;"|"&amp;V$1&amp;"|Input"),IF(COUNTIF(Flows!$M$2:$M$1500,$A53&amp;"|"&amp;V$1&amp;"|Output"),"I/O","IN"),IF(COUNTIF(Flows!$M$2:$M$1500,$A53&amp;"|"&amp;V$1&amp;"|Output"),"OUT",""))</f>
        <v/>
      </c>
      <c r="W53" s="33" t="str">
        <f aca="false">IF(COUNTIF(Flows!$M$2:$M$1500,$A53&amp;"|"&amp;W$1&amp;"|Input"),IF(COUNTIF(Flows!$M$2:$M$1500,$A53&amp;"|"&amp;W$1&amp;"|Output"),"I/O","IN"),IF(COUNTIF(Flows!$M$2:$M$1500,$A53&amp;"|"&amp;W$1&amp;"|Output"),"OUT",""))</f>
        <v/>
      </c>
      <c r="X53" s="33" t="str">
        <f aca="false">IF(COUNTIF(Flows!$M$2:$M$1500,$A53&amp;"|"&amp;X$1&amp;"|Input"),IF(COUNTIF(Flows!$M$2:$M$1500,$A53&amp;"|"&amp;X$1&amp;"|Output"),"I/O","IN"),IF(COUNTIF(Flows!$M$2:$M$1500,$A53&amp;"|"&amp;X$1&amp;"|Output"),"OUT",""))</f>
        <v/>
      </c>
      <c r="Y53" s="33" t="str">
        <f aca="false">IF(COUNTIF(Flows!$M$2:$M$1500,$A53&amp;"|"&amp;Y$1&amp;"|Input"),IF(COUNTIF(Flows!$M$2:$M$1500,$A53&amp;"|"&amp;Y$1&amp;"|Output"),"I/O","IN"),IF(COUNTIF(Flows!$M$2:$M$1500,$A53&amp;"|"&amp;Y$1&amp;"|Output"),"OUT",""))</f>
        <v/>
      </c>
      <c r="Z53" s="33" t="str">
        <f aca="false">IF(COUNTIF(Flows!$M$2:$M$1500,$A53&amp;"|"&amp;Z$1&amp;"|Input"),IF(COUNTIF(Flows!$M$2:$M$1500,$A53&amp;"|"&amp;Z$1&amp;"|Output"),"I/O","IN"),IF(COUNTIF(Flows!$M$2:$M$1500,$A53&amp;"|"&amp;Z$1&amp;"|Output"),"OUT",""))</f>
        <v/>
      </c>
      <c r="AA53" s="33" t="str">
        <f aca="false">IF(COUNTIF(Flows!$M$2:$M$1500,$A53&amp;"|"&amp;AA$1&amp;"|Input"),IF(COUNTIF(Flows!$M$2:$M$1500,$A53&amp;"|"&amp;AA$1&amp;"|Output"),"I/O","IN"),IF(COUNTIF(Flows!$M$2:$M$1500,$A53&amp;"|"&amp;AA$1&amp;"|Output"),"OUT",""))</f>
        <v/>
      </c>
      <c r="AB53" s="33" t="str">
        <f aca="false">IF(COUNTIF(Flows!$M$2:$M$1500,$A53&amp;"|"&amp;AB$1&amp;"|Input"),IF(COUNTIF(Flows!$M$2:$M$1500,$A53&amp;"|"&amp;AB$1&amp;"|Output"),"I/O","IN"),IF(COUNTIF(Flows!$M$2:$M$1500,$A53&amp;"|"&amp;AB$1&amp;"|Output"),"OUT",""))</f>
        <v/>
      </c>
      <c r="AC53" s="33" t="str">
        <f aca="false">IF(COUNTIF(Flows!$M$2:$M$1500,$A53&amp;"|"&amp;AC$1&amp;"|Input"),IF(COUNTIF(Flows!$M$2:$M$1500,$A53&amp;"|"&amp;AC$1&amp;"|Output"),"I/O","IN"),IF(COUNTIF(Flows!$M$2:$M$1500,$A53&amp;"|"&amp;AC$1&amp;"|Output"),"OUT",""))</f>
        <v/>
      </c>
      <c r="AD53" s="33" t="str">
        <f aca="false">IF(COUNTIF(Flows!$M$2:$M$1500,$A53&amp;"|"&amp;AD$1&amp;"|Input"),IF(COUNTIF(Flows!$M$2:$M$1500,$A53&amp;"|"&amp;AD$1&amp;"|Output"),"I/O","IN"),IF(COUNTIF(Flows!$M$2:$M$1500,$A53&amp;"|"&amp;AD$1&amp;"|Output"),"OUT",""))</f>
        <v/>
      </c>
      <c r="AE53" s="33" t="str">
        <f aca="false">IF(COUNTIF(Flows!$M$2:$M$1500,$A53&amp;"|"&amp;AE$1&amp;"|Input"),IF(COUNTIF(Flows!$M$2:$M$1500,$A53&amp;"|"&amp;AE$1&amp;"|Output"),"I/O","IN"),IF(COUNTIF(Flows!$M$2:$M$1500,$A53&amp;"|"&amp;AE$1&amp;"|Output"),"OUT",""))</f>
        <v/>
      </c>
      <c r="AF53" s="33" t="str">
        <f aca="false">IF(COUNTIF(Flows!$M$2:$M$1500,$A53&amp;"|"&amp;AF$1&amp;"|Input"),IF(COUNTIF(Flows!$M$2:$M$1500,$A53&amp;"|"&amp;AF$1&amp;"|Output"),"I/O","IN"),IF(COUNTIF(Flows!$M$2:$M$1500,$A53&amp;"|"&amp;AF$1&amp;"|Output"),"OUT",""))</f>
        <v/>
      </c>
      <c r="AG53" s="33" t="str">
        <f aca="false">IF(COUNTIF(Flows!$M$2:$M$1500,$A53&amp;"|"&amp;AG$1&amp;"|Input"),IF(COUNTIF(Flows!$M$2:$M$1500,$A53&amp;"|"&amp;AG$1&amp;"|Output"),"I/O","IN"),IF(COUNTIF(Flows!$M$2:$M$1500,$A53&amp;"|"&amp;AG$1&amp;"|Output"),"OUT",""))</f>
        <v/>
      </c>
      <c r="AH53" s="33" t="str">
        <f aca="false">IF(COUNTIF(Flows!$M$2:$M$1500,$A53&amp;"|"&amp;AH$1&amp;"|Input"),IF(COUNTIF(Flows!$M$2:$M$1500,$A53&amp;"|"&amp;AH$1&amp;"|Output"),"I/O","IN"),IF(COUNTIF(Flows!$M$2:$M$1500,$A53&amp;"|"&amp;AH$1&amp;"|Output"),"OUT",""))</f>
        <v/>
      </c>
      <c r="AI53" s="33" t="str">
        <f aca="false">IF(COUNTIF(Flows!$M$2:$M$1500,$A53&amp;"|"&amp;AI$1&amp;"|Input"),IF(COUNTIF(Flows!$M$2:$M$1500,$A53&amp;"|"&amp;AI$1&amp;"|Output"),"I/O","IN"),IF(COUNTIF(Flows!$M$2:$M$1500,$A53&amp;"|"&amp;AI$1&amp;"|Output"),"OUT",""))</f>
        <v/>
      </c>
      <c r="AJ53" s="33" t="str">
        <f aca="false">IF(COUNTIF(Flows!$M$2:$M$1500,$A53&amp;"|"&amp;AJ$1&amp;"|Input"),IF(COUNTIF(Flows!$M$2:$M$1500,$A53&amp;"|"&amp;AJ$1&amp;"|Output"),"I/O","IN"),IF(COUNTIF(Flows!$M$2:$M$1500,$A53&amp;"|"&amp;AJ$1&amp;"|Output"),"OUT",""))</f>
        <v/>
      </c>
      <c r="AK53" s="33" t="str">
        <f aca="false">IF(COUNTIF(Flows!$M$2:$M$1500,$A53&amp;"|"&amp;AK$1&amp;"|Input"),IF(COUNTIF(Flows!$M$2:$M$1500,$A53&amp;"|"&amp;AK$1&amp;"|Output"),"I/O","IN"),IF(COUNTIF(Flows!$M$2:$M$1500,$A53&amp;"|"&amp;AK$1&amp;"|Output"),"OUT",""))</f>
        <v/>
      </c>
      <c r="AL53" s="33" t="str">
        <f aca="false">IF(COUNTIF(Flows!$M$2:$M$1500,$A53&amp;"|"&amp;AL$1&amp;"|Input"),IF(COUNTIF(Flows!$M$2:$M$1500,$A53&amp;"|"&amp;AL$1&amp;"|Output"),"I/O","IN"),IF(COUNTIF(Flows!$M$2:$M$1500,$A53&amp;"|"&amp;AL$1&amp;"|Output"),"OUT",""))</f>
        <v/>
      </c>
      <c r="AM53" s="33" t="str">
        <f aca="false">IF(COUNTIF(Flows!$M$2:$M$1500,$A53&amp;"|"&amp;AM$1&amp;"|Input"),IF(COUNTIF(Flows!$M$2:$M$1500,$A53&amp;"|"&amp;AM$1&amp;"|Output"),"I/O","IN"),IF(COUNTIF(Flows!$M$2:$M$1500,$A53&amp;"|"&amp;AM$1&amp;"|Output"),"OUT",""))</f>
        <v/>
      </c>
      <c r="AN53" s="33" t="str">
        <f aca="false">IF(COUNTIF(Flows!$M$2:$M$1500,$A53&amp;"|"&amp;AN$1&amp;"|Input"),IF(COUNTIF(Flows!$M$2:$M$1500,$A53&amp;"|"&amp;AN$1&amp;"|Output"),"I/O","IN"),IF(COUNTIF(Flows!$M$2:$M$1500,$A53&amp;"|"&amp;AN$1&amp;"|Output"),"OUT",""))</f>
        <v/>
      </c>
      <c r="AO53" s="33" t="str">
        <f aca="false">IF(COUNTIF(Flows!$M$2:$M$1500,$A53&amp;"|"&amp;AO$1&amp;"|Input"),IF(COUNTIF(Flows!$M$2:$M$1500,$A53&amp;"|"&amp;AO$1&amp;"|Output"),"I/O","IN"),IF(COUNTIF(Flows!$M$2:$M$1500,$A53&amp;"|"&amp;AO$1&amp;"|Output"),"OUT",""))</f>
        <v/>
      </c>
      <c r="AP53" s="33" t="str">
        <f aca="false">IF(COUNTIF(Flows!$M$2:$M$1500,$A53&amp;"|"&amp;AP$1&amp;"|Input"),IF(COUNTIF(Flows!$M$2:$M$1500,$A53&amp;"|"&amp;AP$1&amp;"|Output"),"I/O","IN"),IF(COUNTIF(Flows!$M$2:$M$1500,$A53&amp;"|"&amp;AP$1&amp;"|Output"),"OUT",""))</f>
        <v/>
      </c>
      <c r="AQ53" s="33" t="str">
        <f aca="false">IF(COUNTIF(Flows!$M$2:$M$1500,$A53&amp;"|"&amp;AQ$1&amp;"|Input"),IF(COUNTIF(Flows!$M$2:$M$1500,$A53&amp;"|"&amp;AQ$1&amp;"|Output"),"I/O","IN"),IF(COUNTIF(Flows!$M$2:$M$1500,$A53&amp;"|"&amp;AQ$1&amp;"|Output"),"OUT",""))</f>
        <v/>
      </c>
      <c r="AR53" s="33" t="str">
        <f aca="false">IF(COUNTIF(Flows!$M$2:$M$1500,$A53&amp;"|"&amp;AR$1&amp;"|Input"),IF(COUNTIF(Flows!$M$2:$M$1500,$A53&amp;"|"&amp;AR$1&amp;"|Output"),"I/O","IN"),IF(COUNTIF(Flows!$M$2:$M$1500,$A53&amp;"|"&amp;AR$1&amp;"|Output"),"OUT",""))</f>
        <v/>
      </c>
      <c r="AS53" s="33" t="str">
        <f aca="false">IF(COUNTIF(Flows!$M$2:$M$1500,$A53&amp;"|"&amp;AS$1&amp;"|Input"),IF(COUNTIF(Flows!$M$2:$M$1500,$A53&amp;"|"&amp;AS$1&amp;"|Output"),"I/O","IN"),IF(COUNTIF(Flows!$M$2:$M$1500,$A53&amp;"|"&amp;AS$1&amp;"|Output"),"OUT",""))</f>
        <v/>
      </c>
      <c r="AT53" s="33" t="str">
        <f aca="false">IF(COUNTIF(Flows!$M$2:$M$1500,$A53&amp;"|"&amp;AT$1&amp;"|Input"),IF(COUNTIF(Flows!$M$2:$M$1500,$A53&amp;"|"&amp;AT$1&amp;"|Output"),"I/O","IN"),IF(COUNTIF(Flows!$M$2:$M$1500,$A53&amp;"|"&amp;AT$1&amp;"|Output"),"OUT",""))</f>
        <v/>
      </c>
      <c r="AU53" s="33" t="str">
        <f aca="false">IF(COUNTIF(Flows!$M$2:$M$1500,$A53&amp;"|"&amp;AU$1&amp;"|Input"),IF(COUNTIF(Flows!$M$2:$M$1500,$A53&amp;"|"&amp;AU$1&amp;"|Output"),"I/O","IN"),IF(COUNTIF(Flows!$M$2:$M$1500,$A53&amp;"|"&amp;AU$1&amp;"|Output"),"OUT",""))</f>
        <v/>
      </c>
      <c r="AV53" s="33" t="str">
        <f aca="false">IF(COUNTIF(Flows!$M$2:$M$1500,$A53&amp;"|"&amp;AV$1&amp;"|Input"),IF(COUNTIF(Flows!$M$2:$M$1500,$A53&amp;"|"&amp;AV$1&amp;"|Output"),"I/O","IN"),IF(COUNTIF(Flows!$M$2:$M$1500,$A53&amp;"|"&amp;AV$1&amp;"|Output"),"OUT",""))</f>
        <v/>
      </c>
      <c r="AW53" s="33" t="str">
        <f aca="false">IF(COUNTIF(Flows!$M$2:$M$1500,$A53&amp;"|"&amp;AW$1&amp;"|Input"),IF(COUNTIF(Flows!$M$2:$M$1500,$A53&amp;"|"&amp;AW$1&amp;"|Output"),"I/O","IN"),IF(COUNTIF(Flows!$M$2:$M$1500,$A53&amp;"|"&amp;AW$1&amp;"|Output"),"OUT",""))</f>
        <v/>
      </c>
      <c r="AX53" s="33" t="str">
        <f aca="false">IF(COUNTIF(Flows!$M$2:$M$1500,$A53&amp;"|"&amp;AX$1&amp;"|Input"),IF(COUNTIF(Flows!$M$2:$M$1500,$A53&amp;"|"&amp;AX$1&amp;"|Output"),"I/O","IN"),IF(COUNTIF(Flows!$M$2:$M$1500,$A53&amp;"|"&amp;AX$1&amp;"|Output"),"OUT",""))</f>
        <v/>
      </c>
      <c r="AY53" s="33" t="str">
        <f aca="false">IF(COUNTIF(Flows!$M$2:$M$1500,$A53&amp;"|"&amp;AY$1&amp;"|Input"),IF(COUNTIF(Flows!$M$2:$M$1500,$A53&amp;"|"&amp;AY$1&amp;"|Output"),"I/O","IN"),IF(COUNTIF(Flows!$M$2:$M$1500,$A53&amp;"|"&amp;AY$1&amp;"|Output"),"OUT",""))</f>
        <v/>
      </c>
      <c r="AZ53" s="33" t="str">
        <f aca="false">IF(COUNTIF(Flows!$M$2:$M$1500,$A53&amp;"|"&amp;AZ$1&amp;"|Input"),IF(COUNTIF(Flows!$M$2:$M$1500,$A53&amp;"|"&amp;AZ$1&amp;"|Output"),"I/O","IN"),IF(COUNTIF(Flows!$M$2:$M$1500,$A53&amp;"|"&amp;AZ$1&amp;"|Output"),"OUT",""))</f>
        <v/>
      </c>
      <c r="BA53" s="33" t="str">
        <f aca="false">IF(COUNTIF(Flows!$M$2:$M$1500,$A53&amp;"|"&amp;BA$1&amp;"|Input"),IF(COUNTIF(Flows!$M$2:$M$1500,$A53&amp;"|"&amp;BA$1&amp;"|Output"),"I/O","IN"),IF(COUNTIF(Flows!$M$2:$M$1500,$A53&amp;"|"&amp;BA$1&amp;"|Output"),"OUT",""))</f>
        <v/>
      </c>
      <c r="BB53" s="33" t="str">
        <f aca="false">IF(COUNTIF(Flows!$M$2:$M$1500,$A53&amp;"|"&amp;BB$1&amp;"|Input"),IF(COUNTIF(Flows!$M$2:$M$1500,$A53&amp;"|"&amp;BB$1&amp;"|Output"),"I/O","IN"),IF(COUNTIF(Flows!$M$2:$M$1500,$A53&amp;"|"&amp;BB$1&amp;"|Output"),"OUT",""))</f>
        <v/>
      </c>
      <c r="BC53" s="33" t="str">
        <f aca="false">IF(COUNTIF(Flows!$M$2:$M$1500,$A53&amp;"|"&amp;BC$1&amp;"|Input"),IF(COUNTIF(Flows!$M$2:$M$1500,$A53&amp;"|"&amp;BC$1&amp;"|Output"),"I/O","IN"),IF(COUNTIF(Flows!$M$2:$M$1500,$A53&amp;"|"&amp;BC$1&amp;"|Output"),"OUT",""))</f>
        <v/>
      </c>
      <c r="BD53" s="33" t="str">
        <f aca="false">IF(COUNTIF(Flows!$M$2:$M$1500,$A53&amp;"|"&amp;BD$1&amp;"|Input"),IF(COUNTIF(Flows!$M$2:$M$1500,$A53&amp;"|"&amp;BD$1&amp;"|Output"),"I/O","IN"),IF(COUNTIF(Flows!$M$2:$M$1500,$A53&amp;"|"&amp;BD$1&amp;"|Output"),"OUT",""))</f>
        <v/>
      </c>
      <c r="BE53" s="33" t="str">
        <f aca="false">IF(COUNTIF(Flows!$M$2:$M$1500,$A53&amp;"|"&amp;BE$1&amp;"|Input"),IF(COUNTIF(Flows!$M$2:$M$1500,$A53&amp;"|"&amp;BE$1&amp;"|Output"),"I/O","IN"),IF(COUNTIF(Flows!$M$2:$M$1500,$A53&amp;"|"&amp;BE$1&amp;"|Output"),"OUT",""))</f>
        <v/>
      </c>
      <c r="BF53" s="33" t="str">
        <f aca="false">IF(COUNTIF(Flows!$M$2:$M$1500,$A53&amp;"|"&amp;BF$1&amp;"|Input"),IF(COUNTIF(Flows!$M$2:$M$1500,$A53&amp;"|"&amp;BF$1&amp;"|Output"),"I/O","IN"),IF(COUNTIF(Flows!$M$2:$M$1500,$A53&amp;"|"&amp;BF$1&amp;"|Output"),"OUT",""))</f>
        <v/>
      </c>
      <c r="BG53" s="33" t="str">
        <f aca="false">IF(COUNTIF(Flows!$M$2:$M$1500,$A53&amp;"|"&amp;BG$1&amp;"|Input"),IF(COUNTIF(Flows!$M$2:$M$1500,$A53&amp;"|"&amp;BG$1&amp;"|Output"),"I/O","IN"),IF(COUNTIF(Flows!$M$2:$M$1500,$A53&amp;"|"&amp;BG$1&amp;"|Output"),"OUT",""))</f>
        <v/>
      </c>
      <c r="BH53" s="33" t="str">
        <f aca="false">IF(COUNTIF(Flows!$M$2:$M$1500,$A53&amp;"|"&amp;BH$1&amp;"|Input"),IF(COUNTIF(Flows!$M$2:$M$1500,$A53&amp;"|"&amp;BH$1&amp;"|Output"),"I/O","IN"),IF(COUNTIF(Flows!$M$2:$M$1500,$A53&amp;"|"&amp;BH$1&amp;"|Output"),"OUT",""))</f>
        <v>OUT</v>
      </c>
      <c r="BI53" s="33" t="str">
        <f aca="false">IF(COUNTIF(Flows!$M$2:$M$1500,$A53&amp;"|"&amp;BI$1&amp;"|Input"),IF(COUNTIF(Flows!$M$2:$M$1500,$A53&amp;"|"&amp;BI$1&amp;"|Output"),"I/O","IN"),IF(COUNTIF(Flows!$M$2:$M$1500,$A53&amp;"|"&amp;BI$1&amp;"|Output"),"OUT",""))</f>
        <v>IN</v>
      </c>
      <c r="BJ53" s="33" t="str">
        <f aca="false">IF(COUNTIF(Flows!$M$2:$M$1500,$A53&amp;"|"&amp;BJ$1&amp;"|Input"),IF(COUNTIF(Flows!$M$2:$M$1500,$A53&amp;"|"&amp;BJ$1&amp;"|Output"),"I/O","IN"),IF(COUNTIF(Flows!$M$2:$M$1500,$A53&amp;"|"&amp;BJ$1&amp;"|Output"),"OUT",""))</f>
        <v/>
      </c>
      <c r="BK53" s="33" t="str">
        <f aca="false">IF(COUNTIF(Flows!$M$2:$M$1500,$A53&amp;"|"&amp;BK$1&amp;"|Input"),IF(COUNTIF(Flows!$M$2:$M$1500,$A53&amp;"|"&amp;BK$1&amp;"|Output"),"I/O","IN"),IF(COUNTIF(Flows!$M$2:$M$1500,$A53&amp;"|"&amp;BK$1&amp;"|Output"),"OUT",""))</f>
        <v/>
      </c>
    </row>
    <row r="54" customFormat="false" ht="15" hidden="false" customHeight="true" outlineLevel="0" collapsed="false">
      <c r="A54" s="6" t="str">
        <f aca="false">Systems!B54</f>
        <v>Sunflowers</v>
      </c>
      <c r="B54" s="33" t="str">
        <f aca="false">IF(COUNTIF(Flows!$M$2:$M$1500,$A54&amp;"|"&amp;B$1&amp;"|Input"),IF(COUNTIF(Flows!$M$2:$M$1500,$A54&amp;"|"&amp;B$1&amp;"|Output"),"I/O","IN"),IF(COUNTIF(Flows!$M$2:$M$1500,$A54&amp;"|"&amp;B$1&amp;"|Output"),"OUT",""))</f>
        <v>IN</v>
      </c>
      <c r="C54" s="33" t="str">
        <f aca="false">IF(COUNTIF(Flows!$M$2:$M$1500,$A54&amp;"|"&amp;C$1&amp;"|Input"),IF(COUNTIF(Flows!$M$2:$M$1500,$A54&amp;"|"&amp;C$1&amp;"|Output"),"I/O","IN"),IF(COUNTIF(Flows!$M$2:$M$1500,$A54&amp;"|"&amp;C$1&amp;"|Output"),"OUT",""))</f>
        <v/>
      </c>
      <c r="D54" s="33" t="str">
        <f aca="false">IF(COUNTIF(Flows!$M$2:$M$1500,$A54&amp;"|"&amp;D$1&amp;"|Input"),IF(COUNTIF(Flows!$M$2:$M$1500,$A54&amp;"|"&amp;D$1&amp;"|Output"),"I/O","IN"),IF(COUNTIF(Flows!$M$2:$M$1500,$A54&amp;"|"&amp;D$1&amp;"|Output"),"OUT",""))</f>
        <v/>
      </c>
      <c r="E54" s="33" t="str">
        <f aca="false">IF(COUNTIF(Flows!$M$2:$M$1500,$A54&amp;"|"&amp;E$1&amp;"|Input"),IF(COUNTIF(Flows!$M$2:$M$1500,$A54&amp;"|"&amp;E$1&amp;"|Output"),"I/O","IN"),IF(COUNTIF(Flows!$M$2:$M$1500,$A54&amp;"|"&amp;E$1&amp;"|Output"),"OUT",""))</f>
        <v/>
      </c>
      <c r="F54" s="33" t="str">
        <f aca="false">IF(COUNTIF(Flows!$M$2:$M$1500,$A54&amp;"|"&amp;F$1&amp;"|Input"),IF(COUNTIF(Flows!$M$2:$M$1500,$A54&amp;"|"&amp;F$1&amp;"|Output"),"I/O","IN"),IF(COUNTIF(Flows!$M$2:$M$1500,$A54&amp;"|"&amp;F$1&amp;"|Output"),"OUT",""))</f>
        <v/>
      </c>
      <c r="G54" s="33" t="str">
        <f aca="false">IF(COUNTIF(Flows!$M$2:$M$1500,$A54&amp;"|"&amp;G$1&amp;"|Input"),IF(COUNTIF(Flows!$M$2:$M$1500,$A54&amp;"|"&amp;G$1&amp;"|Output"),"I/O","IN"),IF(COUNTIF(Flows!$M$2:$M$1500,$A54&amp;"|"&amp;G$1&amp;"|Output"),"OUT",""))</f>
        <v/>
      </c>
      <c r="H54" s="33" t="str">
        <f aca="false">IF(COUNTIF(Flows!$M$2:$M$1500,$A54&amp;"|"&amp;H$1&amp;"|Input"),IF(COUNTIF(Flows!$M$2:$M$1500,$A54&amp;"|"&amp;H$1&amp;"|Output"),"I/O","IN"),IF(COUNTIF(Flows!$M$2:$M$1500,$A54&amp;"|"&amp;H$1&amp;"|Output"),"OUT",""))</f>
        <v/>
      </c>
      <c r="I54" s="33" t="str">
        <f aca="false">IF(COUNTIF(Flows!$M$2:$M$1500,$A54&amp;"|"&amp;I$1&amp;"|Input"),IF(COUNTIF(Flows!$M$2:$M$1500,$A54&amp;"|"&amp;I$1&amp;"|Output"),"I/O","IN"),IF(COUNTIF(Flows!$M$2:$M$1500,$A54&amp;"|"&amp;I$1&amp;"|Output"),"OUT",""))</f>
        <v/>
      </c>
      <c r="J54" s="33" t="str">
        <f aca="false">IF(COUNTIF(Flows!$M$2:$M$1500,$A54&amp;"|"&amp;J$1&amp;"|Input"),IF(COUNTIF(Flows!$M$2:$M$1500,$A54&amp;"|"&amp;J$1&amp;"|Output"),"I/O","IN"),IF(COUNTIF(Flows!$M$2:$M$1500,$A54&amp;"|"&amp;J$1&amp;"|Output"),"OUT",""))</f>
        <v/>
      </c>
      <c r="K54" s="33" t="str">
        <f aca="false">IF(COUNTIF(Flows!$M$2:$M$1500,$A54&amp;"|"&amp;K$1&amp;"|Input"),IF(COUNTIF(Flows!$M$2:$M$1500,$A54&amp;"|"&amp;K$1&amp;"|Output"),"I/O","IN"),IF(COUNTIF(Flows!$M$2:$M$1500,$A54&amp;"|"&amp;K$1&amp;"|Output"),"OUT",""))</f>
        <v/>
      </c>
      <c r="L54" s="33" t="str">
        <f aca="false">IF(COUNTIF(Flows!$M$2:$M$1500,$A54&amp;"|"&amp;L$1&amp;"|Input"),IF(COUNTIF(Flows!$M$2:$M$1500,$A54&amp;"|"&amp;L$1&amp;"|Output"),"I/O","IN"),IF(COUNTIF(Flows!$M$2:$M$1500,$A54&amp;"|"&amp;L$1&amp;"|Output"),"OUT",""))</f>
        <v/>
      </c>
      <c r="M54" s="33" t="str">
        <f aca="false">IF(COUNTIF(Flows!$M$2:$M$1500,$A54&amp;"|"&amp;M$1&amp;"|Input"),IF(COUNTIF(Flows!$M$2:$M$1500,$A54&amp;"|"&amp;M$1&amp;"|Output"),"I/O","IN"),IF(COUNTIF(Flows!$M$2:$M$1500,$A54&amp;"|"&amp;M$1&amp;"|Output"),"OUT",""))</f>
        <v/>
      </c>
      <c r="N54" s="33" t="str">
        <f aca="false">IF(COUNTIF(Flows!$M$2:$M$1500,$A54&amp;"|"&amp;N$1&amp;"|Input"),IF(COUNTIF(Flows!$M$2:$M$1500,$A54&amp;"|"&amp;N$1&amp;"|Output"),"I/O","IN"),IF(COUNTIF(Flows!$M$2:$M$1500,$A54&amp;"|"&amp;N$1&amp;"|Output"),"OUT",""))</f>
        <v/>
      </c>
      <c r="O54" s="33" t="str">
        <f aca="false">IF(COUNTIF(Flows!$M$2:$M$1500,$A54&amp;"|"&amp;O$1&amp;"|Input"),IF(COUNTIF(Flows!$M$2:$M$1500,$A54&amp;"|"&amp;O$1&amp;"|Output"),"I/O","IN"),IF(COUNTIF(Flows!$M$2:$M$1500,$A54&amp;"|"&amp;O$1&amp;"|Output"),"OUT",""))</f>
        <v/>
      </c>
      <c r="P54" s="33" t="str">
        <f aca="false">IF(COUNTIF(Flows!$M$2:$M$1500,$A54&amp;"|"&amp;P$1&amp;"|Input"),IF(COUNTIF(Flows!$M$2:$M$1500,$A54&amp;"|"&amp;P$1&amp;"|Output"),"I/O","IN"),IF(COUNTIF(Flows!$M$2:$M$1500,$A54&amp;"|"&amp;P$1&amp;"|Output"),"OUT",""))</f>
        <v/>
      </c>
      <c r="Q54" s="33" t="str">
        <f aca="false">IF(COUNTIF(Flows!$M$2:$M$1500,$A54&amp;"|"&amp;Q$1&amp;"|Input"),IF(COUNTIF(Flows!$M$2:$M$1500,$A54&amp;"|"&amp;Q$1&amp;"|Output"),"I/O","IN"),IF(COUNTIF(Flows!$M$2:$M$1500,$A54&amp;"|"&amp;Q$1&amp;"|Output"),"OUT",""))</f>
        <v/>
      </c>
      <c r="R54" s="33" t="str">
        <f aca="false">IF(COUNTIF(Flows!$M$2:$M$1500,$A54&amp;"|"&amp;R$1&amp;"|Input"),IF(COUNTIF(Flows!$M$2:$M$1500,$A54&amp;"|"&amp;R$1&amp;"|Output"),"I/O","IN"),IF(COUNTIF(Flows!$M$2:$M$1500,$A54&amp;"|"&amp;R$1&amp;"|Output"),"OUT",""))</f>
        <v/>
      </c>
      <c r="S54" s="33" t="str">
        <f aca="false">IF(COUNTIF(Flows!$M$2:$M$1500,$A54&amp;"|"&amp;S$1&amp;"|Input"),IF(COUNTIF(Flows!$M$2:$M$1500,$A54&amp;"|"&amp;S$1&amp;"|Output"),"I/O","IN"),IF(COUNTIF(Flows!$M$2:$M$1500,$A54&amp;"|"&amp;S$1&amp;"|Output"),"OUT",""))</f>
        <v/>
      </c>
      <c r="T54" s="33" t="str">
        <f aca="false">IF(COUNTIF(Flows!$M$2:$M$1500,$A54&amp;"|"&amp;T$1&amp;"|Input"),IF(COUNTIF(Flows!$M$2:$M$1500,$A54&amp;"|"&amp;T$1&amp;"|Output"),"I/O","IN"),IF(COUNTIF(Flows!$M$2:$M$1500,$A54&amp;"|"&amp;T$1&amp;"|Output"),"OUT",""))</f>
        <v/>
      </c>
      <c r="U54" s="33" t="str">
        <f aca="false">IF(COUNTIF(Flows!$M$2:$M$1500,$A54&amp;"|"&amp;U$1&amp;"|Input"),IF(COUNTIF(Flows!$M$2:$M$1500,$A54&amp;"|"&amp;U$1&amp;"|Output"),"I/O","IN"),IF(COUNTIF(Flows!$M$2:$M$1500,$A54&amp;"|"&amp;U$1&amp;"|Output"),"OUT",""))</f>
        <v/>
      </c>
      <c r="V54" s="33" t="str">
        <f aca="false">IF(COUNTIF(Flows!$M$2:$M$1500,$A54&amp;"|"&amp;V$1&amp;"|Input"),IF(COUNTIF(Flows!$M$2:$M$1500,$A54&amp;"|"&amp;V$1&amp;"|Output"),"I/O","IN"),IF(COUNTIF(Flows!$M$2:$M$1500,$A54&amp;"|"&amp;V$1&amp;"|Output"),"OUT",""))</f>
        <v/>
      </c>
      <c r="W54" s="33" t="str">
        <f aca="false">IF(COUNTIF(Flows!$M$2:$M$1500,$A54&amp;"|"&amp;W$1&amp;"|Input"),IF(COUNTIF(Flows!$M$2:$M$1500,$A54&amp;"|"&amp;W$1&amp;"|Output"),"I/O","IN"),IF(COUNTIF(Flows!$M$2:$M$1500,$A54&amp;"|"&amp;W$1&amp;"|Output"),"OUT",""))</f>
        <v/>
      </c>
      <c r="X54" s="33" t="str">
        <f aca="false">IF(COUNTIF(Flows!$M$2:$M$1500,$A54&amp;"|"&amp;X$1&amp;"|Input"),IF(COUNTIF(Flows!$M$2:$M$1500,$A54&amp;"|"&amp;X$1&amp;"|Output"),"I/O","IN"),IF(COUNTIF(Flows!$M$2:$M$1500,$A54&amp;"|"&amp;X$1&amp;"|Output"),"OUT",""))</f>
        <v>IN</v>
      </c>
      <c r="Y54" s="33" t="str">
        <f aca="false">IF(COUNTIF(Flows!$M$2:$M$1500,$A54&amp;"|"&amp;Y$1&amp;"|Input"),IF(COUNTIF(Flows!$M$2:$M$1500,$A54&amp;"|"&amp;Y$1&amp;"|Output"),"I/O","IN"),IF(COUNTIF(Flows!$M$2:$M$1500,$A54&amp;"|"&amp;Y$1&amp;"|Output"),"OUT",""))</f>
        <v/>
      </c>
      <c r="Z54" s="33" t="str">
        <f aca="false">IF(COUNTIF(Flows!$M$2:$M$1500,$A54&amp;"|"&amp;Z$1&amp;"|Input"),IF(COUNTIF(Flows!$M$2:$M$1500,$A54&amp;"|"&amp;Z$1&amp;"|Output"),"I/O","IN"),IF(COUNTIF(Flows!$M$2:$M$1500,$A54&amp;"|"&amp;Z$1&amp;"|Output"),"OUT",""))</f>
        <v/>
      </c>
      <c r="AA54" s="33" t="str">
        <f aca="false">IF(COUNTIF(Flows!$M$2:$M$1500,$A54&amp;"|"&amp;AA$1&amp;"|Input"),IF(COUNTIF(Flows!$M$2:$M$1500,$A54&amp;"|"&amp;AA$1&amp;"|Output"),"I/O","IN"),IF(COUNTIF(Flows!$M$2:$M$1500,$A54&amp;"|"&amp;AA$1&amp;"|Output"),"OUT",""))</f>
        <v/>
      </c>
      <c r="AB54" s="33" t="str">
        <f aca="false">IF(COUNTIF(Flows!$M$2:$M$1500,$A54&amp;"|"&amp;AB$1&amp;"|Input"),IF(COUNTIF(Flows!$M$2:$M$1500,$A54&amp;"|"&amp;AB$1&amp;"|Output"),"I/O","IN"),IF(COUNTIF(Flows!$M$2:$M$1500,$A54&amp;"|"&amp;AB$1&amp;"|Output"),"OUT",""))</f>
        <v/>
      </c>
      <c r="AC54" s="33" t="str">
        <f aca="false">IF(COUNTIF(Flows!$M$2:$M$1500,$A54&amp;"|"&amp;AC$1&amp;"|Input"),IF(COUNTIF(Flows!$M$2:$M$1500,$A54&amp;"|"&amp;AC$1&amp;"|Output"),"I/O","IN"),IF(COUNTIF(Flows!$M$2:$M$1500,$A54&amp;"|"&amp;AC$1&amp;"|Output"),"OUT",""))</f>
        <v/>
      </c>
      <c r="AD54" s="33" t="str">
        <f aca="false">IF(COUNTIF(Flows!$M$2:$M$1500,$A54&amp;"|"&amp;AD$1&amp;"|Input"),IF(COUNTIF(Flows!$M$2:$M$1500,$A54&amp;"|"&amp;AD$1&amp;"|Output"),"I/O","IN"),IF(COUNTIF(Flows!$M$2:$M$1500,$A54&amp;"|"&amp;AD$1&amp;"|Output"),"OUT",""))</f>
        <v/>
      </c>
      <c r="AE54" s="33" t="str">
        <f aca="false">IF(COUNTIF(Flows!$M$2:$M$1500,$A54&amp;"|"&amp;AE$1&amp;"|Input"),IF(COUNTIF(Flows!$M$2:$M$1500,$A54&amp;"|"&amp;AE$1&amp;"|Output"),"I/O","IN"),IF(COUNTIF(Flows!$M$2:$M$1500,$A54&amp;"|"&amp;AE$1&amp;"|Output"),"OUT",""))</f>
        <v/>
      </c>
      <c r="AF54" s="33" t="str">
        <f aca="false">IF(COUNTIF(Flows!$M$2:$M$1500,$A54&amp;"|"&amp;AF$1&amp;"|Input"),IF(COUNTIF(Flows!$M$2:$M$1500,$A54&amp;"|"&amp;AF$1&amp;"|Output"),"I/O","IN"),IF(COUNTIF(Flows!$M$2:$M$1500,$A54&amp;"|"&amp;AF$1&amp;"|Output"),"OUT",""))</f>
        <v/>
      </c>
      <c r="AG54" s="33" t="str">
        <f aca="false">IF(COUNTIF(Flows!$M$2:$M$1500,$A54&amp;"|"&amp;AG$1&amp;"|Input"),IF(COUNTIF(Flows!$M$2:$M$1500,$A54&amp;"|"&amp;AG$1&amp;"|Output"),"I/O","IN"),IF(COUNTIF(Flows!$M$2:$M$1500,$A54&amp;"|"&amp;AG$1&amp;"|Output"),"OUT",""))</f>
        <v/>
      </c>
      <c r="AH54" s="33" t="str">
        <f aca="false">IF(COUNTIF(Flows!$M$2:$M$1500,$A54&amp;"|"&amp;AH$1&amp;"|Input"),IF(COUNTIF(Flows!$M$2:$M$1500,$A54&amp;"|"&amp;AH$1&amp;"|Output"),"I/O","IN"),IF(COUNTIF(Flows!$M$2:$M$1500,$A54&amp;"|"&amp;AH$1&amp;"|Output"),"OUT",""))</f>
        <v/>
      </c>
      <c r="AI54" s="33" t="str">
        <f aca="false">IF(COUNTIF(Flows!$M$2:$M$1500,$A54&amp;"|"&amp;AI$1&amp;"|Input"),IF(COUNTIF(Flows!$M$2:$M$1500,$A54&amp;"|"&amp;AI$1&amp;"|Output"),"I/O","IN"),IF(COUNTIF(Flows!$M$2:$M$1500,$A54&amp;"|"&amp;AI$1&amp;"|Output"),"OUT",""))</f>
        <v/>
      </c>
      <c r="AJ54" s="33" t="str">
        <f aca="false">IF(COUNTIF(Flows!$M$2:$M$1500,$A54&amp;"|"&amp;AJ$1&amp;"|Input"),IF(COUNTIF(Flows!$M$2:$M$1500,$A54&amp;"|"&amp;AJ$1&amp;"|Output"),"I/O","IN"),IF(COUNTIF(Flows!$M$2:$M$1500,$A54&amp;"|"&amp;AJ$1&amp;"|Output"),"OUT",""))</f>
        <v/>
      </c>
      <c r="AK54" s="33" t="str">
        <f aca="false">IF(COUNTIF(Flows!$M$2:$M$1500,$A54&amp;"|"&amp;AK$1&amp;"|Input"),IF(COUNTIF(Flows!$M$2:$M$1500,$A54&amp;"|"&amp;AK$1&amp;"|Output"),"I/O","IN"),IF(COUNTIF(Flows!$M$2:$M$1500,$A54&amp;"|"&amp;AK$1&amp;"|Output"),"OUT",""))</f>
        <v/>
      </c>
      <c r="AL54" s="33" t="str">
        <f aca="false">IF(COUNTIF(Flows!$M$2:$M$1500,$A54&amp;"|"&amp;AL$1&amp;"|Input"),IF(COUNTIF(Flows!$M$2:$M$1500,$A54&amp;"|"&amp;AL$1&amp;"|Output"),"I/O","IN"),IF(COUNTIF(Flows!$M$2:$M$1500,$A54&amp;"|"&amp;AL$1&amp;"|Output"),"OUT",""))</f>
        <v/>
      </c>
      <c r="AM54" s="33" t="str">
        <f aca="false">IF(COUNTIF(Flows!$M$2:$M$1500,$A54&amp;"|"&amp;AM$1&amp;"|Input"),IF(COUNTIF(Flows!$M$2:$M$1500,$A54&amp;"|"&amp;AM$1&amp;"|Output"),"I/O","IN"),IF(COUNTIF(Flows!$M$2:$M$1500,$A54&amp;"|"&amp;AM$1&amp;"|Output"),"OUT",""))</f>
        <v/>
      </c>
      <c r="AN54" s="33" t="str">
        <f aca="false">IF(COUNTIF(Flows!$M$2:$M$1500,$A54&amp;"|"&amp;AN$1&amp;"|Input"),IF(COUNTIF(Flows!$M$2:$M$1500,$A54&amp;"|"&amp;AN$1&amp;"|Output"),"I/O","IN"),IF(COUNTIF(Flows!$M$2:$M$1500,$A54&amp;"|"&amp;AN$1&amp;"|Output"),"OUT",""))</f>
        <v/>
      </c>
      <c r="AO54" s="33" t="str">
        <f aca="false">IF(COUNTIF(Flows!$M$2:$M$1500,$A54&amp;"|"&amp;AO$1&amp;"|Input"),IF(COUNTIF(Flows!$M$2:$M$1500,$A54&amp;"|"&amp;AO$1&amp;"|Output"),"I/O","IN"),IF(COUNTIF(Flows!$M$2:$M$1500,$A54&amp;"|"&amp;AO$1&amp;"|Output"),"OUT",""))</f>
        <v/>
      </c>
      <c r="AP54" s="33" t="str">
        <f aca="false">IF(COUNTIF(Flows!$M$2:$M$1500,$A54&amp;"|"&amp;AP$1&amp;"|Input"),IF(COUNTIF(Flows!$M$2:$M$1500,$A54&amp;"|"&amp;AP$1&amp;"|Output"),"I/O","IN"),IF(COUNTIF(Flows!$M$2:$M$1500,$A54&amp;"|"&amp;AP$1&amp;"|Output"),"OUT",""))</f>
        <v/>
      </c>
      <c r="AQ54" s="33" t="str">
        <f aca="false">IF(COUNTIF(Flows!$M$2:$M$1500,$A54&amp;"|"&amp;AQ$1&amp;"|Input"),IF(COUNTIF(Flows!$M$2:$M$1500,$A54&amp;"|"&amp;AQ$1&amp;"|Output"),"I/O","IN"),IF(COUNTIF(Flows!$M$2:$M$1500,$A54&amp;"|"&amp;AQ$1&amp;"|Output"),"OUT",""))</f>
        <v/>
      </c>
      <c r="AR54" s="33" t="str">
        <f aca="false">IF(COUNTIF(Flows!$M$2:$M$1500,$A54&amp;"|"&amp;AR$1&amp;"|Input"),IF(COUNTIF(Flows!$M$2:$M$1500,$A54&amp;"|"&amp;AR$1&amp;"|Output"),"I/O","IN"),IF(COUNTIF(Flows!$M$2:$M$1500,$A54&amp;"|"&amp;AR$1&amp;"|Output"),"OUT",""))</f>
        <v>OUT</v>
      </c>
      <c r="AS54" s="33" t="str">
        <f aca="false">IF(COUNTIF(Flows!$M$2:$M$1500,$A54&amp;"|"&amp;AS$1&amp;"|Input"),IF(COUNTIF(Flows!$M$2:$M$1500,$A54&amp;"|"&amp;AS$1&amp;"|Output"),"I/O","IN"),IF(COUNTIF(Flows!$M$2:$M$1500,$A54&amp;"|"&amp;AS$1&amp;"|Output"),"OUT",""))</f>
        <v/>
      </c>
      <c r="AT54" s="33" t="str">
        <f aca="false">IF(COUNTIF(Flows!$M$2:$M$1500,$A54&amp;"|"&amp;AT$1&amp;"|Input"),IF(COUNTIF(Flows!$M$2:$M$1500,$A54&amp;"|"&amp;AT$1&amp;"|Output"),"I/O","IN"),IF(COUNTIF(Flows!$M$2:$M$1500,$A54&amp;"|"&amp;AT$1&amp;"|Output"),"OUT",""))</f>
        <v/>
      </c>
      <c r="AU54" s="33" t="str">
        <f aca="false">IF(COUNTIF(Flows!$M$2:$M$1500,$A54&amp;"|"&amp;AU$1&amp;"|Input"),IF(COUNTIF(Flows!$M$2:$M$1500,$A54&amp;"|"&amp;AU$1&amp;"|Output"),"I/O","IN"),IF(COUNTIF(Flows!$M$2:$M$1500,$A54&amp;"|"&amp;AU$1&amp;"|Output"),"OUT",""))</f>
        <v/>
      </c>
      <c r="AV54" s="33" t="str">
        <f aca="false">IF(COUNTIF(Flows!$M$2:$M$1500,$A54&amp;"|"&amp;AV$1&amp;"|Input"),IF(COUNTIF(Flows!$M$2:$M$1500,$A54&amp;"|"&amp;AV$1&amp;"|Output"),"I/O","IN"),IF(COUNTIF(Flows!$M$2:$M$1500,$A54&amp;"|"&amp;AV$1&amp;"|Output"),"OUT",""))</f>
        <v/>
      </c>
      <c r="AW54" s="33" t="str">
        <f aca="false">IF(COUNTIF(Flows!$M$2:$M$1500,$A54&amp;"|"&amp;AW$1&amp;"|Input"),IF(COUNTIF(Flows!$M$2:$M$1500,$A54&amp;"|"&amp;AW$1&amp;"|Output"),"I/O","IN"),IF(COUNTIF(Flows!$M$2:$M$1500,$A54&amp;"|"&amp;AW$1&amp;"|Output"),"OUT",""))</f>
        <v/>
      </c>
      <c r="AX54" s="33" t="str">
        <f aca="false">IF(COUNTIF(Flows!$M$2:$M$1500,$A54&amp;"|"&amp;AX$1&amp;"|Input"),IF(COUNTIF(Flows!$M$2:$M$1500,$A54&amp;"|"&amp;AX$1&amp;"|Output"),"I/O","IN"),IF(COUNTIF(Flows!$M$2:$M$1500,$A54&amp;"|"&amp;AX$1&amp;"|Output"),"OUT",""))</f>
        <v/>
      </c>
      <c r="AY54" s="33" t="str">
        <f aca="false">IF(COUNTIF(Flows!$M$2:$M$1500,$A54&amp;"|"&amp;AY$1&amp;"|Input"),IF(COUNTIF(Flows!$M$2:$M$1500,$A54&amp;"|"&amp;AY$1&amp;"|Output"),"I/O","IN"),IF(COUNTIF(Flows!$M$2:$M$1500,$A54&amp;"|"&amp;AY$1&amp;"|Output"),"OUT",""))</f>
        <v/>
      </c>
      <c r="AZ54" s="33" t="str">
        <f aca="false">IF(COUNTIF(Flows!$M$2:$M$1500,$A54&amp;"|"&amp;AZ$1&amp;"|Input"),IF(COUNTIF(Flows!$M$2:$M$1500,$A54&amp;"|"&amp;AZ$1&amp;"|Output"),"I/O","IN"),IF(COUNTIF(Flows!$M$2:$M$1500,$A54&amp;"|"&amp;AZ$1&amp;"|Output"),"OUT",""))</f>
        <v/>
      </c>
      <c r="BA54" s="33" t="str">
        <f aca="false">IF(COUNTIF(Flows!$M$2:$M$1500,$A54&amp;"|"&amp;BA$1&amp;"|Input"),IF(COUNTIF(Flows!$M$2:$M$1500,$A54&amp;"|"&amp;BA$1&amp;"|Output"),"I/O","IN"),IF(COUNTIF(Flows!$M$2:$M$1500,$A54&amp;"|"&amp;BA$1&amp;"|Output"),"OUT",""))</f>
        <v/>
      </c>
      <c r="BB54" s="33" t="str">
        <f aca="false">IF(COUNTIF(Flows!$M$2:$M$1500,$A54&amp;"|"&amp;BB$1&amp;"|Input"),IF(COUNTIF(Flows!$M$2:$M$1500,$A54&amp;"|"&amp;BB$1&amp;"|Output"),"I/O","IN"),IF(COUNTIF(Flows!$M$2:$M$1500,$A54&amp;"|"&amp;BB$1&amp;"|Output"),"OUT",""))</f>
        <v>I/O</v>
      </c>
      <c r="BC54" s="33" t="str">
        <f aca="false">IF(COUNTIF(Flows!$M$2:$M$1500,$A54&amp;"|"&amp;BC$1&amp;"|Input"),IF(COUNTIF(Flows!$M$2:$M$1500,$A54&amp;"|"&amp;BC$1&amp;"|Output"),"I/O","IN"),IF(COUNTIF(Flows!$M$2:$M$1500,$A54&amp;"|"&amp;BC$1&amp;"|Output"),"OUT",""))</f>
        <v/>
      </c>
      <c r="BD54" s="33" t="str">
        <f aca="false">IF(COUNTIF(Flows!$M$2:$M$1500,$A54&amp;"|"&amp;BD$1&amp;"|Input"),IF(COUNTIF(Flows!$M$2:$M$1500,$A54&amp;"|"&amp;BD$1&amp;"|Output"),"I/O","IN"),IF(COUNTIF(Flows!$M$2:$M$1500,$A54&amp;"|"&amp;BD$1&amp;"|Output"),"OUT",""))</f>
        <v/>
      </c>
      <c r="BE54" s="33" t="str">
        <f aca="false">IF(COUNTIF(Flows!$M$2:$M$1500,$A54&amp;"|"&amp;BE$1&amp;"|Input"),IF(COUNTIF(Flows!$M$2:$M$1500,$A54&amp;"|"&amp;BE$1&amp;"|Output"),"I/O","IN"),IF(COUNTIF(Flows!$M$2:$M$1500,$A54&amp;"|"&amp;BE$1&amp;"|Output"),"OUT",""))</f>
        <v/>
      </c>
      <c r="BF54" s="33" t="str">
        <f aca="false">IF(COUNTIF(Flows!$M$2:$M$1500,$A54&amp;"|"&amp;BF$1&amp;"|Input"),IF(COUNTIF(Flows!$M$2:$M$1500,$A54&amp;"|"&amp;BF$1&amp;"|Output"),"I/O","IN"),IF(COUNTIF(Flows!$M$2:$M$1500,$A54&amp;"|"&amp;BF$1&amp;"|Output"),"OUT",""))</f>
        <v/>
      </c>
      <c r="BG54" s="33" t="str">
        <f aca="false">IF(COUNTIF(Flows!$M$2:$M$1500,$A54&amp;"|"&amp;BG$1&amp;"|Input"),IF(COUNTIF(Flows!$M$2:$M$1500,$A54&amp;"|"&amp;BG$1&amp;"|Output"),"I/O","IN"),IF(COUNTIF(Flows!$M$2:$M$1500,$A54&amp;"|"&amp;BG$1&amp;"|Output"),"OUT",""))</f>
        <v/>
      </c>
      <c r="BH54" s="33" t="str">
        <f aca="false">IF(COUNTIF(Flows!$M$2:$M$1500,$A54&amp;"|"&amp;BH$1&amp;"|Input"),IF(COUNTIF(Flows!$M$2:$M$1500,$A54&amp;"|"&amp;BH$1&amp;"|Output"),"I/O","IN"),IF(COUNTIF(Flows!$M$2:$M$1500,$A54&amp;"|"&amp;BH$1&amp;"|Output"),"OUT",""))</f>
        <v>IN</v>
      </c>
      <c r="BI54" s="33" t="str">
        <f aca="false">IF(COUNTIF(Flows!$M$2:$M$1500,$A54&amp;"|"&amp;BI$1&amp;"|Input"),IF(COUNTIF(Flows!$M$2:$M$1500,$A54&amp;"|"&amp;BI$1&amp;"|Output"),"I/O","IN"),IF(COUNTIF(Flows!$M$2:$M$1500,$A54&amp;"|"&amp;BI$1&amp;"|Output"),"OUT",""))</f>
        <v>OUT</v>
      </c>
      <c r="BJ54" s="33" t="str">
        <f aca="false">IF(COUNTIF(Flows!$M$2:$M$1500,$A54&amp;"|"&amp;BJ$1&amp;"|Input"),IF(COUNTIF(Flows!$M$2:$M$1500,$A54&amp;"|"&amp;BJ$1&amp;"|Output"),"I/O","IN"),IF(COUNTIF(Flows!$M$2:$M$1500,$A54&amp;"|"&amp;BJ$1&amp;"|Output"),"OUT",""))</f>
        <v/>
      </c>
      <c r="BK54" s="33" t="str">
        <f aca="false">IF(COUNTIF(Flows!$M$2:$M$1500,$A54&amp;"|"&amp;BK$1&amp;"|Input"),IF(COUNTIF(Flows!$M$2:$M$1500,$A54&amp;"|"&amp;BK$1&amp;"|Output"),"I/O","IN"),IF(COUNTIF(Flows!$M$2:$M$1500,$A54&amp;"|"&amp;BK$1&amp;"|Output"),"OUT",""))</f>
        <v/>
      </c>
    </row>
    <row r="55" customFormat="false" ht="15" hidden="false" customHeight="true" outlineLevel="0" collapsed="false">
      <c r="A55" s="6" t="str">
        <f aca="false">Systems!B55</f>
        <v>Yarrow</v>
      </c>
      <c r="B55" s="33" t="str">
        <f aca="false">IF(COUNTIF(Flows!$M$2:$M$1500,$A55&amp;"|"&amp;B$1&amp;"|Input"),IF(COUNTIF(Flows!$M$2:$M$1500,$A55&amp;"|"&amp;B$1&amp;"|Output"),"I/O","IN"),IF(COUNTIF(Flows!$M$2:$M$1500,$A55&amp;"|"&amp;B$1&amp;"|Output"),"OUT",""))</f>
        <v>IN</v>
      </c>
      <c r="C55" s="33" t="str">
        <f aca="false">IF(COUNTIF(Flows!$M$2:$M$1500,$A55&amp;"|"&amp;C$1&amp;"|Input"),IF(COUNTIF(Flows!$M$2:$M$1500,$A55&amp;"|"&amp;C$1&amp;"|Output"),"I/O","IN"),IF(COUNTIF(Flows!$M$2:$M$1500,$A55&amp;"|"&amp;C$1&amp;"|Output"),"OUT",""))</f>
        <v/>
      </c>
      <c r="D55" s="33" t="str">
        <f aca="false">IF(COUNTIF(Flows!$M$2:$M$1500,$A55&amp;"|"&amp;D$1&amp;"|Input"),IF(COUNTIF(Flows!$M$2:$M$1500,$A55&amp;"|"&amp;D$1&amp;"|Output"),"I/O","IN"),IF(COUNTIF(Flows!$M$2:$M$1500,$A55&amp;"|"&amp;D$1&amp;"|Output"),"OUT",""))</f>
        <v/>
      </c>
      <c r="E55" s="33" t="str">
        <f aca="false">IF(COUNTIF(Flows!$M$2:$M$1500,$A55&amp;"|"&amp;E$1&amp;"|Input"),IF(COUNTIF(Flows!$M$2:$M$1500,$A55&amp;"|"&amp;E$1&amp;"|Output"),"I/O","IN"),IF(COUNTIF(Flows!$M$2:$M$1500,$A55&amp;"|"&amp;E$1&amp;"|Output"),"OUT",""))</f>
        <v/>
      </c>
      <c r="F55" s="33" t="str">
        <f aca="false">IF(COUNTIF(Flows!$M$2:$M$1500,$A55&amp;"|"&amp;F$1&amp;"|Input"),IF(COUNTIF(Flows!$M$2:$M$1500,$A55&amp;"|"&amp;F$1&amp;"|Output"),"I/O","IN"),IF(COUNTIF(Flows!$M$2:$M$1500,$A55&amp;"|"&amp;F$1&amp;"|Output"),"OUT",""))</f>
        <v/>
      </c>
      <c r="G55" s="33" t="str">
        <f aca="false">IF(COUNTIF(Flows!$M$2:$M$1500,$A55&amp;"|"&amp;G$1&amp;"|Input"),IF(COUNTIF(Flows!$M$2:$M$1500,$A55&amp;"|"&amp;G$1&amp;"|Output"),"I/O","IN"),IF(COUNTIF(Flows!$M$2:$M$1500,$A55&amp;"|"&amp;G$1&amp;"|Output"),"OUT",""))</f>
        <v/>
      </c>
      <c r="H55" s="33" t="str">
        <f aca="false">IF(COUNTIF(Flows!$M$2:$M$1500,$A55&amp;"|"&amp;H$1&amp;"|Input"),IF(COUNTIF(Flows!$M$2:$M$1500,$A55&amp;"|"&amp;H$1&amp;"|Output"),"I/O","IN"),IF(COUNTIF(Flows!$M$2:$M$1500,$A55&amp;"|"&amp;H$1&amp;"|Output"),"OUT",""))</f>
        <v/>
      </c>
      <c r="I55" s="33" t="str">
        <f aca="false">IF(COUNTIF(Flows!$M$2:$M$1500,$A55&amp;"|"&amp;I$1&amp;"|Input"),IF(COUNTIF(Flows!$M$2:$M$1500,$A55&amp;"|"&amp;I$1&amp;"|Output"),"I/O","IN"),IF(COUNTIF(Flows!$M$2:$M$1500,$A55&amp;"|"&amp;I$1&amp;"|Output"),"OUT",""))</f>
        <v/>
      </c>
      <c r="J55" s="33" t="str">
        <f aca="false">IF(COUNTIF(Flows!$M$2:$M$1500,$A55&amp;"|"&amp;J$1&amp;"|Input"),IF(COUNTIF(Flows!$M$2:$M$1500,$A55&amp;"|"&amp;J$1&amp;"|Output"),"I/O","IN"),IF(COUNTIF(Flows!$M$2:$M$1500,$A55&amp;"|"&amp;J$1&amp;"|Output"),"OUT",""))</f>
        <v/>
      </c>
      <c r="K55" s="33" t="str">
        <f aca="false">IF(COUNTIF(Flows!$M$2:$M$1500,$A55&amp;"|"&amp;K$1&amp;"|Input"),IF(COUNTIF(Flows!$M$2:$M$1500,$A55&amp;"|"&amp;K$1&amp;"|Output"),"I/O","IN"),IF(COUNTIF(Flows!$M$2:$M$1500,$A55&amp;"|"&amp;K$1&amp;"|Output"),"OUT",""))</f>
        <v/>
      </c>
      <c r="L55" s="33" t="str">
        <f aca="false">IF(COUNTIF(Flows!$M$2:$M$1500,$A55&amp;"|"&amp;L$1&amp;"|Input"),IF(COUNTIF(Flows!$M$2:$M$1500,$A55&amp;"|"&amp;L$1&amp;"|Output"),"I/O","IN"),IF(COUNTIF(Flows!$M$2:$M$1500,$A55&amp;"|"&amp;L$1&amp;"|Output"),"OUT",""))</f>
        <v/>
      </c>
      <c r="M55" s="33" t="str">
        <f aca="false">IF(COUNTIF(Flows!$M$2:$M$1500,$A55&amp;"|"&amp;M$1&amp;"|Input"),IF(COUNTIF(Flows!$M$2:$M$1500,$A55&amp;"|"&amp;M$1&amp;"|Output"),"I/O","IN"),IF(COUNTIF(Flows!$M$2:$M$1500,$A55&amp;"|"&amp;M$1&amp;"|Output"),"OUT",""))</f>
        <v/>
      </c>
      <c r="N55" s="33" t="str">
        <f aca="false">IF(COUNTIF(Flows!$M$2:$M$1500,$A55&amp;"|"&amp;N$1&amp;"|Input"),IF(COUNTIF(Flows!$M$2:$M$1500,$A55&amp;"|"&amp;N$1&amp;"|Output"),"I/O","IN"),IF(COUNTIF(Flows!$M$2:$M$1500,$A55&amp;"|"&amp;N$1&amp;"|Output"),"OUT",""))</f>
        <v/>
      </c>
      <c r="O55" s="33" t="str">
        <f aca="false">IF(COUNTIF(Flows!$M$2:$M$1500,$A55&amp;"|"&amp;O$1&amp;"|Input"),IF(COUNTIF(Flows!$M$2:$M$1500,$A55&amp;"|"&amp;O$1&amp;"|Output"),"I/O","IN"),IF(COUNTIF(Flows!$M$2:$M$1500,$A55&amp;"|"&amp;O$1&amp;"|Output"),"OUT",""))</f>
        <v/>
      </c>
      <c r="P55" s="33" t="str">
        <f aca="false">IF(COUNTIF(Flows!$M$2:$M$1500,$A55&amp;"|"&amp;P$1&amp;"|Input"),IF(COUNTIF(Flows!$M$2:$M$1500,$A55&amp;"|"&amp;P$1&amp;"|Output"),"I/O","IN"),IF(COUNTIF(Flows!$M$2:$M$1500,$A55&amp;"|"&amp;P$1&amp;"|Output"),"OUT",""))</f>
        <v/>
      </c>
      <c r="Q55" s="33" t="str">
        <f aca="false">IF(COUNTIF(Flows!$M$2:$M$1500,$A55&amp;"|"&amp;Q$1&amp;"|Input"),IF(COUNTIF(Flows!$M$2:$M$1500,$A55&amp;"|"&amp;Q$1&amp;"|Output"),"I/O","IN"),IF(COUNTIF(Flows!$M$2:$M$1500,$A55&amp;"|"&amp;Q$1&amp;"|Output"),"OUT",""))</f>
        <v/>
      </c>
      <c r="R55" s="33" t="str">
        <f aca="false">IF(COUNTIF(Flows!$M$2:$M$1500,$A55&amp;"|"&amp;R$1&amp;"|Input"),IF(COUNTIF(Flows!$M$2:$M$1500,$A55&amp;"|"&amp;R$1&amp;"|Output"),"I/O","IN"),IF(COUNTIF(Flows!$M$2:$M$1500,$A55&amp;"|"&amp;R$1&amp;"|Output"),"OUT",""))</f>
        <v/>
      </c>
      <c r="S55" s="33" t="str">
        <f aca="false">IF(COUNTIF(Flows!$M$2:$M$1500,$A55&amp;"|"&amp;S$1&amp;"|Input"),IF(COUNTIF(Flows!$M$2:$M$1500,$A55&amp;"|"&amp;S$1&amp;"|Output"),"I/O","IN"),IF(COUNTIF(Flows!$M$2:$M$1500,$A55&amp;"|"&amp;S$1&amp;"|Output"),"OUT",""))</f>
        <v/>
      </c>
      <c r="T55" s="33" t="str">
        <f aca="false">IF(COUNTIF(Flows!$M$2:$M$1500,$A55&amp;"|"&amp;T$1&amp;"|Input"),IF(COUNTIF(Flows!$M$2:$M$1500,$A55&amp;"|"&amp;T$1&amp;"|Output"),"I/O","IN"),IF(COUNTIF(Flows!$M$2:$M$1500,$A55&amp;"|"&amp;T$1&amp;"|Output"),"OUT",""))</f>
        <v/>
      </c>
      <c r="U55" s="33" t="str">
        <f aca="false">IF(COUNTIF(Flows!$M$2:$M$1500,$A55&amp;"|"&amp;U$1&amp;"|Input"),IF(COUNTIF(Flows!$M$2:$M$1500,$A55&amp;"|"&amp;U$1&amp;"|Output"),"I/O","IN"),IF(COUNTIF(Flows!$M$2:$M$1500,$A55&amp;"|"&amp;U$1&amp;"|Output"),"OUT",""))</f>
        <v/>
      </c>
      <c r="V55" s="33" t="str">
        <f aca="false">IF(COUNTIF(Flows!$M$2:$M$1500,$A55&amp;"|"&amp;V$1&amp;"|Input"),IF(COUNTIF(Flows!$M$2:$M$1500,$A55&amp;"|"&amp;V$1&amp;"|Output"),"I/O","IN"),IF(COUNTIF(Flows!$M$2:$M$1500,$A55&amp;"|"&amp;V$1&amp;"|Output"),"OUT",""))</f>
        <v/>
      </c>
      <c r="W55" s="33" t="str">
        <f aca="false">IF(COUNTIF(Flows!$M$2:$M$1500,$A55&amp;"|"&amp;W$1&amp;"|Input"),IF(COUNTIF(Flows!$M$2:$M$1500,$A55&amp;"|"&amp;W$1&amp;"|Output"),"I/O","IN"),IF(COUNTIF(Flows!$M$2:$M$1500,$A55&amp;"|"&amp;W$1&amp;"|Output"),"OUT",""))</f>
        <v/>
      </c>
      <c r="X55" s="33" t="str">
        <f aca="false">IF(COUNTIF(Flows!$M$2:$M$1500,$A55&amp;"|"&amp;X$1&amp;"|Input"),IF(COUNTIF(Flows!$M$2:$M$1500,$A55&amp;"|"&amp;X$1&amp;"|Output"),"I/O","IN"),IF(COUNTIF(Flows!$M$2:$M$1500,$A55&amp;"|"&amp;X$1&amp;"|Output"),"OUT",""))</f>
        <v>IN</v>
      </c>
      <c r="Y55" s="33" t="str">
        <f aca="false">IF(COUNTIF(Flows!$M$2:$M$1500,$A55&amp;"|"&amp;Y$1&amp;"|Input"),IF(COUNTIF(Flows!$M$2:$M$1500,$A55&amp;"|"&amp;Y$1&amp;"|Output"),"I/O","IN"),IF(COUNTIF(Flows!$M$2:$M$1500,$A55&amp;"|"&amp;Y$1&amp;"|Output"),"OUT",""))</f>
        <v/>
      </c>
      <c r="Z55" s="33" t="str">
        <f aca="false">IF(COUNTIF(Flows!$M$2:$M$1500,$A55&amp;"|"&amp;Z$1&amp;"|Input"),IF(COUNTIF(Flows!$M$2:$M$1500,$A55&amp;"|"&amp;Z$1&amp;"|Output"),"I/O","IN"),IF(COUNTIF(Flows!$M$2:$M$1500,$A55&amp;"|"&amp;Z$1&amp;"|Output"),"OUT",""))</f>
        <v/>
      </c>
      <c r="AA55" s="33" t="str">
        <f aca="false">IF(COUNTIF(Flows!$M$2:$M$1500,$A55&amp;"|"&amp;AA$1&amp;"|Input"),IF(COUNTIF(Flows!$M$2:$M$1500,$A55&amp;"|"&amp;AA$1&amp;"|Output"),"I/O","IN"),IF(COUNTIF(Flows!$M$2:$M$1500,$A55&amp;"|"&amp;AA$1&amp;"|Output"),"OUT",""))</f>
        <v/>
      </c>
      <c r="AB55" s="33" t="str">
        <f aca="false">IF(COUNTIF(Flows!$M$2:$M$1500,$A55&amp;"|"&amp;AB$1&amp;"|Input"),IF(COUNTIF(Flows!$M$2:$M$1500,$A55&amp;"|"&amp;AB$1&amp;"|Output"),"I/O","IN"),IF(COUNTIF(Flows!$M$2:$M$1500,$A55&amp;"|"&amp;AB$1&amp;"|Output"),"OUT",""))</f>
        <v/>
      </c>
      <c r="AC55" s="33" t="str">
        <f aca="false">IF(COUNTIF(Flows!$M$2:$M$1500,$A55&amp;"|"&amp;AC$1&amp;"|Input"),IF(COUNTIF(Flows!$M$2:$M$1500,$A55&amp;"|"&amp;AC$1&amp;"|Output"),"I/O","IN"),IF(COUNTIF(Flows!$M$2:$M$1500,$A55&amp;"|"&amp;AC$1&amp;"|Output"),"OUT",""))</f>
        <v/>
      </c>
      <c r="AD55" s="33" t="str">
        <f aca="false">IF(COUNTIF(Flows!$M$2:$M$1500,$A55&amp;"|"&amp;AD$1&amp;"|Input"),IF(COUNTIF(Flows!$M$2:$M$1500,$A55&amp;"|"&amp;AD$1&amp;"|Output"),"I/O","IN"),IF(COUNTIF(Flows!$M$2:$M$1500,$A55&amp;"|"&amp;AD$1&amp;"|Output"),"OUT",""))</f>
        <v/>
      </c>
      <c r="AE55" s="33" t="str">
        <f aca="false">IF(COUNTIF(Flows!$M$2:$M$1500,$A55&amp;"|"&amp;AE$1&amp;"|Input"),IF(COUNTIF(Flows!$M$2:$M$1500,$A55&amp;"|"&amp;AE$1&amp;"|Output"),"I/O","IN"),IF(COUNTIF(Flows!$M$2:$M$1500,$A55&amp;"|"&amp;AE$1&amp;"|Output"),"OUT",""))</f>
        <v/>
      </c>
      <c r="AF55" s="33" t="str">
        <f aca="false">IF(COUNTIF(Flows!$M$2:$M$1500,$A55&amp;"|"&amp;AF$1&amp;"|Input"),IF(COUNTIF(Flows!$M$2:$M$1500,$A55&amp;"|"&amp;AF$1&amp;"|Output"),"I/O","IN"),IF(COUNTIF(Flows!$M$2:$M$1500,$A55&amp;"|"&amp;AF$1&amp;"|Output"),"OUT",""))</f>
        <v/>
      </c>
      <c r="AG55" s="33" t="str">
        <f aca="false">IF(COUNTIF(Flows!$M$2:$M$1500,$A55&amp;"|"&amp;AG$1&amp;"|Input"),IF(COUNTIF(Flows!$M$2:$M$1500,$A55&amp;"|"&amp;AG$1&amp;"|Output"),"I/O","IN"),IF(COUNTIF(Flows!$M$2:$M$1500,$A55&amp;"|"&amp;AG$1&amp;"|Output"),"OUT",""))</f>
        <v/>
      </c>
      <c r="AH55" s="33" t="str">
        <f aca="false">IF(COUNTIF(Flows!$M$2:$M$1500,$A55&amp;"|"&amp;AH$1&amp;"|Input"),IF(COUNTIF(Flows!$M$2:$M$1500,$A55&amp;"|"&amp;AH$1&amp;"|Output"),"I/O","IN"),IF(COUNTIF(Flows!$M$2:$M$1500,$A55&amp;"|"&amp;AH$1&amp;"|Output"),"OUT",""))</f>
        <v/>
      </c>
      <c r="AI55" s="33" t="str">
        <f aca="false">IF(COUNTIF(Flows!$M$2:$M$1500,$A55&amp;"|"&amp;AI$1&amp;"|Input"),IF(COUNTIF(Flows!$M$2:$M$1500,$A55&amp;"|"&amp;AI$1&amp;"|Output"),"I/O","IN"),IF(COUNTIF(Flows!$M$2:$M$1500,$A55&amp;"|"&amp;AI$1&amp;"|Output"),"OUT",""))</f>
        <v/>
      </c>
      <c r="AJ55" s="33" t="str">
        <f aca="false">IF(COUNTIF(Flows!$M$2:$M$1500,$A55&amp;"|"&amp;AJ$1&amp;"|Input"),IF(COUNTIF(Flows!$M$2:$M$1500,$A55&amp;"|"&amp;AJ$1&amp;"|Output"),"I/O","IN"),IF(COUNTIF(Flows!$M$2:$M$1500,$A55&amp;"|"&amp;AJ$1&amp;"|Output"),"OUT",""))</f>
        <v/>
      </c>
      <c r="AK55" s="33" t="str">
        <f aca="false">IF(COUNTIF(Flows!$M$2:$M$1500,$A55&amp;"|"&amp;AK$1&amp;"|Input"),IF(COUNTIF(Flows!$M$2:$M$1500,$A55&amp;"|"&amp;AK$1&amp;"|Output"),"I/O","IN"),IF(COUNTIF(Flows!$M$2:$M$1500,$A55&amp;"|"&amp;AK$1&amp;"|Output"),"OUT",""))</f>
        <v/>
      </c>
      <c r="AL55" s="33" t="str">
        <f aca="false">IF(COUNTIF(Flows!$M$2:$M$1500,$A55&amp;"|"&amp;AL$1&amp;"|Input"),IF(COUNTIF(Flows!$M$2:$M$1500,$A55&amp;"|"&amp;AL$1&amp;"|Output"),"I/O","IN"),IF(COUNTIF(Flows!$M$2:$M$1500,$A55&amp;"|"&amp;AL$1&amp;"|Output"),"OUT",""))</f>
        <v/>
      </c>
      <c r="AM55" s="33" t="str">
        <f aca="false">IF(COUNTIF(Flows!$M$2:$M$1500,$A55&amp;"|"&amp;AM$1&amp;"|Input"),IF(COUNTIF(Flows!$M$2:$M$1500,$A55&amp;"|"&amp;AM$1&amp;"|Output"),"I/O","IN"),IF(COUNTIF(Flows!$M$2:$M$1500,$A55&amp;"|"&amp;AM$1&amp;"|Output"),"OUT",""))</f>
        <v/>
      </c>
      <c r="AN55" s="33" t="str">
        <f aca="false">IF(COUNTIF(Flows!$M$2:$M$1500,$A55&amp;"|"&amp;AN$1&amp;"|Input"),IF(COUNTIF(Flows!$M$2:$M$1500,$A55&amp;"|"&amp;AN$1&amp;"|Output"),"I/O","IN"),IF(COUNTIF(Flows!$M$2:$M$1500,$A55&amp;"|"&amp;AN$1&amp;"|Output"),"OUT",""))</f>
        <v/>
      </c>
      <c r="AO55" s="33" t="str">
        <f aca="false">IF(COUNTIF(Flows!$M$2:$M$1500,$A55&amp;"|"&amp;AO$1&amp;"|Input"),IF(COUNTIF(Flows!$M$2:$M$1500,$A55&amp;"|"&amp;AO$1&amp;"|Output"),"I/O","IN"),IF(COUNTIF(Flows!$M$2:$M$1500,$A55&amp;"|"&amp;AO$1&amp;"|Output"),"OUT",""))</f>
        <v/>
      </c>
      <c r="AP55" s="33" t="str">
        <f aca="false">IF(COUNTIF(Flows!$M$2:$M$1500,$A55&amp;"|"&amp;AP$1&amp;"|Input"),IF(COUNTIF(Flows!$M$2:$M$1500,$A55&amp;"|"&amp;AP$1&amp;"|Output"),"I/O","IN"),IF(COUNTIF(Flows!$M$2:$M$1500,$A55&amp;"|"&amp;AP$1&amp;"|Output"),"OUT",""))</f>
        <v/>
      </c>
      <c r="AQ55" s="33" t="str">
        <f aca="false">IF(COUNTIF(Flows!$M$2:$M$1500,$A55&amp;"|"&amp;AQ$1&amp;"|Input"),IF(COUNTIF(Flows!$M$2:$M$1500,$A55&amp;"|"&amp;AQ$1&amp;"|Output"),"I/O","IN"),IF(COUNTIF(Flows!$M$2:$M$1500,$A55&amp;"|"&amp;AQ$1&amp;"|Output"),"OUT",""))</f>
        <v/>
      </c>
      <c r="AR55" s="33" t="str">
        <f aca="false">IF(COUNTIF(Flows!$M$2:$M$1500,$A55&amp;"|"&amp;AR$1&amp;"|Input"),IF(COUNTIF(Flows!$M$2:$M$1500,$A55&amp;"|"&amp;AR$1&amp;"|Output"),"I/O","IN"),IF(COUNTIF(Flows!$M$2:$M$1500,$A55&amp;"|"&amp;AR$1&amp;"|Output"),"OUT",""))</f>
        <v/>
      </c>
      <c r="AS55" s="33" t="str">
        <f aca="false">IF(COUNTIF(Flows!$M$2:$M$1500,$A55&amp;"|"&amp;AS$1&amp;"|Input"),IF(COUNTIF(Flows!$M$2:$M$1500,$A55&amp;"|"&amp;AS$1&amp;"|Output"),"I/O","IN"),IF(COUNTIF(Flows!$M$2:$M$1500,$A55&amp;"|"&amp;AS$1&amp;"|Output"),"OUT",""))</f>
        <v/>
      </c>
      <c r="AT55" s="33" t="str">
        <f aca="false">IF(COUNTIF(Flows!$M$2:$M$1500,$A55&amp;"|"&amp;AT$1&amp;"|Input"),IF(COUNTIF(Flows!$M$2:$M$1500,$A55&amp;"|"&amp;AT$1&amp;"|Output"),"I/O","IN"),IF(COUNTIF(Flows!$M$2:$M$1500,$A55&amp;"|"&amp;AT$1&amp;"|Output"),"OUT",""))</f>
        <v/>
      </c>
      <c r="AU55" s="33" t="str">
        <f aca="false">IF(COUNTIF(Flows!$M$2:$M$1500,$A55&amp;"|"&amp;AU$1&amp;"|Input"),IF(COUNTIF(Flows!$M$2:$M$1500,$A55&amp;"|"&amp;AU$1&amp;"|Output"),"I/O","IN"),IF(COUNTIF(Flows!$M$2:$M$1500,$A55&amp;"|"&amp;AU$1&amp;"|Output"),"OUT",""))</f>
        <v/>
      </c>
      <c r="AV55" s="33" t="str">
        <f aca="false">IF(COUNTIF(Flows!$M$2:$M$1500,$A55&amp;"|"&amp;AV$1&amp;"|Input"),IF(COUNTIF(Flows!$M$2:$M$1500,$A55&amp;"|"&amp;AV$1&amp;"|Output"),"I/O","IN"),IF(COUNTIF(Flows!$M$2:$M$1500,$A55&amp;"|"&amp;AV$1&amp;"|Output"),"OUT",""))</f>
        <v/>
      </c>
      <c r="AW55" s="33" t="str">
        <f aca="false">IF(COUNTIF(Flows!$M$2:$M$1500,$A55&amp;"|"&amp;AW$1&amp;"|Input"),IF(COUNTIF(Flows!$M$2:$M$1500,$A55&amp;"|"&amp;AW$1&amp;"|Output"),"I/O","IN"),IF(COUNTIF(Flows!$M$2:$M$1500,$A55&amp;"|"&amp;AW$1&amp;"|Output"),"OUT",""))</f>
        <v/>
      </c>
      <c r="AX55" s="33" t="str">
        <f aca="false">IF(COUNTIF(Flows!$M$2:$M$1500,$A55&amp;"|"&amp;AX$1&amp;"|Input"),IF(COUNTIF(Flows!$M$2:$M$1500,$A55&amp;"|"&amp;AX$1&amp;"|Output"),"I/O","IN"),IF(COUNTIF(Flows!$M$2:$M$1500,$A55&amp;"|"&amp;AX$1&amp;"|Output"),"OUT",""))</f>
        <v/>
      </c>
      <c r="AY55" s="33" t="str">
        <f aca="false">IF(COUNTIF(Flows!$M$2:$M$1500,$A55&amp;"|"&amp;AY$1&amp;"|Input"),IF(COUNTIF(Flows!$M$2:$M$1500,$A55&amp;"|"&amp;AY$1&amp;"|Output"),"I/O","IN"),IF(COUNTIF(Flows!$M$2:$M$1500,$A55&amp;"|"&amp;AY$1&amp;"|Output"),"OUT",""))</f>
        <v/>
      </c>
      <c r="AZ55" s="33" t="str">
        <f aca="false">IF(COUNTIF(Flows!$M$2:$M$1500,$A55&amp;"|"&amp;AZ$1&amp;"|Input"),IF(COUNTIF(Flows!$M$2:$M$1500,$A55&amp;"|"&amp;AZ$1&amp;"|Output"),"I/O","IN"),IF(COUNTIF(Flows!$M$2:$M$1500,$A55&amp;"|"&amp;AZ$1&amp;"|Output"),"OUT",""))</f>
        <v/>
      </c>
      <c r="BA55" s="33" t="str">
        <f aca="false">IF(COUNTIF(Flows!$M$2:$M$1500,$A55&amp;"|"&amp;BA$1&amp;"|Input"),IF(COUNTIF(Flows!$M$2:$M$1500,$A55&amp;"|"&amp;BA$1&amp;"|Output"),"I/O","IN"),IF(COUNTIF(Flows!$M$2:$M$1500,$A55&amp;"|"&amp;BA$1&amp;"|Output"),"OUT",""))</f>
        <v/>
      </c>
      <c r="BB55" s="33" t="str">
        <f aca="false">IF(COUNTIF(Flows!$M$2:$M$1500,$A55&amp;"|"&amp;BB$1&amp;"|Input"),IF(COUNTIF(Flows!$M$2:$M$1500,$A55&amp;"|"&amp;BB$1&amp;"|Output"),"I/O","IN"),IF(COUNTIF(Flows!$M$2:$M$1500,$A55&amp;"|"&amp;BB$1&amp;"|Output"),"OUT",""))</f>
        <v/>
      </c>
      <c r="BC55" s="33" t="str">
        <f aca="false">IF(COUNTIF(Flows!$M$2:$M$1500,$A55&amp;"|"&amp;BC$1&amp;"|Input"),IF(COUNTIF(Flows!$M$2:$M$1500,$A55&amp;"|"&amp;BC$1&amp;"|Output"),"I/O","IN"),IF(COUNTIF(Flows!$M$2:$M$1500,$A55&amp;"|"&amp;BC$1&amp;"|Output"),"OUT",""))</f>
        <v>IN</v>
      </c>
      <c r="BD55" s="33" t="str">
        <f aca="false">IF(COUNTIF(Flows!$M$2:$M$1500,$A55&amp;"|"&amp;BD$1&amp;"|Input"),IF(COUNTIF(Flows!$M$2:$M$1500,$A55&amp;"|"&amp;BD$1&amp;"|Output"),"I/O","IN"),IF(COUNTIF(Flows!$M$2:$M$1500,$A55&amp;"|"&amp;BD$1&amp;"|Output"),"OUT",""))</f>
        <v/>
      </c>
      <c r="BE55" s="33" t="str">
        <f aca="false">IF(COUNTIF(Flows!$M$2:$M$1500,$A55&amp;"|"&amp;BE$1&amp;"|Input"),IF(COUNTIF(Flows!$M$2:$M$1500,$A55&amp;"|"&amp;BE$1&amp;"|Output"),"I/O","IN"),IF(COUNTIF(Flows!$M$2:$M$1500,$A55&amp;"|"&amp;BE$1&amp;"|Output"),"OUT",""))</f>
        <v/>
      </c>
      <c r="BF55" s="33" t="str">
        <f aca="false">IF(COUNTIF(Flows!$M$2:$M$1500,$A55&amp;"|"&amp;BF$1&amp;"|Input"),IF(COUNTIF(Flows!$M$2:$M$1500,$A55&amp;"|"&amp;BF$1&amp;"|Output"),"I/O","IN"),IF(COUNTIF(Flows!$M$2:$M$1500,$A55&amp;"|"&amp;BF$1&amp;"|Output"),"OUT",""))</f>
        <v/>
      </c>
      <c r="BG55" s="33" t="str">
        <f aca="false">IF(COUNTIF(Flows!$M$2:$M$1500,$A55&amp;"|"&amp;BG$1&amp;"|Input"),IF(COUNTIF(Flows!$M$2:$M$1500,$A55&amp;"|"&amp;BG$1&amp;"|Output"),"I/O","IN"),IF(COUNTIF(Flows!$M$2:$M$1500,$A55&amp;"|"&amp;BG$1&amp;"|Output"),"OUT",""))</f>
        <v/>
      </c>
      <c r="BH55" s="33" t="str">
        <f aca="false">IF(COUNTIF(Flows!$M$2:$M$1500,$A55&amp;"|"&amp;BH$1&amp;"|Input"),IF(COUNTIF(Flows!$M$2:$M$1500,$A55&amp;"|"&amp;BH$1&amp;"|Output"),"I/O","IN"),IF(COUNTIF(Flows!$M$2:$M$1500,$A55&amp;"|"&amp;BH$1&amp;"|Output"),"OUT",""))</f>
        <v/>
      </c>
      <c r="BI55" s="33" t="str">
        <f aca="false">IF(COUNTIF(Flows!$M$2:$M$1500,$A55&amp;"|"&amp;BI$1&amp;"|Input"),IF(COUNTIF(Flows!$M$2:$M$1500,$A55&amp;"|"&amp;BI$1&amp;"|Output"),"I/O","IN"),IF(COUNTIF(Flows!$M$2:$M$1500,$A55&amp;"|"&amp;BI$1&amp;"|Output"),"OUT",""))</f>
        <v>OUT</v>
      </c>
      <c r="BJ55" s="33" t="str">
        <f aca="false">IF(COUNTIF(Flows!$M$2:$M$1500,$A55&amp;"|"&amp;BJ$1&amp;"|Input"),IF(COUNTIF(Flows!$M$2:$M$1500,$A55&amp;"|"&amp;BJ$1&amp;"|Output"),"I/O","IN"),IF(COUNTIF(Flows!$M$2:$M$1500,$A55&amp;"|"&amp;BJ$1&amp;"|Output"),"OUT",""))</f>
        <v>OUT</v>
      </c>
      <c r="BK55" s="33" t="str">
        <f aca="false">IF(COUNTIF(Flows!$M$2:$M$1500,$A55&amp;"|"&amp;BK$1&amp;"|Input"),IF(COUNTIF(Flows!$M$2:$M$1500,$A55&amp;"|"&amp;BK$1&amp;"|Output"),"I/O","IN"),IF(COUNTIF(Flows!$M$2:$M$1500,$A55&amp;"|"&amp;BK$1&amp;"|Output"),"OUT",""))</f>
        <v>OUT</v>
      </c>
    </row>
    <row r="56" customFormat="false" ht="15" hidden="false" customHeight="true" outlineLevel="0" collapsed="false">
      <c r="A56" s="6" t="str">
        <f aca="false">Systems!B56</f>
        <v>Teepee</v>
      </c>
      <c r="B56" s="33" t="str">
        <f aca="false">IF(COUNTIF(Flows!$M$2:$M$1500,$A56&amp;"|"&amp;B$1&amp;"|Input"),IF(COUNTIF(Flows!$M$2:$M$1500,$A56&amp;"|"&amp;B$1&amp;"|Output"),"I/O","IN"),IF(COUNTIF(Flows!$M$2:$M$1500,$A56&amp;"|"&amp;B$1&amp;"|Output"),"OUT",""))</f>
        <v/>
      </c>
      <c r="C56" s="33" t="str">
        <f aca="false">IF(COUNTIF(Flows!$M$2:$M$1500,$A56&amp;"|"&amp;C$1&amp;"|Input"),IF(COUNTIF(Flows!$M$2:$M$1500,$A56&amp;"|"&amp;C$1&amp;"|Output"),"I/O","IN"),IF(COUNTIF(Flows!$M$2:$M$1500,$A56&amp;"|"&amp;C$1&amp;"|Output"),"OUT",""))</f>
        <v/>
      </c>
      <c r="D56" s="33" t="str">
        <f aca="false">IF(COUNTIF(Flows!$M$2:$M$1500,$A56&amp;"|"&amp;D$1&amp;"|Input"),IF(COUNTIF(Flows!$M$2:$M$1500,$A56&amp;"|"&amp;D$1&amp;"|Output"),"I/O","IN"),IF(COUNTIF(Flows!$M$2:$M$1500,$A56&amp;"|"&amp;D$1&amp;"|Output"),"OUT",""))</f>
        <v/>
      </c>
      <c r="E56" s="33" t="str">
        <f aca="false">IF(COUNTIF(Flows!$M$2:$M$1500,$A56&amp;"|"&amp;E$1&amp;"|Input"),IF(COUNTIF(Flows!$M$2:$M$1500,$A56&amp;"|"&amp;E$1&amp;"|Output"),"I/O","IN"),IF(COUNTIF(Flows!$M$2:$M$1500,$A56&amp;"|"&amp;E$1&amp;"|Output"),"OUT",""))</f>
        <v/>
      </c>
      <c r="F56" s="33" t="str">
        <f aca="false">IF(COUNTIF(Flows!$M$2:$M$1500,$A56&amp;"|"&amp;F$1&amp;"|Input"),IF(COUNTIF(Flows!$M$2:$M$1500,$A56&amp;"|"&amp;F$1&amp;"|Output"),"I/O","IN"),IF(COUNTIF(Flows!$M$2:$M$1500,$A56&amp;"|"&amp;F$1&amp;"|Output"),"OUT",""))</f>
        <v/>
      </c>
      <c r="G56" s="33" t="str">
        <f aca="false">IF(COUNTIF(Flows!$M$2:$M$1500,$A56&amp;"|"&amp;G$1&amp;"|Input"),IF(COUNTIF(Flows!$M$2:$M$1500,$A56&amp;"|"&amp;G$1&amp;"|Output"),"I/O","IN"),IF(COUNTIF(Flows!$M$2:$M$1500,$A56&amp;"|"&amp;G$1&amp;"|Output"),"OUT",""))</f>
        <v/>
      </c>
      <c r="H56" s="33" t="str">
        <f aca="false">IF(COUNTIF(Flows!$M$2:$M$1500,$A56&amp;"|"&amp;H$1&amp;"|Input"),IF(COUNTIF(Flows!$M$2:$M$1500,$A56&amp;"|"&amp;H$1&amp;"|Output"),"I/O","IN"),IF(COUNTIF(Flows!$M$2:$M$1500,$A56&amp;"|"&amp;H$1&amp;"|Output"),"OUT",""))</f>
        <v/>
      </c>
      <c r="I56" s="33" t="str">
        <f aca="false">IF(COUNTIF(Flows!$M$2:$M$1500,$A56&amp;"|"&amp;I$1&amp;"|Input"),IF(COUNTIF(Flows!$M$2:$M$1500,$A56&amp;"|"&amp;I$1&amp;"|Output"),"I/O","IN"),IF(COUNTIF(Flows!$M$2:$M$1500,$A56&amp;"|"&amp;I$1&amp;"|Output"),"OUT",""))</f>
        <v/>
      </c>
      <c r="J56" s="33" t="str">
        <f aca="false">IF(COUNTIF(Flows!$M$2:$M$1500,$A56&amp;"|"&amp;J$1&amp;"|Input"),IF(COUNTIF(Flows!$M$2:$M$1500,$A56&amp;"|"&amp;J$1&amp;"|Output"),"I/O","IN"),IF(COUNTIF(Flows!$M$2:$M$1500,$A56&amp;"|"&amp;J$1&amp;"|Output"),"OUT",""))</f>
        <v/>
      </c>
      <c r="K56" s="33" t="str">
        <f aca="false">IF(COUNTIF(Flows!$M$2:$M$1500,$A56&amp;"|"&amp;K$1&amp;"|Input"),IF(COUNTIF(Flows!$M$2:$M$1500,$A56&amp;"|"&amp;K$1&amp;"|Output"),"I/O","IN"),IF(COUNTIF(Flows!$M$2:$M$1500,$A56&amp;"|"&amp;K$1&amp;"|Output"),"OUT",""))</f>
        <v/>
      </c>
      <c r="L56" s="33" t="str">
        <f aca="false">IF(COUNTIF(Flows!$M$2:$M$1500,$A56&amp;"|"&amp;L$1&amp;"|Input"),IF(COUNTIF(Flows!$M$2:$M$1500,$A56&amp;"|"&amp;L$1&amp;"|Output"),"I/O","IN"),IF(COUNTIF(Flows!$M$2:$M$1500,$A56&amp;"|"&amp;L$1&amp;"|Output"),"OUT",""))</f>
        <v/>
      </c>
      <c r="M56" s="33" t="str">
        <f aca="false">IF(COUNTIF(Flows!$M$2:$M$1500,$A56&amp;"|"&amp;M$1&amp;"|Input"),IF(COUNTIF(Flows!$M$2:$M$1500,$A56&amp;"|"&amp;M$1&amp;"|Output"),"I/O","IN"),IF(COUNTIF(Flows!$M$2:$M$1500,$A56&amp;"|"&amp;M$1&amp;"|Output"),"OUT",""))</f>
        <v/>
      </c>
      <c r="N56" s="33" t="str">
        <f aca="false">IF(COUNTIF(Flows!$M$2:$M$1500,$A56&amp;"|"&amp;N$1&amp;"|Input"),IF(COUNTIF(Flows!$M$2:$M$1500,$A56&amp;"|"&amp;N$1&amp;"|Output"),"I/O","IN"),IF(COUNTIF(Flows!$M$2:$M$1500,$A56&amp;"|"&amp;N$1&amp;"|Output"),"OUT",""))</f>
        <v/>
      </c>
      <c r="O56" s="33" t="str">
        <f aca="false">IF(COUNTIF(Flows!$M$2:$M$1500,$A56&amp;"|"&amp;O$1&amp;"|Input"),IF(COUNTIF(Flows!$M$2:$M$1500,$A56&amp;"|"&amp;O$1&amp;"|Output"),"I/O","IN"),IF(COUNTIF(Flows!$M$2:$M$1500,$A56&amp;"|"&amp;O$1&amp;"|Output"),"OUT",""))</f>
        <v/>
      </c>
      <c r="P56" s="33" t="str">
        <f aca="false">IF(COUNTIF(Flows!$M$2:$M$1500,$A56&amp;"|"&amp;P$1&amp;"|Input"),IF(COUNTIF(Flows!$M$2:$M$1500,$A56&amp;"|"&amp;P$1&amp;"|Output"),"I/O","IN"),IF(COUNTIF(Flows!$M$2:$M$1500,$A56&amp;"|"&amp;P$1&amp;"|Output"),"OUT",""))</f>
        <v/>
      </c>
      <c r="Q56" s="33" t="str">
        <f aca="false">IF(COUNTIF(Flows!$M$2:$M$1500,$A56&amp;"|"&amp;Q$1&amp;"|Input"),IF(COUNTIF(Flows!$M$2:$M$1500,$A56&amp;"|"&amp;Q$1&amp;"|Output"),"I/O","IN"),IF(COUNTIF(Flows!$M$2:$M$1500,$A56&amp;"|"&amp;Q$1&amp;"|Output"),"OUT",""))</f>
        <v>OUT</v>
      </c>
      <c r="R56" s="33" t="str">
        <f aca="false">IF(COUNTIF(Flows!$M$2:$M$1500,$A56&amp;"|"&amp;R$1&amp;"|Input"),IF(COUNTIF(Flows!$M$2:$M$1500,$A56&amp;"|"&amp;R$1&amp;"|Output"),"I/O","IN"),IF(COUNTIF(Flows!$M$2:$M$1500,$A56&amp;"|"&amp;R$1&amp;"|Output"),"OUT",""))</f>
        <v/>
      </c>
      <c r="S56" s="33" t="str">
        <f aca="false">IF(COUNTIF(Flows!$M$2:$M$1500,$A56&amp;"|"&amp;S$1&amp;"|Input"),IF(COUNTIF(Flows!$M$2:$M$1500,$A56&amp;"|"&amp;S$1&amp;"|Output"),"I/O","IN"),IF(COUNTIF(Flows!$M$2:$M$1500,$A56&amp;"|"&amp;S$1&amp;"|Output"),"OUT",""))</f>
        <v/>
      </c>
      <c r="T56" s="33" t="str">
        <f aca="false">IF(COUNTIF(Flows!$M$2:$M$1500,$A56&amp;"|"&amp;T$1&amp;"|Input"),IF(COUNTIF(Flows!$M$2:$M$1500,$A56&amp;"|"&amp;T$1&amp;"|Output"),"I/O","IN"),IF(COUNTIF(Flows!$M$2:$M$1500,$A56&amp;"|"&amp;T$1&amp;"|Output"),"OUT",""))</f>
        <v/>
      </c>
      <c r="U56" s="33" t="str">
        <f aca="false">IF(COUNTIF(Flows!$M$2:$M$1500,$A56&amp;"|"&amp;U$1&amp;"|Input"),IF(COUNTIF(Flows!$M$2:$M$1500,$A56&amp;"|"&amp;U$1&amp;"|Output"),"I/O","IN"),IF(COUNTIF(Flows!$M$2:$M$1500,$A56&amp;"|"&amp;U$1&amp;"|Output"),"OUT",""))</f>
        <v/>
      </c>
      <c r="V56" s="33" t="str">
        <f aca="false">IF(COUNTIF(Flows!$M$2:$M$1500,$A56&amp;"|"&amp;V$1&amp;"|Input"),IF(COUNTIF(Flows!$M$2:$M$1500,$A56&amp;"|"&amp;V$1&amp;"|Output"),"I/O","IN"),IF(COUNTIF(Flows!$M$2:$M$1500,$A56&amp;"|"&amp;V$1&amp;"|Output"),"OUT",""))</f>
        <v>IN</v>
      </c>
      <c r="W56" s="33" t="str">
        <f aca="false">IF(COUNTIF(Flows!$M$2:$M$1500,$A56&amp;"|"&amp;W$1&amp;"|Input"),IF(COUNTIF(Flows!$M$2:$M$1500,$A56&amp;"|"&amp;W$1&amp;"|Output"),"I/O","IN"),IF(COUNTIF(Flows!$M$2:$M$1500,$A56&amp;"|"&amp;W$1&amp;"|Output"),"OUT",""))</f>
        <v>IN</v>
      </c>
      <c r="X56" s="33" t="str">
        <f aca="false">IF(COUNTIF(Flows!$M$2:$M$1500,$A56&amp;"|"&amp;X$1&amp;"|Input"),IF(COUNTIF(Flows!$M$2:$M$1500,$A56&amp;"|"&amp;X$1&amp;"|Output"),"I/O","IN"),IF(COUNTIF(Flows!$M$2:$M$1500,$A56&amp;"|"&amp;X$1&amp;"|Output"),"OUT",""))</f>
        <v>IN</v>
      </c>
      <c r="Y56" s="33" t="str">
        <f aca="false">IF(COUNTIF(Flows!$M$2:$M$1500,$A56&amp;"|"&amp;Y$1&amp;"|Input"),IF(COUNTIF(Flows!$M$2:$M$1500,$A56&amp;"|"&amp;Y$1&amp;"|Output"),"I/O","IN"),IF(COUNTIF(Flows!$M$2:$M$1500,$A56&amp;"|"&amp;Y$1&amp;"|Output"),"OUT",""))</f>
        <v/>
      </c>
      <c r="Z56" s="33" t="str">
        <f aca="false">IF(COUNTIF(Flows!$M$2:$M$1500,$A56&amp;"|"&amp;Z$1&amp;"|Input"),IF(COUNTIF(Flows!$M$2:$M$1500,$A56&amp;"|"&amp;Z$1&amp;"|Output"),"I/O","IN"),IF(COUNTIF(Flows!$M$2:$M$1500,$A56&amp;"|"&amp;Z$1&amp;"|Output"),"OUT",""))</f>
        <v/>
      </c>
      <c r="AA56" s="33" t="str">
        <f aca="false">IF(COUNTIF(Flows!$M$2:$M$1500,$A56&amp;"|"&amp;AA$1&amp;"|Input"),IF(COUNTIF(Flows!$M$2:$M$1500,$A56&amp;"|"&amp;AA$1&amp;"|Output"),"I/O","IN"),IF(COUNTIF(Flows!$M$2:$M$1500,$A56&amp;"|"&amp;AA$1&amp;"|Output"),"OUT",""))</f>
        <v/>
      </c>
      <c r="AB56" s="33" t="str">
        <f aca="false">IF(COUNTIF(Flows!$M$2:$M$1500,$A56&amp;"|"&amp;AB$1&amp;"|Input"),IF(COUNTIF(Flows!$M$2:$M$1500,$A56&amp;"|"&amp;AB$1&amp;"|Output"),"I/O","IN"),IF(COUNTIF(Flows!$M$2:$M$1500,$A56&amp;"|"&amp;AB$1&amp;"|Output"),"OUT",""))</f>
        <v/>
      </c>
      <c r="AC56" s="33" t="str">
        <f aca="false">IF(COUNTIF(Flows!$M$2:$M$1500,$A56&amp;"|"&amp;AC$1&amp;"|Input"),IF(COUNTIF(Flows!$M$2:$M$1500,$A56&amp;"|"&amp;AC$1&amp;"|Output"),"I/O","IN"),IF(COUNTIF(Flows!$M$2:$M$1500,$A56&amp;"|"&amp;AC$1&amp;"|Output"),"OUT",""))</f>
        <v/>
      </c>
      <c r="AD56" s="33" t="str">
        <f aca="false">IF(COUNTIF(Flows!$M$2:$M$1500,$A56&amp;"|"&amp;AD$1&amp;"|Input"),IF(COUNTIF(Flows!$M$2:$M$1500,$A56&amp;"|"&amp;AD$1&amp;"|Output"),"I/O","IN"),IF(COUNTIF(Flows!$M$2:$M$1500,$A56&amp;"|"&amp;AD$1&amp;"|Output"),"OUT",""))</f>
        <v/>
      </c>
      <c r="AE56" s="33" t="str">
        <f aca="false">IF(COUNTIF(Flows!$M$2:$M$1500,$A56&amp;"|"&amp;AE$1&amp;"|Input"),IF(COUNTIF(Flows!$M$2:$M$1500,$A56&amp;"|"&amp;AE$1&amp;"|Output"),"I/O","IN"),IF(COUNTIF(Flows!$M$2:$M$1500,$A56&amp;"|"&amp;AE$1&amp;"|Output"),"OUT",""))</f>
        <v/>
      </c>
      <c r="AF56" s="33" t="str">
        <f aca="false">IF(COUNTIF(Flows!$M$2:$M$1500,$A56&amp;"|"&amp;AF$1&amp;"|Input"),IF(COUNTIF(Flows!$M$2:$M$1500,$A56&amp;"|"&amp;AF$1&amp;"|Output"),"I/O","IN"),IF(COUNTIF(Flows!$M$2:$M$1500,$A56&amp;"|"&amp;AF$1&amp;"|Output"),"OUT",""))</f>
        <v/>
      </c>
      <c r="AG56" s="33" t="str">
        <f aca="false">IF(COUNTIF(Flows!$M$2:$M$1500,$A56&amp;"|"&amp;AG$1&amp;"|Input"),IF(COUNTIF(Flows!$M$2:$M$1500,$A56&amp;"|"&amp;AG$1&amp;"|Output"),"I/O","IN"),IF(COUNTIF(Flows!$M$2:$M$1500,$A56&amp;"|"&amp;AG$1&amp;"|Output"),"OUT",""))</f>
        <v/>
      </c>
      <c r="AH56" s="33" t="str">
        <f aca="false">IF(COUNTIF(Flows!$M$2:$M$1500,$A56&amp;"|"&amp;AH$1&amp;"|Input"),IF(COUNTIF(Flows!$M$2:$M$1500,$A56&amp;"|"&amp;AH$1&amp;"|Output"),"I/O","IN"),IF(COUNTIF(Flows!$M$2:$M$1500,$A56&amp;"|"&amp;AH$1&amp;"|Output"),"OUT",""))</f>
        <v/>
      </c>
      <c r="AI56" s="33" t="str">
        <f aca="false">IF(COUNTIF(Flows!$M$2:$M$1500,$A56&amp;"|"&amp;AI$1&amp;"|Input"),IF(COUNTIF(Flows!$M$2:$M$1500,$A56&amp;"|"&amp;AI$1&amp;"|Output"),"I/O","IN"),IF(COUNTIF(Flows!$M$2:$M$1500,$A56&amp;"|"&amp;AI$1&amp;"|Output"),"OUT",""))</f>
        <v/>
      </c>
      <c r="AJ56" s="33" t="str">
        <f aca="false">IF(COUNTIF(Flows!$M$2:$M$1500,$A56&amp;"|"&amp;AJ$1&amp;"|Input"),IF(COUNTIF(Flows!$M$2:$M$1500,$A56&amp;"|"&amp;AJ$1&amp;"|Output"),"I/O","IN"),IF(COUNTIF(Flows!$M$2:$M$1500,$A56&amp;"|"&amp;AJ$1&amp;"|Output"),"OUT",""))</f>
        <v/>
      </c>
      <c r="AK56" s="33" t="str">
        <f aca="false">IF(COUNTIF(Flows!$M$2:$M$1500,$A56&amp;"|"&amp;AK$1&amp;"|Input"),IF(COUNTIF(Flows!$M$2:$M$1500,$A56&amp;"|"&amp;AK$1&amp;"|Output"),"I/O","IN"),IF(COUNTIF(Flows!$M$2:$M$1500,$A56&amp;"|"&amp;AK$1&amp;"|Output"),"OUT",""))</f>
        <v/>
      </c>
      <c r="AL56" s="33" t="str">
        <f aca="false">IF(COUNTIF(Flows!$M$2:$M$1500,$A56&amp;"|"&amp;AL$1&amp;"|Input"),IF(COUNTIF(Flows!$M$2:$M$1500,$A56&amp;"|"&amp;AL$1&amp;"|Output"),"I/O","IN"),IF(COUNTIF(Flows!$M$2:$M$1500,$A56&amp;"|"&amp;AL$1&amp;"|Output"),"OUT",""))</f>
        <v>IN</v>
      </c>
      <c r="AM56" s="33" t="str">
        <f aca="false">IF(COUNTIF(Flows!$M$2:$M$1500,$A56&amp;"|"&amp;AM$1&amp;"|Input"),IF(COUNTIF(Flows!$M$2:$M$1500,$A56&amp;"|"&amp;AM$1&amp;"|Output"),"I/O","IN"),IF(COUNTIF(Flows!$M$2:$M$1500,$A56&amp;"|"&amp;AM$1&amp;"|Output"),"OUT",""))</f>
        <v/>
      </c>
      <c r="AN56" s="33" t="str">
        <f aca="false">IF(COUNTIF(Flows!$M$2:$M$1500,$A56&amp;"|"&amp;AN$1&amp;"|Input"),IF(COUNTIF(Flows!$M$2:$M$1500,$A56&amp;"|"&amp;AN$1&amp;"|Output"),"I/O","IN"),IF(COUNTIF(Flows!$M$2:$M$1500,$A56&amp;"|"&amp;AN$1&amp;"|Output"),"OUT",""))</f>
        <v/>
      </c>
      <c r="AO56" s="33" t="str">
        <f aca="false">IF(COUNTIF(Flows!$M$2:$M$1500,$A56&amp;"|"&amp;AO$1&amp;"|Input"),IF(COUNTIF(Flows!$M$2:$M$1500,$A56&amp;"|"&amp;AO$1&amp;"|Output"),"I/O","IN"),IF(COUNTIF(Flows!$M$2:$M$1500,$A56&amp;"|"&amp;AO$1&amp;"|Output"),"OUT",""))</f>
        <v/>
      </c>
      <c r="AP56" s="33" t="str">
        <f aca="false">IF(COUNTIF(Flows!$M$2:$M$1500,$A56&amp;"|"&amp;AP$1&amp;"|Input"),IF(COUNTIF(Flows!$M$2:$M$1500,$A56&amp;"|"&amp;AP$1&amp;"|Output"),"I/O","IN"),IF(COUNTIF(Flows!$M$2:$M$1500,$A56&amp;"|"&amp;AP$1&amp;"|Output"),"OUT",""))</f>
        <v/>
      </c>
      <c r="AQ56" s="33" t="str">
        <f aca="false">IF(COUNTIF(Flows!$M$2:$M$1500,$A56&amp;"|"&amp;AQ$1&amp;"|Input"),IF(COUNTIF(Flows!$M$2:$M$1500,$A56&amp;"|"&amp;AQ$1&amp;"|Output"),"I/O","IN"),IF(COUNTIF(Flows!$M$2:$M$1500,$A56&amp;"|"&amp;AQ$1&amp;"|Output"),"OUT",""))</f>
        <v/>
      </c>
      <c r="AR56" s="33" t="str">
        <f aca="false">IF(COUNTIF(Flows!$M$2:$M$1500,$A56&amp;"|"&amp;AR$1&amp;"|Input"),IF(COUNTIF(Flows!$M$2:$M$1500,$A56&amp;"|"&amp;AR$1&amp;"|Output"),"I/O","IN"),IF(COUNTIF(Flows!$M$2:$M$1500,$A56&amp;"|"&amp;AR$1&amp;"|Output"),"OUT",""))</f>
        <v/>
      </c>
      <c r="AS56" s="33" t="str">
        <f aca="false">IF(COUNTIF(Flows!$M$2:$M$1500,$A56&amp;"|"&amp;AS$1&amp;"|Input"),IF(COUNTIF(Flows!$M$2:$M$1500,$A56&amp;"|"&amp;AS$1&amp;"|Output"),"I/O","IN"),IF(COUNTIF(Flows!$M$2:$M$1500,$A56&amp;"|"&amp;AS$1&amp;"|Output"),"OUT",""))</f>
        <v/>
      </c>
      <c r="AT56" s="33" t="str">
        <f aca="false">IF(COUNTIF(Flows!$M$2:$M$1500,$A56&amp;"|"&amp;AT$1&amp;"|Input"),IF(COUNTIF(Flows!$M$2:$M$1500,$A56&amp;"|"&amp;AT$1&amp;"|Output"),"I/O","IN"),IF(COUNTIF(Flows!$M$2:$M$1500,$A56&amp;"|"&amp;AT$1&amp;"|Output"),"OUT",""))</f>
        <v/>
      </c>
      <c r="AU56" s="33" t="str">
        <f aca="false">IF(COUNTIF(Flows!$M$2:$M$1500,$A56&amp;"|"&amp;AU$1&amp;"|Input"),IF(COUNTIF(Flows!$M$2:$M$1500,$A56&amp;"|"&amp;AU$1&amp;"|Output"),"I/O","IN"),IF(COUNTIF(Flows!$M$2:$M$1500,$A56&amp;"|"&amp;AU$1&amp;"|Output"),"OUT",""))</f>
        <v/>
      </c>
      <c r="AV56" s="33" t="str">
        <f aca="false">IF(COUNTIF(Flows!$M$2:$M$1500,$A56&amp;"|"&amp;AV$1&amp;"|Input"),IF(COUNTIF(Flows!$M$2:$M$1500,$A56&amp;"|"&amp;AV$1&amp;"|Output"),"I/O","IN"),IF(COUNTIF(Flows!$M$2:$M$1500,$A56&amp;"|"&amp;AV$1&amp;"|Output"),"OUT",""))</f>
        <v/>
      </c>
      <c r="AW56" s="33" t="str">
        <f aca="false">IF(COUNTIF(Flows!$M$2:$M$1500,$A56&amp;"|"&amp;AW$1&amp;"|Input"),IF(COUNTIF(Flows!$M$2:$M$1500,$A56&amp;"|"&amp;AW$1&amp;"|Output"),"I/O","IN"),IF(COUNTIF(Flows!$M$2:$M$1500,$A56&amp;"|"&amp;AW$1&amp;"|Output"),"OUT",""))</f>
        <v/>
      </c>
      <c r="AX56" s="33" t="str">
        <f aca="false">IF(COUNTIF(Flows!$M$2:$M$1500,$A56&amp;"|"&amp;AX$1&amp;"|Input"),IF(COUNTIF(Flows!$M$2:$M$1500,$A56&amp;"|"&amp;AX$1&amp;"|Output"),"I/O","IN"),IF(COUNTIF(Flows!$M$2:$M$1500,$A56&amp;"|"&amp;AX$1&amp;"|Output"),"OUT",""))</f>
        <v/>
      </c>
      <c r="AY56" s="33" t="str">
        <f aca="false">IF(COUNTIF(Flows!$M$2:$M$1500,$A56&amp;"|"&amp;AY$1&amp;"|Input"),IF(COUNTIF(Flows!$M$2:$M$1500,$A56&amp;"|"&amp;AY$1&amp;"|Output"),"I/O","IN"),IF(COUNTIF(Flows!$M$2:$M$1500,$A56&amp;"|"&amp;AY$1&amp;"|Output"),"OUT",""))</f>
        <v/>
      </c>
      <c r="AZ56" s="33" t="str">
        <f aca="false">IF(COUNTIF(Flows!$M$2:$M$1500,$A56&amp;"|"&amp;AZ$1&amp;"|Input"),IF(COUNTIF(Flows!$M$2:$M$1500,$A56&amp;"|"&amp;AZ$1&amp;"|Output"),"I/O","IN"),IF(COUNTIF(Flows!$M$2:$M$1500,$A56&amp;"|"&amp;AZ$1&amp;"|Output"),"OUT",""))</f>
        <v/>
      </c>
      <c r="BA56" s="33" t="str">
        <f aca="false">IF(COUNTIF(Flows!$M$2:$M$1500,$A56&amp;"|"&amp;BA$1&amp;"|Input"),IF(COUNTIF(Flows!$M$2:$M$1500,$A56&amp;"|"&amp;BA$1&amp;"|Output"),"I/O","IN"),IF(COUNTIF(Flows!$M$2:$M$1500,$A56&amp;"|"&amp;BA$1&amp;"|Output"),"OUT",""))</f>
        <v/>
      </c>
      <c r="BB56" s="33" t="str">
        <f aca="false">IF(COUNTIF(Flows!$M$2:$M$1500,$A56&amp;"|"&amp;BB$1&amp;"|Input"),IF(COUNTIF(Flows!$M$2:$M$1500,$A56&amp;"|"&amp;BB$1&amp;"|Output"),"I/O","IN"),IF(COUNTIF(Flows!$M$2:$M$1500,$A56&amp;"|"&amp;BB$1&amp;"|Output"),"OUT",""))</f>
        <v/>
      </c>
      <c r="BC56" s="33" t="str">
        <f aca="false">IF(COUNTIF(Flows!$M$2:$M$1500,$A56&amp;"|"&amp;BC$1&amp;"|Input"),IF(COUNTIF(Flows!$M$2:$M$1500,$A56&amp;"|"&amp;BC$1&amp;"|Output"),"I/O","IN"),IF(COUNTIF(Flows!$M$2:$M$1500,$A56&amp;"|"&amp;BC$1&amp;"|Output"),"OUT",""))</f>
        <v/>
      </c>
      <c r="BD56" s="33" t="str">
        <f aca="false">IF(COUNTIF(Flows!$M$2:$M$1500,$A56&amp;"|"&amp;BD$1&amp;"|Input"),IF(COUNTIF(Flows!$M$2:$M$1500,$A56&amp;"|"&amp;BD$1&amp;"|Output"),"I/O","IN"),IF(COUNTIF(Flows!$M$2:$M$1500,$A56&amp;"|"&amp;BD$1&amp;"|Output"),"OUT",""))</f>
        <v/>
      </c>
      <c r="BE56" s="33" t="str">
        <f aca="false">IF(COUNTIF(Flows!$M$2:$M$1500,$A56&amp;"|"&amp;BE$1&amp;"|Input"),IF(COUNTIF(Flows!$M$2:$M$1500,$A56&amp;"|"&amp;BE$1&amp;"|Output"),"I/O","IN"),IF(COUNTIF(Flows!$M$2:$M$1500,$A56&amp;"|"&amp;BE$1&amp;"|Output"),"OUT",""))</f>
        <v/>
      </c>
      <c r="BF56" s="33" t="str">
        <f aca="false">IF(COUNTIF(Flows!$M$2:$M$1500,$A56&amp;"|"&amp;BF$1&amp;"|Input"),IF(COUNTIF(Flows!$M$2:$M$1500,$A56&amp;"|"&amp;BF$1&amp;"|Output"),"I/O","IN"),IF(COUNTIF(Flows!$M$2:$M$1500,$A56&amp;"|"&amp;BF$1&amp;"|Output"),"OUT",""))</f>
        <v/>
      </c>
      <c r="BG56" s="33" t="str">
        <f aca="false">IF(COUNTIF(Flows!$M$2:$M$1500,$A56&amp;"|"&amp;BG$1&amp;"|Input"),IF(COUNTIF(Flows!$M$2:$M$1500,$A56&amp;"|"&amp;BG$1&amp;"|Output"),"I/O","IN"),IF(COUNTIF(Flows!$M$2:$M$1500,$A56&amp;"|"&amp;BG$1&amp;"|Output"),"OUT",""))</f>
        <v/>
      </c>
      <c r="BH56" s="33" t="str">
        <f aca="false">IF(COUNTIF(Flows!$M$2:$M$1500,$A56&amp;"|"&amp;BH$1&amp;"|Input"),IF(COUNTIF(Flows!$M$2:$M$1500,$A56&amp;"|"&amp;BH$1&amp;"|Output"),"I/O","IN"),IF(COUNTIF(Flows!$M$2:$M$1500,$A56&amp;"|"&amp;BH$1&amp;"|Output"),"OUT",""))</f>
        <v/>
      </c>
      <c r="BI56" s="33" t="str">
        <f aca="false">IF(COUNTIF(Flows!$M$2:$M$1500,$A56&amp;"|"&amp;BI$1&amp;"|Input"),IF(COUNTIF(Flows!$M$2:$M$1500,$A56&amp;"|"&amp;BI$1&amp;"|Output"),"I/O","IN"),IF(COUNTIF(Flows!$M$2:$M$1500,$A56&amp;"|"&amp;BI$1&amp;"|Output"),"OUT",""))</f>
        <v/>
      </c>
      <c r="BJ56" s="33" t="str">
        <f aca="false">IF(COUNTIF(Flows!$M$2:$M$1500,$A56&amp;"|"&amp;BJ$1&amp;"|Input"),IF(COUNTIF(Flows!$M$2:$M$1500,$A56&amp;"|"&amp;BJ$1&amp;"|Output"),"I/O","IN"),IF(COUNTIF(Flows!$M$2:$M$1500,$A56&amp;"|"&amp;BJ$1&amp;"|Output"),"OUT",""))</f>
        <v/>
      </c>
      <c r="BK56" s="33" t="str">
        <f aca="false">IF(COUNTIF(Flows!$M$2:$M$1500,$A56&amp;"|"&amp;BK$1&amp;"|Input"),IF(COUNTIF(Flows!$M$2:$M$1500,$A56&amp;"|"&amp;BK$1&amp;"|Output"),"I/O","IN"),IF(COUNTIF(Flows!$M$2:$M$1500,$A56&amp;"|"&amp;BK$1&amp;"|Output"),"OUT",""))</f>
        <v/>
      </c>
    </row>
    <row r="57" customFormat="false" ht="15" hidden="false" customHeight="true" outlineLevel="0" collapsed="false">
      <c r="A57" s="6" t="str">
        <f aca="false">Systems!B57</f>
        <v>Yurt</v>
      </c>
      <c r="B57" s="33" t="str">
        <f aca="false">IF(COUNTIF(Flows!$M$2:$M$1500,$A57&amp;"|"&amp;B$1&amp;"|Input"),IF(COUNTIF(Flows!$M$2:$M$1500,$A57&amp;"|"&amp;B$1&amp;"|Output"),"I/O","IN"),IF(COUNTIF(Flows!$M$2:$M$1500,$A57&amp;"|"&amp;B$1&amp;"|Output"),"OUT",""))</f>
        <v/>
      </c>
      <c r="C57" s="33" t="str">
        <f aca="false">IF(COUNTIF(Flows!$M$2:$M$1500,$A57&amp;"|"&amp;C$1&amp;"|Input"),IF(COUNTIF(Flows!$M$2:$M$1500,$A57&amp;"|"&amp;C$1&amp;"|Output"),"I/O","IN"),IF(COUNTIF(Flows!$M$2:$M$1500,$A57&amp;"|"&amp;C$1&amp;"|Output"),"OUT",""))</f>
        <v/>
      </c>
      <c r="D57" s="33" t="str">
        <f aca="false">IF(COUNTIF(Flows!$M$2:$M$1500,$A57&amp;"|"&amp;D$1&amp;"|Input"),IF(COUNTIF(Flows!$M$2:$M$1500,$A57&amp;"|"&amp;D$1&amp;"|Output"),"I/O","IN"),IF(COUNTIF(Flows!$M$2:$M$1500,$A57&amp;"|"&amp;D$1&amp;"|Output"),"OUT",""))</f>
        <v/>
      </c>
      <c r="E57" s="33" t="str">
        <f aca="false">IF(COUNTIF(Flows!$M$2:$M$1500,$A57&amp;"|"&amp;E$1&amp;"|Input"),IF(COUNTIF(Flows!$M$2:$M$1500,$A57&amp;"|"&amp;E$1&amp;"|Output"),"I/O","IN"),IF(COUNTIF(Flows!$M$2:$M$1500,$A57&amp;"|"&amp;E$1&amp;"|Output"),"OUT",""))</f>
        <v/>
      </c>
      <c r="F57" s="33" t="str">
        <f aca="false">IF(COUNTIF(Flows!$M$2:$M$1500,$A57&amp;"|"&amp;F$1&amp;"|Input"),IF(COUNTIF(Flows!$M$2:$M$1500,$A57&amp;"|"&amp;F$1&amp;"|Output"),"I/O","IN"),IF(COUNTIF(Flows!$M$2:$M$1500,$A57&amp;"|"&amp;F$1&amp;"|Output"),"OUT",""))</f>
        <v/>
      </c>
      <c r="G57" s="33" t="str">
        <f aca="false">IF(COUNTIF(Flows!$M$2:$M$1500,$A57&amp;"|"&amp;G$1&amp;"|Input"),IF(COUNTIF(Flows!$M$2:$M$1500,$A57&amp;"|"&amp;G$1&amp;"|Output"),"I/O","IN"),IF(COUNTIF(Flows!$M$2:$M$1500,$A57&amp;"|"&amp;G$1&amp;"|Output"),"OUT",""))</f>
        <v/>
      </c>
      <c r="H57" s="33" t="str">
        <f aca="false">IF(COUNTIF(Flows!$M$2:$M$1500,$A57&amp;"|"&amp;H$1&amp;"|Input"),IF(COUNTIF(Flows!$M$2:$M$1500,$A57&amp;"|"&amp;H$1&amp;"|Output"),"I/O","IN"),IF(COUNTIF(Flows!$M$2:$M$1500,$A57&amp;"|"&amp;H$1&amp;"|Output"),"OUT",""))</f>
        <v/>
      </c>
      <c r="I57" s="33" t="str">
        <f aca="false">IF(COUNTIF(Flows!$M$2:$M$1500,$A57&amp;"|"&amp;I$1&amp;"|Input"),IF(COUNTIF(Flows!$M$2:$M$1500,$A57&amp;"|"&amp;I$1&amp;"|Output"),"I/O","IN"),IF(COUNTIF(Flows!$M$2:$M$1500,$A57&amp;"|"&amp;I$1&amp;"|Output"),"OUT",""))</f>
        <v/>
      </c>
      <c r="J57" s="33" t="str">
        <f aca="false">IF(COUNTIF(Flows!$M$2:$M$1500,$A57&amp;"|"&amp;J$1&amp;"|Input"),IF(COUNTIF(Flows!$M$2:$M$1500,$A57&amp;"|"&amp;J$1&amp;"|Output"),"I/O","IN"),IF(COUNTIF(Flows!$M$2:$M$1500,$A57&amp;"|"&amp;J$1&amp;"|Output"),"OUT",""))</f>
        <v/>
      </c>
      <c r="K57" s="33" t="str">
        <f aca="false">IF(COUNTIF(Flows!$M$2:$M$1500,$A57&amp;"|"&amp;K$1&amp;"|Input"),IF(COUNTIF(Flows!$M$2:$M$1500,$A57&amp;"|"&amp;K$1&amp;"|Output"),"I/O","IN"),IF(COUNTIF(Flows!$M$2:$M$1500,$A57&amp;"|"&amp;K$1&amp;"|Output"),"OUT",""))</f>
        <v/>
      </c>
      <c r="L57" s="33" t="str">
        <f aca="false">IF(COUNTIF(Flows!$M$2:$M$1500,$A57&amp;"|"&amp;L$1&amp;"|Input"),IF(COUNTIF(Flows!$M$2:$M$1500,$A57&amp;"|"&amp;L$1&amp;"|Output"),"I/O","IN"),IF(COUNTIF(Flows!$M$2:$M$1500,$A57&amp;"|"&amp;L$1&amp;"|Output"),"OUT",""))</f>
        <v/>
      </c>
      <c r="M57" s="33" t="str">
        <f aca="false">IF(COUNTIF(Flows!$M$2:$M$1500,$A57&amp;"|"&amp;M$1&amp;"|Input"),IF(COUNTIF(Flows!$M$2:$M$1500,$A57&amp;"|"&amp;M$1&amp;"|Output"),"I/O","IN"),IF(COUNTIF(Flows!$M$2:$M$1500,$A57&amp;"|"&amp;M$1&amp;"|Output"),"OUT",""))</f>
        <v/>
      </c>
      <c r="N57" s="33" t="str">
        <f aca="false">IF(COUNTIF(Flows!$M$2:$M$1500,$A57&amp;"|"&amp;N$1&amp;"|Input"),IF(COUNTIF(Flows!$M$2:$M$1500,$A57&amp;"|"&amp;N$1&amp;"|Output"),"I/O","IN"),IF(COUNTIF(Flows!$M$2:$M$1500,$A57&amp;"|"&amp;N$1&amp;"|Output"),"OUT",""))</f>
        <v/>
      </c>
      <c r="O57" s="33" t="str">
        <f aca="false">IF(COUNTIF(Flows!$M$2:$M$1500,$A57&amp;"|"&amp;O$1&amp;"|Input"),IF(COUNTIF(Flows!$M$2:$M$1500,$A57&amp;"|"&amp;O$1&amp;"|Output"),"I/O","IN"),IF(COUNTIF(Flows!$M$2:$M$1500,$A57&amp;"|"&amp;O$1&amp;"|Output"),"OUT",""))</f>
        <v/>
      </c>
      <c r="P57" s="33" t="str">
        <f aca="false">IF(COUNTIF(Flows!$M$2:$M$1500,$A57&amp;"|"&amp;P$1&amp;"|Input"),IF(COUNTIF(Flows!$M$2:$M$1500,$A57&amp;"|"&amp;P$1&amp;"|Output"),"I/O","IN"),IF(COUNTIF(Flows!$M$2:$M$1500,$A57&amp;"|"&amp;P$1&amp;"|Output"),"OUT",""))</f>
        <v/>
      </c>
      <c r="Q57" s="33" t="str">
        <f aca="false">IF(COUNTIF(Flows!$M$2:$M$1500,$A57&amp;"|"&amp;Q$1&amp;"|Input"),IF(COUNTIF(Flows!$M$2:$M$1500,$A57&amp;"|"&amp;Q$1&amp;"|Output"),"I/O","IN"),IF(COUNTIF(Flows!$M$2:$M$1500,$A57&amp;"|"&amp;Q$1&amp;"|Output"),"OUT",""))</f>
        <v>OUT</v>
      </c>
      <c r="R57" s="33" t="str">
        <f aca="false">IF(COUNTIF(Flows!$M$2:$M$1500,$A57&amp;"|"&amp;R$1&amp;"|Input"),IF(COUNTIF(Flows!$M$2:$M$1500,$A57&amp;"|"&amp;R$1&amp;"|Output"),"I/O","IN"),IF(COUNTIF(Flows!$M$2:$M$1500,$A57&amp;"|"&amp;R$1&amp;"|Output"),"OUT",""))</f>
        <v/>
      </c>
      <c r="S57" s="33" t="str">
        <f aca="false">IF(COUNTIF(Flows!$M$2:$M$1500,$A57&amp;"|"&amp;S$1&amp;"|Input"),IF(COUNTIF(Flows!$M$2:$M$1500,$A57&amp;"|"&amp;S$1&amp;"|Output"),"I/O","IN"),IF(COUNTIF(Flows!$M$2:$M$1500,$A57&amp;"|"&amp;S$1&amp;"|Output"),"OUT",""))</f>
        <v/>
      </c>
      <c r="T57" s="33" t="str">
        <f aca="false">IF(COUNTIF(Flows!$M$2:$M$1500,$A57&amp;"|"&amp;T$1&amp;"|Input"),IF(COUNTIF(Flows!$M$2:$M$1500,$A57&amp;"|"&amp;T$1&amp;"|Output"),"I/O","IN"),IF(COUNTIF(Flows!$M$2:$M$1500,$A57&amp;"|"&amp;T$1&amp;"|Output"),"OUT",""))</f>
        <v/>
      </c>
      <c r="U57" s="33" t="str">
        <f aca="false">IF(COUNTIF(Flows!$M$2:$M$1500,$A57&amp;"|"&amp;U$1&amp;"|Input"),IF(COUNTIF(Flows!$M$2:$M$1500,$A57&amp;"|"&amp;U$1&amp;"|Output"),"I/O","IN"),IF(COUNTIF(Flows!$M$2:$M$1500,$A57&amp;"|"&amp;U$1&amp;"|Output"),"OUT",""))</f>
        <v/>
      </c>
      <c r="V57" s="33" t="str">
        <f aca="false">IF(COUNTIF(Flows!$M$2:$M$1500,$A57&amp;"|"&amp;V$1&amp;"|Input"),IF(COUNTIF(Flows!$M$2:$M$1500,$A57&amp;"|"&amp;V$1&amp;"|Output"),"I/O","IN"),IF(COUNTIF(Flows!$M$2:$M$1500,$A57&amp;"|"&amp;V$1&amp;"|Output"),"OUT",""))</f>
        <v>IN</v>
      </c>
      <c r="W57" s="33" t="str">
        <f aca="false">IF(COUNTIF(Flows!$M$2:$M$1500,$A57&amp;"|"&amp;W$1&amp;"|Input"),IF(COUNTIF(Flows!$M$2:$M$1500,$A57&amp;"|"&amp;W$1&amp;"|Output"),"I/O","IN"),IF(COUNTIF(Flows!$M$2:$M$1500,$A57&amp;"|"&amp;W$1&amp;"|Output"),"OUT",""))</f>
        <v>IN</v>
      </c>
      <c r="X57" s="33" t="str">
        <f aca="false">IF(COUNTIF(Flows!$M$2:$M$1500,$A57&amp;"|"&amp;X$1&amp;"|Input"),IF(COUNTIF(Flows!$M$2:$M$1500,$A57&amp;"|"&amp;X$1&amp;"|Output"),"I/O","IN"),IF(COUNTIF(Flows!$M$2:$M$1500,$A57&amp;"|"&amp;X$1&amp;"|Output"),"OUT",""))</f>
        <v>IN</v>
      </c>
      <c r="Y57" s="33" t="str">
        <f aca="false">IF(COUNTIF(Flows!$M$2:$M$1500,$A57&amp;"|"&amp;Y$1&amp;"|Input"),IF(COUNTIF(Flows!$M$2:$M$1500,$A57&amp;"|"&amp;Y$1&amp;"|Output"),"I/O","IN"),IF(COUNTIF(Flows!$M$2:$M$1500,$A57&amp;"|"&amp;Y$1&amp;"|Output"),"OUT",""))</f>
        <v/>
      </c>
      <c r="Z57" s="33" t="str">
        <f aca="false">IF(COUNTIF(Flows!$M$2:$M$1500,$A57&amp;"|"&amp;Z$1&amp;"|Input"),IF(COUNTIF(Flows!$M$2:$M$1500,$A57&amp;"|"&amp;Z$1&amp;"|Output"),"I/O","IN"),IF(COUNTIF(Flows!$M$2:$M$1500,$A57&amp;"|"&amp;Z$1&amp;"|Output"),"OUT",""))</f>
        <v/>
      </c>
      <c r="AA57" s="33" t="str">
        <f aca="false">IF(COUNTIF(Flows!$M$2:$M$1500,$A57&amp;"|"&amp;AA$1&amp;"|Input"),IF(COUNTIF(Flows!$M$2:$M$1500,$A57&amp;"|"&amp;AA$1&amp;"|Output"),"I/O","IN"),IF(COUNTIF(Flows!$M$2:$M$1500,$A57&amp;"|"&amp;AA$1&amp;"|Output"),"OUT",""))</f>
        <v/>
      </c>
      <c r="AB57" s="33" t="str">
        <f aca="false">IF(COUNTIF(Flows!$M$2:$M$1500,$A57&amp;"|"&amp;AB$1&amp;"|Input"),IF(COUNTIF(Flows!$M$2:$M$1500,$A57&amp;"|"&amp;AB$1&amp;"|Output"),"I/O","IN"),IF(COUNTIF(Flows!$M$2:$M$1500,$A57&amp;"|"&amp;AB$1&amp;"|Output"),"OUT",""))</f>
        <v/>
      </c>
      <c r="AC57" s="33" t="str">
        <f aca="false">IF(COUNTIF(Flows!$M$2:$M$1500,$A57&amp;"|"&amp;AC$1&amp;"|Input"),IF(COUNTIF(Flows!$M$2:$M$1500,$A57&amp;"|"&amp;AC$1&amp;"|Output"),"I/O","IN"),IF(COUNTIF(Flows!$M$2:$M$1500,$A57&amp;"|"&amp;AC$1&amp;"|Output"),"OUT",""))</f>
        <v/>
      </c>
      <c r="AD57" s="33" t="str">
        <f aca="false">IF(COUNTIF(Flows!$M$2:$M$1500,$A57&amp;"|"&amp;AD$1&amp;"|Input"),IF(COUNTIF(Flows!$M$2:$M$1500,$A57&amp;"|"&amp;AD$1&amp;"|Output"),"I/O","IN"),IF(COUNTIF(Flows!$M$2:$M$1500,$A57&amp;"|"&amp;AD$1&amp;"|Output"),"OUT",""))</f>
        <v>OUT</v>
      </c>
      <c r="AE57" s="33" t="str">
        <f aca="false">IF(COUNTIF(Flows!$M$2:$M$1500,$A57&amp;"|"&amp;AE$1&amp;"|Input"),IF(COUNTIF(Flows!$M$2:$M$1500,$A57&amp;"|"&amp;AE$1&amp;"|Output"),"I/O","IN"),IF(COUNTIF(Flows!$M$2:$M$1500,$A57&amp;"|"&amp;AE$1&amp;"|Output"),"OUT",""))</f>
        <v/>
      </c>
      <c r="AF57" s="33" t="str">
        <f aca="false">IF(COUNTIF(Flows!$M$2:$M$1500,$A57&amp;"|"&amp;AF$1&amp;"|Input"),IF(COUNTIF(Flows!$M$2:$M$1500,$A57&amp;"|"&amp;AF$1&amp;"|Output"),"I/O","IN"),IF(COUNTIF(Flows!$M$2:$M$1500,$A57&amp;"|"&amp;AF$1&amp;"|Output"),"OUT",""))</f>
        <v/>
      </c>
      <c r="AG57" s="33" t="str">
        <f aca="false">IF(COUNTIF(Flows!$M$2:$M$1500,$A57&amp;"|"&amp;AG$1&amp;"|Input"),IF(COUNTIF(Flows!$M$2:$M$1500,$A57&amp;"|"&amp;AG$1&amp;"|Output"),"I/O","IN"),IF(COUNTIF(Flows!$M$2:$M$1500,$A57&amp;"|"&amp;AG$1&amp;"|Output"),"OUT",""))</f>
        <v/>
      </c>
      <c r="AH57" s="33" t="str">
        <f aca="false">IF(COUNTIF(Flows!$M$2:$M$1500,$A57&amp;"|"&amp;AH$1&amp;"|Input"),IF(COUNTIF(Flows!$M$2:$M$1500,$A57&amp;"|"&amp;AH$1&amp;"|Output"),"I/O","IN"),IF(COUNTIF(Flows!$M$2:$M$1500,$A57&amp;"|"&amp;AH$1&amp;"|Output"),"OUT",""))</f>
        <v/>
      </c>
      <c r="AI57" s="33" t="str">
        <f aca="false">IF(COUNTIF(Flows!$M$2:$M$1500,$A57&amp;"|"&amp;AI$1&amp;"|Input"),IF(COUNTIF(Flows!$M$2:$M$1500,$A57&amp;"|"&amp;AI$1&amp;"|Output"),"I/O","IN"),IF(COUNTIF(Flows!$M$2:$M$1500,$A57&amp;"|"&amp;AI$1&amp;"|Output"),"OUT",""))</f>
        <v/>
      </c>
      <c r="AJ57" s="33" t="str">
        <f aca="false">IF(COUNTIF(Flows!$M$2:$M$1500,$A57&amp;"|"&amp;AJ$1&amp;"|Input"),IF(COUNTIF(Flows!$M$2:$M$1500,$A57&amp;"|"&amp;AJ$1&amp;"|Output"),"I/O","IN"),IF(COUNTIF(Flows!$M$2:$M$1500,$A57&amp;"|"&amp;AJ$1&amp;"|Output"),"OUT",""))</f>
        <v/>
      </c>
      <c r="AK57" s="33" t="str">
        <f aca="false">IF(COUNTIF(Flows!$M$2:$M$1500,$A57&amp;"|"&amp;AK$1&amp;"|Input"),IF(COUNTIF(Flows!$M$2:$M$1500,$A57&amp;"|"&amp;AK$1&amp;"|Output"),"I/O","IN"),IF(COUNTIF(Flows!$M$2:$M$1500,$A57&amp;"|"&amp;AK$1&amp;"|Output"),"OUT",""))</f>
        <v/>
      </c>
      <c r="AL57" s="33" t="str">
        <f aca="false">IF(COUNTIF(Flows!$M$2:$M$1500,$A57&amp;"|"&amp;AL$1&amp;"|Input"),IF(COUNTIF(Flows!$M$2:$M$1500,$A57&amp;"|"&amp;AL$1&amp;"|Output"),"I/O","IN"),IF(COUNTIF(Flows!$M$2:$M$1500,$A57&amp;"|"&amp;AL$1&amp;"|Output"),"OUT",""))</f>
        <v/>
      </c>
      <c r="AM57" s="33" t="str">
        <f aca="false">IF(COUNTIF(Flows!$M$2:$M$1500,$A57&amp;"|"&amp;AM$1&amp;"|Input"),IF(COUNTIF(Flows!$M$2:$M$1500,$A57&amp;"|"&amp;AM$1&amp;"|Output"),"I/O","IN"),IF(COUNTIF(Flows!$M$2:$M$1500,$A57&amp;"|"&amp;AM$1&amp;"|Output"),"OUT",""))</f>
        <v/>
      </c>
      <c r="AN57" s="33" t="str">
        <f aca="false">IF(COUNTIF(Flows!$M$2:$M$1500,$A57&amp;"|"&amp;AN$1&amp;"|Input"),IF(COUNTIF(Flows!$M$2:$M$1500,$A57&amp;"|"&amp;AN$1&amp;"|Output"),"I/O","IN"),IF(COUNTIF(Flows!$M$2:$M$1500,$A57&amp;"|"&amp;AN$1&amp;"|Output"),"OUT",""))</f>
        <v/>
      </c>
      <c r="AO57" s="33" t="str">
        <f aca="false">IF(COUNTIF(Flows!$M$2:$M$1500,$A57&amp;"|"&amp;AO$1&amp;"|Input"),IF(COUNTIF(Flows!$M$2:$M$1500,$A57&amp;"|"&amp;AO$1&amp;"|Output"),"I/O","IN"),IF(COUNTIF(Flows!$M$2:$M$1500,$A57&amp;"|"&amp;AO$1&amp;"|Output"),"OUT",""))</f>
        <v/>
      </c>
      <c r="AP57" s="33" t="str">
        <f aca="false">IF(COUNTIF(Flows!$M$2:$M$1500,$A57&amp;"|"&amp;AP$1&amp;"|Input"),IF(COUNTIF(Flows!$M$2:$M$1500,$A57&amp;"|"&amp;AP$1&amp;"|Output"),"I/O","IN"),IF(COUNTIF(Flows!$M$2:$M$1500,$A57&amp;"|"&amp;AP$1&amp;"|Output"),"OUT",""))</f>
        <v/>
      </c>
      <c r="AQ57" s="33" t="str">
        <f aca="false">IF(COUNTIF(Flows!$M$2:$M$1500,$A57&amp;"|"&amp;AQ$1&amp;"|Input"),IF(COUNTIF(Flows!$M$2:$M$1500,$A57&amp;"|"&amp;AQ$1&amp;"|Output"),"I/O","IN"),IF(COUNTIF(Flows!$M$2:$M$1500,$A57&amp;"|"&amp;AQ$1&amp;"|Output"),"OUT",""))</f>
        <v/>
      </c>
      <c r="AR57" s="33" t="str">
        <f aca="false">IF(COUNTIF(Flows!$M$2:$M$1500,$A57&amp;"|"&amp;AR$1&amp;"|Input"),IF(COUNTIF(Flows!$M$2:$M$1500,$A57&amp;"|"&amp;AR$1&amp;"|Output"),"I/O","IN"),IF(COUNTIF(Flows!$M$2:$M$1500,$A57&amp;"|"&amp;AR$1&amp;"|Output"),"OUT",""))</f>
        <v/>
      </c>
      <c r="AS57" s="33" t="str">
        <f aca="false">IF(COUNTIF(Flows!$M$2:$M$1500,$A57&amp;"|"&amp;AS$1&amp;"|Input"),IF(COUNTIF(Flows!$M$2:$M$1500,$A57&amp;"|"&amp;AS$1&amp;"|Output"),"I/O","IN"),IF(COUNTIF(Flows!$M$2:$M$1500,$A57&amp;"|"&amp;AS$1&amp;"|Output"),"OUT",""))</f>
        <v/>
      </c>
      <c r="AT57" s="33" t="str">
        <f aca="false">IF(COUNTIF(Flows!$M$2:$M$1500,$A57&amp;"|"&amp;AT$1&amp;"|Input"),IF(COUNTIF(Flows!$M$2:$M$1500,$A57&amp;"|"&amp;AT$1&amp;"|Output"),"I/O","IN"),IF(COUNTIF(Flows!$M$2:$M$1500,$A57&amp;"|"&amp;AT$1&amp;"|Output"),"OUT",""))</f>
        <v/>
      </c>
      <c r="AU57" s="33" t="str">
        <f aca="false">IF(COUNTIF(Flows!$M$2:$M$1500,$A57&amp;"|"&amp;AU$1&amp;"|Input"),IF(COUNTIF(Flows!$M$2:$M$1500,$A57&amp;"|"&amp;AU$1&amp;"|Output"),"I/O","IN"),IF(COUNTIF(Flows!$M$2:$M$1500,$A57&amp;"|"&amp;AU$1&amp;"|Output"),"OUT",""))</f>
        <v/>
      </c>
      <c r="AV57" s="33" t="str">
        <f aca="false">IF(COUNTIF(Flows!$M$2:$M$1500,$A57&amp;"|"&amp;AV$1&amp;"|Input"),IF(COUNTIF(Flows!$M$2:$M$1500,$A57&amp;"|"&amp;AV$1&amp;"|Output"),"I/O","IN"),IF(COUNTIF(Flows!$M$2:$M$1500,$A57&amp;"|"&amp;AV$1&amp;"|Output"),"OUT",""))</f>
        <v/>
      </c>
      <c r="AW57" s="33" t="str">
        <f aca="false">IF(COUNTIF(Flows!$M$2:$M$1500,$A57&amp;"|"&amp;AW$1&amp;"|Input"),IF(COUNTIF(Flows!$M$2:$M$1500,$A57&amp;"|"&amp;AW$1&amp;"|Output"),"I/O","IN"),IF(COUNTIF(Flows!$M$2:$M$1500,$A57&amp;"|"&amp;AW$1&amp;"|Output"),"OUT",""))</f>
        <v/>
      </c>
      <c r="AX57" s="33" t="str">
        <f aca="false">IF(COUNTIF(Flows!$M$2:$M$1500,$A57&amp;"|"&amp;AX$1&amp;"|Input"),IF(COUNTIF(Flows!$M$2:$M$1500,$A57&amp;"|"&amp;AX$1&amp;"|Output"),"I/O","IN"),IF(COUNTIF(Flows!$M$2:$M$1500,$A57&amp;"|"&amp;AX$1&amp;"|Output"),"OUT",""))</f>
        <v/>
      </c>
      <c r="AY57" s="33" t="str">
        <f aca="false">IF(COUNTIF(Flows!$M$2:$M$1500,$A57&amp;"|"&amp;AY$1&amp;"|Input"),IF(COUNTIF(Flows!$M$2:$M$1500,$A57&amp;"|"&amp;AY$1&amp;"|Output"),"I/O","IN"),IF(COUNTIF(Flows!$M$2:$M$1500,$A57&amp;"|"&amp;AY$1&amp;"|Output"),"OUT",""))</f>
        <v/>
      </c>
      <c r="AZ57" s="33" t="str">
        <f aca="false">IF(COUNTIF(Flows!$M$2:$M$1500,$A57&amp;"|"&amp;AZ$1&amp;"|Input"),IF(COUNTIF(Flows!$M$2:$M$1500,$A57&amp;"|"&amp;AZ$1&amp;"|Output"),"I/O","IN"),IF(COUNTIF(Flows!$M$2:$M$1500,$A57&amp;"|"&amp;AZ$1&amp;"|Output"),"OUT",""))</f>
        <v/>
      </c>
      <c r="BA57" s="33" t="str">
        <f aca="false">IF(COUNTIF(Flows!$M$2:$M$1500,$A57&amp;"|"&amp;BA$1&amp;"|Input"),IF(COUNTIF(Flows!$M$2:$M$1500,$A57&amp;"|"&amp;BA$1&amp;"|Output"),"I/O","IN"),IF(COUNTIF(Flows!$M$2:$M$1500,$A57&amp;"|"&amp;BA$1&amp;"|Output"),"OUT",""))</f>
        <v/>
      </c>
      <c r="BB57" s="33" t="str">
        <f aca="false">IF(COUNTIF(Flows!$M$2:$M$1500,$A57&amp;"|"&amp;BB$1&amp;"|Input"),IF(COUNTIF(Flows!$M$2:$M$1500,$A57&amp;"|"&amp;BB$1&amp;"|Output"),"I/O","IN"),IF(COUNTIF(Flows!$M$2:$M$1500,$A57&amp;"|"&amp;BB$1&amp;"|Output"),"OUT",""))</f>
        <v/>
      </c>
      <c r="BC57" s="33" t="str">
        <f aca="false">IF(COUNTIF(Flows!$M$2:$M$1500,$A57&amp;"|"&amp;BC$1&amp;"|Input"),IF(COUNTIF(Flows!$M$2:$M$1500,$A57&amp;"|"&amp;BC$1&amp;"|Output"),"I/O","IN"),IF(COUNTIF(Flows!$M$2:$M$1500,$A57&amp;"|"&amp;BC$1&amp;"|Output"),"OUT",""))</f>
        <v/>
      </c>
      <c r="BD57" s="33" t="str">
        <f aca="false">IF(COUNTIF(Flows!$M$2:$M$1500,$A57&amp;"|"&amp;BD$1&amp;"|Input"),IF(COUNTIF(Flows!$M$2:$M$1500,$A57&amp;"|"&amp;BD$1&amp;"|Output"),"I/O","IN"),IF(COUNTIF(Flows!$M$2:$M$1500,$A57&amp;"|"&amp;BD$1&amp;"|Output"),"OUT",""))</f>
        <v/>
      </c>
      <c r="BE57" s="33" t="str">
        <f aca="false">IF(COUNTIF(Flows!$M$2:$M$1500,$A57&amp;"|"&amp;BE$1&amp;"|Input"),IF(COUNTIF(Flows!$M$2:$M$1500,$A57&amp;"|"&amp;BE$1&amp;"|Output"),"I/O","IN"),IF(COUNTIF(Flows!$M$2:$M$1500,$A57&amp;"|"&amp;BE$1&amp;"|Output"),"OUT",""))</f>
        <v/>
      </c>
      <c r="BF57" s="33" t="str">
        <f aca="false">IF(COUNTIF(Flows!$M$2:$M$1500,$A57&amp;"|"&amp;BF$1&amp;"|Input"),IF(COUNTIF(Flows!$M$2:$M$1500,$A57&amp;"|"&amp;BF$1&amp;"|Output"),"I/O","IN"),IF(COUNTIF(Flows!$M$2:$M$1500,$A57&amp;"|"&amp;BF$1&amp;"|Output"),"OUT",""))</f>
        <v/>
      </c>
      <c r="BG57" s="33" t="str">
        <f aca="false">IF(COUNTIF(Flows!$M$2:$M$1500,$A57&amp;"|"&amp;BG$1&amp;"|Input"),IF(COUNTIF(Flows!$M$2:$M$1500,$A57&amp;"|"&amp;BG$1&amp;"|Output"),"I/O","IN"),IF(COUNTIF(Flows!$M$2:$M$1500,$A57&amp;"|"&amp;BG$1&amp;"|Output"),"OUT",""))</f>
        <v/>
      </c>
      <c r="BH57" s="33" t="str">
        <f aca="false">IF(COUNTIF(Flows!$M$2:$M$1500,$A57&amp;"|"&amp;BH$1&amp;"|Input"),IF(COUNTIF(Flows!$M$2:$M$1500,$A57&amp;"|"&amp;BH$1&amp;"|Output"),"I/O","IN"),IF(COUNTIF(Flows!$M$2:$M$1500,$A57&amp;"|"&amp;BH$1&amp;"|Output"),"OUT",""))</f>
        <v/>
      </c>
      <c r="BI57" s="33" t="str">
        <f aca="false">IF(COUNTIF(Flows!$M$2:$M$1500,$A57&amp;"|"&amp;BI$1&amp;"|Input"),IF(COUNTIF(Flows!$M$2:$M$1500,$A57&amp;"|"&amp;BI$1&amp;"|Output"),"I/O","IN"),IF(COUNTIF(Flows!$M$2:$M$1500,$A57&amp;"|"&amp;BI$1&amp;"|Output"),"OUT",""))</f>
        <v/>
      </c>
      <c r="BJ57" s="33" t="str">
        <f aca="false">IF(COUNTIF(Flows!$M$2:$M$1500,$A57&amp;"|"&amp;BJ$1&amp;"|Input"),IF(COUNTIF(Flows!$M$2:$M$1500,$A57&amp;"|"&amp;BJ$1&amp;"|Output"),"I/O","IN"),IF(COUNTIF(Flows!$M$2:$M$1500,$A57&amp;"|"&amp;BJ$1&amp;"|Output"),"OUT",""))</f>
        <v/>
      </c>
      <c r="BK57" s="33" t="str">
        <f aca="false">IF(COUNTIF(Flows!$M$2:$M$1500,$A57&amp;"|"&amp;BK$1&amp;"|Input"),IF(COUNTIF(Flows!$M$2:$M$1500,$A57&amp;"|"&amp;BK$1&amp;"|Output"),"I/O","IN"),IF(COUNTIF(Flows!$M$2:$M$1500,$A57&amp;"|"&amp;BK$1&amp;"|Output"),"OUT",""))</f>
        <v/>
      </c>
    </row>
    <row r="58" customFormat="false" ht="15" hidden="false" customHeight="true" outlineLevel="0" collapsed="false">
      <c r="A58" s="6" t="str">
        <f aca="false">Systems!B58</f>
        <v>Broadfork</v>
      </c>
      <c r="B58" s="33" t="str">
        <f aca="false">IF(COUNTIF(Flows!$M$2:$M$1500,$A58&amp;"|"&amp;B$1&amp;"|Input"),IF(COUNTIF(Flows!$M$2:$M$1500,$A58&amp;"|"&amp;B$1&amp;"|Output"),"I/O","IN"),IF(COUNTIF(Flows!$M$2:$M$1500,$A58&amp;"|"&amp;B$1&amp;"|Output"),"OUT",""))</f>
        <v/>
      </c>
      <c r="C58" s="33" t="str">
        <f aca="false">IF(COUNTIF(Flows!$M$2:$M$1500,$A58&amp;"|"&amp;C$1&amp;"|Input"),IF(COUNTIF(Flows!$M$2:$M$1500,$A58&amp;"|"&amp;C$1&amp;"|Output"),"I/O","IN"),IF(COUNTIF(Flows!$M$2:$M$1500,$A58&amp;"|"&amp;C$1&amp;"|Output"),"OUT",""))</f>
        <v/>
      </c>
      <c r="D58" s="33" t="str">
        <f aca="false">IF(COUNTIF(Flows!$M$2:$M$1500,$A58&amp;"|"&amp;D$1&amp;"|Input"),IF(COUNTIF(Flows!$M$2:$M$1500,$A58&amp;"|"&amp;D$1&amp;"|Output"),"I/O","IN"),IF(COUNTIF(Flows!$M$2:$M$1500,$A58&amp;"|"&amp;D$1&amp;"|Output"),"OUT",""))</f>
        <v/>
      </c>
      <c r="E58" s="33" t="str">
        <f aca="false">IF(COUNTIF(Flows!$M$2:$M$1500,$A58&amp;"|"&amp;E$1&amp;"|Input"),IF(COUNTIF(Flows!$M$2:$M$1500,$A58&amp;"|"&amp;E$1&amp;"|Output"),"I/O","IN"),IF(COUNTIF(Flows!$M$2:$M$1500,$A58&amp;"|"&amp;E$1&amp;"|Output"),"OUT",""))</f>
        <v/>
      </c>
      <c r="F58" s="33" t="str">
        <f aca="false">IF(COUNTIF(Flows!$M$2:$M$1500,$A58&amp;"|"&amp;F$1&amp;"|Input"),IF(COUNTIF(Flows!$M$2:$M$1500,$A58&amp;"|"&amp;F$1&amp;"|Output"),"I/O","IN"),IF(COUNTIF(Flows!$M$2:$M$1500,$A58&amp;"|"&amp;F$1&amp;"|Output"),"OUT",""))</f>
        <v/>
      </c>
      <c r="G58" s="33" t="str">
        <f aca="false">IF(COUNTIF(Flows!$M$2:$M$1500,$A58&amp;"|"&amp;G$1&amp;"|Input"),IF(COUNTIF(Flows!$M$2:$M$1500,$A58&amp;"|"&amp;G$1&amp;"|Output"),"I/O","IN"),IF(COUNTIF(Flows!$M$2:$M$1500,$A58&amp;"|"&amp;G$1&amp;"|Output"),"OUT",""))</f>
        <v/>
      </c>
      <c r="H58" s="33" t="str">
        <f aca="false">IF(COUNTIF(Flows!$M$2:$M$1500,$A58&amp;"|"&amp;H$1&amp;"|Input"),IF(COUNTIF(Flows!$M$2:$M$1500,$A58&amp;"|"&amp;H$1&amp;"|Output"),"I/O","IN"),IF(COUNTIF(Flows!$M$2:$M$1500,$A58&amp;"|"&amp;H$1&amp;"|Output"),"OUT",""))</f>
        <v/>
      </c>
      <c r="I58" s="33" t="str">
        <f aca="false">IF(COUNTIF(Flows!$M$2:$M$1500,$A58&amp;"|"&amp;I$1&amp;"|Input"),IF(COUNTIF(Flows!$M$2:$M$1500,$A58&amp;"|"&amp;I$1&amp;"|Output"),"I/O","IN"),IF(COUNTIF(Flows!$M$2:$M$1500,$A58&amp;"|"&amp;I$1&amp;"|Output"),"OUT",""))</f>
        <v/>
      </c>
      <c r="J58" s="33" t="str">
        <f aca="false">IF(COUNTIF(Flows!$M$2:$M$1500,$A58&amp;"|"&amp;J$1&amp;"|Input"),IF(COUNTIF(Flows!$M$2:$M$1500,$A58&amp;"|"&amp;J$1&amp;"|Output"),"I/O","IN"),IF(COUNTIF(Flows!$M$2:$M$1500,$A58&amp;"|"&amp;J$1&amp;"|Output"),"OUT",""))</f>
        <v/>
      </c>
      <c r="K58" s="33" t="str">
        <f aca="false">IF(COUNTIF(Flows!$M$2:$M$1500,$A58&amp;"|"&amp;K$1&amp;"|Input"),IF(COUNTIF(Flows!$M$2:$M$1500,$A58&amp;"|"&amp;K$1&amp;"|Output"),"I/O","IN"),IF(COUNTIF(Flows!$M$2:$M$1500,$A58&amp;"|"&amp;K$1&amp;"|Output"),"OUT",""))</f>
        <v/>
      </c>
      <c r="L58" s="33" t="str">
        <f aca="false">IF(COUNTIF(Flows!$M$2:$M$1500,$A58&amp;"|"&amp;L$1&amp;"|Input"),IF(COUNTIF(Flows!$M$2:$M$1500,$A58&amp;"|"&amp;L$1&amp;"|Output"),"I/O","IN"),IF(COUNTIF(Flows!$M$2:$M$1500,$A58&amp;"|"&amp;L$1&amp;"|Output"),"OUT",""))</f>
        <v/>
      </c>
      <c r="M58" s="33" t="str">
        <f aca="false">IF(COUNTIF(Flows!$M$2:$M$1500,$A58&amp;"|"&amp;M$1&amp;"|Input"),IF(COUNTIF(Flows!$M$2:$M$1500,$A58&amp;"|"&amp;M$1&amp;"|Output"),"I/O","IN"),IF(COUNTIF(Flows!$M$2:$M$1500,$A58&amp;"|"&amp;M$1&amp;"|Output"),"OUT",""))</f>
        <v/>
      </c>
      <c r="N58" s="33" t="str">
        <f aca="false">IF(COUNTIF(Flows!$M$2:$M$1500,$A58&amp;"|"&amp;N$1&amp;"|Input"),IF(COUNTIF(Flows!$M$2:$M$1500,$A58&amp;"|"&amp;N$1&amp;"|Output"),"I/O","IN"),IF(COUNTIF(Flows!$M$2:$M$1500,$A58&amp;"|"&amp;N$1&amp;"|Output"),"OUT",""))</f>
        <v/>
      </c>
      <c r="O58" s="33" t="str">
        <f aca="false">IF(COUNTIF(Flows!$M$2:$M$1500,$A58&amp;"|"&amp;O$1&amp;"|Input"),IF(COUNTIF(Flows!$M$2:$M$1500,$A58&amp;"|"&amp;O$1&amp;"|Output"),"I/O","IN"),IF(COUNTIF(Flows!$M$2:$M$1500,$A58&amp;"|"&amp;O$1&amp;"|Output"),"OUT",""))</f>
        <v/>
      </c>
      <c r="P58" s="33" t="str">
        <f aca="false">IF(COUNTIF(Flows!$M$2:$M$1500,$A58&amp;"|"&amp;P$1&amp;"|Input"),IF(COUNTIF(Flows!$M$2:$M$1500,$A58&amp;"|"&amp;P$1&amp;"|Output"),"I/O","IN"),IF(COUNTIF(Flows!$M$2:$M$1500,$A58&amp;"|"&amp;P$1&amp;"|Output"),"OUT",""))</f>
        <v/>
      </c>
      <c r="Q58" s="33" t="str">
        <f aca="false">IF(COUNTIF(Flows!$M$2:$M$1500,$A58&amp;"|"&amp;Q$1&amp;"|Input"),IF(COUNTIF(Flows!$M$2:$M$1500,$A58&amp;"|"&amp;Q$1&amp;"|Output"),"I/O","IN"),IF(COUNTIF(Flows!$M$2:$M$1500,$A58&amp;"|"&amp;Q$1&amp;"|Output"),"OUT",""))</f>
        <v/>
      </c>
      <c r="R58" s="33" t="str">
        <f aca="false">IF(COUNTIF(Flows!$M$2:$M$1500,$A58&amp;"|"&amp;R$1&amp;"|Input"),IF(COUNTIF(Flows!$M$2:$M$1500,$A58&amp;"|"&amp;R$1&amp;"|Output"),"I/O","IN"),IF(COUNTIF(Flows!$M$2:$M$1500,$A58&amp;"|"&amp;R$1&amp;"|Output"),"OUT",""))</f>
        <v/>
      </c>
      <c r="S58" s="33" t="str">
        <f aca="false">IF(COUNTIF(Flows!$M$2:$M$1500,$A58&amp;"|"&amp;S$1&amp;"|Input"),IF(COUNTIF(Flows!$M$2:$M$1500,$A58&amp;"|"&amp;S$1&amp;"|Output"),"I/O","IN"),IF(COUNTIF(Flows!$M$2:$M$1500,$A58&amp;"|"&amp;S$1&amp;"|Output"),"OUT",""))</f>
        <v/>
      </c>
      <c r="T58" s="33" t="str">
        <f aca="false">IF(COUNTIF(Flows!$M$2:$M$1500,$A58&amp;"|"&amp;T$1&amp;"|Input"),IF(COUNTIF(Flows!$M$2:$M$1500,$A58&amp;"|"&amp;T$1&amp;"|Output"),"I/O","IN"),IF(COUNTIF(Flows!$M$2:$M$1500,$A58&amp;"|"&amp;T$1&amp;"|Output"),"OUT",""))</f>
        <v/>
      </c>
      <c r="U58" s="33" t="str">
        <f aca="false">IF(COUNTIF(Flows!$M$2:$M$1500,$A58&amp;"|"&amp;U$1&amp;"|Input"),IF(COUNTIF(Flows!$M$2:$M$1500,$A58&amp;"|"&amp;U$1&amp;"|Output"),"I/O","IN"),IF(COUNTIF(Flows!$M$2:$M$1500,$A58&amp;"|"&amp;U$1&amp;"|Output"),"OUT",""))</f>
        <v/>
      </c>
      <c r="V58" s="33" t="str">
        <f aca="false">IF(COUNTIF(Flows!$M$2:$M$1500,$A58&amp;"|"&amp;V$1&amp;"|Input"),IF(COUNTIF(Flows!$M$2:$M$1500,$A58&amp;"|"&amp;V$1&amp;"|Output"),"I/O","IN"),IF(COUNTIF(Flows!$M$2:$M$1500,$A58&amp;"|"&amp;V$1&amp;"|Output"),"OUT",""))</f>
        <v/>
      </c>
      <c r="W58" s="33" t="str">
        <f aca="false">IF(COUNTIF(Flows!$M$2:$M$1500,$A58&amp;"|"&amp;W$1&amp;"|Input"),IF(COUNTIF(Flows!$M$2:$M$1500,$A58&amp;"|"&amp;W$1&amp;"|Output"),"I/O","IN"),IF(COUNTIF(Flows!$M$2:$M$1500,$A58&amp;"|"&amp;W$1&amp;"|Output"),"OUT",""))</f>
        <v/>
      </c>
      <c r="X58" s="33" t="str">
        <f aca="false">IF(COUNTIF(Flows!$M$2:$M$1500,$A58&amp;"|"&amp;X$1&amp;"|Input"),IF(COUNTIF(Flows!$M$2:$M$1500,$A58&amp;"|"&amp;X$1&amp;"|Output"),"I/O","IN"),IF(COUNTIF(Flows!$M$2:$M$1500,$A58&amp;"|"&amp;X$1&amp;"|Output"),"OUT",""))</f>
        <v>IN</v>
      </c>
      <c r="Y58" s="33" t="str">
        <f aca="false">IF(COUNTIF(Flows!$M$2:$M$1500,$A58&amp;"|"&amp;Y$1&amp;"|Input"),IF(COUNTIF(Flows!$M$2:$M$1500,$A58&amp;"|"&amp;Y$1&amp;"|Output"),"I/O","IN"),IF(COUNTIF(Flows!$M$2:$M$1500,$A58&amp;"|"&amp;Y$1&amp;"|Output"),"OUT",""))</f>
        <v/>
      </c>
      <c r="Z58" s="33" t="str">
        <f aca="false">IF(COUNTIF(Flows!$M$2:$M$1500,$A58&amp;"|"&amp;Z$1&amp;"|Input"),IF(COUNTIF(Flows!$M$2:$M$1500,$A58&amp;"|"&amp;Z$1&amp;"|Output"),"I/O","IN"),IF(COUNTIF(Flows!$M$2:$M$1500,$A58&amp;"|"&amp;Z$1&amp;"|Output"),"OUT",""))</f>
        <v/>
      </c>
      <c r="AA58" s="33" t="str">
        <f aca="false">IF(COUNTIF(Flows!$M$2:$M$1500,$A58&amp;"|"&amp;AA$1&amp;"|Input"),IF(COUNTIF(Flows!$M$2:$M$1500,$A58&amp;"|"&amp;AA$1&amp;"|Output"),"I/O","IN"),IF(COUNTIF(Flows!$M$2:$M$1500,$A58&amp;"|"&amp;AA$1&amp;"|Output"),"OUT",""))</f>
        <v/>
      </c>
      <c r="AB58" s="33" t="str">
        <f aca="false">IF(COUNTIF(Flows!$M$2:$M$1500,$A58&amp;"|"&amp;AB$1&amp;"|Input"),IF(COUNTIF(Flows!$M$2:$M$1500,$A58&amp;"|"&amp;AB$1&amp;"|Output"),"I/O","IN"),IF(COUNTIF(Flows!$M$2:$M$1500,$A58&amp;"|"&amp;AB$1&amp;"|Output"),"OUT",""))</f>
        <v/>
      </c>
      <c r="AC58" s="33" t="str">
        <f aca="false">IF(COUNTIF(Flows!$M$2:$M$1500,$A58&amp;"|"&amp;AC$1&amp;"|Input"),IF(COUNTIF(Flows!$M$2:$M$1500,$A58&amp;"|"&amp;AC$1&amp;"|Output"),"I/O","IN"),IF(COUNTIF(Flows!$M$2:$M$1500,$A58&amp;"|"&amp;AC$1&amp;"|Output"),"OUT",""))</f>
        <v/>
      </c>
      <c r="AD58" s="33" t="str">
        <f aca="false">IF(COUNTIF(Flows!$M$2:$M$1500,$A58&amp;"|"&amp;AD$1&amp;"|Input"),IF(COUNTIF(Flows!$M$2:$M$1500,$A58&amp;"|"&amp;AD$1&amp;"|Output"),"I/O","IN"),IF(COUNTIF(Flows!$M$2:$M$1500,$A58&amp;"|"&amp;AD$1&amp;"|Output"),"OUT",""))</f>
        <v/>
      </c>
      <c r="AE58" s="33" t="str">
        <f aca="false">IF(COUNTIF(Flows!$M$2:$M$1500,$A58&amp;"|"&amp;AE$1&amp;"|Input"),IF(COUNTIF(Flows!$M$2:$M$1500,$A58&amp;"|"&amp;AE$1&amp;"|Output"),"I/O","IN"),IF(COUNTIF(Flows!$M$2:$M$1500,$A58&amp;"|"&amp;AE$1&amp;"|Output"),"OUT",""))</f>
        <v/>
      </c>
      <c r="AF58" s="33" t="str">
        <f aca="false">IF(COUNTIF(Flows!$M$2:$M$1500,$A58&amp;"|"&amp;AF$1&amp;"|Input"),IF(COUNTIF(Flows!$M$2:$M$1500,$A58&amp;"|"&amp;AF$1&amp;"|Output"),"I/O","IN"),IF(COUNTIF(Flows!$M$2:$M$1500,$A58&amp;"|"&amp;AF$1&amp;"|Output"),"OUT",""))</f>
        <v/>
      </c>
      <c r="AG58" s="33" t="str">
        <f aca="false">IF(COUNTIF(Flows!$M$2:$M$1500,$A58&amp;"|"&amp;AG$1&amp;"|Input"),IF(COUNTIF(Flows!$M$2:$M$1500,$A58&amp;"|"&amp;AG$1&amp;"|Output"),"I/O","IN"),IF(COUNTIF(Flows!$M$2:$M$1500,$A58&amp;"|"&amp;AG$1&amp;"|Output"),"OUT",""))</f>
        <v/>
      </c>
      <c r="AH58" s="33" t="str">
        <f aca="false">IF(COUNTIF(Flows!$M$2:$M$1500,$A58&amp;"|"&amp;AH$1&amp;"|Input"),IF(COUNTIF(Flows!$M$2:$M$1500,$A58&amp;"|"&amp;AH$1&amp;"|Output"),"I/O","IN"),IF(COUNTIF(Flows!$M$2:$M$1500,$A58&amp;"|"&amp;AH$1&amp;"|Output"),"OUT",""))</f>
        <v>IN</v>
      </c>
      <c r="AI58" s="33" t="str">
        <f aca="false">IF(COUNTIF(Flows!$M$2:$M$1500,$A58&amp;"|"&amp;AI$1&amp;"|Input"),IF(COUNTIF(Flows!$M$2:$M$1500,$A58&amp;"|"&amp;AI$1&amp;"|Output"),"I/O","IN"),IF(COUNTIF(Flows!$M$2:$M$1500,$A58&amp;"|"&amp;AI$1&amp;"|Output"),"OUT",""))</f>
        <v/>
      </c>
      <c r="AJ58" s="33" t="str">
        <f aca="false">IF(COUNTIF(Flows!$M$2:$M$1500,$A58&amp;"|"&amp;AJ$1&amp;"|Input"),IF(COUNTIF(Flows!$M$2:$M$1500,$A58&amp;"|"&amp;AJ$1&amp;"|Output"),"I/O","IN"),IF(COUNTIF(Flows!$M$2:$M$1500,$A58&amp;"|"&amp;AJ$1&amp;"|Output"),"OUT",""))</f>
        <v/>
      </c>
      <c r="AK58" s="33" t="str">
        <f aca="false">IF(COUNTIF(Flows!$M$2:$M$1500,$A58&amp;"|"&amp;AK$1&amp;"|Input"),IF(COUNTIF(Flows!$M$2:$M$1500,$A58&amp;"|"&amp;AK$1&amp;"|Output"),"I/O","IN"),IF(COUNTIF(Flows!$M$2:$M$1500,$A58&amp;"|"&amp;AK$1&amp;"|Output"),"OUT",""))</f>
        <v/>
      </c>
      <c r="AL58" s="33" t="str">
        <f aca="false">IF(COUNTIF(Flows!$M$2:$M$1500,$A58&amp;"|"&amp;AL$1&amp;"|Input"),IF(COUNTIF(Flows!$M$2:$M$1500,$A58&amp;"|"&amp;AL$1&amp;"|Output"),"I/O","IN"),IF(COUNTIF(Flows!$M$2:$M$1500,$A58&amp;"|"&amp;AL$1&amp;"|Output"),"OUT",""))</f>
        <v/>
      </c>
      <c r="AM58" s="33" t="str">
        <f aca="false">IF(COUNTIF(Flows!$M$2:$M$1500,$A58&amp;"|"&amp;AM$1&amp;"|Input"),IF(COUNTIF(Flows!$M$2:$M$1500,$A58&amp;"|"&amp;AM$1&amp;"|Output"),"I/O","IN"),IF(COUNTIF(Flows!$M$2:$M$1500,$A58&amp;"|"&amp;AM$1&amp;"|Output"),"OUT",""))</f>
        <v/>
      </c>
      <c r="AN58" s="33" t="str">
        <f aca="false">IF(COUNTIF(Flows!$M$2:$M$1500,$A58&amp;"|"&amp;AN$1&amp;"|Input"),IF(COUNTIF(Flows!$M$2:$M$1500,$A58&amp;"|"&amp;AN$1&amp;"|Output"),"I/O","IN"),IF(COUNTIF(Flows!$M$2:$M$1500,$A58&amp;"|"&amp;AN$1&amp;"|Output"),"OUT",""))</f>
        <v/>
      </c>
      <c r="AO58" s="33" t="str">
        <f aca="false">IF(COUNTIF(Flows!$M$2:$M$1500,$A58&amp;"|"&amp;AO$1&amp;"|Input"),IF(COUNTIF(Flows!$M$2:$M$1500,$A58&amp;"|"&amp;AO$1&amp;"|Output"),"I/O","IN"),IF(COUNTIF(Flows!$M$2:$M$1500,$A58&amp;"|"&amp;AO$1&amp;"|Output"),"OUT",""))</f>
        <v/>
      </c>
      <c r="AP58" s="33" t="str">
        <f aca="false">IF(COUNTIF(Flows!$M$2:$M$1500,$A58&amp;"|"&amp;AP$1&amp;"|Input"),IF(COUNTIF(Flows!$M$2:$M$1500,$A58&amp;"|"&amp;AP$1&amp;"|Output"),"I/O","IN"),IF(COUNTIF(Flows!$M$2:$M$1500,$A58&amp;"|"&amp;AP$1&amp;"|Output"),"OUT",""))</f>
        <v/>
      </c>
      <c r="AQ58" s="33" t="str">
        <f aca="false">IF(COUNTIF(Flows!$M$2:$M$1500,$A58&amp;"|"&amp;AQ$1&amp;"|Input"),IF(COUNTIF(Flows!$M$2:$M$1500,$A58&amp;"|"&amp;AQ$1&amp;"|Output"),"I/O","IN"),IF(COUNTIF(Flows!$M$2:$M$1500,$A58&amp;"|"&amp;AQ$1&amp;"|Output"),"OUT",""))</f>
        <v/>
      </c>
      <c r="AR58" s="33" t="str">
        <f aca="false">IF(COUNTIF(Flows!$M$2:$M$1500,$A58&amp;"|"&amp;AR$1&amp;"|Input"),IF(COUNTIF(Flows!$M$2:$M$1500,$A58&amp;"|"&amp;AR$1&amp;"|Output"),"I/O","IN"),IF(COUNTIF(Flows!$M$2:$M$1500,$A58&amp;"|"&amp;AR$1&amp;"|Output"),"OUT",""))</f>
        <v/>
      </c>
      <c r="AS58" s="33" t="str">
        <f aca="false">IF(COUNTIF(Flows!$M$2:$M$1500,$A58&amp;"|"&amp;AS$1&amp;"|Input"),IF(COUNTIF(Flows!$M$2:$M$1500,$A58&amp;"|"&amp;AS$1&amp;"|Output"),"I/O","IN"),IF(COUNTIF(Flows!$M$2:$M$1500,$A58&amp;"|"&amp;AS$1&amp;"|Output"),"OUT",""))</f>
        <v/>
      </c>
      <c r="AT58" s="33" t="str">
        <f aca="false">IF(COUNTIF(Flows!$M$2:$M$1500,$A58&amp;"|"&amp;AT$1&amp;"|Input"),IF(COUNTIF(Flows!$M$2:$M$1500,$A58&amp;"|"&amp;AT$1&amp;"|Output"),"I/O","IN"),IF(COUNTIF(Flows!$M$2:$M$1500,$A58&amp;"|"&amp;AT$1&amp;"|Output"),"OUT",""))</f>
        <v/>
      </c>
      <c r="AU58" s="33" t="str">
        <f aca="false">IF(COUNTIF(Flows!$M$2:$M$1500,$A58&amp;"|"&amp;AU$1&amp;"|Input"),IF(COUNTIF(Flows!$M$2:$M$1500,$A58&amp;"|"&amp;AU$1&amp;"|Output"),"I/O","IN"),IF(COUNTIF(Flows!$M$2:$M$1500,$A58&amp;"|"&amp;AU$1&amp;"|Output"),"OUT",""))</f>
        <v/>
      </c>
      <c r="AV58" s="33" t="str">
        <f aca="false">IF(COUNTIF(Flows!$M$2:$M$1500,$A58&amp;"|"&amp;AV$1&amp;"|Input"),IF(COUNTIF(Flows!$M$2:$M$1500,$A58&amp;"|"&amp;AV$1&amp;"|Output"),"I/O","IN"),IF(COUNTIF(Flows!$M$2:$M$1500,$A58&amp;"|"&amp;AV$1&amp;"|Output"),"OUT",""))</f>
        <v/>
      </c>
      <c r="AW58" s="33" t="str">
        <f aca="false">IF(COUNTIF(Flows!$M$2:$M$1500,$A58&amp;"|"&amp;AW$1&amp;"|Input"),IF(COUNTIF(Flows!$M$2:$M$1500,$A58&amp;"|"&amp;AW$1&amp;"|Output"),"I/O","IN"),IF(COUNTIF(Flows!$M$2:$M$1500,$A58&amp;"|"&amp;AW$1&amp;"|Output"),"OUT",""))</f>
        <v/>
      </c>
      <c r="AX58" s="33" t="str">
        <f aca="false">IF(COUNTIF(Flows!$M$2:$M$1500,$A58&amp;"|"&amp;AX$1&amp;"|Input"),IF(COUNTIF(Flows!$M$2:$M$1500,$A58&amp;"|"&amp;AX$1&amp;"|Output"),"I/O","IN"),IF(COUNTIF(Flows!$M$2:$M$1500,$A58&amp;"|"&amp;AX$1&amp;"|Output"),"OUT",""))</f>
        <v/>
      </c>
      <c r="AY58" s="33" t="str">
        <f aca="false">IF(COUNTIF(Flows!$M$2:$M$1500,$A58&amp;"|"&amp;AY$1&amp;"|Input"),IF(COUNTIF(Flows!$M$2:$M$1500,$A58&amp;"|"&amp;AY$1&amp;"|Output"),"I/O","IN"),IF(COUNTIF(Flows!$M$2:$M$1500,$A58&amp;"|"&amp;AY$1&amp;"|Output"),"OUT",""))</f>
        <v/>
      </c>
      <c r="AZ58" s="33" t="str">
        <f aca="false">IF(COUNTIF(Flows!$M$2:$M$1500,$A58&amp;"|"&amp;AZ$1&amp;"|Input"),IF(COUNTIF(Flows!$M$2:$M$1500,$A58&amp;"|"&amp;AZ$1&amp;"|Output"),"I/O","IN"),IF(COUNTIF(Flows!$M$2:$M$1500,$A58&amp;"|"&amp;AZ$1&amp;"|Output"),"OUT",""))</f>
        <v/>
      </c>
      <c r="BA58" s="33" t="str">
        <f aca="false">IF(COUNTIF(Flows!$M$2:$M$1500,$A58&amp;"|"&amp;BA$1&amp;"|Input"),IF(COUNTIF(Flows!$M$2:$M$1500,$A58&amp;"|"&amp;BA$1&amp;"|Output"),"I/O","IN"),IF(COUNTIF(Flows!$M$2:$M$1500,$A58&amp;"|"&amp;BA$1&amp;"|Output"),"OUT",""))</f>
        <v/>
      </c>
      <c r="BB58" s="33" t="str">
        <f aca="false">IF(COUNTIF(Flows!$M$2:$M$1500,$A58&amp;"|"&amp;BB$1&amp;"|Input"),IF(COUNTIF(Flows!$M$2:$M$1500,$A58&amp;"|"&amp;BB$1&amp;"|Output"),"I/O","IN"),IF(COUNTIF(Flows!$M$2:$M$1500,$A58&amp;"|"&amp;BB$1&amp;"|Output"),"OUT",""))</f>
        <v/>
      </c>
      <c r="BC58" s="33" t="str">
        <f aca="false">IF(COUNTIF(Flows!$M$2:$M$1500,$A58&amp;"|"&amp;BC$1&amp;"|Input"),IF(COUNTIF(Flows!$M$2:$M$1500,$A58&amp;"|"&amp;BC$1&amp;"|Output"),"I/O","IN"),IF(COUNTIF(Flows!$M$2:$M$1500,$A58&amp;"|"&amp;BC$1&amp;"|Output"),"OUT",""))</f>
        <v/>
      </c>
      <c r="BD58" s="33" t="str">
        <f aca="false">IF(COUNTIF(Flows!$M$2:$M$1500,$A58&amp;"|"&amp;BD$1&amp;"|Input"),IF(COUNTIF(Flows!$M$2:$M$1500,$A58&amp;"|"&amp;BD$1&amp;"|Output"),"I/O","IN"),IF(COUNTIF(Flows!$M$2:$M$1500,$A58&amp;"|"&amp;BD$1&amp;"|Output"),"OUT",""))</f>
        <v>OUT</v>
      </c>
      <c r="BE58" s="33" t="str">
        <f aca="false">IF(COUNTIF(Flows!$M$2:$M$1500,$A58&amp;"|"&amp;BE$1&amp;"|Input"),IF(COUNTIF(Flows!$M$2:$M$1500,$A58&amp;"|"&amp;BE$1&amp;"|Output"),"I/O","IN"),IF(COUNTIF(Flows!$M$2:$M$1500,$A58&amp;"|"&amp;BE$1&amp;"|Output"),"OUT",""))</f>
        <v/>
      </c>
      <c r="BF58" s="33" t="str">
        <f aca="false">IF(COUNTIF(Flows!$M$2:$M$1500,$A58&amp;"|"&amp;BF$1&amp;"|Input"),IF(COUNTIF(Flows!$M$2:$M$1500,$A58&amp;"|"&amp;BF$1&amp;"|Output"),"I/O","IN"),IF(COUNTIF(Flows!$M$2:$M$1500,$A58&amp;"|"&amp;BF$1&amp;"|Output"),"OUT",""))</f>
        <v/>
      </c>
      <c r="BG58" s="33" t="str">
        <f aca="false">IF(COUNTIF(Flows!$M$2:$M$1500,$A58&amp;"|"&amp;BG$1&amp;"|Input"),IF(COUNTIF(Flows!$M$2:$M$1500,$A58&amp;"|"&amp;BG$1&amp;"|Output"),"I/O","IN"),IF(COUNTIF(Flows!$M$2:$M$1500,$A58&amp;"|"&amp;BG$1&amp;"|Output"),"OUT",""))</f>
        <v/>
      </c>
      <c r="BH58" s="33" t="str">
        <f aca="false">IF(COUNTIF(Flows!$M$2:$M$1500,$A58&amp;"|"&amp;BH$1&amp;"|Input"),IF(COUNTIF(Flows!$M$2:$M$1500,$A58&amp;"|"&amp;BH$1&amp;"|Output"),"I/O","IN"),IF(COUNTIF(Flows!$M$2:$M$1500,$A58&amp;"|"&amp;BH$1&amp;"|Output"),"OUT",""))</f>
        <v/>
      </c>
      <c r="BI58" s="33" t="str">
        <f aca="false">IF(COUNTIF(Flows!$M$2:$M$1500,$A58&amp;"|"&amp;BI$1&amp;"|Input"),IF(COUNTIF(Flows!$M$2:$M$1500,$A58&amp;"|"&amp;BI$1&amp;"|Output"),"I/O","IN"),IF(COUNTIF(Flows!$M$2:$M$1500,$A58&amp;"|"&amp;BI$1&amp;"|Output"),"OUT",""))</f>
        <v/>
      </c>
      <c r="BJ58" s="33" t="str">
        <f aca="false">IF(COUNTIF(Flows!$M$2:$M$1500,$A58&amp;"|"&amp;BJ$1&amp;"|Input"),IF(COUNTIF(Flows!$M$2:$M$1500,$A58&amp;"|"&amp;BJ$1&amp;"|Output"),"I/O","IN"),IF(COUNTIF(Flows!$M$2:$M$1500,$A58&amp;"|"&amp;BJ$1&amp;"|Output"),"OUT",""))</f>
        <v/>
      </c>
      <c r="BK58" s="33" t="str">
        <f aca="false">IF(COUNTIF(Flows!$M$2:$M$1500,$A58&amp;"|"&amp;BK$1&amp;"|Input"),IF(COUNTIF(Flows!$M$2:$M$1500,$A58&amp;"|"&amp;BK$1&amp;"|Output"),"I/O","IN"),IF(COUNTIF(Flows!$M$2:$M$1500,$A58&amp;"|"&amp;BK$1&amp;"|Output"),"OUT",""))</f>
        <v>OUT</v>
      </c>
    </row>
    <row r="59" customFormat="false" ht="15" hidden="false" customHeight="true" outlineLevel="0" collapsed="false">
      <c r="A59" s="6" t="str">
        <f aca="false">Systems!B59</f>
        <v>Permaculture Library</v>
      </c>
      <c r="B59" s="33" t="str">
        <f aca="false">IF(COUNTIF(Flows!$M$2:$M$1500,$A59&amp;"|"&amp;B$1&amp;"|Input"),IF(COUNTIF(Flows!$M$2:$M$1500,$A59&amp;"|"&amp;B$1&amp;"|Output"),"I/O","IN"),IF(COUNTIF(Flows!$M$2:$M$1500,$A59&amp;"|"&amp;B$1&amp;"|Output"),"OUT",""))</f>
        <v/>
      </c>
      <c r="C59" s="33" t="str">
        <f aca="false">IF(COUNTIF(Flows!$M$2:$M$1500,$A59&amp;"|"&amp;C$1&amp;"|Input"),IF(COUNTIF(Flows!$M$2:$M$1500,$A59&amp;"|"&amp;C$1&amp;"|Output"),"I/O","IN"),IF(COUNTIF(Flows!$M$2:$M$1500,$A59&amp;"|"&amp;C$1&amp;"|Output"),"OUT",""))</f>
        <v/>
      </c>
      <c r="D59" s="33" t="str">
        <f aca="false">IF(COUNTIF(Flows!$M$2:$M$1500,$A59&amp;"|"&amp;D$1&amp;"|Input"),IF(COUNTIF(Flows!$M$2:$M$1500,$A59&amp;"|"&amp;D$1&amp;"|Output"),"I/O","IN"),IF(COUNTIF(Flows!$M$2:$M$1500,$A59&amp;"|"&amp;D$1&amp;"|Output"),"OUT",""))</f>
        <v/>
      </c>
      <c r="E59" s="33" t="str">
        <f aca="false">IF(COUNTIF(Flows!$M$2:$M$1500,$A59&amp;"|"&amp;E$1&amp;"|Input"),IF(COUNTIF(Flows!$M$2:$M$1500,$A59&amp;"|"&amp;E$1&amp;"|Output"),"I/O","IN"),IF(COUNTIF(Flows!$M$2:$M$1500,$A59&amp;"|"&amp;E$1&amp;"|Output"),"OUT",""))</f>
        <v/>
      </c>
      <c r="F59" s="33" t="str">
        <f aca="false">IF(COUNTIF(Flows!$M$2:$M$1500,$A59&amp;"|"&amp;F$1&amp;"|Input"),IF(COUNTIF(Flows!$M$2:$M$1500,$A59&amp;"|"&amp;F$1&amp;"|Output"),"I/O","IN"),IF(COUNTIF(Flows!$M$2:$M$1500,$A59&amp;"|"&amp;F$1&amp;"|Output"),"OUT",""))</f>
        <v/>
      </c>
      <c r="G59" s="33" t="str">
        <f aca="false">IF(COUNTIF(Flows!$M$2:$M$1500,$A59&amp;"|"&amp;G$1&amp;"|Input"),IF(COUNTIF(Flows!$M$2:$M$1500,$A59&amp;"|"&amp;G$1&amp;"|Output"),"I/O","IN"),IF(COUNTIF(Flows!$M$2:$M$1500,$A59&amp;"|"&amp;G$1&amp;"|Output"),"OUT",""))</f>
        <v/>
      </c>
      <c r="H59" s="33" t="str">
        <f aca="false">IF(COUNTIF(Flows!$M$2:$M$1500,$A59&amp;"|"&amp;H$1&amp;"|Input"),IF(COUNTIF(Flows!$M$2:$M$1500,$A59&amp;"|"&amp;H$1&amp;"|Output"),"I/O","IN"),IF(COUNTIF(Flows!$M$2:$M$1500,$A59&amp;"|"&amp;H$1&amp;"|Output"),"OUT",""))</f>
        <v/>
      </c>
      <c r="I59" s="33" t="str">
        <f aca="false">IF(COUNTIF(Flows!$M$2:$M$1500,$A59&amp;"|"&amp;I$1&amp;"|Input"),IF(COUNTIF(Flows!$M$2:$M$1500,$A59&amp;"|"&amp;I$1&amp;"|Output"),"I/O","IN"),IF(COUNTIF(Flows!$M$2:$M$1500,$A59&amp;"|"&amp;I$1&amp;"|Output"),"OUT",""))</f>
        <v/>
      </c>
      <c r="J59" s="33" t="str">
        <f aca="false">IF(COUNTIF(Flows!$M$2:$M$1500,$A59&amp;"|"&amp;J$1&amp;"|Input"),IF(COUNTIF(Flows!$M$2:$M$1500,$A59&amp;"|"&amp;J$1&amp;"|Output"),"I/O","IN"),IF(COUNTIF(Flows!$M$2:$M$1500,$A59&amp;"|"&amp;J$1&amp;"|Output"),"OUT",""))</f>
        <v/>
      </c>
      <c r="K59" s="33" t="str">
        <f aca="false">IF(COUNTIF(Flows!$M$2:$M$1500,$A59&amp;"|"&amp;K$1&amp;"|Input"),IF(COUNTIF(Flows!$M$2:$M$1500,$A59&amp;"|"&amp;K$1&amp;"|Output"),"I/O","IN"),IF(COUNTIF(Flows!$M$2:$M$1500,$A59&amp;"|"&amp;K$1&amp;"|Output"),"OUT",""))</f>
        <v/>
      </c>
      <c r="L59" s="33" t="str">
        <f aca="false">IF(COUNTIF(Flows!$M$2:$M$1500,$A59&amp;"|"&amp;L$1&amp;"|Input"),IF(COUNTIF(Flows!$M$2:$M$1500,$A59&amp;"|"&amp;L$1&amp;"|Output"),"I/O","IN"),IF(COUNTIF(Flows!$M$2:$M$1500,$A59&amp;"|"&amp;L$1&amp;"|Output"),"OUT",""))</f>
        <v/>
      </c>
      <c r="M59" s="33" t="str">
        <f aca="false">IF(COUNTIF(Flows!$M$2:$M$1500,$A59&amp;"|"&amp;M$1&amp;"|Input"),IF(COUNTIF(Flows!$M$2:$M$1500,$A59&amp;"|"&amp;M$1&amp;"|Output"),"I/O","IN"),IF(COUNTIF(Flows!$M$2:$M$1500,$A59&amp;"|"&amp;M$1&amp;"|Output"),"OUT",""))</f>
        <v/>
      </c>
      <c r="N59" s="33" t="str">
        <f aca="false">IF(COUNTIF(Flows!$M$2:$M$1500,$A59&amp;"|"&amp;N$1&amp;"|Input"),IF(COUNTIF(Flows!$M$2:$M$1500,$A59&amp;"|"&amp;N$1&amp;"|Output"),"I/O","IN"),IF(COUNTIF(Flows!$M$2:$M$1500,$A59&amp;"|"&amp;N$1&amp;"|Output"),"OUT",""))</f>
        <v/>
      </c>
      <c r="O59" s="33" t="str">
        <f aca="false">IF(COUNTIF(Flows!$M$2:$M$1500,$A59&amp;"|"&amp;O$1&amp;"|Input"),IF(COUNTIF(Flows!$M$2:$M$1500,$A59&amp;"|"&amp;O$1&amp;"|Output"),"I/O","IN"),IF(COUNTIF(Flows!$M$2:$M$1500,$A59&amp;"|"&amp;O$1&amp;"|Output"),"OUT",""))</f>
        <v/>
      </c>
      <c r="P59" s="33" t="str">
        <f aca="false">IF(COUNTIF(Flows!$M$2:$M$1500,$A59&amp;"|"&amp;P$1&amp;"|Input"),IF(COUNTIF(Flows!$M$2:$M$1500,$A59&amp;"|"&amp;P$1&amp;"|Output"),"I/O","IN"),IF(COUNTIF(Flows!$M$2:$M$1500,$A59&amp;"|"&amp;P$1&amp;"|Output"),"OUT",""))</f>
        <v/>
      </c>
      <c r="Q59" s="33" t="str">
        <f aca="false">IF(COUNTIF(Flows!$M$2:$M$1500,$A59&amp;"|"&amp;Q$1&amp;"|Input"),IF(COUNTIF(Flows!$M$2:$M$1500,$A59&amp;"|"&amp;Q$1&amp;"|Output"),"I/O","IN"),IF(COUNTIF(Flows!$M$2:$M$1500,$A59&amp;"|"&amp;Q$1&amp;"|Output"),"OUT",""))</f>
        <v/>
      </c>
      <c r="R59" s="33" t="str">
        <f aca="false">IF(COUNTIF(Flows!$M$2:$M$1500,$A59&amp;"|"&amp;R$1&amp;"|Input"),IF(COUNTIF(Flows!$M$2:$M$1500,$A59&amp;"|"&amp;R$1&amp;"|Output"),"I/O","IN"),IF(COUNTIF(Flows!$M$2:$M$1500,$A59&amp;"|"&amp;R$1&amp;"|Output"),"OUT",""))</f>
        <v/>
      </c>
      <c r="S59" s="33" t="str">
        <f aca="false">IF(COUNTIF(Flows!$M$2:$M$1500,$A59&amp;"|"&amp;S$1&amp;"|Input"),IF(COUNTIF(Flows!$M$2:$M$1500,$A59&amp;"|"&amp;S$1&amp;"|Output"),"I/O","IN"),IF(COUNTIF(Flows!$M$2:$M$1500,$A59&amp;"|"&amp;S$1&amp;"|Output"),"OUT",""))</f>
        <v/>
      </c>
      <c r="T59" s="33" t="str">
        <f aca="false">IF(COUNTIF(Flows!$M$2:$M$1500,$A59&amp;"|"&amp;T$1&amp;"|Input"),IF(COUNTIF(Flows!$M$2:$M$1500,$A59&amp;"|"&amp;T$1&amp;"|Output"),"I/O","IN"),IF(COUNTIF(Flows!$M$2:$M$1500,$A59&amp;"|"&amp;T$1&amp;"|Output"),"OUT",""))</f>
        <v/>
      </c>
      <c r="U59" s="33" t="str">
        <f aca="false">IF(COUNTIF(Flows!$M$2:$M$1500,$A59&amp;"|"&amp;U$1&amp;"|Input"),IF(COUNTIF(Flows!$M$2:$M$1500,$A59&amp;"|"&amp;U$1&amp;"|Output"),"I/O","IN"),IF(COUNTIF(Flows!$M$2:$M$1500,$A59&amp;"|"&amp;U$1&amp;"|Output"),"OUT",""))</f>
        <v/>
      </c>
      <c r="V59" s="33" t="str">
        <f aca="false">IF(COUNTIF(Flows!$M$2:$M$1500,$A59&amp;"|"&amp;V$1&amp;"|Input"),IF(COUNTIF(Flows!$M$2:$M$1500,$A59&amp;"|"&amp;V$1&amp;"|Output"),"I/O","IN"),IF(COUNTIF(Flows!$M$2:$M$1500,$A59&amp;"|"&amp;V$1&amp;"|Output"),"OUT",""))</f>
        <v/>
      </c>
      <c r="W59" s="33" t="str">
        <f aca="false">IF(COUNTIF(Flows!$M$2:$M$1500,$A59&amp;"|"&amp;W$1&amp;"|Input"),IF(COUNTIF(Flows!$M$2:$M$1500,$A59&amp;"|"&amp;W$1&amp;"|Output"),"I/O","IN"),IF(COUNTIF(Flows!$M$2:$M$1500,$A59&amp;"|"&amp;W$1&amp;"|Output"),"OUT",""))</f>
        <v/>
      </c>
      <c r="X59" s="33" t="str">
        <f aca="false">IF(COUNTIF(Flows!$M$2:$M$1500,$A59&amp;"|"&amp;X$1&amp;"|Input"),IF(COUNTIF(Flows!$M$2:$M$1500,$A59&amp;"|"&amp;X$1&amp;"|Output"),"I/O","IN"),IF(COUNTIF(Flows!$M$2:$M$1500,$A59&amp;"|"&amp;X$1&amp;"|Output"),"OUT",""))</f>
        <v>IN</v>
      </c>
      <c r="Y59" s="33" t="str">
        <f aca="false">IF(COUNTIF(Flows!$M$2:$M$1500,$A59&amp;"|"&amp;Y$1&amp;"|Input"),IF(COUNTIF(Flows!$M$2:$M$1500,$A59&amp;"|"&amp;Y$1&amp;"|Output"),"I/O","IN"),IF(COUNTIF(Flows!$M$2:$M$1500,$A59&amp;"|"&amp;Y$1&amp;"|Output"),"OUT",""))</f>
        <v/>
      </c>
      <c r="Z59" s="33" t="str">
        <f aca="false">IF(COUNTIF(Flows!$M$2:$M$1500,$A59&amp;"|"&amp;Z$1&amp;"|Input"),IF(COUNTIF(Flows!$M$2:$M$1500,$A59&amp;"|"&amp;Z$1&amp;"|Output"),"I/O","IN"),IF(COUNTIF(Flows!$M$2:$M$1500,$A59&amp;"|"&amp;Z$1&amp;"|Output"),"OUT",""))</f>
        <v/>
      </c>
      <c r="AA59" s="33" t="str">
        <f aca="false">IF(COUNTIF(Flows!$M$2:$M$1500,$A59&amp;"|"&amp;AA$1&amp;"|Input"),IF(COUNTIF(Flows!$M$2:$M$1500,$A59&amp;"|"&amp;AA$1&amp;"|Output"),"I/O","IN"),IF(COUNTIF(Flows!$M$2:$M$1500,$A59&amp;"|"&amp;AA$1&amp;"|Output"),"OUT",""))</f>
        <v/>
      </c>
      <c r="AB59" s="33" t="str">
        <f aca="false">IF(COUNTIF(Flows!$M$2:$M$1500,$A59&amp;"|"&amp;AB$1&amp;"|Input"),IF(COUNTIF(Flows!$M$2:$M$1500,$A59&amp;"|"&amp;AB$1&amp;"|Output"),"I/O","IN"),IF(COUNTIF(Flows!$M$2:$M$1500,$A59&amp;"|"&amp;AB$1&amp;"|Output"),"OUT",""))</f>
        <v/>
      </c>
      <c r="AC59" s="33" t="str">
        <f aca="false">IF(COUNTIF(Flows!$M$2:$M$1500,$A59&amp;"|"&amp;AC$1&amp;"|Input"),IF(COUNTIF(Flows!$M$2:$M$1500,$A59&amp;"|"&amp;AC$1&amp;"|Output"),"I/O","IN"),IF(COUNTIF(Flows!$M$2:$M$1500,$A59&amp;"|"&amp;AC$1&amp;"|Output"),"OUT",""))</f>
        <v/>
      </c>
      <c r="AD59" s="33" t="str">
        <f aca="false">IF(COUNTIF(Flows!$M$2:$M$1500,$A59&amp;"|"&amp;AD$1&amp;"|Input"),IF(COUNTIF(Flows!$M$2:$M$1500,$A59&amp;"|"&amp;AD$1&amp;"|Output"),"I/O","IN"),IF(COUNTIF(Flows!$M$2:$M$1500,$A59&amp;"|"&amp;AD$1&amp;"|Output"),"OUT",""))</f>
        <v/>
      </c>
      <c r="AE59" s="33" t="str">
        <f aca="false">IF(COUNTIF(Flows!$M$2:$M$1500,$A59&amp;"|"&amp;AE$1&amp;"|Input"),IF(COUNTIF(Flows!$M$2:$M$1500,$A59&amp;"|"&amp;AE$1&amp;"|Output"),"I/O","IN"),IF(COUNTIF(Flows!$M$2:$M$1500,$A59&amp;"|"&amp;AE$1&amp;"|Output"),"OUT",""))</f>
        <v/>
      </c>
      <c r="AF59" s="33" t="str">
        <f aca="false">IF(COUNTIF(Flows!$M$2:$M$1500,$A59&amp;"|"&amp;AF$1&amp;"|Input"),IF(COUNTIF(Flows!$M$2:$M$1500,$A59&amp;"|"&amp;AF$1&amp;"|Output"),"I/O","IN"),IF(COUNTIF(Flows!$M$2:$M$1500,$A59&amp;"|"&amp;AF$1&amp;"|Output"),"OUT",""))</f>
        <v/>
      </c>
      <c r="AG59" s="33" t="str">
        <f aca="false">IF(COUNTIF(Flows!$M$2:$M$1500,$A59&amp;"|"&amp;AG$1&amp;"|Input"),IF(COUNTIF(Flows!$M$2:$M$1500,$A59&amp;"|"&amp;AG$1&amp;"|Output"),"I/O","IN"),IF(COUNTIF(Flows!$M$2:$M$1500,$A59&amp;"|"&amp;AG$1&amp;"|Output"),"OUT",""))</f>
        <v/>
      </c>
      <c r="AH59" s="33" t="str">
        <f aca="false">IF(COUNTIF(Flows!$M$2:$M$1500,$A59&amp;"|"&amp;AH$1&amp;"|Input"),IF(COUNTIF(Flows!$M$2:$M$1500,$A59&amp;"|"&amp;AH$1&amp;"|Output"),"I/O","IN"),IF(COUNTIF(Flows!$M$2:$M$1500,$A59&amp;"|"&amp;AH$1&amp;"|Output"),"OUT",""))</f>
        <v/>
      </c>
      <c r="AI59" s="33" t="str">
        <f aca="false">IF(COUNTIF(Flows!$M$2:$M$1500,$A59&amp;"|"&amp;AI$1&amp;"|Input"),IF(COUNTIF(Flows!$M$2:$M$1500,$A59&amp;"|"&amp;AI$1&amp;"|Output"),"I/O","IN"),IF(COUNTIF(Flows!$M$2:$M$1500,$A59&amp;"|"&amp;AI$1&amp;"|Output"),"OUT",""))</f>
        <v/>
      </c>
      <c r="AJ59" s="33" t="str">
        <f aca="false">IF(COUNTIF(Flows!$M$2:$M$1500,$A59&amp;"|"&amp;AJ$1&amp;"|Input"),IF(COUNTIF(Flows!$M$2:$M$1500,$A59&amp;"|"&amp;AJ$1&amp;"|Output"),"I/O","IN"),IF(COUNTIF(Flows!$M$2:$M$1500,$A59&amp;"|"&amp;AJ$1&amp;"|Output"),"OUT",""))</f>
        <v/>
      </c>
      <c r="AK59" s="33" t="str">
        <f aca="false">IF(COUNTIF(Flows!$M$2:$M$1500,$A59&amp;"|"&amp;AK$1&amp;"|Input"),IF(COUNTIF(Flows!$M$2:$M$1500,$A59&amp;"|"&amp;AK$1&amp;"|Output"),"I/O","IN"),IF(COUNTIF(Flows!$M$2:$M$1500,$A59&amp;"|"&amp;AK$1&amp;"|Output"),"OUT",""))</f>
        <v/>
      </c>
      <c r="AL59" s="33" t="str">
        <f aca="false">IF(COUNTIF(Flows!$M$2:$M$1500,$A59&amp;"|"&amp;AL$1&amp;"|Input"),IF(COUNTIF(Flows!$M$2:$M$1500,$A59&amp;"|"&amp;AL$1&amp;"|Output"),"I/O","IN"),IF(COUNTIF(Flows!$M$2:$M$1500,$A59&amp;"|"&amp;AL$1&amp;"|Output"),"OUT",""))</f>
        <v/>
      </c>
      <c r="AM59" s="33" t="str">
        <f aca="false">IF(COUNTIF(Flows!$M$2:$M$1500,$A59&amp;"|"&amp;AM$1&amp;"|Input"),IF(COUNTIF(Flows!$M$2:$M$1500,$A59&amp;"|"&amp;AM$1&amp;"|Output"),"I/O","IN"),IF(COUNTIF(Flows!$M$2:$M$1500,$A59&amp;"|"&amp;AM$1&amp;"|Output"),"OUT",""))</f>
        <v/>
      </c>
      <c r="AN59" s="33" t="str">
        <f aca="false">IF(COUNTIF(Flows!$M$2:$M$1500,$A59&amp;"|"&amp;AN$1&amp;"|Input"),IF(COUNTIF(Flows!$M$2:$M$1500,$A59&amp;"|"&amp;AN$1&amp;"|Output"),"I/O","IN"),IF(COUNTIF(Flows!$M$2:$M$1500,$A59&amp;"|"&amp;AN$1&amp;"|Output"),"OUT",""))</f>
        <v/>
      </c>
      <c r="AO59" s="33" t="str">
        <f aca="false">IF(COUNTIF(Flows!$M$2:$M$1500,$A59&amp;"|"&amp;AO$1&amp;"|Input"),IF(COUNTIF(Flows!$M$2:$M$1500,$A59&amp;"|"&amp;AO$1&amp;"|Output"),"I/O","IN"),IF(COUNTIF(Flows!$M$2:$M$1500,$A59&amp;"|"&amp;AO$1&amp;"|Output"),"OUT",""))</f>
        <v/>
      </c>
      <c r="AP59" s="33" t="str">
        <f aca="false">IF(COUNTIF(Flows!$M$2:$M$1500,$A59&amp;"|"&amp;AP$1&amp;"|Input"),IF(COUNTIF(Flows!$M$2:$M$1500,$A59&amp;"|"&amp;AP$1&amp;"|Output"),"I/O","IN"),IF(COUNTIF(Flows!$M$2:$M$1500,$A59&amp;"|"&amp;AP$1&amp;"|Output"),"OUT",""))</f>
        <v/>
      </c>
      <c r="AQ59" s="33" t="str">
        <f aca="false">IF(COUNTIF(Flows!$M$2:$M$1500,$A59&amp;"|"&amp;AQ$1&amp;"|Input"),IF(COUNTIF(Flows!$M$2:$M$1500,$A59&amp;"|"&amp;AQ$1&amp;"|Output"),"I/O","IN"),IF(COUNTIF(Flows!$M$2:$M$1500,$A59&amp;"|"&amp;AQ$1&amp;"|Output"),"OUT",""))</f>
        <v/>
      </c>
      <c r="AR59" s="33" t="str">
        <f aca="false">IF(COUNTIF(Flows!$M$2:$M$1500,$A59&amp;"|"&amp;AR$1&amp;"|Input"),IF(COUNTIF(Flows!$M$2:$M$1500,$A59&amp;"|"&amp;AR$1&amp;"|Output"),"I/O","IN"),IF(COUNTIF(Flows!$M$2:$M$1500,$A59&amp;"|"&amp;AR$1&amp;"|Output"),"OUT",""))</f>
        <v/>
      </c>
      <c r="AS59" s="33" t="str">
        <f aca="false">IF(COUNTIF(Flows!$M$2:$M$1500,$A59&amp;"|"&amp;AS$1&amp;"|Input"),IF(COUNTIF(Flows!$M$2:$M$1500,$A59&amp;"|"&amp;AS$1&amp;"|Output"),"I/O","IN"),IF(COUNTIF(Flows!$M$2:$M$1500,$A59&amp;"|"&amp;AS$1&amp;"|Output"),"OUT",""))</f>
        <v/>
      </c>
      <c r="AT59" s="33" t="str">
        <f aca="false">IF(COUNTIF(Flows!$M$2:$M$1500,$A59&amp;"|"&amp;AT$1&amp;"|Input"),IF(COUNTIF(Flows!$M$2:$M$1500,$A59&amp;"|"&amp;AT$1&amp;"|Output"),"I/O","IN"),IF(COUNTIF(Flows!$M$2:$M$1500,$A59&amp;"|"&amp;AT$1&amp;"|Output"),"OUT",""))</f>
        <v/>
      </c>
      <c r="AU59" s="33" t="str">
        <f aca="false">IF(COUNTIF(Flows!$M$2:$M$1500,$A59&amp;"|"&amp;AU$1&amp;"|Input"),IF(COUNTIF(Flows!$M$2:$M$1500,$A59&amp;"|"&amp;AU$1&amp;"|Output"),"I/O","IN"),IF(COUNTIF(Flows!$M$2:$M$1500,$A59&amp;"|"&amp;AU$1&amp;"|Output"),"OUT",""))</f>
        <v/>
      </c>
      <c r="AV59" s="33" t="str">
        <f aca="false">IF(COUNTIF(Flows!$M$2:$M$1500,$A59&amp;"|"&amp;AV$1&amp;"|Input"),IF(COUNTIF(Flows!$M$2:$M$1500,$A59&amp;"|"&amp;AV$1&amp;"|Output"),"I/O","IN"),IF(COUNTIF(Flows!$M$2:$M$1500,$A59&amp;"|"&amp;AV$1&amp;"|Output"),"OUT",""))</f>
        <v/>
      </c>
      <c r="AW59" s="33" t="str">
        <f aca="false">IF(COUNTIF(Flows!$M$2:$M$1500,$A59&amp;"|"&amp;AW$1&amp;"|Input"),IF(COUNTIF(Flows!$M$2:$M$1500,$A59&amp;"|"&amp;AW$1&amp;"|Output"),"I/O","IN"),IF(COUNTIF(Flows!$M$2:$M$1500,$A59&amp;"|"&amp;AW$1&amp;"|Output"),"OUT",""))</f>
        <v/>
      </c>
      <c r="AX59" s="33" t="str">
        <f aca="false">IF(COUNTIF(Flows!$M$2:$M$1500,$A59&amp;"|"&amp;AX$1&amp;"|Input"),IF(COUNTIF(Flows!$M$2:$M$1500,$A59&amp;"|"&amp;AX$1&amp;"|Output"),"I/O","IN"),IF(COUNTIF(Flows!$M$2:$M$1500,$A59&amp;"|"&amp;AX$1&amp;"|Output"),"OUT",""))</f>
        <v/>
      </c>
      <c r="AY59" s="33" t="str">
        <f aca="false">IF(COUNTIF(Flows!$M$2:$M$1500,$A59&amp;"|"&amp;AY$1&amp;"|Input"),IF(COUNTIF(Flows!$M$2:$M$1500,$A59&amp;"|"&amp;AY$1&amp;"|Output"),"I/O","IN"),IF(COUNTIF(Flows!$M$2:$M$1500,$A59&amp;"|"&amp;AY$1&amp;"|Output"),"OUT",""))</f>
        <v/>
      </c>
      <c r="AZ59" s="33" t="str">
        <f aca="false">IF(COUNTIF(Flows!$M$2:$M$1500,$A59&amp;"|"&amp;AZ$1&amp;"|Input"),IF(COUNTIF(Flows!$M$2:$M$1500,$A59&amp;"|"&amp;AZ$1&amp;"|Output"),"I/O","IN"),IF(COUNTIF(Flows!$M$2:$M$1500,$A59&amp;"|"&amp;AZ$1&amp;"|Output"),"OUT",""))</f>
        <v/>
      </c>
      <c r="BA59" s="33" t="str">
        <f aca="false">IF(COUNTIF(Flows!$M$2:$M$1500,$A59&amp;"|"&amp;BA$1&amp;"|Input"),IF(COUNTIF(Flows!$M$2:$M$1500,$A59&amp;"|"&amp;BA$1&amp;"|Output"),"I/O","IN"),IF(COUNTIF(Flows!$M$2:$M$1500,$A59&amp;"|"&amp;BA$1&amp;"|Output"),"OUT",""))</f>
        <v/>
      </c>
      <c r="BB59" s="33" t="str">
        <f aca="false">IF(COUNTIF(Flows!$M$2:$M$1500,$A59&amp;"|"&amp;BB$1&amp;"|Input"),IF(COUNTIF(Flows!$M$2:$M$1500,$A59&amp;"|"&amp;BB$1&amp;"|Output"),"I/O","IN"),IF(COUNTIF(Flows!$M$2:$M$1500,$A59&amp;"|"&amp;BB$1&amp;"|Output"),"OUT",""))</f>
        <v/>
      </c>
      <c r="BC59" s="33" t="str">
        <f aca="false">IF(COUNTIF(Flows!$M$2:$M$1500,$A59&amp;"|"&amp;BC$1&amp;"|Input"),IF(COUNTIF(Flows!$M$2:$M$1500,$A59&amp;"|"&amp;BC$1&amp;"|Output"),"I/O","IN"),IF(COUNTIF(Flows!$M$2:$M$1500,$A59&amp;"|"&amp;BC$1&amp;"|Output"),"OUT",""))</f>
        <v/>
      </c>
      <c r="BD59" s="33" t="str">
        <f aca="false">IF(COUNTIF(Flows!$M$2:$M$1500,$A59&amp;"|"&amp;BD$1&amp;"|Input"),IF(COUNTIF(Flows!$M$2:$M$1500,$A59&amp;"|"&amp;BD$1&amp;"|Output"),"I/O","IN"),IF(COUNTIF(Flows!$M$2:$M$1500,$A59&amp;"|"&amp;BD$1&amp;"|Output"),"OUT",""))</f>
        <v/>
      </c>
      <c r="BE59" s="33" t="str">
        <f aca="false">IF(COUNTIF(Flows!$M$2:$M$1500,$A59&amp;"|"&amp;BE$1&amp;"|Input"),IF(COUNTIF(Flows!$M$2:$M$1500,$A59&amp;"|"&amp;BE$1&amp;"|Output"),"I/O","IN"),IF(COUNTIF(Flows!$M$2:$M$1500,$A59&amp;"|"&amp;BE$1&amp;"|Output"),"OUT",""))</f>
        <v/>
      </c>
      <c r="BF59" s="33" t="str">
        <f aca="false">IF(COUNTIF(Flows!$M$2:$M$1500,$A59&amp;"|"&amp;BF$1&amp;"|Input"),IF(COUNTIF(Flows!$M$2:$M$1500,$A59&amp;"|"&amp;BF$1&amp;"|Output"),"I/O","IN"),IF(COUNTIF(Flows!$M$2:$M$1500,$A59&amp;"|"&amp;BF$1&amp;"|Output"),"OUT",""))</f>
        <v/>
      </c>
      <c r="BG59" s="33" t="str">
        <f aca="false">IF(COUNTIF(Flows!$M$2:$M$1500,$A59&amp;"|"&amp;BG$1&amp;"|Input"),IF(COUNTIF(Flows!$M$2:$M$1500,$A59&amp;"|"&amp;BG$1&amp;"|Output"),"I/O","IN"),IF(COUNTIF(Flows!$M$2:$M$1500,$A59&amp;"|"&amp;BG$1&amp;"|Output"),"OUT",""))</f>
        <v/>
      </c>
      <c r="BH59" s="33" t="str">
        <f aca="false">IF(COUNTIF(Flows!$M$2:$M$1500,$A59&amp;"|"&amp;BH$1&amp;"|Input"),IF(COUNTIF(Flows!$M$2:$M$1500,$A59&amp;"|"&amp;BH$1&amp;"|Output"),"I/O","IN"),IF(COUNTIF(Flows!$M$2:$M$1500,$A59&amp;"|"&amp;BH$1&amp;"|Output"),"OUT",""))</f>
        <v/>
      </c>
      <c r="BI59" s="33" t="str">
        <f aca="false">IF(COUNTIF(Flows!$M$2:$M$1500,$A59&amp;"|"&amp;BI$1&amp;"|Input"),IF(COUNTIF(Flows!$M$2:$M$1500,$A59&amp;"|"&amp;BI$1&amp;"|Output"),"I/O","IN"),IF(COUNTIF(Flows!$M$2:$M$1500,$A59&amp;"|"&amp;BI$1&amp;"|Output"),"OUT",""))</f>
        <v/>
      </c>
      <c r="BJ59" s="33" t="str">
        <f aca="false">IF(COUNTIF(Flows!$M$2:$M$1500,$A59&amp;"|"&amp;BJ$1&amp;"|Input"),IF(COUNTIF(Flows!$M$2:$M$1500,$A59&amp;"|"&amp;BJ$1&amp;"|Output"),"I/O","IN"),IF(COUNTIF(Flows!$M$2:$M$1500,$A59&amp;"|"&amp;BJ$1&amp;"|Output"),"OUT",""))</f>
        <v/>
      </c>
      <c r="BK59" s="33" t="str">
        <f aca="false">IF(COUNTIF(Flows!$M$2:$M$1500,$A59&amp;"|"&amp;BK$1&amp;"|Input"),IF(COUNTIF(Flows!$M$2:$M$1500,$A59&amp;"|"&amp;BK$1&amp;"|Output"),"I/O","IN"),IF(COUNTIF(Flows!$M$2:$M$1500,$A59&amp;"|"&amp;BK$1&amp;"|Output"),"OUT",""))</f>
        <v>OUT</v>
      </c>
    </row>
    <row r="60" customFormat="false" ht="15" hidden="false" customHeight="true" outlineLevel="0" collapsed="false">
      <c r="A60" s="6" t="str">
        <f aca="false">Systems!B60</f>
        <v>Concentrated Sunlight Oven</v>
      </c>
      <c r="B60" s="33" t="str">
        <f aca="false">IF(COUNTIF(Flows!$M$2:$M$1500,$A60&amp;"|"&amp;B$1&amp;"|Input"),IF(COUNTIF(Flows!$M$2:$M$1500,$A60&amp;"|"&amp;B$1&amp;"|Output"),"I/O","IN"),IF(COUNTIF(Flows!$M$2:$M$1500,$A60&amp;"|"&amp;B$1&amp;"|Output"),"OUT",""))</f>
        <v/>
      </c>
      <c r="C60" s="33" t="str">
        <f aca="false">IF(COUNTIF(Flows!$M$2:$M$1500,$A60&amp;"|"&amp;C$1&amp;"|Input"),IF(COUNTIF(Flows!$M$2:$M$1500,$A60&amp;"|"&amp;C$1&amp;"|Output"),"I/O","IN"),IF(COUNTIF(Flows!$M$2:$M$1500,$A60&amp;"|"&amp;C$1&amp;"|Output"),"OUT",""))</f>
        <v/>
      </c>
      <c r="D60" s="33" t="str">
        <f aca="false">IF(COUNTIF(Flows!$M$2:$M$1500,$A60&amp;"|"&amp;D$1&amp;"|Input"),IF(COUNTIF(Flows!$M$2:$M$1500,$A60&amp;"|"&amp;D$1&amp;"|Output"),"I/O","IN"),IF(COUNTIF(Flows!$M$2:$M$1500,$A60&amp;"|"&amp;D$1&amp;"|Output"),"OUT",""))</f>
        <v/>
      </c>
      <c r="E60" s="33" t="str">
        <f aca="false">IF(COUNTIF(Flows!$M$2:$M$1500,$A60&amp;"|"&amp;E$1&amp;"|Input"),IF(COUNTIF(Flows!$M$2:$M$1500,$A60&amp;"|"&amp;E$1&amp;"|Output"),"I/O","IN"),IF(COUNTIF(Flows!$M$2:$M$1500,$A60&amp;"|"&amp;E$1&amp;"|Output"),"OUT",""))</f>
        <v/>
      </c>
      <c r="F60" s="33" t="str">
        <f aca="false">IF(COUNTIF(Flows!$M$2:$M$1500,$A60&amp;"|"&amp;F$1&amp;"|Input"),IF(COUNTIF(Flows!$M$2:$M$1500,$A60&amp;"|"&amp;F$1&amp;"|Output"),"I/O","IN"),IF(COUNTIF(Flows!$M$2:$M$1500,$A60&amp;"|"&amp;F$1&amp;"|Output"),"OUT",""))</f>
        <v/>
      </c>
      <c r="G60" s="33" t="str">
        <f aca="false">IF(COUNTIF(Flows!$M$2:$M$1500,$A60&amp;"|"&amp;G$1&amp;"|Input"),IF(COUNTIF(Flows!$M$2:$M$1500,$A60&amp;"|"&amp;G$1&amp;"|Output"),"I/O","IN"),IF(COUNTIF(Flows!$M$2:$M$1500,$A60&amp;"|"&amp;G$1&amp;"|Output"),"OUT",""))</f>
        <v/>
      </c>
      <c r="H60" s="33" t="str">
        <f aca="false">IF(COUNTIF(Flows!$M$2:$M$1500,$A60&amp;"|"&amp;H$1&amp;"|Input"),IF(COUNTIF(Flows!$M$2:$M$1500,$A60&amp;"|"&amp;H$1&amp;"|Output"),"I/O","IN"),IF(COUNTIF(Flows!$M$2:$M$1500,$A60&amp;"|"&amp;H$1&amp;"|Output"),"OUT",""))</f>
        <v/>
      </c>
      <c r="I60" s="33" t="str">
        <f aca="false">IF(COUNTIF(Flows!$M$2:$M$1500,$A60&amp;"|"&amp;I$1&amp;"|Input"),IF(COUNTIF(Flows!$M$2:$M$1500,$A60&amp;"|"&amp;I$1&amp;"|Output"),"I/O","IN"),IF(COUNTIF(Flows!$M$2:$M$1500,$A60&amp;"|"&amp;I$1&amp;"|Output"),"OUT",""))</f>
        <v/>
      </c>
      <c r="J60" s="33" t="str">
        <f aca="false">IF(COUNTIF(Flows!$M$2:$M$1500,$A60&amp;"|"&amp;J$1&amp;"|Input"),IF(COUNTIF(Flows!$M$2:$M$1500,$A60&amp;"|"&amp;J$1&amp;"|Output"),"I/O","IN"),IF(COUNTIF(Flows!$M$2:$M$1500,$A60&amp;"|"&amp;J$1&amp;"|Output"),"OUT",""))</f>
        <v/>
      </c>
      <c r="K60" s="33" t="str">
        <f aca="false">IF(COUNTIF(Flows!$M$2:$M$1500,$A60&amp;"|"&amp;K$1&amp;"|Input"),IF(COUNTIF(Flows!$M$2:$M$1500,$A60&amp;"|"&amp;K$1&amp;"|Output"),"I/O","IN"),IF(COUNTIF(Flows!$M$2:$M$1500,$A60&amp;"|"&amp;K$1&amp;"|Output"),"OUT",""))</f>
        <v/>
      </c>
      <c r="L60" s="33" t="str">
        <f aca="false">IF(COUNTIF(Flows!$M$2:$M$1500,$A60&amp;"|"&amp;L$1&amp;"|Input"),IF(COUNTIF(Flows!$M$2:$M$1500,$A60&amp;"|"&amp;L$1&amp;"|Output"),"I/O","IN"),IF(COUNTIF(Flows!$M$2:$M$1500,$A60&amp;"|"&amp;L$1&amp;"|Output"),"OUT",""))</f>
        <v/>
      </c>
      <c r="M60" s="33" t="str">
        <f aca="false">IF(COUNTIF(Flows!$M$2:$M$1500,$A60&amp;"|"&amp;M$1&amp;"|Input"),IF(COUNTIF(Flows!$M$2:$M$1500,$A60&amp;"|"&amp;M$1&amp;"|Output"),"I/O","IN"),IF(COUNTIF(Flows!$M$2:$M$1500,$A60&amp;"|"&amp;M$1&amp;"|Output"),"OUT",""))</f>
        <v/>
      </c>
      <c r="N60" s="33" t="str">
        <f aca="false">IF(COUNTIF(Flows!$M$2:$M$1500,$A60&amp;"|"&amp;N$1&amp;"|Input"),IF(COUNTIF(Flows!$M$2:$M$1500,$A60&amp;"|"&amp;N$1&amp;"|Output"),"I/O","IN"),IF(COUNTIF(Flows!$M$2:$M$1500,$A60&amp;"|"&amp;N$1&amp;"|Output"),"OUT",""))</f>
        <v/>
      </c>
      <c r="O60" s="33" t="str">
        <f aca="false">IF(COUNTIF(Flows!$M$2:$M$1500,$A60&amp;"|"&amp;O$1&amp;"|Input"),IF(COUNTIF(Flows!$M$2:$M$1500,$A60&amp;"|"&amp;O$1&amp;"|Output"),"I/O","IN"),IF(COUNTIF(Flows!$M$2:$M$1500,$A60&amp;"|"&amp;O$1&amp;"|Output"),"OUT",""))</f>
        <v/>
      </c>
      <c r="P60" s="33" t="str">
        <f aca="false">IF(COUNTIF(Flows!$M$2:$M$1500,$A60&amp;"|"&amp;P$1&amp;"|Input"),IF(COUNTIF(Flows!$M$2:$M$1500,$A60&amp;"|"&amp;P$1&amp;"|Output"),"I/O","IN"),IF(COUNTIF(Flows!$M$2:$M$1500,$A60&amp;"|"&amp;P$1&amp;"|Output"),"OUT",""))</f>
        <v/>
      </c>
      <c r="Q60" s="33" t="str">
        <f aca="false">IF(COUNTIF(Flows!$M$2:$M$1500,$A60&amp;"|"&amp;Q$1&amp;"|Input"),IF(COUNTIF(Flows!$M$2:$M$1500,$A60&amp;"|"&amp;Q$1&amp;"|Output"),"I/O","IN"),IF(COUNTIF(Flows!$M$2:$M$1500,$A60&amp;"|"&amp;Q$1&amp;"|Output"),"OUT",""))</f>
        <v/>
      </c>
      <c r="R60" s="33" t="str">
        <f aca="false">IF(COUNTIF(Flows!$M$2:$M$1500,$A60&amp;"|"&amp;R$1&amp;"|Input"),IF(COUNTIF(Flows!$M$2:$M$1500,$A60&amp;"|"&amp;R$1&amp;"|Output"),"I/O","IN"),IF(COUNTIF(Flows!$M$2:$M$1500,$A60&amp;"|"&amp;R$1&amp;"|Output"),"OUT",""))</f>
        <v/>
      </c>
      <c r="S60" s="33" t="str">
        <f aca="false">IF(COUNTIF(Flows!$M$2:$M$1500,$A60&amp;"|"&amp;S$1&amp;"|Input"),IF(COUNTIF(Flows!$M$2:$M$1500,$A60&amp;"|"&amp;S$1&amp;"|Output"),"I/O","IN"),IF(COUNTIF(Flows!$M$2:$M$1500,$A60&amp;"|"&amp;S$1&amp;"|Output"),"OUT",""))</f>
        <v/>
      </c>
      <c r="T60" s="33" t="str">
        <f aca="false">IF(COUNTIF(Flows!$M$2:$M$1500,$A60&amp;"|"&amp;T$1&amp;"|Input"),IF(COUNTIF(Flows!$M$2:$M$1500,$A60&amp;"|"&amp;T$1&amp;"|Output"),"I/O","IN"),IF(COUNTIF(Flows!$M$2:$M$1500,$A60&amp;"|"&amp;T$1&amp;"|Output"),"OUT",""))</f>
        <v/>
      </c>
      <c r="U60" s="33" t="str">
        <f aca="false">IF(COUNTIF(Flows!$M$2:$M$1500,$A60&amp;"|"&amp;U$1&amp;"|Input"),IF(COUNTIF(Flows!$M$2:$M$1500,$A60&amp;"|"&amp;U$1&amp;"|Output"),"I/O","IN"),IF(COUNTIF(Flows!$M$2:$M$1500,$A60&amp;"|"&amp;U$1&amp;"|Output"),"OUT",""))</f>
        <v>OUT</v>
      </c>
      <c r="V60" s="33" t="str">
        <f aca="false">IF(COUNTIF(Flows!$M$2:$M$1500,$A60&amp;"|"&amp;V$1&amp;"|Input"),IF(COUNTIF(Flows!$M$2:$M$1500,$A60&amp;"|"&amp;V$1&amp;"|Output"),"I/O","IN"),IF(COUNTIF(Flows!$M$2:$M$1500,$A60&amp;"|"&amp;V$1&amp;"|Output"),"OUT",""))</f>
        <v/>
      </c>
      <c r="W60" s="33" t="str">
        <f aca="false">IF(COUNTIF(Flows!$M$2:$M$1500,$A60&amp;"|"&amp;W$1&amp;"|Input"),IF(COUNTIF(Flows!$M$2:$M$1500,$A60&amp;"|"&amp;W$1&amp;"|Output"),"I/O","IN"),IF(COUNTIF(Flows!$M$2:$M$1500,$A60&amp;"|"&amp;W$1&amp;"|Output"),"OUT",""))</f>
        <v/>
      </c>
      <c r="X60" s="33" t="str">
        <f aca="false">IF(COUNTIF(Flows!$M$2:$M$1500,$A60&amp;"|"&amp;X$1&amp;"|Input"),IF(COUNTIF(Flows!$M$2:$M$1500,$A60&amp;"|"&amp;X$1&amp;"|Output"),"I/O","IN"),IF(COUNTIF(Flows!$M$2:$M$1500,$A60&amp;"|"&amp;X$1&amp;"|Output"),"OUT",""))</f>
        <v>IN</v>
      </c>
      <c r="Y60" s="33" t="str">
        <f aca="false">IF(COUNTIF(Flows!$M$2:$M$1500,$A60&amp;"|"&amp;Y$1&amp;"|Input"),IF(COUNTIF(Flows!$M$2:$M$1500,$A60&amp;"|"&amp;Y$1&amp;"|Output"),"I/O","IN"),IF(COUNTIF(Flows!$M$2:$M$1500,$A60&amp;"|"&amp;Y$1&amp;"|Output"),"OUT",""))</f>
        <v/>
      </c>
      <c r="Z60" s="33" t="str">
        <f aca="false">IF(COUNTIF(Flows!$M$2:$M$1500,$A60&amp;"|"&amp;Z$1&amp;"|Input"),IF(COUNTIF(Flows!$M$2:$M$1500,$A60&amp;"|"&amp;Z$1&amp;"|Output"),"I/O","IN"),IF(COUNTIF(Flows!$M$2:$M$1500,$A60&amp;"|"&amp;Z$1&amp;"|Output"),"OUT",""))</f>
        <v>IN</v>
      </c>
      <c r="AA60" s="33" t="str">
        <f aca="false">IF(COUNTIF(Flows!$M$2:$M$1500,$A60&amp;"|"&amp;AA$1&amp;"|Input"),IF(COUNTIF(Flows!$M$2:$M$1500,$A60&amp;"|"&amp;AA$1&amp;"|Output"),"I/O","IN"),IF(COUNTIF(Flows!$M$2:$M$1500,$A60&amp;"|"&amp;AA$1&amp;"|Output"),"OUT",""))</f>
        <v/>
      </c>
      <c r="AB60" s="33" t="str">
        <f aca="false">IF(COUNTIF(Flows!$M$2:$M$1500,$A60&amp;"|"&amp;AB$1&amp;"|Input"),IF(COUNTIF(Flows!$M$2:$M$1500,$A60&amp;"|"&amp;AB$1&amp;"|Output"),"I/O","IN"),IF(COUNTIF(Flows!$M$2:$M$1500,$A60&amp;"|"&amp;AB$1&amp;"|Output"),"OUT",""))</f>
        <v/>
      </c>
      <c r="AC60" s="33" t="str">
        <f aca="false">IF(COUNTIF(Flows!$M$2:$M$1500,$A60&amp;"|"&amp;AC$1&amp;"|Input"),IF(COUNTIF(Flows!$M$2:$M$1500,$A60&amp;"|"&amp;AC$1&amp;"|Output"),"I/O","IN"),IF(COUNTIF(Flows!$M$2:$M$1500,$A60&amp;"|"&amp;AC$1&amp;"|Output"),"OUT",""))</f>
        <v/>
      </c>
      <c r="AD60" s="33" t="str">
        <f aca="false">IF(COUNTIF(Flows!$M$2:$M$1500,$A60&amp;"|"&amp;AD$1&amp;"|Input"),IF(COUNTIF(Flows!$M$2:$M$1500,$A60&amp;"|"&amp;AD$1&amp;"|Output"),"I/O","IN"),IF(COUNTIF(Flows!$M$2:$M$1500,$A60&amp;"|"&amp;AD$1&amp;"|Output"),"OUT",""))</f>
        <v/>
      </c>
      <c r="AE60" s="33" t="str">
        <f aca="false">IF(COUNTIF(Flows!$M$2:$M$1500,$A60&amp;"|"&amp;AE$1&amp;"|Input"),IF(COUNTIF(Flows!$M$2:$M$1500,$A60&amp;"|"&amp;AE$1&amp;"|Output"),"I/O","IN"),IF(COUNTIF(Flows!$M$2:$M$1500,$A60&amp;"|"&amp;AE$1&amp;"|Output"),"OUT",""))</f>
        <v/>
      </c>
      <c r="AF60" s="33" t="str">
        <f aca="false">IF(COUNTIF(Flows!$M$2:$M$1500,$A60&amp;"|"&amp;AF$1&amp;"|Input"),IF(COUNTIF(Flows!$M$2:$M$1500,$A60&amp;"|"&amp;AF$1&amp;"|Output"),"I/O","IN"),IF(COUNTIF(Flows!$M$2:$M$1500,$A60&amp;"|"&amp;AF$1&amp;"|Output"),"OUT",""))</f>
        <v/>
      </c>
      <c r="AG60" s="33" t="str">
        <f aca="false">IF(COUNTIF(Flows!$M$2:$M$1500,$A60&amp;"|"&amp;AG$1&amp;"|Input"),IF(COUNTIF(Flows!$M$2:$M$1500,$A60&amp;"|"&amp;AG$1&amp;"|Output"),"I/O","IN"),IF(COUNTIF(Flows!$M$2:$M$1500,$A60&amp;"|"&amp;AG$1&amp;"|Output"),"OUT",""))</f>
        <v/>
      </c>
      <c r="AH60" s="33" t="str">
        <f aca="false">IF(COUNTIF(Flows!$M$2:$M$1500,$A60&amp;"|"&amp;AH$1&amp;"|Input"),IF(COUNTIF(Flows!$M$2:$M$1500,$A60&amp;"|"&amp;AH$1&amp;"|Output"),"I/O","IN"),IF(COUNTIF(Flows!$M$2:$M$1500,$A60&amp;"|"&amp;AH$1&amp;"|Output"),"OUT",""))</f>
        <v/>
      </c>
      <c r="AI60" s="33" t="str">
        <f aca="false">IF(COUNTIF(Flows!$M$2:$M$1500,$A60&amp;"|"&amp;AI$1&amp;"|Input"),IF(COUNTIF(Flows!$M$2:$M$1500,$A60&amp;"|"&amp;AI$1&amp;"|Output"),"I/O","IN"),IF(COUNTIF(Flows!$M$2:$M$1500,$A60&amp;"|"&amp;AI$1&amp;"|Output"),"OUT",""))</f>
        <v/>
      </c>
      <c r="AJ60" s="33" t="str">
        <f aca="false">IF(COUNTIF(Flows!$M$2:$M$1500,$A60&amp;"|"&amp;AJ$1&amp;"|Input"),IF(COUNTIF(Flows!$M$2:$M$1500,$A60&amp;"|"&amp;AJ$1&amp;"|Output"),"I/O","IN"),IF(COUNTIF(Flows!$M$2:$M$1500,$A60&amp;"|"&amp;AJ$1&amp;"|Output"),"OUT",""))</f>
        <v/>
      </c>
      <c r="AK60" s="33" t="str">
        <f aca="false">IF(COUNTIF(Flows!$M$2:$M$1500,$A60&amp;"|"&amp;AK$1&amp;"|Input"),IF(COUNTIF(Flows!$M$2:$M$1500,$A60&amp;"|"&amp;AK$1&amp;"|Output"),"I/O","IN"),IF(COUNTIF(Flows!$M$2:$M$1500,$A60&amp;"|"&amp;AK$1&amp;"|Output"),"OUT",""))</f>
        <v/>
      </c>
      <c r="AL60" s="33" t="str">
        <f aca="false">IF(COUNTIF(Flows!$M$2:$M$1500,$A60&amp;"|"&amp;AL$1&amp;"|Input"),IF(COUNTIF(Flows!$M$2:$M$1500,$A60&amp;"|"&amp;AL$1&amp;"|Output"),"I/O","IN"),IF(COUNTIF(Flows!$M$2:$M$1500,$A60&amp;"|"&amp;AL$1&amp;"|Output"),"OUT",""))</f>
        <v/>
      </c>
      <c r="AM60" s="33" t="str">
        <f aca="false">IF(COUNTIF(Flows!$M$2:$M$1500,$A60&amp;"|"&amp;AM$1&amp;"|Input"),IF(COUNTIF(Flows!$M$2:$M$1500,$A60&amp;"|"&amp;AM$1&amp;"|Output"),"I/O","IN"),IF(COUNTIF(Flows!$M$2:$M$1500,$A60&amp;"|"&amp;AM$1&amp;"|Output"),"OUT",""))</f>
        <v/>
      </c>
      <c r="AN60" s="33" t="str">
        <f aca="false">IF(COUNTIF(Flows!$M$2:$M$1500,$A60&amp;"|"&amp;AN$1&amp;"|Input"),IF(COUNTIF(Flows!$M$2:$M$1500,$A60&amp;"|"&amp;AN$1&amp;"|Output"),"I/O","IN"),IF(COUNTIF(Flows!$M$2:$M$1500,$A60&amp;"|"&amp;AN$1&amp;"|Output"),"OUT",""))</f>
        <v/>
      </c>
      <c r="AO60" s="33" t="str">
        <f aca="false">IF(COUNTIF(Flows!$M$2:$M$1500,$A60&amp;"|"&amp;AO$1&amp;"|Input"),IF(COUNTIF(Flows!$M$2:$M$1500,$A60&amp;"|"&amp;AO$1&amp;"|Output"),"I/O","IN"),IF(COUNTIF(Flows!$M$2:$M$1500,$A60&amp;"|"&amp;AO$1&amp;"|Output"),"OUT",""))</f>
        <v/>
      </c>
      <c r="AP60" s="33" t="str">
        <f aca="false">IF(COUNTIF(Flows!$M$2:$M$1500,$A60&amp;"|"&amp;AP$1&amp;"|Input"),IF(COUNTIF(Flows!$M$2:$M$1500,$A60&amp;"|"&amp;AP$1&amp;"|Output"),"I/O","IN"),IF(COUNTIF(Flows!$M$2:$M$1500,$A60&amp;"|"&amp;AP$1&amp;"|Output"),"OUT",""))</f>
        <v/>
      </c>
      <c r="AQ60" s="33" t="str">
        <f aca="false">IF(COUNTIF(Flows!$M$2:$M$1500,$A60&amp;"|"&amp;AQ$1&amp;"|Input"),IF(COUNTIF(Flows!$M$2:$M$1500,$A60&amp;"|"&amp;AQ$1&amp;"|Output"),"I/O","IN"),IF(COUNTIF(Flows!$M$2:$M$1500,$A60&amp;"|"&amp;AQ$1&amp;"|Output"),"OUT",""))</f>
        <v/>
      </c>
      <c r="AR60" s="33" t="str">
        <f aca="false">IF(COUNTIF(Flows!$M$2:$M$1500,$A60&amp;"|"&amp;AR$1&amp;"|Input"),IF(COUNTIF(Flows!$M$2:$M$1500,$A60&amp;"|"&amp;AR$1&amp;"|Output"),"I/O","IN"),IF(COUNTIF(Flows!$M$2:$M$1500,$A60&amp;"|"&amp;AR$1&amp;"|Output"),"OUT",""))</f>
        <v/>
      </c>
      <c r="AS60" s="33" t="str">
        <f aca="false">IF(COUNTIF(Flows!$M$2:$M$1500,$A60&amp;"|"&amp;AS$1&amp;"|Input"),IF(COUNTIF(Flows!$M$2:$M$1500,$A60&amp;"|"&amp;AS$1&amp;"|Output"),"I/O","IN"),IF(COUNTIF(Flows!$M$2:$M$1500,$A60&amp;"|"&amp;AS$1&amp;"|Output"),"OUT",""))</f>
        <v/>
      </c>
      <c r="AT60" s="33" t="str">
        <f aca="false">IF(COUNTIF(Flows!$M$2:$M$1500,$A60&amp;"|"&amp;AT$1&amp;"|Input"),IF(COUNTIF(Flows!$M$2:$M$1500,$A60&amp;"|"&amp;AT$1&amp;"|Output"),"I/O","IN"),IF(COUNTIF(Flows!$M$2:$M$1500,$A60&amp;"|"&amp;AT$1&amp;"|Output"),"OUT",""))</f>
        <v/>
      </c>
      <c r="AU60" s="33" t="str">
        <f aca="false">IF(COUNTIF(Flows!$M$2:$M$1500,$A60&amp;"|"&amp;AU$1&amp;"|Input"),IF(COUNTIF(Flows!$M$2:$M$1500,$A60&amp;"|"&amp;AU$1&amp;"|Output"),"I/O","IN"),IF(COUNTIF(Flows!$M$2:$M$1500,$A60&amp;"|"&amp;AU$1&amp;"|Output"),"OUT",""))</f>
        <v/>
      </c>
      <c r="AV60" s="33" t="str">
        <f aca="false">IF(COUNTIF(Flows!$M$2:$M$1500,$A60&amp;"|"&amp;AV$1&amp;"|Input"),IF(COUNTIF(Flows!$M$2:$M$1500,$A60&amp;"|"&amp;AV$1&amp;"|Output"),"I/O","IN"),IF(COUNTIF(Flows!$M$2:$M$1500,$A60&amp;"|"&amp;AV$1&amp;"|Output"),"OUT",""))</f>
        <v/>
      </c>
      <c r="AW60" s="33" t="str">
        <f aca="false">IF(COUNTIF(Flows!$M$2:$M$1500,$A60&amp;"|"&amp;AW$1&amp;"|Input"),IF(COUNTIF(Flows!$M$2:$M$1500,$A60&amp;"|"&amp;AW$1&amp;"|Output"),"I/O","IN"),IF(COUNTIF(Flows!$M$2:$M$1500,$A60&amp;"|"&amp;AW$1&amp;"|Output"),"OUT",""))</f>
        <v/>
      </c>
      <c r="AX60" s="33" t="str">
        <f aca="false">IF(COUNTIF(Flows!$M$2:$M$1500,$A60&amp;"|"&amp;AX$1&amp;"|Input"),IF(COUNTIF(Flows!$M$2:$M$1500,$A60&amp;"|"&amp;AX$1&amp;"|Output"),"I/O","IN"),IF(COUNTIF(Flows!$M$2:$M$1500,$A60&amp;"|"&amp;AX$1&amp;"|Output"),"OUT",""))</f>
        <v/>
      </c>
      <c r="AY60" s="33" t="str">
        <f aca="false">IF(COUNTIF(Flows!$M$2:$M$1500,$A60&amp;"|"&amp;AY$1&amp;"|Input"),IF(COUNTIF(Flows!$M$2:$M$1500,$A60&amp;"|"&amp;AY$1&amp;"|Output"),"I/O","IN"),IF(COUNTIF(Flows!$M$2:$M$1500,$A60&amp;"|"&amp;AY$1&amp;"|Output"),"OUT",""))</f>
        <v/>
      </c>
      <c r="AZ60" s="33" t="str">
        <f aca="false">IF(COUNTIF(Flows!$M$2:$M$1500,$A60&amp;"|"&amp;AZ$1&amp;"|Input"),IF(COUNTIF(Flows!$M$2:$M$1500,$A60&amp;"|"&amp;AZ$1&amp;"|Output"),"I/O","IN"),IF(COUNTIF(Flows!$M$2:$M$1500,$A60&amp;"|"&amp;AZ$1&amp;"|Output"),"OUT",""))</f>
        <v/>
      </c>
      <c r="BA60" s="33" t="str">
        <f aca="false">IF(COUNTIF(Flows!$M$2:$M$1500,$A60&amp;"|"&amp;BA$1&amp;"|Input"),IF(COUNTIF(Flows!$M$2:$M$1500,$A60&amp;"|"&amp;BA$1&amp;"|Output"),"I/O","IN"),IF(COUNTIF(Flows!$M$2:$M$1500,$A60&amp;"|"&amp;BA$1&amp;"|Output"),"OUT",""))</f>
        <v/>
      </c>
      <c r="BB60" s="33" t="str">
        <f aca="false">IF(COUNTIF(Flows!$M$2:$M$1500,$A60&amp;"|"&amp;BB$1&amp;"|Input"),IF(COUNTIF(Flows!$M$2:$M$1500,$A60&amp;"|"&amp;BB$1&amp;"|Output"),"I/O","IN"),IF(COUNTIF(Flows!$M$2:$M$1500,$A60&amp;"|"&amp;BB$1&amp;"|Output"),"OUT",""))</f>
        <v/>
      </c>
      <c r="BC60" s="33" t="str">
        <f aca="false">IF(COUNTIF(Flows!$M$2:$M$1500,$A60&amp;"|"&amp;BC$1&amp;"|Input"),IF(COUNTIF(Flows!$M$2:$M$1500,$A60&amp;"|"&amp;BC$1&amp;"|Output"),"I/O","IN"),IF(COUNTIF(Flows!$M$2:$M$1500,$A60&amp;"|"&amp;BC$1&amp;"|Output"),"OUT",""))</f>
        <v/>
      </c>
      <c r="BD60" s="33" t="str">
        <f aca="false">IF(COUNTIF(Flows!$M$2:$M$1500,$A60&amp;"|"&amp;BD$1&amp;"|Input"),IF(COUNTIF(Flows!$M$2:$M$1500,$A60&amp;"|"&amp;BD$1&amp;"|Output"),"I/O","IN"),IF(COUNTIF(Flows!$M$2:$M$1500,$A60&amp;"|"&amp;BD$1&amp;"|Output"),"OUT",""))</f>
        <v/>
      </c>
      <c r="BE60" s="33" t="str">
        <f aca="false">IF(COUNTIF(Flows!$M$2:$M$1500,$A60&amp;"|"&amp;BE$1&amp;"|Input"),IF(COUNTIF(Flows!$M$2:$M$1500,$A60&amp;"|"&amp;BE$1&amp;"|Output"),"I/O","IN"),IF(COUNTIF(Flows!$M$2:$M$1500,$A60&amp;"|"&amp;BE$1&amp;"|Output"),"OUT",""))</f>
        <v/>
      </c>
      <c r="BF60" s="33" t="str">
        <f aca="false">IF(COUNTIF(Flows!$M$2:$M$1500,$A60&amp;"|"&amp;BF$1&amp;"|Input"),IF(COUNTIF(Flows!$M$2:$M$1500,$A60&amp;"|"&amp;BF$1&amp;"|Output"),"I/O","IN"),IF(COUNTIF(Flows!$M$2:$M$1500,$A60&amp;"|"&amp;BF$1&amp;"|Output"),"OUT",""))</f>
        <v/>
      </c>
      <c r="BG60" s="33" t="str">
        <f aca="false">IF(COUNTIF(Flows!$M$2:$M$1500,$A60&amp;"|"&amp;BG$1&amp;"|Input"),IF(COUNTIF(Flows!$M$2:$M$1500,$A60&amp;"|"&amp;BG$1&amp;"|Output"),"I/O","IN"),IF(COUNTIF(Flows!$M$2:$M$1500,$A60&amp;"|"&amp;BG$1&amp;"|Output"),"OUT",""))</f>
        <v/>
      </c>
      <c r="BH60" s="33" t="str">
        <f aca="false">IF(COUNTIF(Flows!$M$2:$M$1500,$A60&amp;"|"&amp;BH$1&amp;"|Input"),IF(COUNTIF(Flows!$M$2:$M$1500,$A60&amp;"|"&amp;BH$1&amp;"|Output"),"I/O","IN"),IF(COUNTIF(Flows!$M$2:$M$1500,$A60&amp;"|"&amp;BH$1&amp;"|Output"),"OUT",""))</f>
        <v/>
      </c>
      <c r="BI60" s="33" t="str">
        <f aca="false">IF(COUNTIF(Flows!$M$2:$M$1500,$A60&amp;"|"&amp;BI$1&amp;"|Input"),IF(COUNTIF(Flows!$M$2:$M$1500,$A60&amp;"|"&amp;BI$1&amp;"|Output"),"I/O","IN"),IF(COUNTIF(Flows!$M$2:$M$1500,$A60&amp;"|"&amp;BI$1&amp;"|Output"),"OUT",""))</f>
        <v/>
      </c>
      <c r="BJ60" s="33" t="str">
        <f aca="false">IF(COUNTIF(Flows!$M$2:$M$1500,$A60&amp;"|"&amp;BJ$1&amp;"|Input"),IF(COUNTIF(Flows!$M$2:$M$1500,$A60&amp;"|"&amp;BJ$1&amp;"|Output"),"I/O","IN"),IF(COUNTIF(Flows!$M$2:$M$1500,$A60&amp;"|"&amp;BJ$1&amp;"|Output"),"OUT",""))</f>
        <v/>
      </c>
      <c r="BK60" s="33" t="str">
        <f aca="false">IF(COUNTIF(Flows!$M$2:$M$1500,$A60&amp;"|"&amp;BK$1&amp;"|Input"),IF(COUNTIF(Flows!$M$2:$M$1500,$A60&amp;"|"&amp;BK$1&amp;"|Output"),"I/O","IN"),IF(COUNTIF(Flows!$M$2:$M$1500,$A60&amp;"|"&amp;BK$1&amp;"|Output"),"OUT",""))</f>
        <v/>
      </c>
    </row>
    <row r="61" customFormat="false" ht="15" hidden="false" customHeight="true" outlineLevel="0" collapsed="false">
      <c r="A61" s="6" t="str">
        <f aca="false">Systems!B61</f>
        <v>Methane BioGas Generator</v>
      </c>
      <c r="B61" s="33" t="str">
        <f aca="false">IF(COUNTIF(Flows!$M$2:$M$1500,$A61&amp;"|"&amp;B$1&amp;"|Input"),IF(COUNTIF(Flows!$M$2:$M$1500,$A61&amp;"|"&amp;B$1&amp;"|Output"),"I/O","IN"),IF(COUNTIF(Flows!$M$2:$M$1500,$A61&amp;"|"&amp;B$1&amp;"|Output"),"OUT",""))</f>
        <v>IN</v>
      </c>
      <c r="C61" s="33" t="str">
        <f aca="false">IF(COUNTIF(Flows!$M$2:$M$1500,$A61&amp;"|"&amp;C$1&amp;"|Input"),IF(COUNTIF(Flows!$M$2:$M$1500,$A61&amp;"|"&amp;C$1&amp;"|Output"),"I/O","IN"),IF(COUNTIF(Flows!$M$2:$M$1500,$A61&amp;"|"&amp;C$1&amp;"|Output"),"OUT",""))</f>
        <v/>
      </c>
      <c r="D61" s="33" t="str">
        <f aca="false">IF(COUNTIF(Flows!$M$2:$M$1500,$A61&amp;"|"&amp;D$1&amp;"|Input"),IF(COUNTIF(Flows!$M$2:$M$1500,$A61&amp;"|"&amp;D$1&amp;"|Output"),"I/O","IN"),IF(COUNTIF(Flows!$M$2:$M$1500,$A61&amp;"|"&amp;D$1&amp;"|Output"),"OUT",""))</f>
        <v/>
      </c>
      <c r="E61" s="33" t="str">
        <f aca="false">IF(COUNTIF(Flows!$M$2:$M$1500,$A61&amp;"|"&amp;E$1&amp;"|Input"),IF(COUNTIF(Flows!$M$2:$M$1500,$A61&amp;"|"&amp;E$1&amp;"|Output"),"I/O","IN"),IF(COUNTIF(Flows!$M$2:$M$1500,$A61&amp;"|"&amp;E$1&amp;"|Output"),"OUT",""))</f>
        <v/>
      </c>
      <c r="F61" s="33" t="str">
        <f aca="false">IF(COUNTIF(Flows!$M$2:$M$1500,$A61&amp;"|"&amp;F$1&amp;"|Input"),IF(COUNTIF(Flows!$M$2:$M$1500,$A61&amp;"|"&amp;F$1&amp;"|Output"),"I/O","IN"),IF(COUNTIF(Flows!$M$2:$M$1500,$A61&amp;"|"&amp;F$1&amp;"|Output"),"OUT",""))</f>
        <v/>
      </c>
      <c r="G61" s="33" t="str">
        <f aca="false">IF(COUNTIF(Flows!$M$2:$M$1500,$A61&amp;"|"&amp;G$1&amp;"|Input"),IF(COUNTIF(Flows!$M$2:$M$1500,$A61&amp;"|"&amp;G$1&amp;"|Output"),"I/O","IN"),IF(COUNTIF(Flows!$M$2:$M$1500,$A61&amp;"|"&amp;G$1&amp;"|Output"),"OUT",""))</f>
        <v/>
      </c>
      <c r="H61" s="33" t="str">
        <f aca="false">IF(COUNTIF(Flows!$M$2:$M$1500,$A61&amp;"|"&amp;H$1&amp;"|Input"),IF(COUNTIF(Flows!$M$2:$M$1500,$A61&amp;"|"&amp;H$1&amp;"|Output"),"I/O","IN"),IF(COUNTIF(Flows!$M$2:$M$1500,$A61&amp;"|"&amp;H$1&amp;"|Output"),"OUT",""))</f>
        <v/>
      </c>
      <c r="I61" s="33" t="str">
        <f aca="false">IF(COUNTIF(Flows!$M$2:$M$1500,$A61&amp;"|"&amp;I$1&amp;"|Input"),IF(COUNTIF(Flows!$M$2:$M$1500,$A61&amp;"|"&amp;I$1&amp;"|Output"),"I/O","IN"),IF(COUNTIF(Flows!$M$2:$M$1500,$A61&amp;"|"&amp;I$1&amp;"|Output"),"OUT",""))</f>
        <v/>
      </c>
      <c r="J61" s="33" t="str">
        <f aca="false">IF(COUNTIF(Flows!$M$2:$M$1500,$A61&amp;"|"&amp;J$1&amp;"|Input"),IF(COUNTIF(Flows!$M$2:$M$1500,$A61&amp;"|"&amp;J$1&amp;"|Output"),"I/O","IN"),IF(COUNTIF(Flows!$M$2:$M$1500,$A61&amp;"|"&amp;J$1&amp;"|Output"),"OUT",""))</f>
        <v/>
      </c>
      <c r="K61" s="33" t="str">
        <f aca="false">IF(COUNTIF(Flows!$M$2:$M$1500,$A61&amp;"|"&amp;K$1&amp;"|Input"),IF(COUNTIF(Flows!$M$2:$M$1500,$A61&amp;"|"&amp;K$1&amp;"|Output"),"I/O","IN"),IF(COUNTIF(Flows!$M$2:$M$1500,$A61&amp;"|"&amp;K$1&amp;"|Output"),"OUT",""))</f>
        <v/>
      </c>
      <c r="L61" s="33" t="str">
        <f aca="false">IF(COUNTIF(Flows!$M$2:$M$1500,$A61&amp;"|"&amp;L$1&amp;"|Input"),IF(COUNTIF(Flows!$M$2:$M$1500,$A61&amp;"|"&amp;L$1&amp;"|Output"),"I/O","IN"),IF(COUNTIF(Flows!$M$2:$M$1500,$A61&amp;"|"&amp;L$1&amp;"|Output"),"OUT",""))</f>
        <v/>
      </c>
      <c r="M61" s="33" t="str">
        <f aca="false">IF(COUNTIF(Flows!$M$2:$M$1500,$A61&amp;"|"&amp;M$1&amp;"|Input"),IF(COUNTIF(Flows!$M$2:$M$1500,$A61&amp;"|"&amp;M$1&amp;"|Output"),"I/O","IN"),IF(COUNTIF(Flows!$M$2:$M$1500,$A61&amp;"|"&amp;M$1&amp;"|Output"),"OUT",""))</f>
        <v/>
      </c>
      <c r="N61" s="33" t="str">
        <f aca="false">IF(COUNTIF(Flows!$M$2:$M$1500,$A61&amp;"|"&amp;N$1&amp;"|Input"),IF(COUNTIF(Flows!$M$2:$M$1500,$A61&amp;"|"&amp;N$1&amp;"|Output"),"I/O","IN"),IF(COUNTIF(Flows!$M$2:$M$1500,$A61&amp;"|"&amp;N$1&amp;"|Output"),"OUT",""))</f>
        <v/>
      </c>
      <c r="O61" s="33" t="str">
        <f aca="false">IF(COUNTIF(Flows!$M$2:$M$1500,$A61&amp;"|"&amp;O$1&amp;"|Input"),IF(COUNTIF(Flows!$M$2:$M$1500,$A61&amp;"|"&amp;O$1&amp;"|Output"),"I/O","IN"),IF(COUNTIF(Flows!$M$2:$M$1500,$A61&amp;"|"&amp;O$1&amp;"|Output"),"OUT",""))</f>
        <v/>
      </c>
      <c r="P61" s="33" t="str">
        <f aca="false">IF(COUNTIF(Flows!$M$2:$M$1500,$A61&amp;"|"&amp;P$1&amp;"|Input"),IF(COUNTIF(Flows!$M$2:$M$1500,$A61&amp;"|"&amp;P$1&amp;"|Output"),"I/O","IN"),IF(COUNTIF(Flows!$M$2:$M$1500,$A61&amp;"|"&amp;P$1&amp;"|Output"),"OUT",""))</f>
        <v/>
      </c>
      <c r="Q61" s="33" t="str">
        <f aca="false">IF(COUNTIF(Flows!$M$2:$M$1500,$A61&amp;"|"&amp;Q$1&amp;"|Input"),IF(COUNTIF(Flows!$M$2:$M$1500,$A61&amp;"|"&amp;Q$1&amp;"|Output"),"I/O","IN"),IF(COUNTIF(Flows!$M$2:$M$1500,$A61&amp;"|"&amp;Q$1&amp;"|Output"),"OUT",""))</f>
        <v/>
      </c>
      <c r="R61" s="33" t="str">
        <f aca="false">IF(COUNTIF(Flows!$M$2:$M$1500,$A61&amp;"|"&amp;R$1&amp;"|Input"),IF(COUNTIF(Flows!$M$2:$M$1500,$A61&amp;"|"&amp;R$1&amp;"|Output"),"I/O","IN"),IF(COUNTIF(Flows!$M$2:$M$1500,$A61&amp;"|"&amp;R$1&amp;"|Output"),"OUT",""))</f>
        <v>OUT</v>
      </c>
      <c r="S61" s="33" t="str">
        <f aca="false">IF(COUNTIF(Flows!$M$2:$M$1500,$A61&amp;"|"&amp;S$1&amp;"|Input"),IF(COUNTIF(Flows!$M$2:$M$1500,$A61&amp;"|"&amp;S$1&amp;"|Output"),"I/O","IN"),IF(COUNTIF(Flows!$M$2:$M$1500,$A61&amp;"|"&amp;S$1&amp;"|Output"),"OUT",""))</f>
        <v/>
      </c>
      <c r="T61" s="33" t="str">
        <f aca="false">IF(COUNTIF(Flows!$M$2:$M$1500,$A61&amp;"|"&amp;T$1&amp;"|Input"),IF(COUNTIF(Flows!$M$2:$M$1500,$A61&amp;"|"&amp;T$1&amp;"|Output"),"I/O","IN"),IF(COUNTIF(Flows!$M$2:$M$1500,$A61&amp;"|"&amp;T$1&amp;"|Output"),"OUT",""))</f>
        <v/>
      </c>
      <c r="U61" s="33" t="str">
        <f aca="false">IF(COUNTIF(Flows!$M$2:$M$1500,$A61&amp;"|"&amp;U$1&amp;"|Input"),IF(COUNTIF(Flows!$M$2:$M$1500,$A61&amp;"|"&amp;U$1&amp;"|Output"),"I/O","IN"),IF(COUNTIF(Flows!$M$2:$M$1500,$A61&amp;"|"&amp;U$1&amp;"|Output"),"OUT",""))</f>
        <v>OUT</v>
      </c>
      <c r="V61" s="33" t="str">
        <f aca="false">IF(COUNTIF(Flows!$M$2:$M$1500,$A61&amp;"|"&amp;V$1&amp;"|Input"),IF(COUNTIF(Flows!$M$2:$M$1500,$A61&amp;"|"&amp;V$1&amp;"|Output"),"I/O","IN"),IF(COUNTIF(Flows!$M$2:$M$1500,$A61&amp;"|"&amp;V$1&amp;"|Output"),"OUT",""))</f>
        <v/>
      </c>
      <c r="W61" s="33" t="str">
        <f aca="false">IF(COUNTIF(Flows!$M$2:$M$1500,$A61&amp;"|"&amp;W$1&amp;"|Input"),IF(COUNTIF(Flows!$M$2:$M$1500,$A61&amp;"|"&amp;W$1&amp;"|Output"),"I/O","IN"),IF(COUNTIF(Flows!$M$2:$M$1500,$A61&amp;"|"&amp;W$1&amp;"|Output"),"OUT",""))</f>
        <v/>
      </c>
      <c r="X61" s="33" t="str">
        <f aca="false">IF(COUNTIF(Flows!$M$2:$M$1500,$A61&amp;"|"&amp;X$1&amp;"|Input"),IF(COUNTIF(Flows!$M$2:$M$1500,$A61&amp;"|"&amp;X$1&amp;"|Output"),"I/O","IN"),IF(COUNTIF(Flows!$M$2:$M$1500,$A61&amp;"|"&amp;X$1&amp;"|Output"),"OUT",""))</f>
        <v>IN</v>
      </c>
      <c r="Y61" s="33" t="str">
        <f aca="false">IF(COUNTIF(Flows!$M$2:$M$1500,$A61&amp;"|"&amp;Y$1&amp;"|Input"),IF(COUNTIF(Flows!$M$2:$M$1500,$A61&amp;"|"&amp;Y$1&amp;"|Output"),"I/O","IN"),IF(COUNTIF(Flows!$M$2:$M$1500,$A61&amp;"|"&amp;Y$1&amp;"|Output"),"OUT",""))</f>
        <v/>
      </c>
      <c r="Z61" s="33" t="str">
        <f aca="false">IF(COUNTIF(Flows!$M$2:$M$1500,$A61&amp;"|"&amp;Z$1&amp;"|Input"),IF(COUNTIF(Flows!$M$2:$M$1500,$A61&amp;"|"&amp;Z$1&amp;"|Output"),"I/O","IN"),IF(COUNTIF(Flows!$M$2:$M$1500,$A61&amp;"|"&amp;Z$1&amp;"|Output"),"OUT",""))</f>
        <v/>
      </c>
      <c r="AA61" s="33" t="str">
        <f aca="false">IF(COUNTIF(Flows!$M$2:$M$1500,$A61&amp;"|"&amp;AA$1&amp;"|Input"),IF(COUNTIF(Flows!$M$2:$M$1500,$A61&amp;"|"&amp;AA$1&amp;"|Output"),"I/O","IN"),IF(COUNTIF(Flows!$M$2:$M$1500,$A61&amp;"|"&amp;AA$1&amp;"|Output"),"OUT",""))</f>
        <v/>
      </c>
      <c r="AB61" s="33" t="str">
        <f aca="false">IF(COUNTIF(Flows!$M$2:$M$1500,$A61&amp;"|"&amp;AB$1&amp;"|Input"),IF(COUNTIF(Flows!$M$2:$M$1500,$A61&amp;"|"&amp;AB$1&amp;"|Output"),"I/O","IN"),IF(COUNTIF(Flows!$M$2:$M$1500,$A61&amp;"|"&amp;AB$1&amp;"|Output"),"OUT",""))</f>
        <v/>
      </c>
      <c r="AC61" s="33" t="str">
        <f aca="false">IF(COUNTIF(Flows!$M$2:$M$1500,$A61&amp;"|"&amp;AC$1&amp;"|Input"),IF(COUNTIF(Flows!$M$2:$M$1500,$A61&amp;"|"&amp;AC$1&amp;"|Output"),"I/O","IN"),IF(COUNTIF(Flows!$M$2:$M$1500,$A61&amp;"|"&amp;AC$1&amp;"|Output"),"OUT",""))</f>
        <v/>
      </c>
      <c r="AD61" s="33" t="str">
        <f aca="false">IF(COUNTIF(Flows!$M$2:$M$1500,$A61&amp;"|"&amp;AD$1&amp;"|Input"),IF(COUNTIF(Flows!$M$2:$M$1500,$A61&amp;"|"&amp;AD$1&amp;"|Output"),"I/O","IN"),IF(COUNTIF(Flows!$M$2:$M$1500,$A61&amp;"|"&amp;AD$1&amp;"|Output"),"OUT",""))</f>
        <v/>
      </c>
      <c r="AE61" s="33" t="str">
        <f aca="false">IF(COUNTIF(Flows!$M$2:$M$1500,$A61&amp;"|"&amp;AE$1&amp;"|Input"),IF(COUNTIF(Flows!$M$2:$M$1500,$A61&amp;"|"&amp;AE$1&amp;"|Output"),"I/O","IN"),IF(COUNTIF(Flows!$M$2:$M$1500,$A61&amp;"|"&amp;AE$1&amp;"|Output"),"OUT",""))</f>
        <v/>
      </c>
      <c r="AF61" s="33" t="str">
        <f aca="false">IF(COUNTIF(Flows!$M$2:$M$1500,$A61&amp;"|"&amp;AF$1&amp;"|Input"),IF(COUNTIF(Flows!$M$2:$M$1500,$A61&amp;"|"&amp;AF$1&amp;"|Output"),"I/O","IN"),IF(COUNTIF(Flows!$M$2:$M$1500,$A61&amp;"|"&amp;AF$1&amp;"|Output"),"OUT",""))</f>
        <v/>
      </c>
      <c r="AG61" s="33" t="str">
        <f aca="false">IF(COUNTIF(Flows!$M$2:$M$1500,$A61&amp;"|"&amp;AG$1&amp;"|Input"),IF(COUNTIF(Flows!$M$2:$M$1500,$A61&amp;"|"&amp;AG$1&amp;"|Output"),"I/O","IN"),IF(COUNTIF(Flows!$M$2:$M$1500,$A61&amp;"|"&amp;AG$1&amp;"|Output"),"OUT",""))</f>
        <v/>
      </c>
      <c r="AH61" s="33" t="str">
        <f aca="false">IF(COUNTIF(Flows!$M$2:$M$1500,$A61&amp;"|"&amp;AH$1&amp;"|Input"),IF(COUNTIF(Flows!$M$2:$M$1500,$A61&amp;"|"&amp;AH$1&amp;"|Output"),"I/O","IN"),IF(COUNTIF(Flows!$M$2:$M$1500,$A61&amp;"|"&amp;AH$1&amp;"|Output"),"OUT",""))</f>
        <v/>
      </c>
      <c r="AI61" s="33" t="str">
        <f aca="false">IF(COUNTIF(Flows!$M$2:$M$1500,$A61&amp;"|"&amp;AI$1&amp;"|Input"),IF(COUNTIF(Flows!$M$2:$M$1500,$A61&amp;"|"&amp;AI$1&amp;"|Output"),"I/O","IN"),IF(COUNTIF(Flows!$M$2:$M$1500,$A61&amp;"|"&amp;AI$1&amp;"|Output"),"OUT",""))</f>
        <v/>
      </c>
      <c r="AJ61" s="33" t="str">
        <f aca="false">IF(COUNTIF(Flows!$M$2:$M$1500,$A61&amp;"|"&amp;AJ$1&amp;"|Input"),IF(COUNTIF(Flows!$M$2:$M$1500,$A61&amp;"|"&amp;AJ$1&amp;"|Output"),"I/O","IN"),IF(COUNTIF(Flows!$M$2:$M$1500,$A61&amp;"|"&amp;AJ$1&amp;"|Output"),"OUT",""))</f>
        <v/>
      </c>
      <c r="AK61" s="33" t="str">
        <f aca="false">IF(COUNTIF(Flows!$M$2:$M$1500,$A61&amp;"|"&amp;AK$1&amp;"|Input"),IF(COUNTIF(Flows!$M$2:$M$1500,$A61&amp;"|"&amp;AK$1&amp;"|Output"),"I/O","IN"),IF(COUNTIF(Flows!$M$2:$M$1500,$A61&amp;"|"&amp;AK$1&amp;"|Output"),"OUT",""))</f>
        <v/>
      </c>
      <c r="AL61" s="33" t="str">
        <f aca="false">IF(COUNTIF(Flows!$M$2:$M$1500,$A61&amp;"|"&amp;AL$1&amp;"|Input"),IF(COUNTIF(Flows!$M$2:$M$1500,$A61&amp;"|"&amp;AL$1&amp;"|Output"),"I/O","IN"),IF(COUNTIF(Flows!$M$2:$M$1500,$A61&amp;"|"&amp;AL$1&amp;"|Output"),"OUT",""))</f>
        <v/>
      </c>
      <c r="AM61" s="33" t="str">
        <f aca="false">IF(COUNTIF(Flows!$M$2:$M$1500,$A61&amp;"|"&amp;AM$1&amp;"|Input"),IF(COUNTIF(Flows!$M$2:$M$1500,$A61&amp;"|"&amp;AM$1&amp;"|Output"),"I/O","IN"),IF(COUNTIF(Flows!$M$2:$M$1500,$A61&amp;"|"&amp;AM$1&amp;"|Output"),"OUT",""))</f>
        <v/>
      </c>
      <c r="AN61" s="33" t="str">
        <f aca="false">IF(COUNTIF(Flows!$M$2:$M$1500,$A61&amp;"|"&amp;AN$1&amp;"|Input"),IF(COUNTIF(Flows!$M$2:$M$1500,$A61&amp;"|"&amp;AN$1&amp;"|Output"),"I/O","IN"),IF(COUNTIF(Flows!$M$2:$M$1500,$A61&amp;"|"&amp;AN$1&amp;"|Output"),"OUT",""))</f>
        <v/>
      </c>
      <c r="AO61" s="33" t="str">
        <f aca="false">IF(COUNTIF(Flows!$M$2:$M$1500,$A61&amp;"|"&amp;AO$1&amp;"|Input"),IF(COUNTIF(Flows!$M$2:$M$1500,$A61&amp;"|"&amp;AO$1&amp;"|Output"),"I/O","IN"),IF(COUNTIF(Flows!$M$2:$M$1500,$A61&amp;"|"&amp;AO$1&amp;"|Output"),"OUT",""))</f>
        <v/>
      </c>
      <c r="AP61" s="33" t="str">
        <f aca="false">IF(COUNTIF(Flows!$M$2:$M$1500,$A61&amp;"|"&amp;AP$1&amp;"|Input"),IF(COUNTIF(Flows!$M$2:$M$1500,$A61&amp;"|"&amp;AP$1&amp;"|Output"),"I/O","IN"),IF(COUNTIF(Flows!$M$2:$M$1500,$A61&amp;"|"&amp;AP$1&amp;"|Output"),"OUT",""))</f>
        <v/>
      </c>
      <c r="AQ61" s="33" t="str">
        <f aca="false">IF(COUNTIF(Flows!$M$2:$M$1500,$A61&amp;"|"&amp;AQ$1&amp;"|Input"),IF(COUNTIF(Flows!$M$2:$M$1500,$A61&amp;"|"&amp;AQ$1&amp;"|Output"),"I/O","IN"),IF(COUNTIF(Flows!$M$2:$M$1500,$A61&amp;"|"&amp;AQ$1&amp;"|Output"),"OUT",""))</f>
        <v/>
      </c>
      <c r="AR61" s="33" t="str">
        <f aca="false">IF(COUNTIF(Flows!$M$2:$M$1500,$A61&amp;"|"&amp;AR$1&amp;"|Input"),IF(COUNTIF(Flows!$M$2:$M$1500,$A61&amp;"|"&amp;AR$1&amp;"|Output"),"I/O","IN"),IF(COUNTIF(Flows!$M$2:$M$1500,$A61&amp;"|"&amp;AR$1&amp;"|Output"),"OUT",""))</f>
        <v/>
      </c>
      <c r="AS61" s="33" t="str">
        <f aca="false">IF(COUNTIF(Flows!$M$2:$M$1500,$A61&amp;"|"&amp;AS$1&amp;"|Input"),IF(COUNTIF(Flows!$M$2:$M$1500,$A61&amp;"|"&amp;AS$1&amp;"|Output"),"I/O","IN"),IF(COUNTIF(Flows!$M$2:$M$1500,$A61&amp;"|"&amp;AS$1&amp;"|Output"),"OUT",""))</f>
        <v/>
      </c>
      <c r="AT61" s="33" t="str">
        <f aca="false">IF(COUNTIF(Flows!$M$2:$M$1500,$A61&amp;"|"&amp;AT$1&amp;"|Input"),IF(COUNTIF(Flows!$M$2:$M$1500,$A61&amp;"|"&amp;AT$1&amp;"|Output"),"I/O","IN"),IF(COUNTIF(Flows!$M$2:$M$1500,$A61&amp;"|"&amp;AT$1&amp;"|Output"),"OUT",""))</f>
        <v>IN</v>
      </c>
      <c r="AU61" s="33" t="str">
        <f aca="false">IF(COUNTIF(Flows!$M$2:$M$1500,$A61&amp;"|"&amp;AU$1&amp;"|Input"),IF(COUNTIF(Flows!$M$2:$M$1500,$A61&amp;"|"&amp;AU$1&amp;"|Output"),"I/O","IN"),IF(COUNTIF(Flows!$M$2:$M$1500,$A61&amp;"|"&amp;AU$1&amp;"|Output"),"OUT",""))</f>
        <v>OUT</v>
      </c>
      <c r="AV61" s="33" t="str">
        <f aca="false">IF(COUNTIF(Flows!$M$2:$M$1500,$A61&amp;"|"&amp;AV$1&amp;"|Input"),IF(COUNTIF(Flows!$M$2:$M$1500,$A61&amp;"|"&amp;AV$1&amp;"|Output"),"I/O","IN"),IF(COUNTIF(Flows!$M$2:$M$1500,$A61&amp;"|"&amp;AV$1&amp;"|Output"),"OUT",""))</f>
        <v/>
      </c>
      <c r="AW61" s="33" t="str">
        <f aca="false">IF(COUNTIF(Flows!$M$2:$M$1500,$A61&amp;"|"&amp;AW$1&amp;"|Input"),IF(COUNTIF(Flows!$M$2:$M$1500,$A61&amp;"|"&amp;AW$1&amp;"|Output"),"I/O","IN"),IF(COUNTIF(Flows!$M$2:$M$1500,$A61&amp;"|"&amp;AW$1&amp;"|Output"),"OUT",""))</f>
        <v>IN</v>
      </c>
      <c r="AX61" s="33" t="str">
        <f aca="false">IF(COUNTIF(Flows!$M$2:$M$1500,$A61&amp;"|"&amp;AX$1&amp;"|Input"),IF(COUNTIF(Flows!$M$2:$M$1500,$A61&amp;"|"&amp;AX$1&amp;"|Output"),"I/O","IN"),IF(COUNTIF(Flows!$M$2:$M$1500,$A61&amp;"|"&amp;AX$1&amp;"|Output"),"OUT",""))</f>
        <v>IN</v>
      </c>
      <c r="AY61" s="33" t="str">
        <f aca="false">IF(COUNTIF(Flows!$M$2:$M$1500,$A61&amp;"|"&amp;AY$1&amp;"|Input"),IF(COUNTIF(Flows!$M$2:$M$1500,$A61&amp;"|"&amp;AY$1&amp;"|Output"),"I/O","IN"),IF(COUNTIF(Flows!$M$2:$M$1500,$A61&amp;"|"&amp;AY$1&amp;"|Output"),"OUT",""))</f>
        <v/>
      </c>
      <c r="AZ61" s="33" t="str">
        <f aca="false">IF(COUNTIF(Flows!$M$2:$M$1500,$A61&amp;"|"&amp;AZ$1&amp;"|Input"),IF(COUNTIF(Flows!$M$2:$M$1500,$A61&amp;"|"&amp;AZ$1&amp;"|Output"),"I/O","IN"),IF(COUNTIF(Flows!$M$2:$M$1500,$A61&amp;"|"&amp;AZ$1&amp;"|Output"),"OUT",""))</f>
        <v/>
      </c>
      <c r="BA61" s="33" t="str">
        <f aca="false">IF(COUNTIF(Flows!$M$2:$M$1500,$A61&amp;"|"&amp;BA$1&amp;"|Input"),IF(COUNTIF(Flows!$M$2:$M$1500,$A61&amp;"|"&amp;BA$1&amp;"|Output"),"I/O","IN"),IF(COUNTIF(Flows!$M$2:$M$1500,$A61&amp;"|"&amp;BA$1&amp;"|Output"),"OUT",""))</f>
        <v/>
      </c>
      <c r="BB61" s="33" t="str">
        <f aca="false">IF(COUNTIF(Flows!$M$2:$M$1500,$A61&amp;"|"&amp;BB$1&amp;"|Input"),IF(COUNTIF(Flows!$M$2:$M$1500,$A61&amp;"|"&amp;BB$1&amp;"|Output"),"I/O","IN"),IF(COUNTIF(Flows!$M$2:$M$1500,$A61&amp;"|"&amp;BB$1&amp;"|Output"),"OUT",""))</f>
        <v/>
      </c>
      <c r="BC61" s="33" t="str">
        <f aca="false">IF(COUNTIF(Flows!$M$2:$M$1500,$A61&amp;"|"&amp;BC$1&amp;"|Input"),IF(COUNTIF(Flows!$M$2:$M$1500,$A61&amp;"|"&amp;BC$1&amp;"|Output"),"I/O","IN"),IF(COUNTIF(Flows!$M$2:$M$1500,$A61&amp;"|"&amp;BC$1&amp;"|Output"),"OUT",""))</f>
        <v/>
      </c>
      <c r="BD61" s="33" t="str">
        <f aca="false">IF(COUNTIF(Flows!$M$2:$M$1500,$A61&amp;"|"&amp;BD$1&amp;"|Input"),IF(COUNTIF(Flows!$M$2:$M$1500,$A61&amp;"|"&amp;BD$1&amp;"|Output"),"I/O","IN"),IF(COUNTIF(Flows!$M$2:$M$1500,$A61&amp;"|"&amp;BD$1&amp;"|Output"),"OUT",""))</f>
        <v/>
      </c>
      <c r="BE61" s="33" t="str">
        <f aca="false">IF(COUNTIF(Flows!$M$2:$M$1500,$A61&amp;"|"&amp;BE$1&amp;"|Input"),IF(COUNTIF(Flows!$M$2:$M$1500,$A61&amp;"|"&amp;BE$1&amp;"|Output"),"I/O","IN"),IF(COUNTIF(Flows!$M$2:$M$1500,$A61&amp;"|"&amp;BE$1&amp;"|Output"),"OUT",""))</f>
        <v/>
      </c>
      <c r="BF61" s="33" t="str">
        <f aca="false">IF(COUNTIF(Flows!$M$2:$M$1500,$A61&amp;"|"&amp;BF$1&amp;"|Input"),IF(COUNTIF(Flows!$M$2:$M$1500,$A61&amp;"|"&amp;BF$1&amp;"|Output"),"I/O","IN"),IF(COUNTIF(Flows!$M$2:$M$1500,$A61&amp;"|"&amp;BF$1&amp;"|Output"),"OUT",""))</f>
        <v/>
      </c>
      <c r="BG61" s="33" t="str">
        <f aca="false">IF(COUNTIF(Flows!$M$2:$M$1500,$A61&amp;"|"&amp;BG$1&amp;"|Input"),IF(COUNTIF(Flows!$M$2:$M$1500,$A61&amp;"|"&amp;BG$1&amp;"|Output"),"I/O","IN"),IF(COUNTIF(Flows!$M$2:$M$1500,$A61&amp;"|"&amp;BG$1&amp;"|Output"),"OUT",""))</f>
        <v/>
      </c>
      <c r="BH61" s="33" t="str">
        <f aca="false">IF(COUNTIF(Flows!$M$2:$M$1500,$A61&amp;"|"&amp;BH$1&amp;"|Input"),IF(COUNTIF(Flows!$M$2:$M$1500,$A61&amp;"|"&amp;BH$1&amp;"|Output"),"I/O","IN"),IF(COUNTIF(Flows!$M$2:$M$1500,$A61&amp;"|"&amp;BH$1&amp;"|Output"),"OUT",""))</f>
        <v/>
      </c>
      <c r="BI61" s="33" t="str">
        <f aca="false">IF(COUNTIF(Flows!$M$2:$M$1500,$A61&amp;"|"&amp;BI$1&amp;"|Input"),IF(COUNTIF(Flows!$M$2:$M$1500,$A61&amp;"|"&amp;BI$1&amp;"|Output"),"I/O","IN"),IF(COUNTIF(Flows!$M$2:$M$1500,$A61&amp;"|"&amp;BI$1&amp;"|Output"),"OUT",""))</f>
        <v/>
      </c>
      <c r="BJ61" s="33" t="str">
        <f aca="false">IF(COUNTIF(Flows!$M$2:$M$1500,$A61&amp;"|"&amp;BJ$1&amp;"|Input"),IF(COUNTIF(Flows!$M$2:$M$1500,$A61&amp;"|"&amp;BJ$1&amp;"|Output"),"I/O","IN"),IF(COUNTIF(Flows!$M$2:$M$1500,$A61&amp;"|"&amp;BJ$1&amp;"|Output"),"OUT",""))</f>
        <v/>
      </c>
      <c r="BK61" s="33" t="str">
        <f aca="false">IF(COUNTIF(Flows!$M$2:$M$1500,$A61&amp;"|"&amp;BK$1&amp;"|Input"),IF(COUNTIF(Flows!$M$2:$M$1500,$A61&amp;"|"&amp;BK$1&amp;"|Output"),"I/O","IN"),IF(COUNTIF(Flows!$M$2:$M$1500,$A61&amp;"|"&amp;BK$1&amp;"|Output"),"OUT",""))</f>
        <v/>
      </c>
    </row>
    <row r="62" customFormat="false" ht="15" hidden="false" customHeight="true" outlineLevel="0" collapsed="false">
      <c r="A62" s="6" t="str">
        <f aca="false">Systems!B62</f>
        <v>GoSun Cooler</v>
      </c>
      <c r="B62" s="33" t="str">
        <f aca="false">IF(COUNTIF(Flows!$M$2:$M$1500,$A62&amp;"|"&amp;B$1&amp;"|Input"),IF(COUNTIF(Flows!$M$2:$M$1500,$A62&amp;"|"&amp;B$1&amp;"|Output"),"I/O","IN"),IF(COUNTIF(Flows!$M$2:$M$1500,$A62&amp;"|"&amp;B$1&amp;"|Output"),"OUT",""))</f>
        <v/>
      </c>
      <c r="C62" s="33" t="str">
        <f aca="false">IF(COUNTIF(Flows!$M$2:$M$1500,$A62&amp;"|"&amp;C$1&amp;"|Input"),IF(COUNTIF(Flows!$M$2:$M$1500,$A62&amp;"|"&amp;C$1&amp;"|Output"),"I/O","IN"),IF(COUNTIF(Flows!$M$2:$M$1500,$A62&amp;"|"&amp;C$1&amp;"|Output"),"OUT",""))</f>
        <v/>
      </c>
      <c r="D62" s="33" t="str">
        <f aca="false">IF(COUNTIF(Flows!$M$2:$M$1500,$A62&amp;"|"&amp;D$1&amp;"|Input"),IF(COUNTIF(Flows!$M$2:$M$1500,$A62&amp;"|"&amp;D$1&amp;"|Output"),"I/O","IN"),IF(COUNTIF(Flows!$M$2:$M$1500,$A62&amp;"|"&amp;D$1&amp;"|Output"),"OUT",""))</f>
        <v/>
      </c>
      <c r="E62" s="33" t="str">
        <f aca="false">IF(COUNTIF(Flows!$M$2:$M$1500,$A62&amp;"|"&amp;E$1&amp;"|Input"),IF(COUNTIF(Flows!$M$2:$M$1500,$A62&amp;"|"&amp;E$1&amp;"|Output"),"I/O","IN"),IF(COUNTIF(Flows!$M$2:$M$1500,$A62&amp;"|"&amp;E$1&amp;"|Output"),"OUT",""))</f>
        <v/>
      </c>
      <c r="F62" s="33" t="str">
        <f aca="false">IF(COUNTIF(Flows!$M$2:$M$1500,$A62&amp;"|"&amp;F$1&amp;"|Input"),IF(COUNTIF(Flows!$M$2:$M$1500,$A62&amp;"|"&amp;F$1&amp;"|Output"),"I/O","IN"),IF(COUNTIF(Flows!$M$2:$M$1500,$A62&amp;"|"&amp;F$1&amp;"|Output"),"OUT",""))</f>
        <v/>
      </c>
      <c r="G62" s="33" t="str">
        <f aca="false">IF(COUNTIF(Flows!$M$2:$M$1500,$A62&amp;"|"&amp;G$1&amp;"|Input"),IF(COUNTIF(Flows!$M$2:$M$1500,$A62&amp;"|"&amp;G$1&amp;"|Output"),"I/O","IN"),IF(COUNTIF(Flows!$M$2:$M$1500,$A62&amp;"|"&amp;G$1&amp;"|Output"),"OUT",""))</f>
        <v/>
      </c>
      <c r="H62" s="33" t="str">
        <f aca="false">IF(COUNTIF(Flows!$M$2:$M$1500,$A62&amp;"|"&amp;H$1&amp;"|Input"),IF(COUNTIF(Flows!$M$2:$M$1500,$A62&amp;"|"&amp;H$1&amp;"|Output"),"I/O","IN"),IF(COUNTIF(Flows!$M$2:$M$1500,$A62&amp;"|"&amp;H$1&amp;"|Output"),"OUT",""))</f>
        <v/>
      </c>
      <c r="I62" s="33" t="str">
        <f aca="false">IF(COUNTIF(Flows!$M$2:$M$1500,$A62&amp;"|"&amp;I$1&amp;"|Input"),IF(COUNTIF(Flows!$M$2:$M$1500,$A62&amp;"|"&amp;I$1&amp;"|Output"),"I/O","IN"),IF(COUNTIF(Flows!$M$2:$M$1500,$A62&amp;"|"&amp;I$1&amp;"|Output"),"OUT",""))</f>
        <v/>
      </c>
      <c r="J62" s="33" t="str">
        <f aca="false">IF(COUNTIF(Flows!$M$2:$M$1500,$A62&amp;"|"&amp;J$1&amp;"|Input"),IF(COUNTIF(Flows!$M$2:$M$1500,$A62&amp;"|"&amp;J$1&amp;"|Output"),"I/O","IN"),IF(COUNTIF(Flows!$M$2:$M$1500,$A62&amp;"|"&amp;J$1&amp;"|Output"),"OUT",""))</f>
        <v/>
      </c>
      <c r="K62" s="33" t="str">
        <f aca="false">IF(COUNTIF(Flows!$M$2:$M$1500,$A62&amp;"|"&amp;K$1&amp;"|Input"),IF(COUNTIF(Flows!$M$2:$M$1500,$A62&amp;"|"&amp;K$1&amp;"|Output"),"I/O","IN"),IF(COUNTIF(Flows!$M$2:$M$1500,$A62&amp;"|"&amp;K$1&amp;"|Output"),"OUT",""))</f>
        <v/>
      </c>
      <c r="L62" s="33" t="str">
        <f aca="false">IF(COUNTIF(Flows!$M$2:$M$1500,$A62&amp;"|"&amp;L$1&amp;"|Input"),IF(COUNTIF(Flows!$M$2:$M$1500,$A62&amp;"|"&amp;L$1&amp;"|Output"),"I/O","IN"),IF(COUNTIF(Flows!$M$2:$M$1500,$A62&amp;"|"&amp;L$1&amp;"|Output"),"OUT",""))</f>
        <v/>
      </c>
      <c r="M62" s="33" t="str">
        <f aca="false">IF(COUNTIF(Flows!$M$2:$M$1500,$A62&amp;"|"&amp;M$1&amp;"|Input"),IF(COUNTIF(Flows!$M$2:$M$1500,$A62&amp;"|"&amp;M$1&amp;"|Output"),"I/O","IN"),IF(COUNTIF(Flows!$M$2:$M$1500,$A62&amp;"|"&amp;M$1&amp;"|Output"),"OUT",""))</f>
        <v/>
      </c>
      <c r="N62" s="33" t="str">
        <f aca="false">IF(COUNTIF(Flows!$M$2:$M$1500,$A62&amp;"|"&amp;N$1&amp;"|Input"),IF(COUNTIF(Flows!$M$2:$M$1500,$A62&amp;"|"&amp;N$1&amp;"|Output"),"I/O","IN"),IF(COUNTIF(Flows!$M$2:$M$1500,$A62&amp;"|"&amp;N$1&amp;"|Output"),"OUT",""))</f>
        <v/>
      </c>
      <c r="O62" s="33" t="str">
        <f aca="false">IF(COUNTIF(Flows!$M$2:$M$1500,$A62&amp;"|"&amp;O$1&amp;"|Input"),IF(COUNTIF(Flows!$M$2:$M$1500,$A62&amp;"|"&amp;O$1&amp;"|Output"),"I/O","IN"),IF(COUNTIF(Flows!$M$2:$M$1500,$A62&amp;"|"&amp;O$1&amp;"|Output"),"OUT",""))</f>
        <v/>
      </c>
      <c r="P62" s="33" t="str">
        <f aca="false">IF(COUNTIF(Flows!$M$2:$M$1500,$A62&amp;"|"&amp;P$1&amp;"|Input"),IF(COUNTIF(Flows!$M$2:$M$1500,$A62&amp;"|"&amp;P$1&amp;"|Output"),"I/O","IN"),IF(COUNTIF(Flows!$M$2:$M$1500,$A62&amp;"|"&amp;P$1&amp;"|Output"),"OUT",""))</f>
        <v/>
      </c>
      <c r="Q62" s="33" t="str">
        <f aca="false">IF(COUNTIF(Flows!$M$2:$M$1500,$A62&amp;"|"&amp;Q$1&amp;"|Input"),IF(COUNTIF(Flows!$M$2:$M$1500,$A62&amp;"|"&amp;Q$1&amp;"|Output"),"I/O","IN"),IF(COUNTIF(Flows!$M$2:$M$1500,$A62&amp;"|"&amp;Q$1&amp;"|Output"),"OUT",""))</f>
        <v/>
      </c>
      <c r="R62" s="33" t="str">
        <f aca="false">IF(COUNTIF(Flows!$M$2:$M$1500,$A62&amp;"|"&amp;R$1&amp;"|Input"),IF(COUNTIF(Flows!$M$2:$M$1500,$A62&amp;"|"&amp;R$1&amp;"|Output"),"I/O","IN"),IF(COUNTIF(Flows!$M$2:$M$1500,$A62&amp;"|"&amp;R$1&amp;"|Output"),"OUT",""))</f>
        <v/>
      </c>
      <c r="S62" s="33" t="str">
        <f aca="false">IF(COUNTIF(Flows!$M$2:$M$1500,$A62&amp;"|"&amp;S$1&amp;"|Input"),IF(COUNTIF(Flows!$M$2:$M$1500,$A62&amp;"|"&amp;S$1&amp;"|Output"),"I/O","IN"),IF(COUNTIF(Flows!$M$2:$M$1500,$A62&amp;"|"&amp;S$1&amp;"|Output"),"OUT",""))</f>
        <v>IN</v>
      </c>
      <c r="T62" s="33" t="str">
        <f aca="false">IF(COUNTIF(Flows!$M$2:$M$1500,$A62&amp;"|"&amp;T$1&amp;"|Input"),IF(COUNTIF(Flows!$M$2:$M$1500,$A62&amp;"|"&amp;T$1&amp;"|Output"),"I/O","IN"),IF(COUNTIF(Flows!$M$2:$M$1500,$A62&amp;"|"&amp;T$1&amp;"|Output"),"OUT",""))</f>
        <v/>
      </c>
      <c r="U62" s="33" t="str">
        <f aca="false">IF(COUNTIF(Flows!$M$2:$M$1500,$A62&amp;"|"&amp;U$1&amp;"|Input"),IF(COUNTIF(Flows!$M$2:$M$1500,$A62&amp;"|"&amp;U$1&amp;"|Output"),"I/O","IN"),IF(COUNTIF(Flows!$M$2:$M$1500,$A62&amp;"|"&amp;U$1&amp;"|Output"),"OUT",""))</f>
        <v/>
      </c>
      <c r="V62" s="33" t="str">
        <f aca="false">IF(COUNTIF(Flows!$M$2:$M$1500,$A62&amp;"|"&amp;V$1&amp;"|Input"),IF(COUNTIF(Flows!$M$2:$M$1500,$A62&amp;"|"&amp;V$1&amp;"|Output"),"I/O","IN"),IF(COUNTIF(Flows!$M$2:$M$1500,$A62&amp;"|"&amp;V$1&amp;"|Output"),"OUT",""))</f>
        <v/>
      </c>
      <c r="W62" s="33" t="str">
        <f aca="false">IF(COUNTIF(Flows!$M$2:$M$1500,$A62&amp;"|"&amp;W$1&amp;"|Input"),IF(COUNTIF(Flows!$M$2:$M$1500,$A62&amp;"|"&amp;W$1&amp;"|Output"),"I/O","IN"),IF(COUNTIF(Flows!$M$2:$M$1500,$A62&amp;"|"&amp;W$1&amp;"|Output"),"OUT",""))</f>
        <v/>
      </c>
      <c r="X62" s="33" t="str">
        <f aca="false">IF(COUNTIF(Flows!$M$2:$M$1500,$A62&amp;"|"&amp;X$1&amp;"|Input"),IF(COUNTIF(Flows!$M$2:$M$1500,$A62&amp;"|"&amp;X$1&amp;"|Output"),"I/O","IN"),IF(COUNTIF(Flows!$M$2:$M$1500,$A62&amp;"|"&amp;X$1&amp;"|Output"),"OUT",""))</f>
        <v>IN</v>
      </c>
      <c r="Y62" s="33" t="str">
        <f aca="false">IF(COUNTIF(Flows!$M$2:$M$1500,$A62&amp;"|"&amp;Y$1&amp;"|Input"),IF(COUNTIF(Flows!$M$2:$M$1500,$A62&amp;"|"&amp;Y$1&amp;"|Output"),"I/O","IN"),IF(COUNTIF(Flows!$M$2:$M$1500,$A62&amp;"|"&amp;Y$1&amp;"|Output"),"OUT",""))</f>
        <v/>
      </c>
      <c r="Z62" s="33" t="str">
        <f aca="false">IF(COUNTIF(Flows!$M$2:$M$1500,$A62&amp;"|"&amp;Z$1&amp;"|Input"),IF(COUNTIF(Flows!$M$2:$M$1500,$A62&amp;"|"&amp;Z$1&amp;"|Output"),"I/O","IN"),IF(COUNTIF(Flows!$M$2:$M$1500,$A62&amp;"|"&amp;Z$1&amp;"|Output"),"OUT",""))</f>
        <v/>
      </c>
      <c r="AA62" s="33" t="str">
        <f aca="false">IF(COUNTIF(Flows!$M$2:$M$1500,$A62&amp;"|"&amp;AA$1&amp;"|Input"),IF(COUNTIF(Flows!$M$2:$M$1500,$A62&amp;"|"&amp;AA$1&amp;"|Output"),"I/O","IN"),IF(COUNTIF(Flows!$M$2:$M$1500,$A62&amp;"|"&amp;AA$1&amp;"|Output"),"OUT",""))</f>
        <v/>
      </c>
      <c r="AB62" s="33" t="str">
        <f aca="false">IF(COUNTIF(Flows!$M$2:$M$1500,$A62&amp;"|"&amp;AB$1&amp;"|Input"),IF(COUNTIF(Flows!$M$2:$M$1500,$A62&amp;"|"&amp;AB$1&amp;"|Output"),"I/O","IN"),IF(COUNTIF(Flows!$M$2:$M$1500,$A62&amp;"|"&amp;AB$1&amp;"|Output"),"OUT",""))</f>
        <v/>
      </c>
      <c r="AC62" s="33" t="str">
        <f aca="false">IF(COUNTIF(Flows!$M$2:$M$1500,$A62&amp;"|"&amp;AC$1&amp;"|Input"),IF(COUNTIF(Flows!$M$2:$M$1500,$A62&amp;"|"&amp;AC$1&amp;"|Output"),"I/O","IN"),IF(COUNTIF(Flows!$M$2:$M$1500,$A62&amp;"|"&amp;AC$1&amp;"|Output"),"OUT",""))</f>
        <v/>
      </c>
      <c r="AD62" s="33" t="str">
        <f aca="false">IF(COUNTIF(Flows!$M$2:$M$1500,$A62&amp;"|"&amp;AD$1&amp;"|Input"),IF(COUNTIF(Flows!$M$2:$M$1500,$A62&amp;"|"&amp;AD$1&amp;"|Output"),"I/O","IN"),IF(COUNTIF(Flows!$M$2:$M$1500,$A62&amp;"|"&amp;AD$1&amp;"|Output"),"OUT",""))</f>
        <v/>
      </c>
      <c r="AE62" s="33" t="str">
        <f aca="false">IF(COUNTIF(Flows!$M$2:$M$1500,$A62&amp;"|"&amp;AE$1&amp;"|Input"),IF(COUNTIF(Flows!$M$2:$M$1500,$A62&amp;"|"&amp;AE$1&amp;"|Output"),"I/O","IN"),IF(COUNTIF(Flows!$M$2:$M$1500,$A62&amp;"|"&amp;AE$1&amp;"|Output"),"OUT",""))</f>
        <v/>
      </c>
      <c r="AF62" s="33" t="str">
        <f aca="false">IF(COUNTIF(Flows!$M$2:$M$1500,$A62&amp;"|"&amp;AF$1&amp;"|Input"),IF(COUNTIF(Flows!$M$2:$M$1500,$A62&amp;"|"&amp;AF$1&amp;"|Output"),"I/O","IN"),IF(COUNTIF(Flows!$M$2:$M$1500,$A62&amp;"|"&amp;AF$1&amp;"|Output"),"OUT",""))</f>
        <v/>
      </c>
      <c r="AG62" s="33" t="str">
        <f aca="false">IF(COUNTIF(Flows!$M$2:$M$1500,$A62&amp;"|"&amp;AG$1&amp;"|Input"),IF(COUNTIF(Flows!$M$2:$M$1500,$A62&amp;"|"&amp;AG$1&amp;"|Output"),"I/O","IN"),IF(COUNTIF(Flows!$M$2:$M$1500,$A62&amp;"|"&amp;AG$1&amp;"|Output"),"OUT",""))</f>
        <v>OUT</v>
      </c>
      <c r="AH62" s="33" t="str">
        <f aca="false">IF(COUNTIF(Flows!$M$2:$M$1500,$A62&amp;"|"&amp;AH$1&amp;"|Input"),IF(COUNTIF(Flows!$M$2:$M$1500,$A62&amp;"|"&amp;AH$1&amp;"|Output"),"I/O","IN"),IF(COUNTIF(Flows!$M$2:$M$1500,$A62&amp;"|"&amp;AH$1&amp;"|Output"),"OUT",""))</f>
        <v/>
      </c>
      <c r="AI62" s="33" t="str">
        <f aca="false">IF(COUNTIF(Flows!$M$2:$M$1500,$A62&amp;"|"&amp;AI$1&amp;"|Input"),IF(COUNTIF(Flows!$M$2:$M$1500,$A62&amp;"|"&amp;AI$1&amp;"|Output"),"I/O","IN"),IF(COUNTIF(Flows!$M$2:$M$1500,$A62&amp;"|"&amp;AI$1&amp;"|Output"),"OUT",""))</f>
        <v/>
      </c>
      <c r="AJ62" s="33" t="str">
        <f aca="false">IF(COUNTIF(Flows!$M$2:$M$1500,$A62&amp;"|"&amp;AJ$1&amp;"|Input"),IF(COUNTIF(Flows!$M$2:$M$1500,$A62&amp;"|"&amp;AJ$1&amp;"|Output"),"I/O","IN"),IF(COUNTIF(Flows!$M$2:$M$1500,$A62&amp;"|"&amp;AJ$1&amp;"|Output"),"OUT",""))</f>
        <v/>
      </c>
      <c r="AK62" s="33" t="str">
        <f aca="false">IF(COUNTIF(Flows!$M$2:$M$1500,$A62&amp;"|"&amp;AK$1&amp;"|Input"),IF(COUNTIF(Flows!$M$2:$M$1500,$A62&amp;"|"&amp;AK$1&amp;"|Output"),"I/O","IN"),IF(COUNTIF(Flows!$M$2:$M$1500,$A62&amp;"|"&amp;AK$1&amp;"|Output"),"OUT",""))</f>
        <v/>
      </c>
      <c r="AL62" s="33" t="str">
        <f aca="false">IF(COUNTIF(Flows!$M$2:$M$1500,$A62&amp;"|"&amp;AL$1&amp;"|Input"),IF(COUNTIF(Flows!$M$2:$M$1500,$A62&amp;"|"&amp;AL$1&amp;"|Output"),"I/O","IN"),IF(COUNTIF(Flows!$M$2:$M$1500,$A62&amp;"|"&amp;AL$1&amp;"|Output"),"OUT",""))</f>
        <v/>
      </c>
      <c r="AM62" s="33" t="str">
        <f aca="false">IF(COUNTIF(Flows!$M$2:$M$1500,$A62&amp;"|"&amp;AM$1&amp;"|Input"),IF(COUNTIF(Flows!$M$2:$M$1500,$A62&amp;"|"&amp;AM$1&amp;"|Output"),"I/O","IN"),IF(COUNTIF(Flows!$M$2:$M$1500,$A62&amp;"|"&amp;AM$1&amp;"|Output"),"OUT",""))</f>
        <v/>
      </c>
      <c r="AN62" s="33" t="str">
        <f aca="false">IF(COUNTIF(Flows!$M$2:$M$1500,$A62&amp;"|"&amp;AN$1&amp;"|Input"),IF(COUNTIF(Flows!$M$2:$M$1500,$A62&amp;"|"&amp;AN$1&amp;"|Output"),"I/O","IN"),IF(COUNTIF(Flows!$M$2:$M$1500,$A62&amp;"|"&amp;AN$1&amp;"|Output"),"OUT",""))</f>
        <v/>
      </c>
      <c r="AO62" s="33" t="str">
        <f aca="false">IF(COUNTIF(Flows!$M$2:$M$1500,$A62&amp;"|"&amp;AO$1&amp;"|Input"),IF(COUNTIF(Flows!$M$2:$M$1500,$A62&amp;"|"&amp;AO$1&amp;"|Output"),"I/O","IN"),IF(COUNTIF(Flows!$M$2:$M$1500,$A62&amp;"|"&amp;AO$1&amp;"|Output"),"OUT",""))</f>
        <v/>
      </c>
      <c r="AP62" s="33" t="str">
        <f aca="false">IF(COUNTIF(Flows!$M$2:$M$1500,$A62&amp;"|"&amp;AP$1&amp;"|Input"),IF(COUNTIF(Flows!$M$2:$M$1500,$A62&amp;"|"&amp;AP$1&amp;"|Output"),"I/O","IN"),IF(COUNTIF(Flows!$M$2:$M$1500,$A62&amp;"|"&amp;AP$1&amp;"|Output"),"OUT",""))</f>
        <v/>
      </c>
      <c r="AQ62" s="33" t="str">
        <f aca="false">IF(COUNTIF(Flows!$M$2:$M$1500,$A62&amp;"|"&amp;AQ$1&amp;"|Input"),IF(COUNTIF(Flows!$M$2:$M$1500,$A62&amp;"|"&amp;AQ$1&amp;"|Output"),"I/O","IN"),IF(COUNTIF(Flows!$M$2:$M$1500,$A62&amp;"|"&amp;AQ$1&amp;"|Output"),"OUT",""))</f>
        <v/>
      </c>
      <c r="AR62" s="33" t="str">
        <f aca="false">IF(COUNTIF(Flows!$M$2:$M$1500,$A62&amp;"|"&amp;AR$1&amp;"|Input"),IF(COUNTIF(Flows!$M$2:$M$1500,$A62&amp;"|"&amp;AR$1&amp;"|Output"),"I/O","IN"),IF(COUNTIF(Flows!$M$2:$M$1500,$A62&amp;"|"&amp;AR$1&amp;"|Output"),"OUT",""))</f>
        <v/>
      </c>
      <c r="AS62" s="33" t="str">
        <f aca="false">IF(COUNTIF(Flows!$M$2:$M$1500,$A62&amp;"|"&amp;AS$1&amp;"|Input"),IF(COUNTIF(Flows!$M$2:$M$1500,$A62&amp;"|"&amp;AS$1&amp;"|Output"),"I/O","IN"),IF(COUNTIF(Flows!$M$2:$M$1500,$A62&amp;"|"&amp;AS$1&amp;"|Output"),"OUT",""))</f>
        <v/>
      </c>
      <c r="AT62" s="33" t="str">
        <f aca="false">IF(COUNTIF(Flows!$M$2:$M$1500,$A62&amp;"|"&amp;AT$1&amp;"|Input"),IF(COUNTIF(Flows!$M$2:$M$1500,$A62&amp;"|"&amp;AT$1&amp;"|Output"),"I/O","IN"),IF(COUNTIF(Flows!$M$2:$M$1500,$A62&amp;"|"&amp;AT$1&amp;"|Output"),"OUT",""))</f>
        <v/>
      </c>
      <c r="AU62" s="33" t="str">
        <f aca="false">IF(COUNTIF(Flows!$M$2:$M$1500,$A62&amp;"|"&amp;AU$1&amp;"|Input"),IF(COUNTIF(Flows!$M$2:$M$1500,$A62&amp;"|"&amp;AU$1&amp;"|Output"),"I/O","IN"),IF(COUNTIF(Flows!$M$2:$M$1500,$A62&amp;"|"&amp;AU$1&amp;"|Output"),"OUT",""))</f>
        <v/>
      </c>
      <c r="AV62" s="33" t="str">
        <f aca="false">IF(COUNTIF(Flows!$M$2:$M$1500,$A62&amp;"|"&amp;AV$1&amp;"|Input"),IF(COUNTIF(Flows!$M$2:$M$1500,$A62&amp;"|"&amp;AV$1&amp;"|Output"),"I/O","IN"),IF(COUNTIF(Flows!$M$2:$M$1500,$A62&amp;"|"&amp;AV$1&amp;"|Output"),"OUT",""))</f>
        <v/>
      </c>
      <c r="AW62" s="33" t="str">
        <f aca="false">IF(COUNTIF(Flows!$M$2:$M$1500,$A62&amp;"|"&amp;AW$1&amp;"|Input"),IF(COUNTIF(Flows!$M$2:$M$1500,$A62&amp;"|"&amp;AW$1&amp;"|Output"),"I/O","IN"),IF(COUNTIF(Flows!$M$2:$M$1500,$A62&amp;"|"&amp;AW$1&amp;"|Output"),"OUT",""))</f>
        <v/>
      </c>
      <c r="AX62" s="33" t="str">
        <f aca="false">IF(COUNTIF(Flows!$M$2:$M$1500,$A62&amp;"|"&amp;AX$1&amp;"|Input"),IF(COUNTIF(Flows!$M$2:$M$1500,$A62&amp;"|"&amp;AX$1&amp;"|Output"),"I/O","IN"),IF(COUNTIF(Flows!$M$2:$M$1500,$A62&amp;"|"&amp;AX$1&amp;"|Output"),"OUT",""))</f>
        <v/>
      </c>
      <c r="AY62" s="33" t="str">
        <f aca="false">IF(COUNTIF(Flows!$M$2:$M$1500,$A62&amp;"|"&amp;AY$1&amp;"|Input"),IF(COUNTIF(Flows!$M$2:$M$1500,$A62&amp;"|"&amp;AY$1&amp;"|Output"),"I/O","IN"),IF(COUNTIF(Flows!$M$2:$M$1500,$A62&amp;"|"&amp;AY$1&amp;"|Output"),"OUT",""))</f>
        <v/>
      </c>
      <c r="AZ62" s="33" t="str">
        <f aca="false">IF(COUNTIF(Flows!$M$2:$M$1500,$A62&amp;"|"&amp;AZ$1&amp;"|Input"),IF(COUNTIF(Flows!$M$2:$M$1500,$A62&amp;"|"&amp;AZ$1&amp;"|Output"),"I/O","IN"),IF(COUNTIF(Flows!$M$2:$M$1500,$A62&amp;"|"&amp;AZ$1&amp;"|Output"),"OUT",""))</f>
        <v/>
      </c>
      <c r="BA62" s="33" t="str">
        <f aca="false">IF(COUNTIF(Flows!$M$2:$M$1500,$A62&amp;"|"&amp;BA$1&amp;"|Input"),IF(COUNTIF(Flows!$M$2:$M$1500,$A62&amp;"|"&amp;BA$1&amp;"|Output"),"I/O","IN"),IF(COUNTIF(Flows!$M$2:$M$1500,$A62&amp;"|"&amp;BA$1&amp;"|Output"),"OUT",""))</f>
        <v/>
      </c>
      <c r="BB62" s="33" t="str">
        <f aca="false">IF(COUNTIF(Flows!$M$2:$M$1500,$A62&amp;"|"&amp;BB$1&amp;"|Input"),IF(COUNTIF(Flows!$M$2:$M$1500,$A62&amp;"|"&amp;BB$1&amp;"|Output"),"I/O","IN"),IF(COUNTIF(Flows!$M$2:$M$1500,$A62&amp;"|"&amp;BB$1&amp;"|Output"),"OUT",""))</f>
        <v/>
      </c>
      <c r="BC62" s="33" t="str">
        <f aca="false">IF(COUNTIF(Flows!$M$2:$M$1500,$A62&amp;"|"&amp;BC$1&amp;"|Input"),IF(COUNTIF(Flows!$M$2:$M$1500,$A62&amp;"|"&amp;BC$1&amp;"|Output"),"I/O","IN"),IF(COUNTIF(Flows!$M$2:$M$1500,$A62&amp;"|"&amp;BC$1&amp;"|Output"),"OUT",""))</f>
        <v/>
      </c>
      <c r="BD62" s="33" t="str">
        <f aca="false">IF(COUNTIF(Flows!$M$2:$M$1500,$A62&amp;"|"&amp;BD$1&amp;"|Input"),IF(COUNTIF(Flows!$M$2:$M$1500,$A62&amp;"|"&amp;BD$1&amp;"|Output"),"I/O","IN"),IF(COUNTIF(Flows!$M$2:$M$1500,$A62&amp;"|"&amp;BD$1&amp;"|Output"),"OUT",""))</f>
        <v/>
      </c>
      <c r="BE62" s="33" t="str">
        <f aca="false">IF(COUNTIF(Flows!$M$2:$M$1500,$A62&amp;"|"&amp;BE$1&amp;"|Input"),IF(COUNTIF(Flows!$M$2:$M$1500,$A62&amp;"|"&amp;BE$1&amp;"|Output"),"I/O","IN"),IF(COUNTIF(Flows!$M$2:$M$1500,$A62&amp;"|"&amp;BE$1&amp;"|Output"),"OUT",""))</f>
        <v/>
      </c>
      <c r="BF62" s="33" t="str">
        <f aca="false">IF(COUNTIF(Flows!$M$2:$M$1500,$A62&amp;"|"&amp;BF$1&amp;"|Input"),IF(COUNTIF(Flows!$M$2:$M$1500,$A62&amp;"|"&amp;BF$1&amp;"|Output"),"I/O","IN"),IF(COUNTIF(Flows!$M$2:$M$1500,$A62&amp;"|"&amp;BF$1&amp;"|Output"),"OUT",""))</f>
        <v/>
      </c>
      <c r="BG62" s="33" t="str">
        <f aca="false">IF(COUNTIF(Flows!$M$2:$M$1500,$A62&amp;"|"&amp;BG$1&amp;"|Input"),IF(COUNTIF(Flows!$M$2:$M$1500,$A62&amp;"|"&amp;BG$1&amp;"|Output"),"I/O","IN"),IF(COUNTIF(Flows!$M$2:$M$1500,$A62&amp;"|"&amp;BG$1&amp;"|Output"),"OUT",""))</f>
        <v/>
      </c>
      <c r="BH62" s="33" t="str">
        <f aca="false">IF(COUNTIF(Flows!$M$2:$M$1500,$A62&amp;"|"&amp;BH$1&amp;"|Input"),IF(COUNTIF(Flows!$M$2:$M$1500,$A62&amp;"|"&amp;BH$1&amp;"|Output"),"I/O","IN"),IF(COUNTIF(Flows!$M$2:$M$1500,$A62&amp;"|"&amp;BH$1&amp;"|Output"),"OUT",""))</f>
        <v/>
      </c>
      <c r="BI62" s="33" t="str">
        <f aca="false">IF(COUNTIF(Flows!$M$2:$M$1500,$A62&amp;"|"&amp;BI$1&amp;"|Input"),IF(COUNTIF(Flows!$M$2:$M$1500,$A62&amp;"|"&amp;BI$1&amp;"|Output"),"I/O","IN"),IF(COUNTIF(Flows!$M$2:$M$1500,$A62&amp;"|"&amp;BI$1&amp;"|Output"),"OUT",""))</f>
        <v/>
      </c>
      <c r="BJ62" s="33" t="str">
        <f aca="false">IF(COUNTIF(Flows!$M$2:$M$1500,$A62&amp;"|"&amp;BJ$1&amp;"|Input"),IF(COUNTIF(Flows!$M$2:$M$1500,$A62&amp;"|"&amp;BJ$1&amp;"|Output"),"I/O","IN"),IF(COUNTIF(Flows!$M$2:$M$1500,$A62&amp;"|"&amp;BJ$1&amp;"|Output"),"OUT",""))</f>
        <v/>
      </c>
      <c r="BK62" s="33" t="str">
        <f aca="false">IF(COUNTIF(Flows!$M$2:$M$1500,$A62&amp;"|"&amp;BK$1&amp;"|Input"),IF(COUNTIF(Flows!$M$2:$M$1500,$A62&amp;"|"&amp;BK$1&amp;"|Output"),"I/O","IN"),IF(COUNTIF(Flows!$M$2:$M$1500,$A62&amp;"|"&amp;BK$1&amp;"|Output"),"OUT",""))</f>
        <v/>
      </c>
    </row>
    <row r="63" customFormat="false" ht="15" hidden="false" customHeight="true" outlineLevel="0" collapsed="false">
      <c r="A63" s="6" t="str">
        <f aca="false">Systems!B63</f>
        <v>GoSun Fan</v>
      </c>
      <c r="B63" s="33" t="str">
        <f aca="false">IF(COUNTIF(Flows!$M$2:$M$1500,$A63&amp;"|"&amp;B$1&amp;"|Input"),IF(COUNTIF(Flows!$M$2:$M$1500,$A63&amp;"|"&amp;B$1&amp;"|Output"),"I/O","IN"),IF(COUNTIF(Flows!$M$2:$M$1500,$A63&amp;"|"&amp;B$1&amp;"|Output"),"OUT",""))</f>
        <v/>
      </c>
      <c r="C63" s="33" t="str">
        <f aca="false">IF(COUNTIF(Flows!$M$2:$M$1500,$A63&amp;"|"&amp;C$1&amp;"|Input"),IF(COUNTIF(Flows!$M$2:$M$1500,$A63&amp;"|"&amp;C$1&amp;"|Output"),"I/O","IN"),IF(COUNTIF(Flows!$M$2:$M$1500,$A63&amp;"|"&amp;C$1&amp;"|Output"),"OUT",""))</f>
        <v/>
      </c>
      <c r="D63" s="33" t="str">
        <f aca="false">IF(COUNTIF(Flows!$M$2:$M$1500,$A63&amp;"|"&amp;D$1&amp;"|Input"),IF(COUNTIF(Flows!$M$2:$M$1500,$A63&amp;"|"&amp;D$1&amp;"|Output"),"I/O","IN"),IF(COUNTIF(Flows!$M$2:$M$1500,$A63&amp;"|"&amp;D$1&amp;"|Output"),"OUT",""))</f>
        <v/>
      </c>
      <c r="E63" s="33" t="str">
        <f aca="false">IF(COUNTIF(Flows!$M$2:$M$1500,$A63&amp;"|"&amp;E$1&amp;"|Input"),IF(COUNTIF(Flows!$M$2:$M$1500,$A63&amp;"|"&amp;E$1&amp;"|Output"),"I/O","IN"),IF(COUNTIF(Flows!$M$2:$M$1500,$A63&amp;"|"&amp;E$1&amp;"|Output"),"OUT",""))</f>
        <v/>
      </c>
      <c r="F63" s="33" t="str">
        <f aca="false">IF(COUNTIF(Flows!$M$2:$M$1500,$A63&amp;"|"&amp;F$1&amp;"|Input"),IF(COUNTIF(Flows!$M$2:$M$1500,$A63&amp;"|"&amp;F$1&amp;"|Output"),"I/O","IN"),IF(COUNTIF(Flows!$M$2:$M$1500,$A63&amp;"|"&amp;F$1&amp;"|Output"),"OUT",""))</f>
        <v/>
      </c>
      <c r="G63" s="33" t="str">
        <f aca="false">IF(COUNTIF(Flows!$M$2:$M$1500,$A63&amp;"|"&amp;G$1&amp;"|Input"),IF(COUNTIF(Flows!$M$2:$M$1500,$A63&amp;"|"&amp;G$1&amp;"|Output"),"I/O","IN"),IF(COUNTIF(Flows!$M$2:$M$1500,$A63&amp;"|"&amp;G$1&amp;"|Output"),"OUT",""))</f>
        <v/>
      </c>
      <c r="H63" s="33" t="str">
        <f aca="false">IF(COUNTIF(Flows!$M$2:$M$1500,$A63&amp;"|"&amp;H$1&amp;"|Input"),IF(COUNTIF(Flows!$M$2:$M$1500,$A63&amp;"|"&amp;H$1&amp;"|Output"),"I/O","IN"),IF(COUNTIF(Flows!$M$2:$M$1500,$A63&amp;"|"&amp;H$1&amp;"|Output"),"OUT",""))</f>
        <v/>
      </c>
      <c r="I63" s="33" t="str">
        <f aca="false">IF(COUNTIF(Flows!$M$2:$M$1500,$A63&amp;"|"&amp;I$1&amp;"|Input"),IF(COUNTIF(Flows!$M$2:$M$1500,$A63&amp;"|"&amp;I$1&amp;"|Output"),"I/O","IN"),IF(COUNTIF(Flows!$M$2:$M$1500,$A63&amp;"|"&amp;I$1&amp;"|Output"),"OUT",""))</f>
        <v/>
      </c>
      <c r="J63" s="33" t="str">
        <f aca="false">IF(COUNTIF(Flows!$M$2:$M$1500,$A63&amp;"|"&amp;J$1&amp;"|Input"),IF(COUNTIF(Flows!$M$2:$M$1500,$A63&amp;"|"&amp;J$1&amp;"|Output"),"I/O","IN"),IF(COUNTIF(Flows!$M$2:$M$1500,$A63&amp;"|"&amp;J$1&amp;"|Output"),"OUT",""))</f>
        <v/>
      </c>
      <c r="K63" s="33" t="str">
        <f aca="false">IF(COUNTIF(Flows!$M$2:$M$1500,$A63&amp;"|"&amp;K$1&amp;"|Input"),IF(COUNTIF(Flows!$M$2:$M$1500,$A63&amp;"|"&amp;K$1&amp;"|Output"),"I/O","IN"),IF(COUNTIF(Flows!$M$2:$M$1500,$A63&amp;"|"&amp;K$1&amp;"|Output"),"OUT",""))</f>
        <v/>
      </c>
      <c r="L63" s="33" t="str">
        <f aca="false">IF(COUNTIF(Flows!$M$2:$M$1500,$A63&amp;"|"&amp;L$1&amp;"|Input"),IF(COUNTIF(Flows!$M$2:$M$1500,$A63&amp;"|"&amp;L$1&amp;"|Output"),"I/O","IN"),IF(COUNTIF(Flows!$M$2:$M$1500,$A63&amp;"|"&amp;L$1&amp;"|Output"),"OUT",""))</f>
        <v/>
      </c>
      <c r="M63" s="33" t="str">
        <f aca="false">IF(COUNTIF(Flows!$M$2:$M$1500,$A63&amp;"|"&amp;M$1&amp;"|Input"),IF(COUNTIF(Flows!$M$2:$M$1500,$A63&amp;"|"&amp;M$1&amp;"|Output"),"I/O","IN"),IF(COUNTIF(Flows!$M$2:$M$1500,$A63&amp;"|"&amp;M$1&amp;"|Output"),"OUT",""))</f>
        <v/>
      </c>
      <c r="N63" s="33" t="str">
        <f aca="false">IF(COUNTIF(Flows!$M$2:$M$1500,$A63&amp;"|"&amp;N$1&amp;"|Input"),IF(COUNTIF(Flows!$M$2:$M$1500,$A63&amp;"|"&amp;N$1&amp;"|Output"),"I/O","IN"),IF(COUNTIF(Flows!$M$2:$M$1500,$A63&amp;"|"&amp;N$1&amp;"|Output"),"OUT",""))</f>
        <v/>
      </c>
      <c r="O63" s="33" t="str">
        <f aca="false">IF(COUNTIF(Flows!$M$2:$M$1500,$A63&amp;"|"&amp;O$1&amp;"|Input"),IF(COUNTIF(Flows!$M$2:$M$1500,$A63&amp;"|"&amp;O$1&amp;"|Output"),"I/O","IN"),IF(COUNTIF(Flows!$M$2:$M$1500,$A63&amp;"|"&amp;O$1&amp;"|Output"),"OUT",""))</f>
        <v/>
      </c>
      <c r="P63" s="33" t="str">
        <f aca="false">IF(COUNTIF(Flows!$M$2:$M$1500,$A63&amp;"|"&amp;P$1&amp;"|Input"),IF(COUNTIF(Flows!$M$2:$M$1500,$A63&amp;"|"&amp;P$1&amp;"|Output"),"I/O","IN"),IF(COUNTIF(Flows!$M$2:$M$1500,$A63&amp;"|"&amp;P$1&amp;"|Output"),"OUT",""))</f>
        <v/>
      </c>
      <c r="Q63" s="33" t="str">
        <f aca="false">IF(COUNTIF(Flows!$M$2:$M$1500,$A63&amp;"|"&amp;Q$1&amp;"|Input"),IF(COUNTIF(Flows!$M$2:$M$1500,$A63&amp;"|"&amp;Q$1&amp;"|Output"),"I/O","IN"),IF(COUNTIF(Flows!$M$2:$M$1500,$A63&amp;"|"&amp;Q$1&amp;"|Output"),"OUT",""))</f>
        <v/>
      </c>
      <c r="R63" s="33" t="str">
        <f aca="false">IF(COUNTIF(Flows!$M$2:$M$1500,$A63&amp;"|"&amp;R$1&amp;"|Input"),IF(COUNTIF(Flows!$M$2:$M$1500,$A63&amp;"|"&amp;R$1&amp;"|Output"),"I/O","IN"),IF(COUNTIF(Flows!$M$2:$M$1500,$A63&amp;"|"&amp;R$1&amp;"|Output"),"OUT",""))</f>
        <v/>
      </c>
      <c r="S63" s="33" t="str">
        <f aca="false">IF(COUNTIF(Flows!$M$2:$M$1500,$A63&amp;"|"&amp;S$1&amp;"|Input"),IF(COUNTIF(Flows!$M$2:$M$1500,$A63&amp;"|"&amp;S$1&amp;"|Output"),"I/O","IN"),IF(COUNTIF(Flows!$M$2:$M$1500,$A63&amp;"|"&amp;S$1&amp;"|Output"),"OUT",""))</f>
        <v>IN</v>
      </c>
      <c r="T63" s="33" t="str">
        <f aca="false">IF(COUNTIF(Flows!$M$2:$M$1500,$A63&amp;"|"&amp;T$1&amp;"|Input"),IF(COUNTIF(Flows!$M$2:$M$1500,$A63&amp;"|"&amp;T$1&amp;"|Output"),"I/O","IN"),IF(COUNTIF(Flows!$M$2:$M$1500,$A63&amp;"|"&amp;T$1&amp;"|Output"),"OUT",""))</f>
        <v/>
      </c>
      <c r="U63" s="33" t="str">
        <f aca="false">IF(COUNTIF(Flows!$M$2:$M$1500,$A63&amp;"|"&amp;U$1&amp;"|Input"),IF(COUNTIF(Flows!$M$2:$M$1500,$A63&amp;"|"&amp;U$1&amp;"|Output"),"I/O","IN"),IF(COUNTIF(Flows!$M$2:$M$1500,$A63&amp;"|"&amp;U$1&amp;"|Output"),"OUT",""))</f>
        <v/>
      </c>
      <c r="V63" s="33" t="str">
        <f aca="false">IF(COUNTIF(Flows!$M$2:$M$1500,$A63&amp;"|"&amp;V$1&amp;"|Input"),IF(COUNTIF(Flows!$M$2:$M$1500,$A63&amp;"|"&amp;V$1&amp;"|Output"),"I/O","IN"),IF(COUNTIF(Flows!$M$2:$M$1500,$A63&amp;"|"&amp;V$1&amp;"|Output"),"OUT",""))</f>
        <v/>
      </c>
      <c r="W63" s="33" t="str">
        <f aca="false">IF(COUNTIF(Flows!$M$2:$M$1500,$A63&amp;"|"&amp;W$1&amp;"|Input"),IF(COUNTIF(Flows!$M$2:$M$1500,$A63&amp;"|"&amp;W$1&amp;"|Output"),"I/O","IN"),IF(COUNTIF(Flows!$M$2:$M$1500,$A63&amp;"|"&amp;W$1&amp;"|Output"),"OUT",""))</f>
        <v>OUT</v>
      </c>
      <c r="X63" s="33" t="str">
        <f aca="false">IF(COUNTIF(Flows!$M$2:$M$1500,$A63&amp;"|"&amp;X$1&amp;"|Input"),IF(COUNTIF(Flows!$M$2:$M$1500,$A63&amp;"|"&amp;X$1&amp;"|Output"),"I/O","IN"),IF(COUNTIF(Flows!$M$2:$M$1500,$A63&amp;"|"&amp;X$1&amp;"|Output"),"OUT",""))</f>
        <v/>
      </c>
      <c r="Y63" s="33" t="str">
        <f aca="false">IF(COUNTIF(Flows!$M$2:$M$1500,$A63&amp;"|"&amp;Y$1&amp;"|Input"),IF(COUNTIF(Flows!$M$2:$M$1500,$A63&amp;"|"&amp;Y$1&amp;"|Output"),"I/O","IN"),IF(COUNTIF(Flows!$M$2:$M$1500,$A63&amp;"|"&amp;Y$1&amp;"|Output"),"OUT",""))</f>
        <v/>
      </c>
      <c r="Z63" s="33" t="str">
        <f aca="false">IF(COUNTIF(Flows!$M$2:$M$1500,$A63&amp;"|"&amp;Z$1&amp;"|Input"),IF(COUNTIF(Flows!$M$2:$M$1500,$A63&amp;"|"&amp;Z$1&amp;"|Output"),"I/O","IN"),IF(COUNTIF(Flows!$M$2:$M$1500,$A63&amp;"|"&amp;Z$1&amp;"|Output"),"OUT",""))</f>
        <v/>
      </c>
      <c r="AA63" s="33" t="str">
        <f aca="false">IF(COUNTIF(Flows!$M$2:$M$1500,$A63&amp;"|"&amp;AA$1&amp;"|Input"),IF(COUNTIF(Flows!$M$2:$M$1500,$A63&amp;"|"&amp;AA$1&amp;"|Output"),"I/O","IN"),IF(COUNTIF(Flows!$M$2:$M$1500,$A63&amp;"|"&amp;AA$1&amp;"|Output"),"OUT",""))</f>
        <v/>
      </c>
      <c r="AB63" s="33" t="str">
        <f aca="false">IF(COUNTIF(Flows!$M$2:$M$1500,$A63&amp;"|"&amp;AB$1&amp;"|Input"),IF(COUNTIF(Flows!$M$2:$M$1500,$A63&amp;"|"&amp;AB$1&amp;"|Output"),"I/O","IN"),IF(COUNTIF(Flows!$M$2:$M$1500,$A63&amp;"|"&amp;AB$1&amp;"|Output"),"OUT",""))</f>
        <v/>
      </c>
      <c r="AC63" s="33" t="str">
        <f aca="false">IF(COUNTIF(Flows!$M$2:$M$1500,$A63&amp;"|"&amp;AC$1&amp;"|Input"),IF(COUNTIF(Flows!$M$2:$M$1500,$A63&amp;"|"&amp;AC$1&amp;"|Output"),"I/O","IN"),IF(COUNTIF(Flows!$M$2:$M$1500,$A63&amp;"|"&amp;AC$1&amp;"|Output"),"OUT",""))</f>
        <v/>
      </c>
      <c r="AD63" s="33" t="str">
        <f aca="false">IF(COUNTIF(Flows!$M$2:$M$1500,$A63&amp;"|"&amp;AD$1&amp;"|Input"),IF(COUNTIF(Flows!$M$2:$M$1500,$A63&amp;"|"&amp;AD$1&amp;"|Output"),"I/O","IN"),IF(COUNTIF(Flows!$M$2:$M$1500,$A63&amp;"|"&amp;AD$1&amp;"|Output"),"OUT",""))</f>
        <v/>
      </c>
      <c r="AE63" s="33" t="str">
        <f aca="false">IF(COUNTIF(Flows!$M$2:$M$1500,$A63&amp;"|"&amp;AE$1&amp;"|Input"),IF(COUNTIF(Flows!$M$2:$M$1500,$A63&amp;"|"&amp;AE$1&amp;"|Output"),"I/O","IN"),IF(COUNTIF(Flows!$M$2:$M$1500,$A63&amp;"|"&amp;AE$1&amp;"|Output"),"OUT",""))</f>
        <v/>
      </c>
      <c r="AF63" s="33" t="str">
        <f aca="false">IF(COUNTIF(Flows!$M$2:$M$1500,$A63&amp;"|"&amp;AF$1&amp;"|Input"),IF(COUNTIF(Flows!$M$2:$M$1500,$A63&amp;"|"&amp;AF$1&amp;"|Output"),"I/O","IN"),IF(COUNTIF(Flows!$M$2:$M$1500,$A63&amp;"|"&amp;AF$1&amp;"|Output"),"OUT",""))</f>
        <v/>
      </c>
      <c r="AG63" s="33" t="str">
        <f aca="false">IF(COUNTIF(Flows!$M$2:$M$1500,$A63&amp;"|"&amp;AG$1&amp;"|Input"),IF(COUNTIF(Flows!$M$2:$M$1500,$A63&amp;"|"&amp;AG$1&amp;"|Output"),"I/O","IN"),IF(COUNTIF(Flows!$M$2:$M$1500,$A63&amp;"|"&amp;AG$1&amp;"|Output"),"OUT",""))</f>
        <v/>
      </c>
      <c r="AH63" s="33" t="str">
        <f aca="false">IF(COUNTIF(Flows!$M$2:$M$1500,$A63&amp;"|"&amp;AH$1&amp;"|Input"),IF(COUNTIF(Flows!$M$2:$M$1500,$A63&amp;"|"&amp;AH$1&amp;"|Output"),"I/O","IN"),IF(COUNTIF(Flows!$M$2:$M$1500,$A63&amp;"|"&amp;AH$1&amp;"|Output"),"OUT",""))</f>
        <v/>
      </c>
      <c r="AI63" s="33" t="str">
        <f aca="false">IF(COUNTIF(Flows!$M$2:$M$1500,$A63&amp;"|"&amp;AI$1&amp;"|Input"),IF(COUNTIF(Flows!$M$2:$M$1500,$A63&amp;"|"&amp;AI$1&amp;"|Output"),"I/O","IN"),IF(COUNTIF(Flows!$M$2:$M$1500,$A63&amp;"|"&amp;AI$1&amp;"|Output"),"OUT",""))</f>
        <v/>
      </c>
      <c r="AJ63" s="33" t="str">
        <f aca="false">IF(COUNTIF(Flows!$M$2:$M$1500,$A63&amp;"|"&amp;AJ$1&amp;"|Input"),IF(COUNTIF(Flows!$M$2:$M$1500,$A63&amp;"|"&amp;AJ$1&amp;"|Output"),"I/O","IN"),IF(COUNTIF(Flows!$M$2:$M$1500,$A63&amp;"|"&amp;AJ$1&amp;"|Output"),"OUT",""))</f>
        <v/>
      </c>
      <c r="AK63" s="33" t="str">
        <f aca="false">IF(COUNTIF(Flows!$M$2:$M$1500,$A63&amp;"|"&amp;AK$1&amp;"|Input"),IF(COUNTIF(Flows!$M$2:$M$1500,$A63&amp;"|"&amp;AK$1&amp;"|Output"),"I/O","IN"),IF(COUNTIF(Flows!$M$2:$M$1500,$A63&amp;"|"&amp;AK$1&amp;"|Output"),"OUT",""))</f>
        <v/>
      </c>
      <c r="AL63" s="33" t="str">
        <f aca="false">IF(COUNTIF(Flows!$M$2:$M$1500,$A63&amp;"|"&amp;AL$1&amp;"|Input"),IF(COUNTIF(Flows!$M$2:$M$1500,$A63&amp;"|"&amp;AL$1&amp;"|Output"),"I/O","IN"),IF(COUNTIF(Flows!$M$2:$M$1500,$A63&amp;"|"&amp;AL$1&amp;"|Output"),"OUT",""))</f>
        <v/>
      </c>
      <c r="AM63" s="33" t="str">
        <f aca="false">IF(COUNTIF(Flows!$M$2:$M$1500,$A63&amp;"|"&amp;AM$1&amp;"|Input"),IF(COUNTIF(Flows!$M$2:$M$1500,$A63&amp;"|"&amp;AM$1&amp;"|Output"),"I/O","IN"),IF(COUNTIF(Flows!$M$2:$M$1500,$A63&amp;"|"&amp;AM$1&amp;"|Output"),"OUT",""))</f>
        <v/>
      </c>
      <c r="AN63" s="33" t="str">
        <f aca="false">IF(COUNTIF(Flows!$M$2:$M$1500,$A63&amp;"|"&amp;AN$1&amp;"|Input"),IF(COUNTIF(Flows!$M$2:$M$1500,$A63&amp;"|"&amp;AN$1&amp;"|Output"),"I/O","IN"),IF(COUNTIF(Flows!$M$2:$M$1500,$A63&amp;"|"&amp;AN$1&amp;"|Output"),"OUT",""))</f>
        <v/>
      </c>
      <c r="AO63" s="33" t="str">
        <f aca="false">IF(COUNTIF(Flows!$M$2:$M$1500,$A63&amp;"|"&amp;AO$1&amp;"|Input"),IF(COUNTIF(Flows!$M$2:$M$1500,$A63&amp;"|"&amp;AO$1&amp;"|Output"),"I/O","IN"),IF(COUNTIF(Flows!$M$2:$M$1500,$A63&amp;"|"&amp;AO$1&amp;"|Output"),"OUT",""))</f>
        <v/>
      </c>
      <c r="AP63" s="33" t="str">
        <f aca="false">IF(COUNTIF(Flows!$M$2:$M$1500,$A63&amp;"|"&amp;AP$1&amp;"|Input"),IF(COUNTIF(Flows!$M$2:$M$1500,$A63&amp;"|"&amp;AP$1&amp;"|Output"),"I/O","IN"),IF(COUNTIF(Flows!$M$2:$M$1500,$A63&amp;"|"&amp;AP$1&amp;"|Output"),"OUT",""))</f>
        <v/>
      </c>
      <c r="AQ63" s="33" t="str">
        <f aca="false">IF(COUNTIF(Flows!$M$2:$M$1500,$A63&amp;"|"&amp;AQ$1&amp;"|Input"),IF(COUNTIF(Flows!$M$2:$M$1500,$A63&amp;"|"&amp;AQ$1&amp;"|Output"),"I/O","IN"),IF(COUNTIF(Flows!$M$2:$M$1500,$A63&amp;"|"&amp;AQ$1&amp;"|Output"),"OUT",""))</f>
        <v/>
      </c>
      <c r="AR63" s="33" t="str">
        <f aca="false">IF(COUNTIF(Flows!$M$2:$M$1500,$A63&amp;"|"&amp;AR$1&amp;"|Input"),IF(COUNTIF(Flows!$M$2:$M$1500,$A63&amp;"|"&amp;AR$1&amp;"|Output"),"I/O","IN"),IF(COUNTIF(Flows!$M$2:$M$1500,$A63&amp;"|"&amp;AR$1&amp;"|Output"),"OUT",""))</f>
        <v/>
      </c>
      <c r="AS63" s="33" t="str">
        <f aca="false">IF(COUNTIF(Flows!$M$2:$M$1500,$A63&amp;"|"&amp;AS$1&amp;"|Input"),IF(COUNTIF(Flows!$M$2:$M$1500,$A63&amp;"|"&amp;AS$1&amp;"|Output"),"I/O","IN"),IF(COUNTIF(Flows!$M$2:$M$1500,$A63&amp;"|"&amp;AS$1&amp;"|Output"),"OUT",""))</f>
        <v/>
      </c>
      <c r="AT63" s="33" t="str">
        <f aca="false">IF(COUNTIF(Flows!$M$2:$M$1500,$A63&amp;"|"&amp;AT$1&amp;"|Input"),IF(COUNTIF(Flows!$M$2:$M$1500,$A63&amp;"|"&amp;AT$1&amp;"|Output"),"I/O","IN"),IF(COUNTIF(Flows!$M$2:$M$1500,$A63&amp;"|"&amp;AT$1&amp;"|Output"),"OUT",""))</f>
        <v/>
      </c>
      <c r="AU63" s="33" t="str">
        <f aca="false">IF(COUNTIF(Flows!$M$2:$M$1500,$A63&amp;"|"&amp;AU$1&amp;"|Input"),IF(COUNTIF(Flows!$M$2:$M$1500,$A63&amp;"|"&amp;AU$1&amp;"|Output"),"I/O","IN"),IF(COUNTIF(Flows!$M$2:$M$1500,$A63&amp;"|"&amp;AU$1&amp;"|Output"),"OUT",""))</f>
        <v/>
      </c>
      <c r="AV63" s="33" t="str">
        <f aca="false">IF(COUNTIF(Flows!$M$2:$M$1500,$A63&amp;"|"&amp;AV$1&amp;"|Input"),IF(COUNTIF(Flows!$M$2:$M$1500,$A63&amp;"|"&amp;AV$1&amp;"|Output"),"I/O","IN"),IF(COUNTIF(Flows!$M$2:$M$1500,$A63&amp;"|"&amp;AV$1&amp;"|Output"),"OUT",""))</f>
        <v/>
      </c>
      <c r="AW63" s="33" t="str">
        <f aca="false">IF(COUNTIF(Flows!$M$2:$M$1500,$A63&amp;"|"&amp;AW$1&amp;"|Input"),IF(COUNTIF(Flows!$M$2:$M$1500,$A63&amp;"|"&amp;AW$1&amp;"|Output"),"I/O","IN"),IF(COUNTIF(Flows!$M$2:$M$1500,$A63&amp;"|"&amp;AW$1&amp;"|Output"),"OUT",""))</f>
        <v/>
      </c>
      <c r="AX63" s="33" t="str">
        <f aca="false">IF(COUNTIF(Flows!$M$2:$M$1500,$A63&amp;"|"&amp;AX$1&amp;"|Input"),IF(COUNTIF(Flows!$M$2:$M$1500,$A63&amp;"|"&amp;AX$1&amp;"|Output"),"I/O","IN"),IF(COUNTIF(Flows!$M$2:$M$1500,$A63&amp;"|"&amp;AX$1&amp;"|Output"),"OUT",""))</f>
        <v/>
      </c>
      <c r="AY63" s="33" t="str">
        <f aca="false">IF(COUNTIF(Flows!$M$2:$M$1500,$A63&amp;"|"&amp;AY$1&amp;"|Input"),IF(COUNTIF(Flows!$M$2:$M$1500,$A63&amp;"|"&amp;AY$1&amp;"|Output"),"I/O","IN"),IF(COUNTIF(Flows!$M$2:$M$1500,$A63&amp;"|"&amp;AY$1&amp;"|Output"),"OUT",""))</f>
        <v/>
      </c>
      <c r="AZ63" s="33" t="str">
        <f aca="false">IF(COUNTIF(Flows!$M$2:$M$1500,$A63&amp;"|"&amp;AZ$1&amp;"|Input"),IF(COUNTIF(Flows!$M$2:$M$1500,$A63&amp;"|"&amp;AZ$1&amp;"|Output"),"I/O","IN"),IF(COUNTIF(Flows!$M$2:$M$1500,$A63&amp;"|"&amp;AZ$1&amp;"|Output"),"OUT",""))</f>
        <v/>
      </c>
      <c r="BA63" s="33" t="str">
        <f aca="false">IF(COUNTIF(Flows!$M$2:$M$1500,$A63&amp;"|"&amp;BA$1&amp;"|Input"),IF(COUNTIF(Flows!$M$2:$M$1500,$A63&amp;"|"&amp;BA$1&amp;"|Output"),"I/O","IN"),IF(COUNTIF(Flows!$M$2:$M$1500,$A63&amp;"|"&amp;BA$1&amp;"|Output"),"OUT",""))</f>
        <v/>
      </c>
      <c r="BB63" s="33" t="str">
        <f aca="false">IF(COUNTIF(Flows!$M$2:$M$1500,$A63&amp;"|"&amp;BB$1&amp;"|Input"),IF(COUNTIF(Flows!$M$2:$M$1500,$A63&amp;"|"&amp;BB$1&amp;"|Output"),"I/O","IN"),IF(COUNTIF(Flows!$M$2:$M$1500,$A63&amp;"|"&amp;BB$1&amp;"|Output"),"OUT",""))</f>
        <v/>
      </c>
      <c r="BC63" s="33" t="str">
        <f aca="false">IF(COUNTIF(Flows!$M$2:$M$1500,$A63&amp;"|"&amp;BC$1&amp;"|Input"),IF(COUNTIF(Flows!$M$2:$M$1500,$A63&amp;"|"&amp;BC$1&amp;"|Output"),"I/O","IN"),IF(COUNTIF(Flows!$M$2:$M$1500,$A63&amp;"|"&amp;BC$1&amp;"|Output"),"OUT",""))</f>
        <v/>
      </c>
      <c r="BD63" s="33" t="str">
        <f aca="false">IF(COUNTIF(Flows!$M$2:$M$1500,$A63&amp;"|"&amp;BD$1&amp;"|Input"),IF(COUNTIF(Flows!$M$2:$M$1500,$A63&amp;"|"&amp;BD$1&amp;"|Output"),"I/O","IN"),IF(COUNTIF(Flows!$M$2:$M$1500,$A63&amp;"|"&amp;BD$1&amp;"|Output"),"OUT",""))</f>
        <v/>
      </c>
      <c r="BE63" s="33" t="str">
        <f aca="false">IF(COUNTIF(Flows!$M$2:$M$1500,$A63&amp;"|"&amp;BE$1&amp;"|Input"),IF(COUNTIF(Flows!$M$2:$M$1500,$A63&amp;"|"&amp;BE$1&amp;"|Output"),"I/O","IN"),IF(COUNTIF(Flows!$M$2:$M$1500,$A63&amp;"|"&amp;BE$1&amp;"|Output"),"OUT",""))</f>
        <v/>
      </c>
      <c r="BF63" s="33" t="str">
        <f aca="false">IF(COUNTIF(Flows!$M$2:$M$1500,$A63&amp;"|"&amp;BF$1&amp;"|Input"),IF(COUNTIF(Flows!$M$2:$M$1500,$A63&amp;"|"&amp;BF$1&amp;"|Output"),"I/O","IN"),IF(COUNTIF(Flows!$M$2:$M$1500,$A63&amp;"|"&amp;BF$1&amp;"|Output"),"OUT",""))</f>
        <v/>
      </c>
      <c r="BG63" s="33" t="str">
        <f aca="false">IF(COUNTIF(Flows!$M$2:$M$1500,$A63&amp;"|"&amp;BG$1&amp;"|Input"),IF(COUNTIF(Flows!$M$2:$M$1500,$A63&amp;"|"&amp;BG$1&amp;"|Output"),"I/O","IN"),IF(COUNTIF(Flows!$M$2:$M$1500,$A63&amp;"|"&amp;BG$1&amp;"|Output"),"OUT",""))</f>
        <v/>
      </c>
      <c r="BH63" s="33" t="str">
        <f aca="false">IF(COUNTIF(Flows!$M$2:$M$1500,$A63&amp;"|"&amp;BH$1&amp;"|Input"),IF(COUNTIF(Flows!$M$2:$M$1500,$A63&amp;"|"&amp;BH$1&amp;"|Output"),"I/O","IN"),IF(COUNTIF(Flows!$M$2:$M$1500,$A63&amp;"|"&amp;BH$1&amp;"|Output"),"OUT",""))</f>
        <v/>
      </c>
      <c r="BI63" s="33" t="str">
        <f aca="false">IF(COUNTIF(Flows!$M$2:$M$1500,$A63&amp;"|"&amp;BI$1&amp;"|Input"),IF(COUNTIF(Flows!$M$2:$M$1500,$A63&amp;"|"&amp;BI$1&amp;"|Output"),"I/O","IN"),IF(COUNTIF(Flows!$M$2:$M$1500,$A63&amp;"|"&amp;BI$1&amp;"|Output"),"OUT",""))</f>
        <v/>
      </c>
      <c r="BJ63" s="33" t="str">
        <f aca="false">IF(COUNTIF(Flows!$M$2:$M$1500,$A63&amp;"|"&amp;BJ$1&amp;"|Input"),IF(COUNTIF(Flows!$M$2:$M$1500,$A63&amp;"|"&amp;BJ$1&amp;"|Output"),"I/O","IN"),IF(COUNTIF(Flows!$M$2:$M$1500,$A63&amp;"|"&amp;BJ$1&amp;"|Output"),"OUT",""))</f>
        <v/>
      </c>
      <c r="BK63" s="33" t="str">
        <f aca="false">IF(COUNTIF(Flows!$M$2:$M$1500,$A63&amp;"|"&amp;BK$1&amp;"|Input"),IF(COUNTIF(Flows!$M$2:$M$1500,$A63&amp;"|"&amp;BK$1&amp;"|Output"),"I/O","IN"),IF(COUNTIF(Flows!$M$2:$M$1500,$A63&amp;"|"&amp;BK$1&amp;"|Output"),"OUT",""))</f>
        <v/>
      </c>
    </row>
    <row r="64" customFormat="false" ht="15" hidden="false" customHeight="true" outlineLevel="0" collapsed="false">
      <c r="A64" s="6" t="str">
        <f aca="false">Systems!B64</f>
        <v>Small AC Unit (5000 BTU)</v>
      </c>
      <c r="B64" s="33" t="str">
        <f aca="false">IF(COUNTIF(Flows!$M$2:$M$1500,$A64&amp;"|"&amp;B$1&amp;"|Input"),IF(COUNTIF(Flows!$M$2:$M$1500,$A64&amp;"|"&amp;B$1&amp;"|Output"),"I/O","IN"),IF(COUNTIF(Flows!$M$2:$M$1500,$A64&amp;"|"&amp;B$1&amp;"|Output"),"OUT",""))</f>
        <v/>
      </c>
      <c r="C64" s="33" t="str">
        <f aca="false">IF(COUNTIF(Flows!$M$2:$M$1500,$A64&amp;"|"&amp;C$1&amp;"|Input"),IF(COUNTIF(Flows!$M$2:$M$1500,$A64&amp;"|"&amp;C$1&amp;"|Output"),"I/O","IN"),IF(COUNTIF(Flows!$M$2:$M$1500,$A64&amp;"|"&amp;C$1&amp;"|Output"),"OUT",""))</f>
        <v/>
      </c>
      <c r="D64" s="33" t="str">
        <f aca="false">IF(COUNTIF(Flows!$M$2:$M$1500,$A64&amp;"|"&amp;D$1&amp;"|Input"),IF(COUNTIF(Flows!$M$2:$M$1500,$A64&amp;"|"&amp;D$1&amp;"|Output"),"I/O","IN"),IF(COUNTIF(Flows!$M$2:$M$1500,$A64&amp;"|"&amp;D$1&amp;"|Output"),"OUT",""))</f>
        <v/>
      </c>
      <c r="E64" s="33" t="str">
        <f aca="false">IF(COUNTIF(Flows!$M$2:$M$1500,$A64&amp;"|"&amp;E$1&amp;"|Input"),IF(COUNTIF(Flows!$M$2:$M$1500,$A64&amp;"|"&amp;E$1&amp;"|Output"),"I/O","IN"),IF(COUNTIF(Flows!$M$2:$M$1500,$A64&amp;"|"&amp;E$1&amp;"|Output"),"OUT",""))</f>
        <v/>
      </c>
      <c r="F64" s="33" t="str">
        <f aca="false">IF(COUNTIF(Flows!$M$2:$M$1500,$A64&amp;"|"&amp;F$1&amp;"|Input"),IF(COUNTIF(Flows!$M$2:$M$1500,$A64&amp;"|"&amp;F$1&amp;"|Output"),"I/O","IN"),IF(COUNTIF(Flows!$M$2:$M$1500,$A64&amp;"|"&amp;F$1&amp;"|Output"),"OUT",""))</f>
        <v/>
      </c>
      <c r="G64" s="33" t="str">
        <f aca="false">IF(COUNTIF(Flows!$M$2:$M$1500,$A64&amp;"|"&amp;G$1&amp;"|Input"),IF(COUNTIF(Flows!$M$2:$M$1500,$A64&amp;"|"&amp;G$1&amp;"|Output"),"I/O","IN"),IF(COUNTIF(Flows!$M$2:$M$1500,$A64&amp;"|"&amp;G$1&amp;"|Output"),"OUT",""))</f>
        <v/>
      </c>
      <c r="H64" s="33" t="str">
        <f aca="false">IF(COUNTIF(Flows!$M$2:$M$1500,$A64&amp;"|"&amp;H$1&amp;"|Input"),IF(COUNTIF(Flows!$M$2:$M$1500,$A64&amp;"|"&amp;H$1&amp;"|Output"),"I/O","IN"),IF(COUNTIF(Flows!$M$2:$M$1500,$A64&amp;"|"&amp;H$1&amp;"|Output"),"OUT",""))</f>
        <v/>
      </c>
      <c r="I64" s="33" t="str">
        <f aca="false">IF(COUNTIF(Flows!$M$2:$M$1500,$A64&amp;"|"&amp;I$1&amp;"|Input"),IF(COUNTIF(Flows!$M$2:$M$1500,$A64&amp;"|"&amp;I$1&amp;"|Output"),"I/O","IN"),IF(COUNTIF(Flows!$M$2:$M$1500,$A64&amp;"|"&amp;I$1&amp;"|Output"),"OUT",""))</f>
        <v/>
      </c>
      <c r="J64" s="33" t="str">
        <f aca="false">IF(COUNTIF(Flows!$M$2:$M$1500,$A64&amp;"|"&amp;J$1&amp;"|Input"),IF(COUNTIF(Flows!$M$2:$M$1500,$A64&amp;"|"&amp;J$1&amp;"|Output"),"I/O","IN"),IF(COUNTIF(Flows!$M$2:$M$1500,$A64&amp;"|"&amp;J$1&amp;"|Output"),"OUT",""))</f>
        <v/>
      </c>
      <c r="K64" s="33" t="str">
        <f aca="false">IF(COUNTIF(Flows!$M$2:$M$1500,$A64&amp;"|"&amp;K$1&amp;"|Input"),IF(COUNTIF(Flows!$M$2:$M$1500,$A64&amp;"|"&amp;K$1&amp;"|Output"),"I/O","IN"),IF(COUNTIF(Flows!$M$2:$M$1500,$A64&amp;"|"&amp;K$1&amp;"|Output"),"OUT",""))</f>
        <v/>
      </c>
      <c r="L64" s="33" t="str">
        <f aca="false">IF(COUNTIF(Flows!$M$2:$M$1500,$A64&amp;"|"&amp;L$1&amp;"|Input"),IF(COUNTIF(Flows!$M$2:$M$1500,$A64&amp;"|"&amp;L$1&amp;"|Output"),"I/O","IN"),IF(COUNTIF(Flows!$M$2:$M$1500,$A64&amp;"|"&amp;L$1&amp;"|Output"),"OUT",""))</f>
        <v/>
      </c>
      <c r="M64" s="33" t="str">
        <f aca="false">IF(COUNTIF(Flows!$M$2:$M$1500,$A64&amp;"|"&amp;M$1&amp;"|Input"),IF(COUNTIF(Flows!$M$2:$M$1500,$A64&amp;"|"&amp;M$1&amp;"|Output"),"I/O","IN"),IF(COUNTIF(Flows!$M$2:$M$1500,$A64&amp;"|"&amp;M$1&amp;"|Output"),"OUT",""))</f>
        <v/>
      </c>
      <c r="N64" s="33" t="str">
        <f aca="false">IF(COUNTIF(Flows!$M$2:$M$1500,$A64&amp;"|"&amp;N$1&amp;"|Input"),IF(COUNTIF(Flows!$M$2:$M$1500,$A64&amp;"|"&amp;N$1&amp;"|Output"),"I/O","IN"),IF(COUNTIF(Flows!$M$2:$M$1500,$A64&amp;"|"&amp;N$1&amp;"|Output"),"OUT",""))</f>
        <v/>
      </c>
      <c r="O64" s="33" t="str">
        <f aca="false">IF(COUNTIF(Flows!$M$2:$M$1500,$A64&amp;"|"&amp;O$1&amp;"|Input"),IF(COUNTIF(Flows!$M$2:$M$1500,$A64&amp;"|"&amp;O$1&amp;"|Output"),"I/O","IN"),IF(COUNTIF(Flows!$M$2:$M$1500,$A64&amp;"|"&amp;O$1&amp;"|Output"),"OUT",""))</f>
        <v/>
      </c>
      <c r="P64" s="33" t="str">
        <f aca="false">IF(COUNTIF(Flows!$M$2:$M$1500,$A64&amp;"|"&amp;P$1&amp;"|Input"),IF(COUNTIF(Flows!$M$2:$M$1500,$A64&amp;"|"&amp;P$1&amp;"|Output"),"I/O","IN"),IF(COUNTIF(Flows!$M$2:$M$1500,$A64&amp;"|"&amp;P$1&amp;"|Output"),"OUT",""))</f>
        <v/>
      </c>
      <c r="Q64" s="33" t="str">
        <f aca="false">IF(COUNTIF(Flows!$M$2:$M$1500,$A64&amp;"|"&amp;Q$1&amp;"|Input"),IF(COUNTIF(Flows!$M$2:$M$1500,$A64&amp;"|"&amp;Q$1&amp;"|Output"),"I/O","IN"),IF(COUNTIF(Flows!$M$2:$M$1500,$A64&amp;"|"&amp;Q$1&amp;"|Output"),"OUT",""))</f>
        <v/>
      </c>
      <c r="R64" s="33" t="str">
        <f aca="false">IF(COUNTIF(Flows!$M$2:$M$1500,$A64&amp;"|"&amp;R$1&amp;"|Input"),IF(COUNTIF(Flows!$M$2:$M$1500,$A64&amp;"|"&amp;R$1&amp;"|Output"),"I/O","IN"),IF(COUNTIF(Flows!$M$2:$M$1500,$A64&amp;"|"&amp;R$1&amp;"|Output"),"OUT",""))</f>
        <v/>
      </c>
      <c r="S64" s="33" t="str">
        <f aca="false">IF(COUNTIF(Flows!$M$2:$M$1500,$A64&amp;"|"&amp;S$1&amp;"|Input"),IF(COUNTIF(Flows!$M$2:$M$1500,$A64&amp;"|"&amp;S$1&amp;"|Output"),"I/O","IN"),IF(COUNTIF(Flows!$M$2:$M$1500,$A64&amp;"|"&amp;S$1&amp;"|Output"),"OUT",""))</f>
        <v>IN</v>
      </c>
      <c r="T64" s="33" t="str">
        <f aca="false">IF(COUNTIF(Flows!$M$2:$M$1500,$A64&amp;"|"&amp;T$1&amp;"|Input"),IF(COUNTIF(Flows!$M$2:$M$1500,$A64&amp;"|"&amp;T$1&amp;"|Output"),"I/O","IN"),IF(COUNTIF(Flows!$M$2:$M$1500,$A64&amp;"|"&amp;T$1&amp;"|Output"),"OUT",""))</f>
        <v/>
      </c>
      <c r="U64" s="33" t="str">
        <f aca="false">IF(COUNTIF(Flows!$M$2:$M$1500,$A64&amp;"|"&amp;U$1&amp;"|Input"),IF(COUNTIF(Flows!$M$2:$M$1500,$A64&amp;"|"&amp;U$1&amp;"|Output"),"I/O","IN"),IF(COUNTIF(Flows!$M$2:$M$1500,$A64&amp;"|"&amp;U$1&amp;"|Output"),"OUT",""))</f>
        <v/>
      </c>
      <c r="V64" s="33" t="str">
        <f aca="false">IF(COUNTIF(Flows!$M$2:$M$1500,$A64&amp;"|"&amp;V$1&amp;"|Input"),IF(COUNTIF(Flows!$M$2:$M$1500,$A64&amp;"|"&amp;V$1&amp;"|Output"),"I/O","IN"),IF(COUNTIF(Flows!$M$2:$M$1500,$A64&amp;"|"&amp;V$1&amp;"|Output"),"OUT",""))</f>
        <v/>
      </c>
      <c r="W64" s="33" t="str">
        <f aca="false">IF(COUNTIF(Flows!$M$2:$M$1500,$A64&amp;"|"&amp;W$1&amp;"|Input"),IF(COUNTIF(Flows!$M$2:$M$1500,$A64&amp;"|"&amp;W$1&amp;"|Output"),"I/O","IN"),IF(COUNTIF(Flows!$M$2:$M$1500,$A64&amp;"|"&amp;W$1&amp;"|Output"),"OUT",""))</f>
        <v>OUT</v>
      </c>
      <c r="X64" s="33" t="str">
        <f aca="false">IF(COUNTIF(Flows!$M$2:$M$1500,$A64&amp;"|"&amp;X$1&amp;"|Input"),IF(COUNTIF(Flows!$M$2:$M$1500,$A64&amp;"|"&amp;X$1&amp;"|Output"),"I/O","IN"),IF(COUNTIF(Flows!$M$2:$M$1500,$A64&amp;"|"&amp;X$1&amp;"|Output"),"OUT",""))</f>
        <v>IN</v>
      </c>
      <c r="Y64" s="33" t="str">
        <f aca="false">IF(COUNTIF(Flows!$M$2:$M$1500,$A64&amp;"|"&amp;Y$1&amp;"|Input"),IF(COUNTIF(Flows!$M$2:$M$1500,$A64&amp;"|"&amp;Y$1&amp;"|Output"),"I/O","IN"),IF(COUNTIF(Flows!$M$2:$M$1500,$A64&amp;"|"&amp;Y$1&amp;"|Output"),"OUT",""))</f>
        <v/>
      </c>
      <c r="Z64" s="33" t="str">
        <f aca="false">IF(COUNTIF(Flows!$M$2:$M$1500,$A64&amp;"|"&amp;Z$1&amp;"|Input"),IF(COUNTIF(Flows!$M$2:$M$1500,$A64&amp;"|"&amp;Z$1&amp;"|Output"),"I/O","IN"),IF(COUNTIF(Flows!$M$2:$M$1500,$A64&amp;"|"&amp;Z$1&amp;"|Output"),"OUT",""))</f>
        <v/>
      </c>
      <c r="AA64" s="33" t="str">
        <f aca="false">IF(COUNTIF(Flows!$M$2:$M$1500,$A64&amp;"|"&amp;AA$1&amp;"|Input"),IF(COUNTIF(Flows!$M$2:$M$1500,$A64&amp;"|"&amp;AA$1&amp;"|Output"),"I/O","IN"),IF(COUNTIF(Flows!$M$2:$M$1500,$A64&amp;"|"&amp;AA$1&amp;"|Output"),"OUT",""))</f>
        <v/>
      </c>
      <c r="AB64" s="33" t="str">
        <f aca="false">IF(COUNTIF(Flows!$M$2:$M$1500,$A64&amp;"|"&amp;AB$1&amp;"|Input"),IF(COUNTIF(Flows!$M$2:$M$1500,$A64&amp;"|"&amp;AB$1&amp;"|Output"),"I/O","IN"),IF(COUNTIF(Flows!$M$2:$M$1500,$A64&amp;"|"&amp;AB$1&amp;"|Output"),"OUT",""))</f>
        <v/>
      </c>
      <c r="AC64" s="33" t="str">
        <f aca="false">IF(COUNTIF(Flows!$M$2:$M$1500,$A64&amp;"|"&amp;AC$1&amp;"|Input"),IF(COUNTIF(Flows!$M$2:$M$1500,$A64&amp;"|"&amp;AC$1&amp;"|Output"),"I/O","IN"),IF(COUNTIF(Flows!$M$2:$M$1500,$A64&amp;"|"&amp;AC$1&amp;"|Output"),"OUT",""))</f>
        <v/>
      </c>
      <c r="AD64" s="33" t="str">
        <f aca="false">IF(COUNTIF(Flows!$M$2:$M$1500,$A64&amp;"|"&amp;AD$1&amp;"|Input"),IF(COUNTIF(Flows!$M$2:$M$1500,$A64&amp;"|"&amp;AD$1&amp;"|Output"),"I/O","IN"),IF(COUNTIF(Flows!$M$2:$M$1500,$A64&amp;"|"&amp;AD$1&amp;"|Output"),"OUT",""))</f>
        <v/>
      </c>
      <c r="AE64" s="33" t="str">
        <f aca="false">IF(COUNTIF(Flows!$M$2:$M$1500,$A64&amp;"|"&amp;AE$1&amp;"|Input"),IF(COUNTIF(Flows!$M$2:$M$1500,$A64&amp;"|"&amp;AE$1&amp;"|Output"),"I/O","IN"),IF(COUNTIF(Flows!$M$2:$M$1500,$A64&amp;"|"&amp;AE$1&amp;"|Output"),"OUT",""))</f>
        <v/>
      </c>
      <c r="AF64" s="33" t="str">
        <f aca="false">IF(COUNTIF(Flows!$M$2:$M$1500,$A64&amp;"|"&amp;AF$1&amp;"|Input"),IF(COUNTIF(Flows!$M$2:$M$1500,$A64&amp;"|"&amp;AF$1&amp;"|Output"),"I/O","IN"),IF(COUNTIF(Flows!$M$2:$M$1500,$A64&amp;"|"&amp;AF$1&amp;"|Output"),"OUT",""))</f>
        <v/>
      </c>
      <c r="AG64" s="33" t="str">
        <f aca="false">IF(COUNTIF(Flows!$M$2:$M$1500,$A64&amp;"|"&amp;AG$1&amp;"|Input"),IF(COUNTIF(Flows!$M$2:$M$1500,$A64&amp;"|"&amp;AG$1&amp;"|Output"),"I/O","IN"),IF(COUNTIF(Flows!$M$2:$M$1500,$A64&amp;"|"&amp;AG$1&amp;"|Output"),"OUT",""))</f>
        <v/>
      </c>
      <c r="AH64" s="33" t="str">
        <f aca="false">IF(COUNTIF(Flows!$M$2:$M$1500,$A64&amp;"|"&amp;AH$1&amp;"|Input"),IF(COUNTIF(Flows!$M$2:$M$1500,$A64&amp;"|"&amp;AH$1&amp;"|Output"),"I/O","IN"),IF(COUNTIF(Flows!$M$2:$M$1500,$A64&amp;"|"&amp;AH$1&amp;"|Output"),"OUT",""))</f>
        <v/>
      </c>
      <c r="AI64" s="33" t="str">
        <f aca="false">IF(COUNTIF(Flows!$M$2:$M$1500,$A64&amp;"|"&amp;AI$1&amp;"|Input"),IF(COUNTIF(Flows!$M$2:$M$1500,$A64&amp;"|"&amp;AI$1&amp;"|Output"),"I/O","IN"),IF(COUNTIF(Flows!$M$2:$M$1500,$A64&amp;"|"&amp;AI$1&amp;"|Output"),"OUT",""))</f>
        <v/>
      </c>
      <c r="AJ64" s="33" t="str">
        <f aca="false">IF(COUNTIF(Flows!$M$2:$M$1500,$A64&amp;"|"&amp;AJ$1&amp;"|Input"),IF(COUNTIF(Flows!$M$2:$M$1500,$A64&amp;"|"&amp;AJ$1&amp;"|Output"),"I/O","IN"),IF(COUNTIF(Flows!$M$2:$M$1500,$A64&amp;"|"&amp;AJ$1&amp;"|Output"),"OUT",""))</f>
        <v/>
      </c>
      <c r="AK64" s="33" t="str">
        <f aca="false">IF(COUNTIF(Flows!$M$2:$M$1500,$A64&amp;"|"&amp;AK$1&amp;"|Input"),IF(COUNTIF(Flows!$M$2:$M$1500,$A64&amp;"|"&amp;AK$1&amp;"|Output"),"I/O","IN"),IF(COUNTIF(Flows!$M$2:$M$1500,$A64&amp;"|"&amp;AK$1&amp;"|Output"),"OUT",""))</f>
        <v/>
      </c>
      <c r="AL64" s="33" t="str">
        <f aca="false">IF(COUNTIF(Flows!$M$2:$M$1500,$A64&amp;"|"&amp;AL$1&amp;"|Input"),IF(COUNTIF(Flows!$M$2:$M$1500,$A64&amp;"|"&amp;AL$1&amp;"|Output"),"I/O","IN"),IF(COUNTIF(Flows!$M$2:$M$1500,$A64&amp;"|"&amp;AL$1&amp;"|Output"),"OUT",""))</f>
        <v/>
      </c>
      <c r="AM64" s="33" t="str">
        <f aca="false">IF(COUNTIF(Flows!$M$2:$M$1500,$A64&amp;"|"&amp;AM$1&amp;"|Input"),IF(COUNTIF(Flows!$M$2:$M$1500,$A64&amp;"|"&amp;AM$1&amp;"|Output"),"I/O","IN"),IF(COUNTIF(Flows!$M$2:$M$1500,$A64&amp;"|"&amp;AM$1&amp;"|Output"),"OUT",""))</f>
        <v/>
      </c>
      <c r="AN64" s="33" t="str">
        <f aca="false">IF(COUNTIF(Flows!$M$2:$M$1500,$A64&amp;"|"&amp;AN$1&amp;"|Input"),IF(COUNTIF(Flows!$M$2:$M$1500,$A64&amp;"|"&amp;AN$1&amp;"|Output"),"I/O","IN"),IF(COUNTIF(Flows!$M$2:$M$1500,$A64&amp;"|"&amp;AN$1&amp;"|Output"),"OUT",""))</f>
        <v/>
      </c>
      <c r="AO64" s="33" t="str">
        <f aca="false">IF(COUNTIF(Flows!$M$2:$M$1500,$A64&amp;"|"&amp;AO$1&amp;"|Input"),IF(COUNTIF(Flows!$M$2:$M$1500,$A64&amp;"|"&amp;AO$1&amp;"|Output"),"I/O","IN"),IF(COUNTIF(Flows!$M$2:$M$1500,$A64&amp;"|"&amp;AO$1&amp;"|Output"),"OUT",""))</f>
        <v/>
      </c>
      <c r="AP64" s="33" t="str">
        <f aca="false">IF(COUNTIF(Flows!$M$2:$M$1500,$A64&amp;"|"&amp;AP$1&amp;"|Input"),IF(COUNTIF(Flows!$M$2:$M$1500,$A64&amp;"|"&amp;AP$1&amp;"|Output"),"I/O","IN"),IF(COUNTIF(Flows!$M$2:$M$1500,$A64&amp;"|"&amp;AP$1&amp;"|Output"),"OUT",""))</f>
        <v/>
      </c>
      <c r="AQ64" s="33" t="str">
        <f aca="false">IF(COUNTIF(Flows!$M$2:$M$1500,$A64&amp;"|"&amp;AQ$1&amp;"|Input"),IF(COUNTIF(Flows!$M$2:$M$1500,$A64&amp;"|"&amp;AQ$1&amp;"|Output"),"I/O","IN"),IF(COUNTIF(Flows!$M$2:$M$1500,$A64&amp;"|"&amp;AQ$1&amp;"|Output"),"OUT",""))</f>
        <v/>
      </c>
      <c r="AR64" s="33" t="str">
        <f aca="false">IF(COUNTIF(Flows!$M$2:$M$1500,$A64&amp;"|"&amp;AR$1&amp;"|Input"),IF(COUNTIF(Flows!$M$2:$M$1500,$A64&amp;"|"&amp;AR$1&amp;"|Output"),"I/O","IN"),IF(COUNTIF(Flows!$M$2:$M$1500,$A64&amp;"|"&amp;AR$1&amp;"|Output"),"OUT",""))</f>
        <v/>
      </c>
      <c r="AS64" s="33" t="str">
        <f aca="false">IF(COUNTIF(Flows!$M$2:$M$1500,$A64&amp;"|"&amp;AS$1&amp;"|Input"),IF(COUNTIF(Flows!$M$2:$M$1500,$A64&amp;"|"&amp;AS$1&amp;"|Output"),"I/O","IN"),IF(COUNTIF(Flows!$M$2:$M$1500,$A64&amp;"|"&amp;AS$1&amp;"|Output"),"OUT",""))</f>
        <v/>
      </c>
      <c r="AT64" s="33" t="str">
        <f aca="false">IF(COUNTIF(Flows!$M$2:$M$1500,$A64&amp;"|"&amp;AT$1&amp;"|Input"),IF(COUNTIF(Flows!$M$2:$M$1500,$A64&amp;"|"&amp;AT$1&amp;"|Output"),"I/O","IN"),IF(COUNTIF(Flows!$M$2:$M$1500,$A64&amp;"|"&amp;AT$1&amp;"|Output"),"OUT",""))</f>
        <v/>
      </c>
      <c r="AU64" s="33" t="str">
        <f aca="false">IF(COUNTIF(Flows!$M$2:$M$1500,$A64&amp;"|"&amp;AU$1&amp;"|Input"),IF(COUNTIF(Flows!$M$2:$M$1500,$A64&amp;"|"&amp;AU$1&amp;"|Output"),"I/O","IN"),IF(COUNTIF(Flows!$M$2:$M$1500,$A64&amp;"|"&amp;AU$1&amp;"|Output"),"OUT",""))</f>
        <v/>
      </c>
      <c r="AV64" s="33" t="str">
        <f aca="false">IF(COUNTIF(Flows!$M$2:$M$1500,$A64&amp;"|"&amp;AV$1&amp;"|Input"),IF(COUNTIF(Flows!$M$2:$M$1500,$A64&amp;"|"&amp;AV$1&amp;"|Output"),"I/O","IN"),IF(COUNTIF(Flows!$M$2:$M$1500,$A64&amp;"|"&amp;AV$1&amp;"|Output"),"OUT",""))</f>
        <v/>
      </c>
      <c r="AW64" s="33" t="str">
        <f aca="false">IF(COUNTIF(Flows!$M$2:$M$1500,$A64&amp;"|"&amp;AW$1&amp;"|Input"),IF(COUNTIF(Flows!$M$2:$M$1500,$A64&amp;"|"&amp;AW$1&amp;"|Output"),"I/O","IN"),IF(COUNTIF(Flows!$M$2:$M$1500,$A64&amp;"|"&amp;AW$1&amp;"|Output"),"OUT",""))</f>
        <v/>
      </c>
      <c r="AX64" s="33" t="str">
        <f aca="false">IF(COUNTIF(Flows!$M$2:$M$1500,$A64&amp;"|"&amp;AX$1&amp;"|Input"),IF(COUNTIF(Flows!$M$2:$M$1500,$A64&amp;"|"&amp;AX$1&amp;"|Output"),"I/O","IN"),IF(COUNTIF(Flows!$M$2:$M$1500,$A64&amp;"|"&amp;AX$1&amp;"|Output"),"OUT",""))</f>
        <v/>
      </c>
      <c r="AY64" s="33" t="str">
        <f aca="false">IF(COUNTIF(Flows!$M$2:$M$1500,$A64&amp;"|"&amp;AY$1&amp;"|Input"),IF(COUNTIF(Flows!$M$2:$M$1500,$A64&amp;"|"&amp;AY$1&amp;"|Output"),"I/O","IN"),IF(COUNTIF(Flows!$M$2:$M$1500,$A64&amp;"|"&amp;AY$1&amp;"|Output"),"OUT",""))</f>
        <v/>
      </c>
      <c r="AZ64" s="33" t="str">
        <f aca="false">IF(COUNTIF(Flows!$M$2:$M$1500,$A64&amp;"|"&amp;AZ$1&amp;"|Input"),IF(COUNTIF(Flows!$M$2:$M$1500,$A64&amp;"|"&amp;AZ$1&amp;"|Output"),"I/O","IN"),IF(COUNTIF(Flows!$M$2:$M$1500,$A64&amp;"|"&amp;AZ$1&amp;"|Output"),"OUT",""))</f>
        <v/>
      </c>
      <c r="BA64" s="33" t="str">
        <f aca="false">IF(COUNTIF(Flows!$M$2:$M$1500,$A64&amp;"|"&amp;BA$1&amp;"|Input"),IF(COUNTIF(Flows!$M$2:$M$1500,$A64&amp;"|"&amp;BA$1&amp;"|Output"),"I/O","IN"),IF(COUNTIF(Flows!$M$2:$M$1500,$A64&amp;"|"&amp;BA$1&amp;"|Output"),"OUT",""))</f>
        <v/>
      </c>
      <c r="BB64" s="33" t="str">
        <f aca="false">IF(COUNTIF(Flows!$M$2:$M$1500,$A64&amp;"|"&amp;BB$1&amp;"|Input"),IF(COUNTIF(Flows!$M$2:$M$1500,$A64&amp;"|"&amp;BB$1&amp;"|Output"),"I/O","IN"),IF(COUNTIF(Flows!$M$2:$M$1500,$A64&amp;"|"&amp;BB$1&amp;"|Output"),"OUT",""))</f>
        <v/>
      </c>
      <c r="BC64" s="33" t="str">
        <f aca="false">IF(COUNTIF(Flows!$M$2:$M$1500,$A64&amp;"|"&amp;BC$1&amp;"|Input"),IF(COUNTIF(Flows!$M$2:$M$1500,$A64&amp;"|"&amp;BC$1&amp;"|Output"),"I/O","IN"),IF(COUNTIF(Flows!$M$2:$M$1500,$A64&amp;"|"&amp;BC$1&amp;"|Output"),"OUT",""))</f>
        <v/>
      </c>
      <c r="BD64" s="33" t="str">
        <f aca="false">IF(COUNTIF(Flows!$M$2:$M$1500,$A64&amp;"|"&amp;BD$1&amp;"|Input"),IF(COUNTIF(Flows!$M$2:$M$1500,$A64&amp;"|"&amp;BD$1&amp;"|Output"),"I/O","IN"),IF(COUNTIF(Flows!$M$2:$M$1500,$A64&amp;"|"&amp;BD$1&amp;"|Output"),"OUT",""))</f>
        <v/>
      </c>
      <c r="BE64" s="33" t="str">
        <f aca="false">IF(COUNTIF(Flows!$M$2:$M$1500,$A64&amp;"|"&amp;BE$1&amp;"|Input"),IF(COUNTIF(Flows!$M$2:$M$1500,$A64&amp;"|"&amp;BE$1&amp;"|Output"),"I/O","IN"),IF(COUNTIF(Flows!$M$2:$M$1500,$A64&amp;"|"&amp;BE$1&amp;"|Output"),"OUT",""))</f>
        <v/>
      </c>
      <c r="BF64" s="33" t="str">
        <f aca="false">IF(COUNTIF(Flows!$M$2:$M$1500,$A64&amp;"|"&amp;BF$1&amp;"|Input"),IF(COUNTIF(Flows!$M$2:$M$1500,$A64&amp;"|"&amp;BF$1&amp;"|Output"),"I/O","IN"),IF(COUNTIF(Flows!$M$2:$M$1500,$A64&amp;"|"&amp;BF$1&amp;"|Output"),"OUT",""))</f>
        <v/>
      </c>
      <c r="BG64" s="33" t="str">
        <f aca="false">IF(COUNTIF(Flows!$M$2:$M$1500,$A64&amp;"|"&amp;BG$1&amp;"|Input"),IF(COUNTIF(Flows!$M$2:$M$1500,$A64&amp;"|"&amp;BG$1&amp;"|Output"),"I/O","IN"),IF(COUNTIF(Flows!$M$2:$M$1500,$A64&amp;"|"&amp;BG$1&amp;"|Output"),"OUT",""))</f>
        <v/>
      </c>
      <c r="BH64" s="33" t="str">
        <f aca="false">IF(COUNTIF(Flows!$M$2:$M$1500,$A64&amp;"|"&amp;BH$1&amp;"|Input"),IF(COUNTIF(Flows!$M$2:$M$1500,$A64&amp;"|"&amp;BH$1&amp;"|Output"),"I/O","IN"),IF(COUNTIF(Flows!$M$2:$M$1500,$A64&amp;"|"&amp;BH$1&amp;"|Output"),"OUT",""))</f>
        <v/>
      </c>
      <c r="BI64" s="33" t="str">
        <f aca="false">IF(COUNTIF(Flows!$M$2:$M$1500,$A64&amp;"|"&amp;BI$1&amp;"|Input"),IF(COUNTIF(Flows!$M$2:$M$1500,$A64&amp;"|"&amp;BI$1&amp;"|Output"),"I/O","IN"),IF(COUNTIF(Flows!$M$2:$M$1500,$A64&amp;"|"&amp;BI$1&amp;"|Output"),"OUT",""))</f>
        <v/>
      </c>
      <c r="BJ64" s="33" t="str">
        <f aca="false">IF(COUNTIF(Flows!$M$2:$M$1500,$A64&amp;"|"&amp;BJ$1&amp;"|Input"),IF(COUNTIF(Flows!$M$2:$M$1500,$A64&amp;"|"&amp;BJ$1&amp;"|Output"),"I/O","IN"),IF(COUNTIF(Flows!$M$2:$M$1500,$A64&amp;"|"&amp;BJ$1&amp;"|Output"),"OUT",""))</f>
        <v/>
      </c>
      <c r="BK64" s="33" t="str">
        <f aca="false">IF(COUNTIF(Flows!$M$2:$M$1500,$A64&amp;"|"&amp;BK$1&amp;"|Input"),IF(COUNTIF(Flows!$M$2:$M$1500,$A64&amp;"|"&amp;BK$1&amp;"|Output"),"I/O","IN"),IF(COUNTIF(Flows!$M$2:$M$1500,$A64&amp;"|"&amp;BK$1&amp;"|Output"),"OUT",""))</f>
        <v>OUT</v>
      </c>
    </row>
    <row r="65" customFormat="false" ht="15" hidden="false" customHeight="true" outlineLevel="0" collapsed="false">
      <c r="A65" s="6" t="str">
        <f aca="false">Systems!B65</f>
        <v>LED Light</v>
      </c>
      <c r="B65" s="33" t="str">
        <f aca="false">IF(COUNTIF(Flows!$M$2:$M$1500,$A65&amp;"|"&amp;B$1&amp;"|Input"),IF(COUNTIF(Flows!$M$2:$M$1500,$A65&amp;"|"&amp;B$1&amp;"|Output"),"I/O","IN"),IF(COUNTIF(Flows!$M$2:$M$1500,$A65&amp;"|"&amp;B$1&amp;"|Output"),"OUT",""))</f>
        <v/>
      </c>
      <c r="C65" s="33" t="str">
        <f aca="false">IF(COUNTIF(Flows!$M$2:$M$1500,$A65&amp;"|"&amp;C$1&amp;"|Input"),IF(COUNTIF(Flows!$M$2:$M$1500,$A65&amp;"|"&amp;C$1&amp;"|Output"),"I/O","IN"),IF(COUNTIF(Flows!$M$2:$M$1500,$A65&amp;"|"&amp;C$1&amp;"|Output"),"OUT",""))</f>
        <v/>
      </c>
      <c r="D65" s="33" t="str">
        <f aca="false">IF(COUNTIF(Flows!$M$2:$M$1500,$A65&amp;"|"&amp;D$1&amp;"|Input"),IF(COUNTIF(Flows!$M$2:$M$1500,$A65&amp;"|"&amp;D$1&amp;"|Output"),"I/O","IN"),IF(COUNTIF(Flows!$M$2:$M$1500,$A65&amp;"|"&amp;D$1&amp;"|Output"),"OUT",""))</f>
        <v/>
      </c>
      <c r="E65" s="33" t="str">
        <f aca="false">IF(COUNTIF(Flows!$M$2:$M$1500,$A65&amp;"|"&amp;E$1&amp;"|Input"),IF(COUNTIF(Flows!$M$2:$M$1500,$A65&amp;"|"&amp;E$1&amp;"|Output"),"I/O","IN"),IF(COUNTIF(Flows!$M$2:$M$1500,$A65&amp;"|"&amp;E$1&amp;"|Output"),"OUT",""))</f>
        <v/>
      </c>
      <c r="F65" s="33" t="str">
        <f aca="false">IF(COUNTIF(Flows!$M$2:$M$1500,$A65&amp;"|"&amp;F$1&amp;"|Input"),IF(COUNTIF(Flows!$M$2:$M$1500,$A65&amp;"|"&amp;F$1&amp;"|Output"),"I/O","IN"),IF(COUNTIF(Flows!$M$2:$M$1500,$A65&amp;"|"&amp;F$1&amp;"|Output"),"OUT",""))</f>
        <v/>
      </c>
      <c r="G65" s="33" t="str">
        <f aca="false">IF(COUNTIF(Flows!$M$2:$M$1500,$A65&amp;"|"&amp;G$1&amp;"|Input"),IF(COUNTIF(Flows!$M$2:$M$1500,$A65&amp;"|"&amp;G$1&amp;"|Output"),"I/O","IN"),IF(COUNTIF(Flows!$M$2:$M$1500,$A65&amp;"|"&amp;G$1&amp;"|Output"),"OUT",""))</f>
        <v/>
      </c>
      <c r="H65" s="33" t="str">
        <f aca="false">IF(COUNTIF(Flows!$M$2:$M$1500,$A65&amp;"|"&amp;H$1&amp;"|Input"),IF(COUNTIF(Flows!$M$2:$M$1500,$A65&amp;"|"&amp;H$1&amp;"|Output"),"I/O","IN"),IF(COUNTIF(Flows!$M$2:$M$1500,$A65&amp;"|"&amp;H$1&amp;"|Output"),"OUT",""))</f>
        <v/>
      </c>
      <c r="I65" s="33" t="str">
        <f aca="false">IF(COUNTIF(Flows!$M$2:$M$1500,$A65&amp;"|"&amp;I$1&amp;"|Input"),IF(COUNTIF(Flows!$M$2:$M$1500,$A65&amp;"|"&amp;I$1&amp;"|Output"),"I/O","IN"),IF(COUNTIF(Flows!$M$2:$M$1500,$A65&amp;"|"&amp;I$1&amp;"|Output"),"OUT",""))</f>
        <v/>
      </c>
      <c r="J65" s="33" t="str">
        <f aca="false">IF(COUNTIF(Flows!$M$2:$M$1500,$A65&amp;"|"&amp;J$1&amp;"|Input"),IF(COUNTIF(Flows!$M$2:$M$1500,$A65&amp;"|"&amp;J$1&amp;"|Output"),"I/O","IN"),IF(COUNTIF(Flows!$M$2:$M$1500,$A65&amp;"|"&amp;J$1&amp;"|Output"),"OUT",""))</f>
        <v/>
      </c>
      <c r="K65" s="33" t="str">
        <f aca="false">IF(COUNTIF(Flows!$M$2:$M$1500,$A65&amp;"|"&amp;K$1&amp;"|Input"),IF(COUNTIF(Flows!$M$2:$M$1500,$A65&amp;"|"&amp;K$1&amp;"|Output"),"I/O","IN"),IF(COUNTIF(Flows!$M$2:$M$1500,$A65&amp;"|"&amp;K$1&amp;"|Output"),"OUT",""))</f>
        <v/>
      </c>
      <c r="L65" s="33" t="str">
        <f aca="false">IF(COUNTIF(Flows!$M$2:$M$1500,$A65&amp;"|"&amp;L$1&amp;"|Input"),IF(COUNTIF(Flows!$M$2:$M$1500,$A65&amp;"|"&amp;L$1&amp;"|Output"),"I/O","IN"),IF(COUNTIF(Flows!$M$2:$M$1500,$A65&amp;"|"&amp;L$1&amp;"|Output"),"OUT",""))</f>
        <v/>
      </c>
      <c r="M65" s="33" t="str">
        <f aca="false">IF(COUNTIF(Flows!$M$2:$M$1500,$A65&amp;"|"&amp;M$1&amp;"|Input"),IF(COUNTIF(Flows!$M$2:$M$1500,$A65&amp;"|"&amp;M$1&amp;"|Output"),"I/O","IN"),IF(COUNTIF(Flows!$M$2:$M$1500,$A65&amp;"|"&amp;M$1&amp;"|Output"),"OUT",""))</f>
        <v/>
      </c>
      <c r="N65" s="33" t="str">
        <f aca="false">IF(COUNTIF(Flows!$M$2:$M$1500,$A65&amp;"|"&amp;N$1&amp;"|Input"),IF(COUNTIF(Flows!$M$2:$M$1500,$A65&amp;"|"&amp;N$1&amp;"|Output"),"I/O","IN"),IF(COUNTIF(Flows!$M$2:$M$1500,$A65&amp;"|"&amp;N$1&amp;"|Output"),"OUT",""))</f>
        <v/>
      </c>
      <c r="O65" s="33" t="str">
        <f aca="false">IF(COUNTIF(Flows!$M$2:$M$1500,$A65&amp;"|"&amp;O$1&amp;"|Input"),IF(COUNTIF(Flows!$M$2:$M$1500,$A65&amp;"|"&amp;O$1&amp;"|Output"),"I/O","IN"),IF(COUNTIF(Flows!$M$2:$M$1500,$A65&amp;"|"&amp;O$1&amp;"|Output"),"OUT",""))</f>
        <v/>
      </c>
      <c r="P65" s="33" t="str">
        <f aca="false">IF(COUNTIF(Flows!$M$2:$M$1500,$A65&amp;"|"&amp;P$1&amp;"|Input"),IF(COUNTIF(Flows!$M$2:$M$1500,$A65&amp;"|"&amp;P$1&amp;"|Output"),"I/O","IN"),IF(COUNTIF(Flows!$M$2:$M$1500,$A65&amp;"|"&amp;P$1&amp;"|Output"),"OUT",""))</f>
        <v/>
      </c>
      <c r="Q65" s="33" t="str">
        <f aca="false">IF(COUNTIF(Flows!$M$2:$M$1500,$A65&amp;"|"&amp;Q$1&amp;"|Input"),IF(COUNTIF(Flows!$M$2:$M$1500,$A65&amp;"|"&amp;Q$1&amp;"|Output"),"I/O","IN"),IF(COUNTIF(Flows!$M$2:$M$1500,$A65&amp;"|"&amp;Q$1&amp;"|Output"),"OUT",""))</f>
        <v/>
      </c>
      <c r="R65" s="33" t="str">
        <f aca="false">IF(COUNTIF(Flows!$M$2:$M$1500,$A65&amp;"|"&amp;R$1&amp;"|Input"),IF(COUNTIF(Flows!$M$2:$M$1500,$A65&amp;"|"&amp;R$1&amp;"|Output"),"I/O","IN"),IF(COUNTIF(Flows!$M$2:$M$1500,$A65&amp;"|"&amp;R$1&amp;"|Output"),"OUT",""))</f>
        <v/>
      </c>
      <c r="S65" s="33" t="str">
        <f aca="false">IF(COUNTIF(Flows!$M$2:$M$1500,$A65&amp;"|"&amp;S$1&amp;"|Input"),IF(COUNTIF(Flows!$M$2:$M$1500,$A65&amp;"|"&amp;S$1&amp;"|Output"),"I/O","IN"),IF(COUNTIF(Flows!$M$2:$M$1500,$A65&amp;"|"&amp;S$1&amp;"|Output"),"OUT",""))</f>
        <v>IN</v>
      </c>
      <c r="T65" s="33" t="str">
        <f aca="false">IF(COUNTIF(Flows!$M$2:$M$1500,$A65&amp;"|"&amp;T$1&amp;"|Input"),IF(COUNTIF(Flows!$M$2:$M$1500,$A65&amp;"|"&amp;T$1&amp;"|Output"),"I/O","IN"),IF(COUNTIF(Flows!$M$2:$M$1500,$A65&amp;"|"&amp;T$1&amp;"|Output"),"OUT",""))</f>
        <v/>
      </c>
      <c r="U65" s="33" t="str">
        <f aca="false">IF(COUNTIF(Flows!$M$2:$M$1500,$A65&amp;"|"&amp;U$1&amp;"|Input"),IF(COUNTIF(Flows!$M$2:$M$1500,$A65&amp;"|"&amp;U$1&amp;"|Output"),"I/O","IN"),IF(COUNTIF(Flows!$M$2:$M$1500,$A65&amp;"|"&amp;U$1&amp;"|Output"),"OUT",""))</f>
        <v/>
      </c>
      <c r="V65" s="33" t="str">
        <f aca="false">IF(COUNTIF(Flows!$M$2:$M$1500,$A65&amp;"|"&amp;V$1&amp;"|Input"),IF(COUNTIF(Flows!$M$2:$M$1500,$A65&amp;"|"&amp;V$1&amp;"|Output"),"I/O","IN"),IF(COUNTIF(Flows!$M$2:$M$1500,$A65&amp;"|"&amp;V$1&amp;"|Output"),"OUT",""))</f>
        <v/>
      </c>
      <c r="W65" s="33" t="str">
        <f aca="false">IF(COUNTIF(Flows!$M$2:$M$1500,$A65&amp;"|"&amp;W$1&amp;"|Input"),IF(COUNTIF(Flows!$M$2:$M$1500,$A65&amp;"|"&amp;W$1&amp;"|Output"),"I/O","IN"),IF(COUNTIF(Flows!$M$2:$M$1500,$A65&amp;"|"&amp;W$1&amp;"|Output"),"OUT",""))</f>
        <v/>
      </c>
      <c r="X65" s="33" t="str">
        <f aca="false">IF(COUNTIF(Flows!$M$2:$M$1500,$A65&amp;"|"&amp;X$1&amp;"|Input"),IF(COUNTIF(Flows!$M$2:$M$1500,$A65&amp;"|"&amp;X$1&amp;"|Output"),"I/O","IN"),IF(COUNTIF(Flows!$M$2:$M$1500,$A65&amp;"|"&amp;X$1&amp;"|Output"),"OUT",""))</f>
        <v/>
      </c>
      <c r="Y65" s="33" t="str">
        <f aca="false">IF(COUNTIF(Flows!$M$2:$M$1500,$A65&amp;"|"&amp;Y$1&amp;"|Input"),IF(COUNTIF(Flows!$M$2:$M$1500,$A65&amp;"|"&amp;Y$1&amp;"|Output"),"I/O","IN"),IF(COUNTIF(Flows!$M$2:$M$1500,$A65&amp;"|"&amp;Y$1&amp;"|Output"),"OUT",""))</f>
        <v/>
      </c>
      <c r="Z65" s="33" t="str">
        <f aca="false">IF(COUNTIF(Flows!$M$2:$M$1500,$A65&amp;"|"&amp;Z$1&amp;"|Input"),IF(COUNTIF(Flows!$M$2:$M$1500,$A65&amp;"|"&amp;Z$1&amp;"|Output"),"I/O","IN"),IF(COUNTIF(Flows!$M$2:$M$1500,$A65&amp;"|"&amp;Z$1&amp;"|Output"),"OUT",""))</f>
        <v/>
      </c>
      <c r="AA65" s="33" t="str">
        <f aca="false">IF(COUNTIF(Flows!$M$2:$M$1500,$A65&amp;"|"&amp;AA$1&amp;"|Input"),IF(COUNTIF(Flows!$M$2:$M$1500,$A65&amp;"|"&amp;AA$1&amp;"|Output"),"I/O","IN"),IF(COUNTIF(Flows!$M$2:$M$1500,$A65&amp;"|"&amp;AA$1&amp;"|Output"),"OUT",""))</f>
        <v/>
      </c>
      <c r="AB65" s="33" t="str">
        <f aca="false">IF(COUNTIF(Flows!$M$2:$M$1500,$A65&amp;"|"&amp;AB$1&amp;"|Input"),IF(COUNTIF(Flows!$M$2:$M$1500,$A65&amp;"|"&amp;AB$1&amp;"|Output"),"I/O","IN"),IF(COUNTIF(Flows!$M$2:$M$1500,$A65&amp;"|"&amp;AB$1&amp;"|Output"),"OUT",""))</f>
        <v/>
      </c>
      <c r="AC65" s="33" t="str">
        <f aca="false">IF(COUNTIF(Flows!$M$2:$M$1500,$A65&amp;"|"&amp;AC$1&amp;"|Input"),IF(COUNTIF(Flows!$M$2:$M$1500,$A65&amp;"|"&amp;AC$1&amp;"|Output"),"I/O","IN"),IF(COUNTIF(Flows!$M$2:$M$1500,$A65&amp;"|"&amp;AC$1&amp;"|Output"),"OUT",""))</f>
        <v/>
      </c>
      <c r="AD65" s="33" t="str">
        <f aca="false">IF(COUNTIF(Flows!$M$2:$M$1500,$A65&amp;"|"&amp;AD$1&amp;"|Input"),IF(COUNTIF(Flows!$M$2:$M$1500,$A65&amp;"|"&amp;AD$1&amp;"|Output"),"I/O","IN"),IF(COUNTIF(Flows!$M$2:$M$1500,$A65&amp;"|"&amp;AD$1&amp;"|Output"),"OUT",""))</f>
        <v/>
      </c>
      <c r="AE65" s="33" t="str">
        <f aca="false">IF(COUNTIF(Flows!$M$2:$M$1500,$A65&amp;"|"&amp;AE$1&amp;"|Input"),IF(COUNTIF(Flows!$M$2:$M$1500,$A65&amp;"|"&amp;AE$1&amp;"|Output"),"I/O","IN"),IF(COUNTIF(Flows!$M$2:$M$1500,$A65&amp;"|"&amp;AE$1&amp;"|Output"),"OUT",""))</f>
        <v/>
      </c>
      <c r="AF65" s="33" t="str">
        <f aca="false">IF(COUNTIF(Flows!$M$2:$M$1500,$A65&amp;"|"&amp;AF$1&amp;"|Input"),IF(COUNTIF(Flows!$M$2:$M$1500,$A65&amp;"|"&amp;AF$1&amp;"|Output"),"I/O","IN"),IF(COUNTIF(Flows!$M$2:$M$1500,$A65&amp;"|"&amp;AF$1&amp;"|Output"),"OUT",""))</f>
        <v/>
      </c>
      <c r="AG65" s="33" t="str">
        <f aca="false">IF(COUNTIF(Flows!$M$2:$M$1500,$A65&amp;"|"&amp;AG$1&amp;"|Input"),IF(COUNTIF(Flows!$M$2:$M$1500,$A65&amp;"|"&amp;AG$1&amp;"|Output"),"I/O","IN"),IF(COUNTIF(Flows!$M$2:$M$1500,$A65&amp;"|"&amp;AG$1&amp;"|Output"),"OUT",""))</f>
        <v/>
      </c>
      <c r="AH65" s="33" t="str">
        <f aca="false">IF(COUNTIF(Flows!$M$2:$M$1500,$A65&amp;"|"&amp;AH$1&amp;"|Input"),IF(COUNTIF(Flows!$M$2:$M$1500,$A65&amp;"|"&amp;AH$1&amp;"|Output"),"I/O","IN"),IF(COUNTIF(Flows!$M$2:$M$1500,$A65&amp;"|"&amp;AH$1&amp;"|Output"),"OUT",""))</f>
        <v/>
      </c>
      <c r="AI65" s="33" t="str">
        <f aca="false">IF(COUNTIF(Flows!$M$2:$M$1500,$A65&amp;"|"&amp;AI$1&amp;"|Input"),IF(COUNTIF(Flows!$M$2:$M$1500,$A65&amp;"|"&amp;AI$1&amp;"|Output"),"I/O","IN"),IF(COUNTIF(Flows!$M$2:$M$1500,$A65&amp;"|"&amp;AI$1&amp;"|Output"),"OUT",""))</f>
        <v/>
      </c>
      <c r="AJ65" s="33" t="str">
        <f aca="false">IF(COUNTIF(Flows!$M$2:$M$1500,$A65&amp;"|"&amp;AJ$1&amp;"|Input"),IF(COUNTIF(Flows!$M$2:$M$1500,$A65&amp;"|"&amp;AJ$1&amp;"|Output"),"I/O","IN"),IF(COUNTIF(Flows!$M$2:$M$1500,$A65&amp;"|"&amp;AJ$1&amp;"|Output"),"OUT",""))</f>
        <v/>
      </c>
      <c r="AK65" s="33" t="str">
        <f aca="false">IF(COUNTIF(Flows!$M$2:$M$1500,$A65&amp;"|"&amp;AK$1&amp;"|Input"),IF(COUNTIF(Flows!$M$2:$M$1500,$A65&amp;"|"&amp;AK$1&amp;"|Output"),"I/O","IN"),IF(COUNTIF(Flows!$M$2:$M$1500,$A65&amp;"|"&amp;AK$1&amp;"|Output"),"OUT",""))</f>
        <v/>
      </c>
      <c r="AL65" s="33" t="str">
        <f aca="false">IF(COUNTIF(Flows!$M$2:$M$1500,$A65&amp;"|"&amp;AL$1&amp;"|Input"),IF(COUNTIF(Flows!$M$2:$M$1500,$A65&amp;"|"&amp;AL$1&amp;"|Output"),"I/O","IN"),IF(COUNTIF(Flows!$M$2:$M$1500,$A65&amp;"|"&amp;AL$1&amp;"|Output"),"OUT",""))</f>
        <v/>
      </c>
      <c r="AM65" s="33" t="str">
        <f aca="false">IF(COUNTIF(Flows!$M$2:$M$1500,$A65&amp;"|"&amp;AM$1&amp;"|Input"),IF(COUNTIF(Flows!$M$2:$M$1500,$A65&amp;"|"&amp;AM$1&amp;"|Output"),"I/O","IN"),IF(COUNTIF(Flows!$M$2:$M$1500,$A65&amp;"|"&amp;AM$1&amp;"|Output"),"OUT",""))</f>
        <v/>
      </c>
      <c r="AN65" s="33" t="str">
        <f aca="false">IF(COUNTIF(Flows!$M$2:$M$1500,$A65&amp;"|"&amp;AN$1&amp;"|Input"),IF(COUNTIF(Flows!$M$2:$M$1500,$A65&amp;"|"&amp;AN$1&amp;"|Output"),"I/O","IN"),IF(COUNTIF(Flows!$M$2:$M$1500,$A65&amp;"|"&amp;AN$1&amp;"|Output"),"OUT",""))</f>
        <v/>
      </c>
      <c r="AO65" s="33" t="str">
        <f aca="false">IF(COUNTIF(Flows!$M$2:$M$1500,$A65&amp;"|"&amp;AO$1&amp;"|Input"),IF(COUNTIF(Flows!$M$2:$M$1500,$A65&amp;"|"&amp;AO$1&amp;"|Output"),"I/O","IN"),IF(COUNTIF(Flows!$M$2:$M$1500,$A65&amp;"|"&amp;AO$1&amp;"|Output"),"OUT",""))</f>
        <v/>
      </c>
      <c r="AP65" s="33" t="str">
        <f aca="false">IF(COUNTIF(Flows!$M$2:$M$1500,$A65&amp;"|"&amp;AP$1&amp;"|Input"),IF(COUNTIF(Flows!$M$2:$M$1500,$A65&amp;"|"&amp;AP$1&amp;"|Output"),"I/O","IN"),IF(COUNTIF(Flows!$M$2:$M$1500,$A65&amp;"|"&amp;AP$1&amp;"|Output"),"OUT",""))</f>
        <v/>
      </c>
      <c r="AQ65" s="33" t="str">
        <f aca="false">IF(COUNTIF(Flows!$M$2:$M$1500,$A65&amp;"|"&amp;AQ$1&amp;"|Input"),IF(COUNTIF(Flows!$M$2:$M$1500,$A65&amp;"|"&amp;AQ$1&amp;"|Output"),"I/O","IN"),IF(COUNTIF(Flows!$M$2:$M$1500,$A65&amp;"|"&amp;AQ$1&amp;"|Output"),"OUT",""))</f>
        <v/>
      </c>
      <c r="AR65" s="33" t="str">
        <f aca="false">IF(COUNTIF(Flows!$M$2:$M$1500,$A65&amp;"|"&amp;AR$1&amp;"|Input"),IF(COUNTIF(Flows!$M$2:$M$1500,$A65&amp;"|"&amp;AR$1&amp;"|Output"),"I/O","IN"),IF(COUNTIF(Flows!$M$2:$M$1500,$A65&amp;"|"&amp;AR$1&amp;"|Output"),"OUT",""))</f>
        <v/>
      </c>
      <c r="AS65" s="33" t="str">
        <f aca="false">IF(COUNTIF(Flows!$M$2:$M$1500,$A65&amp;"|"&amp;AS$1&amp;"|Input"),IF(COUNTIF(Flows!$M$2:$M$1500,$A65&amp;"|"&amp;AS$1&amp;"|Output"),"I/O","IN"),IF(COUNTIF(Flows!$M$2:$M$1500,$A65&amp;"|"&amp;AS$1&amp;"|Output"),"OUT",""))</f>
        <v/>
      </c>
      <c r="AT65" s="33" t="str">
        <f aca="false">IF(COUNTIF(Flows!$M$2:$M$1500,$A65&amp;"|"&amp;AT$1&amp;"|Input"),IF(COUNTIF(Flows!$M$2:$M$1500,$A65&amp;"|"&amp;AT$1&amp;"|Output"),"I/O","IN"),IF(COUNTIF(Flows!$M$2:$M$1500,$A65&amp;"|"&amp;AT$1&amp;"|Output"),"OUT",""))</f>
        <v/>
      </c>
      <c r="AU65" s="33" t="str">
        <f aca="false">IF(COUNTIF(Flows!$M$2:$M$1500,$A65&amp;"|"&amp;AU$1&amp;"|Input"),IF(COUNTIF(Flows!$M$2:$M$1500,$A65&amp;"|"&amp;AU$1&amp;"|Output"),"I/O","IN"),IF(COUNTIF(Flows!$M$2:$M$1500,$A65&amp;"|"&amp;AU$1&amp;"|Output"),"OUT",""))</f>
        <v/>
      </c>
      <c r="AV65" s="33" t="str">
        <f aca="false">IF(COUNTIF(Flows!$M$2:$M$1500,$A65&amp;"|"&amp;AV$1&amp;"|Input"),IF(COUNTIF(Flows!$M$2:$M$1500,$A65&amp;"|"&amp;AV$1&amp;"|Output"),"I/O","IN"),IF(COUNTIF(Flows!$M$2:$M$1500,$A65&amp;"|"&amp;AV$1&amp;"|Output"),"OUT",""))</f>
        <v/>
      </c>
      <c r="AW65" s="33" t="str">
        <f aca="false">IF(COUNTIF(Flows!$M$2:$M$1500,$A65&amp;"|"&amp;AW$1&amp;"|Input"),IF(COUNTIF(Flows!$M$2:$M$1500,$A65&amp;"|"&amp;AW$1&amp;"|Output"),"I/O","IN"),IF(COUNTIF(Flows!$M$2:$M$1500,$A65&amp;"|"&amp;AW$1&amp;"|Output"),"OUT",""))</f>
        <v/>
      </c>
      <c r="AX65" s="33" t="str">
        <f aca="false">IF(COUNTIF(Flows!$M$2:$M$1500,$A65&amp;"|"&amp;AX$1&amp;"|Input"),IF(COUNTIF(Flows!$M$2:$M$1500,$A65&amp;"|"&amp;AX$1&amp;"|Output"),"I/O","IN"),IF(COUNTIF(Flows!$M$2:$M$1500,$A65&amp;"|"&amp;AX$1&amp;"|Output"),"OUT",""))</f>
        <v/>
      </c>
      <c r="AY65" s="33" t="str">
        <f aca="false">IF(COUNTIF(Flows!$M$2:$M$1500,$A65&amp;"|"&amp;AY$1&amp;"|Input"),IF(COUNTIF(Flows!$M$2:$M$1500,$A65&amp;"|"&amp;AY$1&amp;"|Output"),"I/O","IN"),IF(COUNTIF(Flows!$M$2:$M$1500,$A65&amp;"|"&amp;AY$1&amp;"|Output"),"OUT",""))</f>
        <v/>
      </c>
      <c r="AZ65" s="33" t="str">
        <f aca="false">IF(COUNTIF(Flows!$M$2:$M$1500,$A65&amp;"|"&amp;AZ$1&amp;"|Input"),IF(COUNTIF(Flows!$M$2:$M$1500,$A65&amp;"|"&amp;AZ$1&amp;"|Output"),"I/O","IN"),IF(COUNTIF(Flows!$M$2:$M$1500,$A65&amp;"|"&amp;AZ$1&amp;"|Output"),"OUT",""))</f>
        <v/>
      </c>
      <c r="BA65" s="33" t="str">
        <f aca="false">IF(COUNTIF(Flows!$M$2:$M$1500,$A65&amp;"|"&amp;BA$1&amp;"|Input"),IF(COUNTIF(Flows!$M$2:$M$1500,$A65&amp;"|"&amp;BA$1&amp;"|Output"),"I/O","IN"),IF(COUNTIF(Flows!$M$2:$M$1500,$A65&amp;"|"&amp;BA$1&amp;"|Output"),"OUT",""))</f>
        <v/>
      </c>
      <c r="BB65" s="33" t="str">
        <f aca="false">IF(COUNTIF(Flows!$M$2:$M$1500,$A65&amp;"|"&amp;BB$1&amp;"|Input"),IF(COUNTIF(Flows!$M$2:$M$1500,$A65&amp;"|"&amp;BB$1&amp;"|Output"),"I/O","IN"),IF(COUNTIF(Flows!$M$2:$M$1500,$A65&amp;"|"&amp;BB$1&amp;"|Output"),"OUT",""))</f>
        <v/>
      </c>
      <c r="BC65" s="33" t="str">
        <f aca="false">IF(COUNTIF(Flows!$M$2:$M$1500,$A65&amp;"|"&amp;BC$1&amp;"|Input"),IF(COUNTIF(Flows!$M$2:$M$1500,$A65&amp;"|"&amp;BC$1&amp;"|Output"),"I/O","IN"),IF(COUNTIF(Flows!$M$2:$M$1500,$A65&amp;"|"&amp;BC$1&amp;"|Output"),"OUT",""))</f>
        <v/>
      </c>
      <c r="BD65" s="33" t="str">
        <f aca="false">IF(COUNTIF(Flows!$M$2:$M$1500,$A65&amp;"|"&amp;BD$1&amp;"|Input"),IF(COUNTIF(Flows!$M$2:$M$1500,$A65&amp;"|"&amp;BD$1&amp;"|Output"),"I/O","IN"),IF(COUNTIF(Flows!$M$2:$M$1500,$A65&amp;"|"&amp;BD$1&amp;"|Output"),"OUT",""))</f>
        <v/>
      </c>
      <c r="BE65" s="33" t="str">
        <f aca="false">IF(COUNTIF(Flows!$M$2:$M$1500,$A65&amp;"|"&amp;BE$1&amp;"|Input"),IF(COUNTIF(Flows!$M$2:$M$1500,$A65&amp;"|"&amp;BE$1&amp;"|Output"),"I/O","IN"),IF(COUNTIF(Flows!$M$2:$M$1500,$A65&amp;"|"&amp;BE$1&amp;"|Output"),"OUT",""))</f>
        <v/>
      </c>
      <c r="BF65" s="33" t="str">
        <f aca="false">IF(COUNTIF(Flows!$M$2:$M$1500,$A65&amp;"|"&amp;BF$1&amp;"|Input"),IF(COUNTIF(Flows!$M$2:$M$1500,$A65&amp;"|"&amp;BF$1&amp;"|Output"),"I/O","IN"),IF(COUNTIF(Flows!$M$2:$M$1500,$A65&amp;"|"&amp;BF$1&amp;"|Output"),"OUT",""))</f>
        <v/>
      </c>
      <c r="BG65" s="33" t="str">
        <f aca="false">IF(COUNTIF(Flows!$M$2:$M$1500,$A65&amp;"|"&amp;BG$1&amp;"|Input"),IF(COUNTIF(Flows!$M$2:$M$1500,$A65&amp;"|"&amp;BG$1&amp;"|Output"),"I/O","IN"),IF(COUNTIF(Flows!$M$2:$M$1500,$A65&amp;"|"&amp;BG$1&amp;"|Output"),"OUT",""))</f>
        <v/>
      </c>
      <c r="BH65" s="33" t="str">
        <f aca="false">IF(COUNTIF(Flows!$M$2:$M$1500,$A65&amp;"|"&amp;BH$1&amp;"|Input"),IF(COUNTIF(Flows!$M$2:$M$1500,$A65&amp;"|"&amp;BH$1&amp;"|Output"),"I/O","IN"),IF(COUNTIF(Flows!$M$2:$M$1500,$A65&amp;"|"&amp;BH$1&amp;"|Output"),"OUT",""))</f>
        <v/>
      </c>
      <c r="BI65" s="33" t="str">
        <f aca="false">IF(COUNTIF(Flows!$M$2:$M$1500,$A65&amp;"|"&amp;BI$1&amp;"|Input"),IF(COUNTIF(Flows!$M$2:$M$1500,$A65&amp;"|"&amp;BI$1&amp;"|Output"),"I/O","IN"),IF(COUNTIF(Flows!$M$2:$M$1500,$A65&amp;"|"&amp;BI$1&amp;"|Output"),"OUT",""))</f>
        <v/>
      </c>
      <c r="BJ65" s="33" t="str">
        <f aca="false">IF(COUNTIF(Flows!$M$2:$M$1500,$A65&amp;"|"&amp;BJ$1&amp;"|Input"),IF(COUNTIF(Flows!$M$2:$M$1500,$A65&amp;"|"&amp;BJ$1&amp;"|Output"),"I/O","IN"),IF(COUNTIF(Flows!$M$2:$M$1500,$A65&amp;"|"&amp;BJ$1&amp;"|Output"),"OUT",""))</f>
        <v/>
      </c>
      <c r="BK65" s="33" t="str">
        <f aca="false">IF(COUNTIF(Flows!$M$2:$M$1500,$A65&amp;"|"&amp;BK$1&amp;"|Input"),IF(COUNTIF(Flows!$M$2:$M$1500,$A65&amp;"|"&amp;BK$1&amp;"|Output"),"I/O","IN"),IF(COUNTIF(Flows!$M$2:$M$1500,$A65&amp;"|"&amp;BK$1&amp;"|Output"),"OUT",""))</f>
        <v>OUT</v>
      </c>
    </row>
    <row r="66" customFormat="false" ht="15" hidden="false" customHeight="true" outlineLevel="0" collapsed="false">
      <c r="A66" s="6" t="str">
        <f aca="false">Systems!B66</f>
        <v>Oak Tree</v>
      </c>
      <c r="B66" s="33" t="str">
        <f aca="false">IF(COUNTIF(Flows!$M$2:$M$1500,$A66&amp;"|"&amp;B$1&amp;"|Input"),IF(COUNTIF(Flows!$M$2:$M$1500,$A66&amp;"|"&amp;B$1&amp;"|Output"),"I/O","IN"),IF(COUNTIF(Flows!$M$2:$M$1500,$A66&amp;"|"&amp;B$1&amp;"|Output"),"OUT",""))</f>
        <v>IN</v>
      </c>
      <c r="C66" s="33" t="str">
        <f aca="false">IF(COUNTIF(Flows!$M$2:$M$1500,$A66&amp;"|"&amp;C$1&amp;"|Input"),IF(COUNTIF(Flows!$M$2:$M$1500,$A66&amp;"|"&amp;C$1&amp;"|Output"),"I/O","IN"),IF(COUNTIF(Flows!$M$2:$M$1500,$A66&amp;"|"&amp;C$1&amp;"|Output"),"OUT",""))</f>
        <v/>
      </c>
      <c r="D66" s="33" t="str">
        <f aca="false">IF(COUNTIF(Flows!$M$2:$M$1500,$A66&amp;"|"&amp;D$1&amp;"|Input"),IF(COUNTIF(Flows!$M$2:$M$1500,$A66&amp;"|"&amp;D$1&amp;"|Output"),"I/O","IN"),IF(COUNTIF(Flows!$M$2:$M$1500,$A66&amp;"|"&amp;D$1&amp;"|Output"),"OUT",""))</f>
        <v/>
      </c>
      <c r="E66" s="33" t="str">
        <f aca="false">IF(COUNTIF(Flows!$M$2:$M$1500,$A66&amp;"|"&amp;E$1&amp;"|Input"),IF(COUNTIF(Flows!$M$2:$M$1500,$A66&amp;"|"&amp;E$1&amp;"|Output"),"I/O","IN"),IF(COUNTIF(Flows!$M$2:$M$1500,$A66&amp;"|"&amp;E$1&amp;"|Output"),"OUT",""))</f>
        <v/>
      </c>
      <c r="F66" s="33" t="str">
        <f aca="false">IF(COUNTIF(Flows!$M$2:$M$1500,$A66&amp;"|"&amp;F$1&amp;"|Input"),IF(COUNTIF(Flows!$M$2:$M$1500,$A66&amp;"|"&amp;F$1&amp;"|Output"),"I/O","IN"),IF(COUNTIF(Flows!$M$2:$M$1500,$A66&amp;"|"&amp;F$1&amp;"|Output"),"OUT",""))</f>
        <v/>
      </c>
      <c r="G66" s="33" t="str">
        <f aca="false">IF(COUNTIF(Flows!$M$2:$M$1500,$A66&amp;"|"&amp;G$1&amp;"|Input"),IF(COUNTIF(Flows!$M$2:$M$1500,$A66&amp;"|"&amp;G$1&amp;"|Output"),"I/O","IN"),IF(COUNTIF(Flows!$M$2:$M$1500,$A66&amp;"|"&amp;G$1&amp;"|Output"),"OUT",""))</f>
        <v/>
      </c>
      <c r="H66" s="33" t="str">
        <f aca="false">IF(COUNTIF(Flows!$M$2:$M$1500,$A66&amp;"|"&amp;H$1&amp;"|Input"),IF(COUNTIF(Flows!$M$2:$M$1500,$A66&amp;"|"&amp;H$1&amp;"|Output"),"I/O","IN"),IF(COUNTIF(Flows!$M$2:$M$1500,$A66&amp;"|"&amp;H$1&amp;"|Output"),"OUT",""))</f>
        <v/>
      </c>
      <c r="I66" s="33" t="str">
        <f aca="false">IF(COUNTIF(Flows!$M$2:$M$1500,$A66&amp;"|"&amp;I$1&amp;"|Input"),IF(COUNTIF(Flows!$M$2:$M$1500,$A66&amp;"|"&amp;I$1&amp;"|Output"),"I/O","IN"),IF(COUNTIF(Flows!$M$2:$M$1500,$A66&amp;"|"&amp;I$1&amp;"|Output"),"OUT",""))</f>
        <v/>
      </c>
      <c r="J66" s="33" t="str">
        <f aca="false">IF(COUNTIF(Flows!$M$2:$M$1500,$A66&amp;"|"&amp;J$1&amp;"|Input"),IF(COUNTIF(Flows!$M$2:$M$1500,$A66&amp;"|"&amp;J$1&amp;"|Output"),"I/O","IN"),IF(COUNTIF(Flows!$M$2:$M$1500,$A66&amp;"|"&amp;J$1&amp;"|Output"),"OUT",""))</f>
        <v/>
      </c>
      <c r="K66" s="33" t="str">
        <f aca="false">IF(COUNTIF(Flows!$M$2:$M$1500,$A66&amp;"|"&amp;K$1&amp;"|Input"),IF(COUNTIF(Flows!$M$2:$M$1500,$A66&amp;"|"&amp;K$1&amp;"|Output"),"I/O","IN"),IF(COUNTIF(Flows!$M$2:$M$1500,$A66&amp;"|"&amp;K$1&amp;"|Output"),"OUT",""))</f>
        <v/>
      </c>
      <c r="L66" s="33" t="str">
        <f aca="false">IF(COUNTIF(Flows!$M$2:$M$1500,$A66&amp;"|"&amp;L$1&amp;"|Input"),IF(COUNTIF(Flows!$M$2:$M$1500,$A66&amp;"|"&amp;L$1&amp;"|Output"),"I/O","IN"),IF(COUNTIF(Flows!$M$2:$M$1500,$A66&amp;"|"&amp;L$1&amp;"|Output"),"OUT",""))</f>
        <v/>
      </c>
      <c r="M66" s="33" t="str">
        <f aca="false">IF(COUNTIF(Flows!$M$2:$M$1500,$A66&amp;"|"&amp;M$1&amp;"|Input"),IF(COUNTIF(Flows!$M$2:$M$1500,$A66&amp;"|"&amp;M$1&amp;"|Output"),"I/O","IN"),IF(COUNTIF(Flows!$M$2:$M$1500,$A66&amp;"|"&amp;M$1&amp;"|Output"),"OUT",""))</f>
        <v/>
      </c>
      <c r="N66" s="33" t="str">
        <f aca="false">IF(COUNTIF(Flows!$M$2:$M$1500,$A66&amp;"|"&amp;N$1&amp;"|Input"),IF(COUNTIF(Flows!$M$2:$M$1500,$A66&amp;"|"&amp;N$1&amp;"|Output"),"I/O","IN"),IF(COUNTIF(Flows!$M$2:$M$1500,$A66&amp;"|"&amp;N$1&amp;"|Output"),"OUT",""))</f>
        <v/>
      </c>
      <c r="O66" s="33" t="str">
        <f aca="false">IF(COUNTIF(Flows!$M$2:$M$1500,$A66&amp;"|"&amp;O$1&amp;"|Input"),IF(COUNTIF(Flows!$M$2:$M$1500,$A66&amp;"|"&amp;O$1&amp;"|Output"),"I/O","IN"),IF(COUNTIF(Flows!$M$2:$M$1500,$A66&amp;"|"&amp;O$1&amp;"|Output"),"OUT",""))</f>
        <v>OUT</v>
      </c>
      <c r="P66" s="33" t="str">
        <f aca="false">IF(COUNTIF(Flows!$M$2:$M$1500,$A66&amp;"|"&amp;P$1&amp;"|Input"),IF(COUNTIF(Flows!$M$2:$M$1500,$A66&amp;"|"&amp;P$1&amp;"|Output"),"I/O","IN"),IF(COUNTIF(Flows!$M$2:$M$1500,$A66&amp;"|"&amp;P$1&amp;"|Output"),"OUT",""))</f>
        <v/>
      </c>
      <c r="Q66" s="33" t="str">
        <f aca="false">IF(COUNTIF(Flows!$M$2:$M$1500,$A66&amp;"|"&amp;Q$1&amp;"|Input"),IF(COUNTIF(Flows!$M$2:$M$1500,$A66&amp;"|"&amp;Q$1&amp;"|Output"),"I/O","IN"),IF(COUNTIF(Flows!$M$2:$M$1500,$A66&amp;"|"&amp;Q$1&amp;"|Output"),"OUT",""))</f>
        <v/>
      </c>
      <c r="R66" s="33" t="str">
        <f aca="false">IF(COUNTIF(Flows!$M$2:$M$1500,$A66&amp;"|"&amp;R$1&amp;"|Input"),IF(COUNTIF(Flows!$M$2:$M$1500,$A66&amp;"|"&amp;R$1&amp;"|Output"),"I/O","IN"),IF(COUNTIF(Flows!$M$2:$M$1500,$A66&amp;"|"&amp;R$1&amp;"|Output"),"OUT",""))</f>
        <v/>
      </c>
      <c r="S66" s="33" t="str">
        <f aca="false">IF(COUNTIF(Flows!$M$2:$M$1500,$A66&amp;"|"&amp;S$1&amp;"|Input"),IF(COUNTIF(Flows!$M$2:$M$1500,$A66&amp;"|"&amp;S$1&amp;"|Output"),"I/O","IN"),IF(COUNTIF(Flows!$M$2:$M$1500,$A66&amp;"|"&amp;S$1&amp;"|Output"),"OUT",""))</f>
        <v/>
      </c>
      <c r="T66" s="33" t="str">
        <f aca="false">IF(COUNTIF(Flows!$M$2:$M$1500,$A66&amp;"|"&amp;T$1&amp;"|Input"),IF(COUNTIF(Flows!$M$2:$M$1500,$A66&amp;"|"&amp;T$1&amp;"|Output"),"I/O","IN"),IF(COUNTIF(Flows!$M$2:$M$1500,$A66&amp;"|"&amp;T$1&amp;"|Output"),"OUT",""))</f>
        <v/>
      </c>
      <c r="U66" s="33" t="str">
        <f aca="false">IF(COUNTIF(Flows!$M$2:$M$1500,$A66&amp;"|"&amp;U$1&amp;"|Input"),IF(COUNTIF(Flows!$M$2:$M$1500,$A66&amp;"|"&amp;U$1&amp;"|Output"),"I/O","IN"),IF(COUNTIF(Flows!$M$2:$M$1500,$A66&amp;"|"&amp;U$1&amp;"|Output"),"OUT",""))</f>
        <v/>
      </c>
      <c r="V66" s="33" t="str">
        <f aca="false">IF(COUNTIF(Flows!$M$2:$M$1500,$A66&amp;"|"&amp;V$1&amp;"|Input"),IF(COUNTIF(Flows!$M$2:$M$1500,$A66&amp;"|"&amp;V$1&amp;"|Output"),"I/O","IN"),IF(COUNTIF(Flows!$M$2:$M$1500,$A66&amp;"|"&amp;V$1&amp;"|Output"),"OUT",""))</f>
        <v/>
      </c>
      <c r="W66" s="33" t="str">
        <f aca="false">IF(COUNTIF(Flows!$M$2:$M$1500,$A66&amp;"|"&amp;W$1&amp;"|Input"),IF(COUNTIF(Flows!$M$2:$M$1500,$A66&amp;"|"&amp;W$1&amp;"|Output"),"I/O","IN"),IF(COUNTIF(Flows!$M$2:$M$1500,$A66&amp;"|"&amp;W$1&amp;"|Output"),"OUT",""))</f>
        <v/>
      </c>
      <c r="X66" s="33" t="str">
        <f aca="false">IF(COUNTIF(Flows!$M$2:$M$1500,$A66&amp;"|"&amp;X$1&amp;"|Input"),IF(COUNTIF(Flows!$M$2:$M$1500,$A66&amp;"|"&amp;X$1&amp;"|Output"),"I/O","IN"),IF(COUNTIF(Flows!$M$2:$M$1500,$A66&amp;"|"&amp;X$1&amp;"|Output"),"OUT",""))</f>
        <v>IN</v>
      </c>
      <c r="Y66" s="33" t="str">
        <f aca="false">IF(COUNTIF(Flows!$M$2:$M$1500,$A66&amp;"|"&amp;Y$1&amp;"|Input"),IF(COUNTIF(Flows!$M$2:$M$1500,$A66&amp;"|"&amp;Y$1&amp;"|Output"),"I/O","IN"),IF(COUNTIF(Flows!$M$2:$M$1500,$A66&amp;"|"&amp;Y$1&amp;"|Output"),"OUT",""))</f>
        <v/>
      </c>
      <c r="Z66" s="33" t="str">
        <f aca="false">IF(COUNTIF(Flows!$M$2:$M$1500,$A66&amp;"|"&amp;Z$1&amp;"|Input"),IF(COUNTIF(Flows!$M$2:$M$1500,$A66&amp;"|"&amp;Z$1&amp;"|Output"),"I/O","IN"),IF(COUNTIF(Flows!$M$2:$M$1500,$A66&amp;"|"&amp;Z$1&amp;"|Output"),"OUT",""))</f>
        <v/>
      </c>
      <c r="AA66" s="33" t="str">
        <f aca="false">IF(COUNTIF(Flows!$M$2:$M$1500,$A66&amp;"|"&amp;AA$1&amp;"|Input"),IF(COUNTIF(Flows!$M$2:$M$1500,$A66&amp;"|"&amp;AA$1&amp;"|Output"),"I/O","IN"),IF(COUNTIF(Flows!$M$2:$M$1500,$A66&amp;"|"&amp;AA$1&amp;"|Output"),"OUT",""))</f>
        <v/>
      </c>
      <c r="AB66" s="33" t="str">
        <f aca="false">IF(COUNTIF(Flows!$M$2:$M$1500,$A66&amp;"|"&amp;AB$1&amp;"|Input"),IF(COUNTIF(Flows!$M$2:$M$1500,$A66&amp;"|"&amp;AB$1&amp;"|Output"),"I/O","IN"),IF(COUNTIF(Flows!$M$2:$M$1500,$A66&amp;"|"&amp;AB$1&amp;"|Output"),"OUT",""))</f>
        <v/>
      </c>
      <c r="AC66" s="33" t="str">
        <f aca="false">IF(COUNTIF(Flows!$M$2:$M$1500,$A66&amp;"|"&amp;AC$1&amp;"|Input"),IF(COUNTIF(Flows!$M$2:$M$1500,$A66&amp;"|"&amp;AC$1&amp;"|Output"),"I/O","IN"),IF(COUNTIF(Flows!$M$2:$M$1500,$A66&amp;"|"&amp;AC$1&amp;"|Output"),"OUT",""))</f>
        <v/>
      </c>
      <c r="AD66" s="33" t="str">
        <f aca="false">IF(COUNTIF(Flows!$M$2:$M$1500,$A66&amp;"|"&amp;AD$1&amp;"|Input"),IF(COUNTIF(Flows!$M$2:$M$1500,$A66&amp;"|"&amp;AD$1&amp;"|Output"),"I/O","IN"),IF(COUNTIF(Flows!$M$2:$M$1500,$A66&amp;"|"&amp;AD$1&amp;"|Output"),"OUT",""))</f>
        <v/>
      </c>
      <c r="AE66" s="33" t="str">
        <f aca="false">IF(COUNTIF(Flows!$M$2:$M$1500,$A66&amp;"|"&amp;AE$1&amp;"|Input"),IF(COUNTIF(Flows!$M$2:$M$1500,$A66&amp;"|"&amp;AE$1&amp;"|Output"),"I/O","IN"),IF(COUNTIF(Flows!$M$2:$M$1500,$A66&amp;"|"&amp;AE$1&amp;"|Output"),"OUT",""))</f>
        <v/>
      </c>
      <c r="AF66" s="33" t="str">
        <f aca="false">IF(COUNTIF(Flows!$M$2:$M$1500,$A66&amp;"|"&amp;AF$1&amp;"|Input"),IF(COUNTIF(Flows!$M$2:$M$1500,$A66&amp;"|"&amp;AF$1&amp;"|Output"),"I/O","IN"),IF(COUNTIF(Flows!$M$2:$M$1500,$A66&amp;"|"&amp;AF$1&amp;"|Output"),"OUT",""))</f>
        <v/>
      </c>
      <c r="AG66" s="33" t="str">
        <f aca="false">IF(COUNTIF(Flows!$M$2:$M$1500,$A66&amp;"|"&amp;AG$1&amp;"|Input"),IF(COUNTIF(Flows!$M$2:$M$1500,$A66&amp;"|"&amp;AG$1&amp;"|Output"),"I/O","IN"),IF(COUNTIF(Flows!$M$2:$M$1500,$A66&amp;"|"&amp;AG$1&amp;"|Output"),"OUT",""))</f>
        <v/>
      </c>
      <c r="AH66" s="33" t="str">
        <f aca="false">IF(COUNTIF(Flows!$M$2:$M$1500,$A66&amp;"|"&amp;AH$1&amp;"|Input"),IF(COUNTIF(Flows!$M$2:$M$1500,$A66&amp;"|"&amp;AH$1&amp;"|Output"),"I/O","IN"),IF(COUNTIF(Flows!$M$2:$M$1500,$A66&amp;"|"&amp;AH$1&amp;"|Output"),"OUT",""))</f>
        <v/>
      </c>
      <c r="AI66" s="33" t="str">
        <f aca="false">IF(COUNTIF(Flows!$M$2:$M$1500,$A66&amp;"|"&amp;AI$1&amp;"|Input"),IF(COUNTIF(Flows!$M$2:$M$1500,$A66&amp;"|"&amp;AI$1&amp;"|Output"),"I/O","IN"),IF(COUNTIF(Flows!$M$2:$M$1500,$A66&amp;"|"&amp;AI$1&amp;"|Output"),"OUT",""))</f>
        <v/>
      </c>
      <c r="AJ66" s="33" t="str">
        <f aca="false">IF(COUNTIF(Flows!$M$2:$M$1500,$A66&amp;"|"&amp;AJ$1&amp;"|Input"),IF(COUNTIF(Flows!$M$2:$M$1500,$A66&amp;"|"&amp;AJ$1&amp;"|Output"),"I/O","IN"),IF(COUNTIF(Flows!$M$2:$M$1500,$A66&amp;"|"&amp;AJ$1&amp;"|Output"),"OUT",""))</f>
        <v/>
      </c>
      <c r="AK66" s="33" t="str">
        <f aca="false">IF(COUNTIF(Flows!$M$2:$M$1500,$A66&amp;"|"&amp;AK$1&amp;"|Input"),IF(COUNTIF(Flows!$M$2:$M$1500,$A66&amp;"|"&amp;AK$1&amp;"|Output"),"I/O","IN"),IF(COUNTIF(Flows!$M$2:$M$1500,$A66&amp;"|"&amp;AK$1&amp;"|Output"),"OUT",""))</f>
        <v/>
      </c>
      <c r="AL66" s="33" t="str">
        <f aca="false">IF(COUNTIF(Flows!$M$2:$M$1500,$A66&amp;"|"&amp;AL$1&amp;"|Input"),IF(COUNTIF(Flows!$M$2:$M$1500,$A66&amp;"|"&amp;AL$1&amp;"|Output"),"I/O","IN"),IF(COUNTIF(Flows!$M$2:$M$1500,$A66&amp;"|"&amp;AL$1&amp;"|Output"),"OUT",""))</f>
        <v>OUT</v>
      </c>
      <c r="AM66" s="33" t="str">
        <f aca="false">IF(COUNTIF(Flows!$M$2:$M$1500,$A66&amp;"|"&amp;AM$1&amp;"|Input"),IF(COUNTIF(Flows!$M$2:$M$1500,$A66&amp;"|"&amp;AM$1&amp;"|Output"),"I/O","IN"),IF(COUNTIF(Flows!$M$2:$M$1500,$A66&amp;"|"&amp;AM$1&amp;"|Output"),"OUT",""))</f>
        <v/>
      </c>
      <c r="AN66" s="33" t="str">
        <f aca="false">IF(COUNTIF(Flows!$M$2:$M$1500,$A66&amp;"|"&amp;AN$1&amp;"|Input"),IF(COUNTIF(Flows!$M$2:$M$1500,$A66&amp;"|"&amp;AN$1&amp;"|Output"),"I/O","IN"),IF(COUNTIF(Flows!$M$2:$M$1500,$A66&amp;"|"&amp;AN$1&amp;"|Output"),"OUT",""))</f>
        <v/>
      </c>
      <c r="AO66" s="33" t="str">
        <f aca="false">IF(COUNTIF(Flows!$M$2:$M$1500,$A66&amp;"|"&amp;AO$1&amp;"|Input"),IF(COUNTIF(Flows!$M$2:$M$1500,$A66&amp;"|"&amp;AO$1&amp;"|Output"),"I/O","IN"),IF(COUNTIF(Flows!$M$2:$M$1500,$A66&amp;"|"&amp;AO$1&amp;"|Output"),"OUT",""))</f>
        <v/>
      </c>
      <c r="AP66" s="33" t="str">
        <f aca="false">IF(COUNTIF(Flows!$M$2:$M$1500,$A66&amp;"|"&amp;AP$1&amp;"|Input"),IF(COUNTIF(Flows!$M$2:$M$1500,$A66&amp;"|"&amp;AP$1&amp;"|Output"),"I/O","IN"),IF(COUNTIF(Flows!$M$2:$M$1500,$A66&amp;"|"&amp;AP$1&amp;"|Output"),"OUT",""))</f>
        <v/>
      </c>
      <c r="AQ66" s="33" t="str">
        <f aca="false">IF(COUNTIF(Flows!$M$2:$M$1500,$A66&amp;"|"&amp;AQ$1&amp;"|Input"),IF(COUNTIF(Flows!$M$2:$M$1500,$A66&amp;"|"&amp;AQ$1&amp;"|Output"),"I/O","IN"),IF(COUNTIF(Flows!$M$2:$M$1500,$A66&amp;"|"&amp;AQ$1&amp;"|Output"),"OUT",""))</f>
        <v/>
      </c>
      <c r="AR66" s="33" t="str">
        <f aca="false">IF(COUNTIF(Flows!$M$2:$M$1500,$A66&amp;"|"&amp;AR$1&amp;"|Input"),IF(COUNTIF(Flows!$M$2:$M$1500,$A66&amp;"|"&amp;AR$1&amp;"|Output"),"I/O","IN"),IF(COUNTIF(Flows!$M$2:$M$1500,$A66&amp;"|"&amp;AR$1&amp;"|Output"),"OUT",""))</f>
        <v>OUT</v>
      </c>
      <c r="AS66" s="33" t="str">
        <f aca="false">IF(COUNTIF(Flows!$M$2:$M$1500,$A66&amp;"|"&amp;AS$1&amp;"|Input"),IF(COUNTIF(Flows!$M$2:$M$1500,$A66&amp;"|"&amp;AS$1&amp;"|Output"),"I/O","IN"),IF(COUNTIF(Flows!$M$2:$M$1500,$A66&amp;"|"&amp;AS$1&amp;"|Output"),"OUT",""))</f>
        <v/>
      </c>
      <c r="AT66" s="33" t="str">
        <f aca="false">IF(COUNTIF(Flows!$M$2:$M$1500,$A66&amp;"|"&amp;AT$1&amp;"|Input"),IF(COUNTIF(Flows!$M$2:$M$1500,$A66&amp;"|"&amp;AT$1&amp;"|Output"),"I/O","IN"),IF(COUNTIF(Flows!$M$2:$M$1500,$A66&amp;"|"&amp;AT$1&amp;"|Output"),"OUT",""))</f>
        <v/>
      </c>
      <c r="AU66" s="33" t="str">
        <f aca="false">IF(COUNTIF(Flows!$M$2:$M$1500,$A66&amp;"|"&amp;AU$1&amp;"|Input"),IF(COUNTIF(Flows!$M$2:$M$1500,$A66&amp;"|"&amp;AU$1&amp;"|Output"),"I/O","IN"),IF(COUNTIF(Flows!$M$2:$M$1500,$A66&amp;"|"&amp;AU$1&amp;"|Output"),"OUT",""))</f>
        <v/>
      </c>
      <c r="AV66" s="33" t="str">
        <f aca="false">IF(COUNTIF(Flows!$M$2:$M$1500,$A66&amp;"|"&amp;AV$1&amp;"|Input"),IF(COUNTIF(Flows!$M$2:$M$1500,$A66&amp;"|"&amp;AV$1&amp;"|Output"),"I/O","IN"),IF(COUNTIF(Flows!$M$2:$M$1500,$A66&amp;"|"&amp;AV$1&amp;"|Output"),"OUT",""))</f>
        <v/>
      </c>
      <c r="AW66" s="33" t="str">
        <f aca="false">IF(COUNTIF(Flows!$M$2:$M$1500,$A66&amp;"|"&amp;AW$1&amp;"|Input"),IF(COUNTIF(Flows!$M$2:$M$1500,$A66&amp;"|"&amp;AW$1&amp;"|Output"),"I/O","IN"),IF(COUNTIF(Flows!$M$2:$M$1500,$A66&amp;"|"&amp;AW$1&amp;"|Output"),"OUT",""))</f>
        <v/>
      </c>
      <c r="AX66" s="33" t="str">
        <f aca="false">IF(COUNTIF(Flows!$M$2:$M$1500,$A66&amp;"|"&amp;AX$1&amp;"|Input"),IF(COUNTIF(Flows!$M$2:$M$1500,$A66&amp;"|"&amp;AX$1&amp;"|Output"),"I/O","IN"),IF(COUNTIF(Flows!$M$2:$M$1500,$A66&amp;"|"&amp;AX$1&amp;"|Output"),"OUT",""))</f>
        <v/>
      </c>
      <c r="AY66" s="33" t="str">
        <f aca="false">IF(COUNTIF(Flows!$M$2:$M$1500,$A66&amp;"|"&amp;AY$1&amp;"|Input"),IF(COUNTIF(Flows!$M$2:$M$1500,$A66&amp;"|"&amp;AY$1&amp;"|Output"),"I/O","IN"),IF(COUNTIF(Flows!$M$2:$M$1500,$A66&amp;"|"&amp;AY$1&amp;"|Output"),"OUT",""))</f>
        <v/>
      </c>
      <c r="AZ66" s="33" t="str">
        <f aca="false">IF(COUNTIF(Flows!$M$2:$M$1500,$A66&amp;"|"&amp;AZ$1&amp;"|Input"),IF(COUNTIF(Flows!$M$2:$M$1500,$A66&amp;"|"&amp;AZ$1&amp;"|Output"),"I/O","IN"),IF(COUNTIF(Flows!$M$2:$M$1500,$A66&amp;"|"&amp;AZ$1&amp;"|Output"),"OUT",""))</f>
        <v/>
      </c>
      <c r="BA66" s="33" t="str">
        <f aca="false">IF(COUNTIF(Flows!$M$2:$M$1500,$A66&amp;"|"&amp;BA$1&amp;"|Input"),IF(COUNTIF(Flows!$M$2:$M$1500,$A66&amp;"|"&amp;BA$1&amp;"|Output"),"I/O","IN"),IF(COUNTIF(Flows!$M$2:$M$1500,$A66&amp;"|"&amp;BA$1&amp;"|Output"),"OUT",""))</f>
        <v/>
      </c>
      <c r="BB66" s="33" t="str">
        <f aca="false">IF(COUNTIF(Flows!$M$2:$M$1500,$A66&amp;"|"&amp;BB$1&amp;"|Input"),IF(COUNTIF(Flows!$M$2:$M$1500,$A66&amp;"|"&amp;BB$1&amp;"|Output"),"I/O","IN"),IF(COUNTIF(Flows!$M$2:$M$1500,$A66&amp;"|"&amp;BB$1&amp;"|Output"),"OUT",""))</f>
        <v/>
      </c>
      <c r="BC66" s="33" t="str">
        <f aca="false">IF(COUNTIF(Flows!$M$2:$M$1500,$A66&amp;"|"&amp;BC$1&amp;"|Input"),IF(COUNTIF(Flows!$M$2:$M$1500,$A66&amp;"|"&amp;BC$1&amp;"|Output"),"I/O","IN"),IF(COUNTIF(Flows!$M$2:$M$1500,$A66&amp;"|"&amp;BC$1&amp;"|Output"),"OUT",""))</f>
        <v>IN</v>
      </c>
      <c r="BD66" s="33" t="str">
        <f aca="false">IF(COUNTIF(Flows!$M$2:$M$1500,$A66&amp;"|"&amp;BD$1&amp;"|Input"),IF(COUNTIF(Flows!$M$2:$M$1500,$A66&amp;"|"&amp;BD$1&amp;"|Output"),"I/O","IN"),IF(COUNTIF(Flows!$M$2:$M$1500,$A66&amp;"|"&amp;BD$1&amp;"|Output"),"OUT",""))</f>
        <v/>
      </c>
      <c r="BE66" s="33" t="str">
        <f aca="false">IF(COUNTIF(Flows!$M$2:$M$1500,$A66&amp;"|"&amp;BE$1&amp;"|Input"),IF(COUNTIF(Flows!$M$2:$M$1500,$A66&amp;"|"&amp;BE$1&amp;"|Output"),"I/O","IN"),IF(COUNTIF(Flows!$M$2:$M$1500,$A66&amp;"|"&amp;BE$1&amp;"|Output"),"OUT",""))</f>
        <v/>
      </c>
      <c r="BF66" s="33" t="str">
        <f aca="false">IF(COUNTIF(Flows!$M$2:$M$1500,$A66&amp;"|"&amp;BF$1&amp;"|Input"),IF(COUNTIF(Flows!$M$2:$M$1500,$A66&amp;"|"&amp;BF$1&amp;"|Output"),"I/O","IN"),IF(COUNTIF(Flows!$M$2:$M$1500,$A66&amp;"|"&amp;BF$1&amp;"|Output"),"OUT",""))</f>
        <v/>
      </c>
      <c r="BG66" s="33" t="str">
        <f aca="false">IF(COUNTIF(Flows!$M$2:$M$1500,$A66&amp;"|"&amp;BG$1&amp;"|Input"),IF(COUNTIF(Flows!$M$2:$M$1500,$A66&amp;"|"&amp;BG$1&amp;"|Output"),"I/O","IN"),IF(COUNTIF(Flows!$M$2:$M$1500,$A66&amp;"|"&amp;BG$1&amp;"|Output"),"OUT",""))</f>
        <v/>
      </c>
      <c r="BH66" s="33" t="str">
        <f aca="false">IF(COUNTIF(Flows!$M$2:$M$1500,$A66&amp;"|"&amp;BH$1&amp;"|Input"),IF(COUNTIF(Flows!$M$2:$M$1500,$A66&amp;"|"&amp;BH$1&amp;"|Output"),"I/O","IN"),IF(COUNTIF(Flows!$M$2:$M$1500,$A66&amp;"|"&amp;BH$1&amp;"|Output"),"OUT",""))</f>
        <v/>
      </c>
      <c r="BI66" s="33" t="str">
        <f aca="false">IF(COUNTIF(Flows!$M$2:$M$1500,$A66&amp;"|"&amp;BI$1&amp;"|Input"),IF(COUNTIF(Flows!$M$2:$M$1500,$A66&amp;"|"&amp;BI$1&amp;"|Output"),"I/O","IN"),IF(COUNTIF(Flows!$M$2:$M$1500,$A66&amp;"|"&amp;BI$1&amp;"|Output"),"OUT",""))</f>
        <v/>
      </c>
      <c r="BJ66" s="33" t="str">
        <f aca="false">IF(COUNTIF(Flows!$M$2:$M$1500,$A66&amp;"|"&amp;BJ$1&amp;"|Input"),IF(COUNTIF(Flows!$M$2:$M$1500,$A66&amp;"|"&amp;BJ$1&amp;"|Output"),"I/O","IN"),IF(COUNTIF(Flows!$M$2:$M$1500,$A66&amp;"|"&amp;BJ$1&amp;"|Output"),"OUT",""))</f>
        <v/>
      </c>
      <c r="BK66" s="33" t="str">
        <f aca="false">IF(COUNTIF(Flows!$M$2:$M$1500,$A66&amp;"|"&amp;BK$1&amp;"|Input"),IF(COUNTIF(Flows!$M$2:$M$1500,$A66&amp;"|"&amp;BK$1&amp;"|Output"),"I/O","IN"),IF(COUNTIF(Flows!$M$2:$M$1500,$A66&amp;"|"&amp;BK$1&amp;"|Output"),"OUT",""))</f>
        <v>OUT</v>
      </c>
    </row>
    <row r="67" customFormat="false" ht="15" hidden="false" customHeight="true" outlineLevel="0" collapsed="false">
      <c r="A67" s="6" t="str">
        <f aca="false">Systems!B67</f>
        <v>Rocket Mass Heater</v>
      </c>
      <c r="B67" s="33" t="str">
        <f aca="false">IF(COUNTIF(Flows!$M$2:$M$1500,$A67&amp;"|"&amp;B$1&amp;"|Input"),IF(COUNTIF(Flows!$M$2:$M$1500,$A67&amp;"|"&amp;B$1&amp;"|Output"),"I/O","IN"),IF(COUNTIF(Flows!$M$2:$M$1500,$A67&amp;"|"&amp;B$1&amp;"|Output"),"OUT",""))</f>
        <v/>
      </c>
      <c r="C67" s="33" t="str">
        <f aca="false">IF(COUNTIF(Flows!$M$2:$M$1500,$A67&amp;"|"&amp;C$1&amp;"|Input"),IF(COUNTIF(Flows!$M$2:$M$1500,$A67&amp;"|"&amp;C$1&amp;"|Output"),"I/O","IN"),IF(COUNTIF(Flows!$M$2:$M$1500,$A67&amp;"|"&amp;C$1&amp;"|Output"),"OUT",""))</f>
        <v/>
      </c>
      <c r="D67" s="33" t="str">
        <f aca="false">IF(COUNTIF(Flows!$M$2:$M$1500,$A67&amp;"|"&amp;D$1&amp;"|Input"),IF(COUNTIF(Flows!$M$2:$M$1500,$A67&amp;"|"&amp;D$1&amp;"|Output"),"I/O","IN"),IF(COUNTIF(Flows!$M$2:$M$1500,$A67&amp;"|"&amp;D$1&amp;"|Output"),"OUT",""))</f>
        <v/>
      </c>
      <c r="E67" s="33" t="str">
        <f aca="false">IF(COUNTIF(Flows!$M$2:$M$1500,$A67&amp;"|"&amp;E$1&amp;"|Input"),IF(COUNTIF(Flows!$M$2:$M$1500,$A67&amp;"|"&amp;E$1&amp;"|Output"),"I/O","IN"),IF(COUNTIF(Flows!$M$2:$M$1500,$A67&amp;"|"&amp;E$1&amp;"|Output"),"OUT",""))</f>
        <v/>
      </c>
      <c r="F67" s="33" t="str">
        <f aca="false">IF(COUNTIF(Flows!$M$2:$M$1500,$A67&amp;"|"&amp;F$1&amp;"|Input"),IF(COUNTIF(Flows!$M$2:$M$1500,$A67&amp;"|"&amp;F$1&amp;"|Output"),"I/O","IN"),IF(COUNTIF(Flows!$M$2:$M$1500,$A67&amp;"|"&amp;F$1&amp;"|Output"),"OUT",""))</f>
        <v/>
      </c>
      <c r="G67" s="33" t="str">
        <f aca="false">IF(COUNTIF(Flows!$M$2:$M$1500,$A67&amp;"|"&amp;G$1&amp;"|Input"),IF(COUNTIF(Flows!$M$2:$M$1500,$A67&amp;"|"&amp;G$1&amp;"|Output"),"I/O","IN"),IF(COUNTIF(Flows!$M$2:$M$1500,$A67&amp;"|"&amp;G$1&amp;"|Output"),"OUT",""))</f>
        <v/>
      </c>
      <c r="H67" s="33" t="str">
        <f aca="false">IF(COUNTIF(Flows!$M$2:$M$1500,$A67&amp;"|"&amp;H$1&amp;"|Input"),IF(COUNTIF(Flows!$M$2:$M$1500,$A67&amp;"|"&amp;H$1&amp;"|Output"),"I/O","IN"),IF(COUNTIF(Flows!$M$2:$M$1500,$A67&amp;"|"&amp;H$1&amp;"|Output"),"OUT",""))</f>
        <v/>
      </c>
      <c r="I67" s="33" t="str">
        <f aca="false">IF(COUNTIF(Flows!$M$2:$M$1500,$A67&amp;"|"&amp;I$1&amp;"|Input"),IF(COUNTIF(Flows!$M$2:$M$1500,$A67&amp;"|"&amp;I$1&amp;"|Output"),"I/O","IN"),IF(COUNTIF(Flows!$M$2:$M$1500,$A67&amp;"|"&amp;I$1&amp;"|Output"),"OUT",""))</f>
        <v/>
      </c>
      <c r="J67" s="33" t="str">
        <f aca="false">IF(COUNTIF(Flows!$M$2:$M$1500,$A67&amp;"|"&amp;J$1&amp;"|Input"),IF(COUNTIF(Flows!$M$2:$M$1500,$A67&amp;"|"&amp;J$1&amp;"|Output"),"I/O","IN"),IF(COUNTIF(Flows!$M$2:$M$1500,$A67&amp;"|"&amp;J$1&amp;"|Output"),"OUT",""))</f>
        <v/>
      </c>
      <c r="K67" s="33" t="str">
        <f aca="false">IF(COUNTIF(Flows!$M$2:$M$1500,$A67&amp;"|"&amp;K$1&amp;"|Input"),IF(COUNTIF(Flows!$M$2:$M$1500,$A67&amp;"|"&amp;K$1&amp;"|Output"),"I/O","IN"),IF(COUNTIF(Flows!$M$2:$M$1500,$A67&amp;"|"&amp;K$1&amp;"|Output"),"OUT",""))</f>
        <v/>
      </c>
      <c r="L67" s="33" t="str">
        <f aca="false">IF(COUNTIF(Flows!$M$2:$M$1500,$A67&amp;"|"&amp;L$1&amp;"|Input"),IF(COUNTIF(Flows!$M$2:$M$1500,$A67&amp;"|"&amp;L$1&amp;"|Output"),"I/O","IN"),IF(COUNTIF(Flows!$M$2:$M$1500,$A67&amp;"|"&amp;L$1&amp;"|Output"),"OUT",""))</f>
        <v/>
      </c>
      <c r="M67" s="33" t="str">
        <f aca="false">IF(COUNTIF(Flows!$M$2:$M$1500,$A67&amp;"|"&amp;M$1&amp;"|Input"),IF(COUNTIF(Flows!$M$2:$M$1500,$A67&amp;"|"&amp;M$1&amp;"|Output"),"I/O","IN"),IF(COUNTIF(Flows!$M$2:$M$1500,$A67&amp;"|"&amp;M$1&amp;"|Output"),"OUT",""))</f>
        <v/>
      </c>
      <c r="N67" s="33" t="str">
        <f aca="false">IF(COUNTIF(Flows!$M$2:$M$1500,$A67&amp;"|"&amp;N$1&amp;"|Input"),IF(COUNTIF(Flows!$M$2:$M$1500,$A67&amp;"|"&amp;N$1&amp;"|Output"),"I/O","IN"),IF(COUNTIF(Flows!$M$2:$M$1500,$A67&amp;"|"&amp;N$1&amp;"|Output"),"OUT",""))</f>
        <v/>
      </c>
      <c r="O67" s="33" t="str">
        <f aca="false">IF(COUNTIF(Flows!$M$2:$M$1500,$A67&amp;"|"&amp;O$1&amp;"|Input"),IF(COUNTIF(Flows!$M$2:$M$1500,$A67&amp;"|"&amp;O$1&amp;"|Output"),"I/O","IN"),IF(COUNTIF(Flows!$M$2:$M$1500,$A67&amp;"|"&amp;O$1&amp;"|Output"),"OUT",""))</f>
        <v/>
      </c>
      <c r="P67" s="33" t="str">
        <f aca="false">IF(COUNTIF(Flows!$M$2:$M$1500,$A67&amp;"|"&amp;P$1&amp;"|Input"),IF(COUNTIF(Flows!$M$2:$M$1500,$A67&amp;"|"&amp;P$1&amp;"|Output"),"I/O","IN"),IF(COUNTIF(Flows!$M$2:$M$1500,$A67&amp;"|"&amp;P$1&amp;"|Output"),"OUT",""))</f>
        <v/>
      </c>
      <c r="Q67" s="33" t="str">
        <f aca="false">IF(COUNTIF(Flows!$M$2:$M$1500,$A67&amp;"|"&amp;Q$1&amp;"|Input"),IF(COUNTIF(Flows!$M$2:$M$1500,$A67&amp;"|"&amp;Q$1&amp;"|Output"),"I/O","IN"),IF(COUNTIF(Flows!$M$2:$M$1500,$A67&amp;"|"&amp;Q$1&amp;"|Output"),"OUT",""))</f>
        <v/>
      </c>
      <c r="R67" s="33" t="str">
        <f aca="false">IF(COUNTIF(Flows!$M$2:$M$1500,$A67&amp;"|"&amp;R$1&amp;"|Input"),IF(COUNTIF(Flows!$M$2:$M$1500,$A67&amp;"|"&amp;R$1&amp;"|Output"),"I/O","IN"),IF(COUNTIF(Flows!$M$2:$M$1500,$A67&amp;"|"&amp;R$1&amp;"|Output"),"OUT",""))</f>
        <v/>
      </c>
      <c r="S67" s="33" t="str">
        <f aca="false">IF(COUNTIF(Flows!$M$2:$M$1500,$A67&amp;"|"&amp;S$1&amp;"|Input"),IF(COUNTIF(Flows!$M$2:$M$1500,$A67&amp;"|"&amp;S$1&amp;"|Output"),"I/O","IN"),IF(COUNTIF(Flows!$M$2:$M$1500,$A67&amp;"|"&amp;S$1&amp;"|Output"),"OUT",""))</f>
        <v/>
      </c>
      <c r="T67" s="33" t="str">
        <f aca="false">IF(COUNTIF(Flows!$M$2:$M$1500,$A67&amp;"|"&amp;T$1&amp;"|Input"),IF(COUNTIF(Flows!$M$2:$M$1500,$A67&amp;"|"&amp;T$1&amp;"|Output"),"I/O","IN"),IF(COUNTIF(Flows!$M$2:$M$1500,$A67&amp;"|"&amp;T$1&amp;"|Output"),"OUT",""))</f>
        <v/>
      </c>
      <c r="U67" s="33" t="str">
        <f aca="false">IF(COUNTIF(Flows!$M$2:$M$1500,$A67&amp;"|"&amp;U$1&amp;"|Input"),IF(COUNTIF(Flows!$M$2:$M$1500,$A67&amp;"|"&amp;U$1&amp;"|Output"),"I/O","IN"),IF(COUNTIF(Flows!$M$2:$M$1500,$A67&amp;"|"&amp;U$1&amp;"|Output"),"OUT",""))</f>
        <v/>
      </c>
      <c r="V67" s="33" t="str">
        <f aca="false">IF(COUNTIF(Flows!$M$2:$M$1500,$A67&amp;"|"&amp;V$1&amp;"|Input"),IF(COUNTIF(Flows!$M$2:$M$1500,$A67&amp;"|"&amp;V$1&amp;"|Output"),"I/O","IN"),IF(COUNTIF(Flows!$M$2:$M$1500,$A67&amp;"|"&amp;V$1&amp;"|Output"),"OUT",""))</f>
        <v>OUT</v>
      </c>
      <c r="W67" s="33" t="str">
        <f aca="false">IF(COUNTIF(Flows!$M$2:$M$1500,$A67&amp;"|"&amp;W$1&amp;"|Input"),IF(COUNTIF(Flows!$M$2:$M$1500,$A67&amp;"|"&amp;W$1&amp;"|Output"),"I/O","IN"),IF(COUNTIF(Flows!$M$2:$M$1500,$A67&amp;"|"&amp;W$1&amp;"|Output"),"OUT",""))</f>
        <v/>
      </c>
      <c r="X67" s="33" t="str">
        <f aca="false">IF(COUNTIF(Flows!$M$2:$M$1500,$A67&amp;"|"&amp;X$1&amp;"|Input"),IF(COUNTIF(Flows!$M$2:$M$1500,$A67&amp;"|"&amp;X$1&amp;"|Output"),"I/O","IN"),IF(COUNTIF(Flows!$M$2:$M$1500,$A67&amp;"|"&amp;X$1&amp;"|Output"),"OUT",""))</f>
        <v>IN</v>
      </c>
      <c r="Y67" s="33" t="str">
        <f aca="false">IF(COUNTIF(Flows!$M$2:$M$1500,$A67&amp;"|"&amp;Y$1&amp;"|Input"),IF(COUNTIF(Flows!$M$2:$M$1500,$A67&amp;"|"&amp;Y$1&amp;"|Output"),"I/O","IN"),IF(COUNTIF(Flows!$M$2:$M$1500,$A67&amp;"|"&amp;Y$1&amp;"|Output"),"OUT",""))</f>
        <v/>
      </c>
      <c r="Z67" s="33" t="str">
        <f aca="false">IF(COUNTIF(Flows!$M$2:$M$1500,$A67&amp;"|"&amp;Z$1&amp;"|Input"),IF(COUNTIF(Flows!$M$2:$M$1500,$A67&amp;"|"&amp;Z$1&amp;"|Output"),"I/O","IN"),IF(COUNTIF(Flows!$M$2:$M$1500,$A67&amp;"|"&amp;Z$1&amp;"|Output"),"OUT",""))</f>
        <v/>
      </c>
      <c r="AA67" s="33" t="str">
        <f aca="false">IF(COUNTIF(Flows!$M$2:$M$1500,$A67&amp;"|"&amp;AA$1&amp;"|Input"),IF(COUNTIF(Flows!$M$2:$M$1500,$A67&amp;"|"&amp;AA$1&amp;"|Output"),"I/O","IN"),IF(COUNTIF(Flows!$M$2:$M$1500,$A67&amp;"|"&amp;AA$1&amp;"|Output"),"OUT",""))</f>
        <v/>
      </c>
      <c r="AB67" s="33" t="str">
        <f aca="false">IF(COUNTIF(Flows!$M$2:$M$1500,$A67&amp;"|"&amp;AB$1&amp;"|Input"),IF(COUNTIF(Flows!$M$2:$M$1500,$A67&amp;"|"&amp;AB$1&amp;"|Output"),"I/O","IN"),IF(COUNTIF(Flows!$M$2:$M$1500,$A67&amp;"|"&amp;AB$1&amp;"|Output"),"OUT",""))</f>
        <v/>
      </c>
      <c r="AC67" s="33" t="str">
        <f aca="false">IF(COUNTIF(Flows!$M$2:$M$1500,$A67&amp;"|"&amp;AC$1&amp;"|Input"),IF(COUNTIF(Flows!$M$2:$M$1500,$A67&amp;"|"&amp;AC$1&amp;"|Output"),"I/O","IN"),IF(COUNTIF(Flows!$M$2:$M$1500,$A67&amp;"|"&amp;AC$1&amp;"|Output"),"OUT",""))</f>
        <v/>
      </c>
      <c r="AD67" s="33" t="str">
        <f aca="false">IF(COUNTIF(Flows!$M$2:$M$1500,$A67&amp;"|"&amp;AD$1&amp;"|Input"),IF(COUNTIF(Flows!$M$2:$M$1500,$A67&amp;"|"&amp;AD$1&amp;"|Output"),"I/O","IN"),IF(COUNTIF(Flows!$M$2:$M$1500,$A67&amp;"|"&amp;AD$1&amp;"|Output"),"OUT",""))</f>
        <v/>
      </c>
      <c r="AE67" s="33" t="str">
        <f aca="false">IF(COUNTIF(Flows!$M$2:$M$1500,$A67&amp;"|"&amp;AE$1&amp;"|Input"),IF(COUNTIF(Flows!$M$2:$M$1500,$A67&amp;"|"&amp;AE$1&amp;"|Output"),"I/O","IN"),IF(COUNTIF(Flows!$M$2:$M$1500,$A67&amp;"|"&amp;AE$1&amp;"|Output"),"OUT",""))</f>
        <v/>
      </c>
      <c r="AF67" s="33" t="str">
        <f aca="false">IF(COUNTIF(Flows!$M$2:$M$1500,$A67&amp;"|"&amp;AF$1&amp;"|Input"),IF(COUNTIF(Flows!$M$2:$M$1500,$A67&amp;"|"&amp;AF$1&amp;"|Output"),"I/O","IN"),IF(COUNTIF(Flows!$M$2:$M$1500,$A67&amp;"|"&amp;AF$1&amp;"|Output"),"OUT",""))</f>
        <v/>
      </c>
      <c r="AG67" s="33" t="str">
        <f aca="false">IF(COUNTIF(Flows!$M$2:$M$1500,$A67&amp;"|"&amp;AG$1&amp;"|Input"),IF(COUNTIF(Flows!$M$2:$M$1500,$A67&amp;"|"&amp;AG$1&amp;"|Output"),"I/O","IN"),IF(COUNTIF(Flows!$M$2:$M$1500,$A67&amp;"|"&amp;AG$1&amp;"|Output"),"OUT",""))</f>
        <v/>
      </c>
      <c r="AH67" s="33" t="str">
        <f aca="false">IF(COUNTIF(Flows!$M$2:$M$1500,$A67&amp;"|"&amp;AH$1&amp;"|Input"),IF(COUNTIF(Flows!$M$2:$M$1500,$A67&amp;"|"&amp;AH$1&amp;"|Output"),"I/O","IN"),IF(COUNTIF(Flows!$M$2:$M$1500,$A67&amp;"|"&amp;AH$1&amp;"|Output"),"OUT",""))</f>
        <v/>
      </c>
      <c r="AI67" s="33" t="str">
        <f aca="false">IF(COUNTIF(Flows!$M$2:$M$1500,$A67&amp;"|"&amp;AI$1&amp;"|Input"),IF(COUNTIF(Flows!$M$2:$M$1500,$A67&amp;"|"&amp;AI$1&amp;"|Output"),"I/O","IN"),IF(COUNTIF(Flows!$M$2:$M$1500,$A67&amp;"|"&amp;AI$1&amp;"|Output"),"OUT",""))</f>
        <v/>
      </c>
      <c r="AJ67" s="33" t="str">
        <f aca="false">IF(COUNTIF(Flows!$M$2:$M$1500,$A67&amp;"|"&amp;AJ$1&amp;"|Input"),IF(COUNTIF(Flows!$M$2:$M$1500,$A67&amp;"|"&amp;AJ$1&amp;"|Output"),"I/O","IN"),IF(COUNTIF(Flows!$M$2:$M$1500,$A67&amp;"|"&amp;AJ$1&amp;"|Output"),"OUT",""))</f>
        <v/>
      </c>
      <c r="AK67" s="33" t="str">
        <f aca="false">IF(COUNTIF(Flows!$M$2:$M$1500,$A67&amp;"|"&amp;AK$1&amp;"|Input"),IF(COUNTIF(Flows!$M$2:$M$1500,$A67&amp;"|"&amp;AK$1&amp;"|Output"),"I/O","IN"),IF(COUNTIF(Flows!$M$2:$M$1500,$A67&amp;"|"&amp;AK$1&amp;"|Output"),"OUT",""))</f>
        <v/>
      </c>
      <c r="AL67" s="33" t="str">
        <f aca="false">IF(COUNTIF(Flows!$M$2:$M$1500,$A67&amp;"|"&amp;AL$1&amp;"|Input"),IF(COUNTIF(Flows!$M$2:$M$1500,$A67&amp;"|"&amp;AL$1&amp;"|Output"),"I/O","IN"),IF(COUNTIF(Flows!$M$2:$M$1500,$A67&amp;"|"&amp;AL$1&amp;"|Output"),"OUT",""))</f>
        <v>IN</v>
      </c>
      <c r="AM67" s="33" t="str">
        <f aca="false">IF(COUNTIF(Flows!$M$2:$M$1500,$A67&amp;"|"&amp;AM$1&amp;"|Input"),IF(COUNTIF(Flows!$M$2:$M$1500,$A67&amp;"|"&amp;AM$1&amp;"|Output"),"I/O","IN"),IF(COUNTIF(Flows!$M$2:$M$1500,$A67&amp;"|"&amp;AM$1&amp;"|Output"),"OUT",""))</f>
        <v/>
      </c>
      <c r="AN67" s="33" t="str">
        <f aca="false">IF(COUNTIF(Flows!$M$2:$M$1500,$A67&amp;"|"&amp;AN$1&amp;"|Input"),IF(COUNTIF(Flows!$M$2:$M$1500,$A67&amp;"|"&amp;AN$1&amp;"|Output"),"I/O","IN"),IF(COUNTIF(Flows!$M$2:$M$1500,$A67&amp;"|"&amp;AN$1&amp;"|Output"),"OUT",""))</f>
        <v/>
      </c>
      <c r="AO67" s="33" t="str">
        <f aca="false">IF(COUNTIF(Flows!$M$2:$M$1500,$A67&amp;"|"&amp;AO$1&amp;"|Input"),IF(COUNTIF(Flows!$M$2:$M$1500,$A67&amp;"|"&amp;AO$1&amp;"|Output"),"I/O","IN"),IF(COUNTIF(Flows!$M$2:$M$1500,$A67&amp;"|"&amp;AO$1&amp;"|Output"),"OUT",""))</f>
        <v/>
      </c>
      <c r="AP67" s="33" t="str">
        <f aca="false">IF(COUNTIF(Flows!$M$2:$M$1500,$A67&amp;"|"&amp;AP$1&amp;"|Input"),IF(COUNTIF(Flows!$M$2:$M$1500,$A67&amp;"|"&amp;AP$1&amp;"|Output"),"I/O","IN"),IF(COUNTIF(Flows!$M$2:$M$1500,$A67&amp;"|"&amp;AP$1&amp;"|Output"),"OUT",""))</f>
        <v/>
      </c>
      <c r="AQ67" s="33" t="str">
        <f aca="false">IF(COUNTIF(Flows!$M$2:$M$1500,$A67&amp;"|"&amp;AQ$1&amp;"|Input"),IF(COUNTIF(Flows!$M$2:$M$1500,$A67&amp;"|"&amp;AQ$1&amp;"|Output"),"I/O","IN"),IF(COUNTIF(Flows!$M$2:$M$1500,$A67&amp;"|"&amp;AQ$1&amp;"|Output"),"OUT",""))</f>
        <v/>
      </c>
      <c r="AR67" s="33" t="str">
        <f aca="false">IF(COUNTIF(Flows!$M$2:$M$1500,$A67&amp;"|"&amp;AR$1&amp;"|Input"),IF(COUNTIF(Flows!$M$2:$M$1500,$A67&amp;"|"&amp;AR$1&amp;"|Output"),"I/O","IN"),IF(COUNTIF(Flows!$M$2:$M$1500,$A67&amp;"|"&amp;AR$1&amp;"|Output"),"OUT",""))</f>
        <v/>
      </c>
      <c r="AS67" s="33" t="str">
        <f aca="false">IF(COUNTIF(Flows!$M$2:$M$1500,$A67&amp;"|"&amp;AS$1&amp;"|Input"),IF(COUNTIF(Flows!$M$2:$M$1500,$A67&amp;"|"&amp;AS$1&amp;"|Output"),"I/O","IN"),IF(COUNTIF(Flows!$M$2:$M$1500,$A67&amp;"|"&amp;AS$1&amp;"|Output"),"OUT",""))</f>
        <v/>
      </c>
      <c r="AT67" s="33" t="str">
        <f aca="false">IF(COUNTIF(Flows!$M$2:$M$1500,$A67&amp;"|"&amp;AT$1&amp;"|Input"),IF(COUNTIF(Flows!$M$2:$M$1500,$A67&amp;"|"&amp;AT$1&amp;"|Output"),"I/O","IN"),IF(COUNTIF(Flows!$M$2:$M$1500,$A67&amp;"|"&amp;AT$1&amp;"|Output"),"OUT",""))</f>
        <v/>
      </c>
      <c r="AU67" s="33" t="str">
        <f aca="false">IF(COUNTIF(Flows!$M$2:$M$1500,$A67&amp;"|"&amp;AU$1&amp;"|Input"),IF(COUNTIF(Flows!$M$2:$M$1500,$A67&amp;"|"&amp;AU$1&amp;"|Output"),"I/O","IN"),IF(COUNTIF(Flows!$M$2:$M$1500,$A67&amp;"|"&amp;AU$1&amp;"|Output"),"OUT",""))</f>
        <v/>
      </c>
      <c r="AV67" s="33" t="str">
        <f aca="false">IF(COUNTIF(Flows!$M$2:$M$1500,$A67&amp;"|"&amp;AV$1&amp;"|Input"),IF(COUNTIF(Flows!$M$2:$M$1500,$A67&amp;"|"&amp;AV$1&amp;"|Output"),"I/O","IN"),IF(COUNTIF(Flows!$M$2:$M$1500,$A67&amp;"|"&amp;AV$1&amp;"|Output"),"OUT",""))</f>
        <v/>
      </c>
      <c r="AW67" s="33" t="str">
        <f aca="false">IF(COUNTIF(Flows!$M$2:$M$1500,$A67&amp;"|"&amp;AW$1&amp;"|Input"),IF(COUNTIF(Flows!$M$2:$M$1500,$A67&amp;"|"&amp;AW$1&amp;"|Output"),"I/O","IN"),IF(COUNTIF(Flows!$M$2:$M$1500,$A67&amp;"|"&amp;AW$1&amp;"|Output"),"OUT",""))</f>
        <v/>
      </c>
      <c r="AX67" s="33" t="str">
        <f aca="false">IF(COUNTIF(Flows!$M$2:$M$1500,$A67&amp;"|"&amp;AX$1&amp;"|Input"),IF(COUNTIF(Flows!$M$2:$M$1500,$A67&amp;"|"&amp;AX$1&amp;"|Output"),"I/O","IN"),IF(COUNTIF(Flows!$M$2:$M$1500,$A67&amp;"|"&amp;AX$1&amp;"|Output"),"OUT",""))</f>
        <v/>
      </c>
      <c r="AY67" s="33" t="str">
        <f aca="false">IF(COUNTIF(Flows!$M$2:$M$1500,$A67&amp;"|"&amp;AY$1&amp;"|Input"),IF(COUNTIF(Flows!$M$2:$M$1500,$A67&amp;"|"&amp;AY$1&amp;"|Output"),"I/O","IN"),IF(COUNTIF(Flows!$M$2:$M$1500,$A67&amp;"|"&amp;AY$1&amp;"|Output"),"OUT",""))</f>
        <v/>
      </c>
      <c r="AZ67" s="33" t="str">
        <f aca="false">IF(COUNTIF(Flows!$M$2:$M$1500,$A67&amp;"|"&amp;AZ$1&amp;"|Input"),IF(COUNTIF(Flows!$M$2:$M$1500,$A67&amp;"|"&amp;AZ$1&amp;"|Output"),"I/O","IN"),IF(COUNTIF(Flows!$M$2:$M$1500,$A67&amp;"|"&amp;AZ$1&amp;"|Output"),"OUT",""))</f>
        <v/>
      </c>
      <c r="BA67" s="33" t="str">
        <f aca="false">IF(COUNTIF(Flows!$M$2:$M$1500,$A67&amp;"|"&amp;BA$1&amp;"|Input"),IF(COUNTIF(Flows!$M$2:$M$1500,$A67&amp;"|"&amp;BA$1&amp;"|Output"),"I/O","IN"),IF(COUNTIF(Flows!$M$2:$M$1500,$A67&amp;"|"&amp;BA$1&amp;"|Output"),"OUT",""))</f>
        <v/>
      </c>
      <c r="BB67" s="33" t="str">
        <f aca="false">IF(COUNTIF(Flows!$M$2:$M$1500,$A67&amp;"|"&amp;BB$1&amp;"|Input"),IF(COUNTIF(Flows!$M$2:$M$1500,$A67&amp;"|"&amp;BB$1&amp;"|Output"),"I/O","IN"),IF(COUNTIF(Flows!$M$2:$M$1500,$A67&amp;"|"&amp;BB$1&amp;"|Output"),"OUT",""))</f>
        <v/>
      </c>
      <c r="BC67" s="33" t="str">
        <f aca="false">IF(COUNTIF(Flows!$M$2:$M$1500,$A67&amp;"|"&amp;BC$1&amp;"|Input"),IF(COUNTIF(Flows!$M$2:$M$1500,$A67&amp;"|"&amp;BC$1&amp;"|Output"),"I/O","IN"),IF(COUNTIF(Flows!$M$2:$M$1500,$A67&amp;"|"&amp;BC$1&amp;"|Output"),"OUT",""))</f>
        <v/>
      </c>
      <c r="BD67" s="33" t="str">
        <f aca="false">IF(COUNTIF(Flows!$M$2:$M$1500,$A67&amp;"|"&amp;BD$1&amp;"|Input"),IF(COUNTIF(Flows!$M$2:$M$1500,$A67&amp;"|"&amp;BD$1&amp;"|Output"),"I/O","IN"),IF(COUNTIF(Flows!$M$2:$M$1500,$A67&amp;"|"&amp;BD$1&amp;"|Output"),"OUT",""))</f>
        <v/>
      </c>
      <c r="BE67" s="33" t="str">
        <f aca="false">IF(COUNTIF(Flows!$M$2:$M$1500,$A67&amp;"|"&amp;BE$1&amp;"|Input"),IF(COUNTIF(Flows!$M$2:$M$1500,$A67&amp;"|"&amp;BE$1&amp;"|Output"),"I/O","IN"),IF(COUNTIF(Flows!$M$2:$M$1500,$A67&amp;"|"&amp;BE$1&amp;"|Output"),"OUT",""))</f>
        <v/>
      </c>
      <c r="BF67" s="33" t="str">
        <f aca="false">IF(COUNTIF(Flows!$M$2:$M$1500,$A67&amp;"|"&amp;BF$1&amp;"|Input"),IF(COUNTIF(Flows!$M$2:$M$1500,$A67&amp;"|"&amp;BF$1&amp;"|Output"),"I/O","IN"),IF(COUNTIF(Flows!$M$2:$M$1500,$A67&amp;"|"&amp;BF$1&amp;"|Output"),"OUT",""))</f>
        <v/>
      </c>
      <c r="BG67" s="33" t="str">
        <f aca="false">IF(COUNTIF(Flows!$M$2:$M$1500,$A67&amp;"|"&amp;BG$1&amp;"|Input"),IF(COUNTIF(Flows!$M$2:$M$1500,$A67&amp;"|"&amp;BG$1&amp;"|Output"),"I/O","IN"),IF(COUNTIF(Flows!$M$2:$M$1500,$A67&amp;"|"&amp;BG$1&amp;"|Output"),"OUT",""))</f>
        <v/>
      </c>
      <c r="BH67" s="33" t="str">
        <f aca="false">IF(COUNTIF(Flows!$M$2:$M$1500,$A67&amp;"|"&amp;BH$1&amp;"|Input"),IF(COUNTIF(Flows!$M$2:$M$1500,$A67&amp;"|"&amp;BH$1&amp;"|Output"),"I/O","IN"),IF(COUNTIF(Flows!$M$2:$M$1500,$A67&amp;"|"&amp;BH$1&amp;"|Output"),"OUT",""))</f>
        <v/>
      </c>
      <c r="BI67" s="33" t="str">
        <f aca="false">IF(COUNTIF(Flows!$M$2:$M$1500,$A67&amp;"|"&amp;BI$1&amp;"|Input"),IF(COUNTIF(Flows!$M$2:$M$1500,$A67&amp;"|"&amp;BI$1&amp;"|Output"),"I/O","IN"),IF(COUNTIF(Flows!$M$2:$M$1500,$A67&amp;"|"&amp;BI$1&amp;"|Output"),"OUT",""))</f>
        <v/>
      </c>
      <c r="BJ67" s="33" t="str">
        <f aca="false">IF(COUNTIF(Flows!$M$2:$M$1500,$A67&amp;"|"&amp;BJ$1&amp;"|Input"),IF(COUNTIF(Flows!$M$2:$M$1500,$A67&amp;"|"&amp;BJ$1&amp;"|Output"),"I/O","IN"),IF(COUNTIF(Flows!$M$2:$M$1500,$A67&amp;"|"&amp;BJ$1&amp;"|Output"),"OUT",""))</f>
        <v/>
      </c>
      <c r="BK67" s="33" t="str">
        <f aca="false">IF(COUNTIF(Flows!$M$2:$M$1500,$A67&amp;"|"&amp;BK$1&amp;"|Input"),IF(COUNTIF(Flows!$M$2:$M$1500,$A67&amp;"|"&amp;BK$1&amp;"|Output"),"I/O","IN"),IF(COUNTIF(Flows!$M$2:$M$1500,$A67&amp;"|"&amp;BK$1&amp;"|Output"),"OUT",""))</f>
        <v/>
      </c>
    </row>
    <row r="68" customFormat="false" ht="15" hidden="false" customHeight="true" outlineLevel="0" collapsed="false">
      <c r="A68" s="6" t="str">
        <f aca="false">Systems!B68</f>
        <v>Tiny Wood Stove</v>
      </c>
      <c r="B68" s="33" t="str">
        <f aca="false">IF(COUNTIF(Flows!$M$2:$M$1500,$A68&amp;"|"&amp;B$1&amp;"|Input"),IF(COUNTIF(Flows!$M$2:$M$1500,$A68&amp;"|"&amp;B$1&amp;"|Output"),"I/O","IN"),IF(COUNTIF(Flows!$M$2:$M$1500,$A68&amp;"|"&amp;B$1&amp;"|Output"),"OUT",""))</f>
        <v/>
      </c>
      <c r="C68" s="33" t="str">
        <f aca="false">IF(COUNTIF(Flows!$M$2:$M$1500,$A68&amp;"|"&amp;C$1&amp;"|Input"),IF(COUNTIF(Flows!$M$2:$M$1500,$A68&amp;"|"&amp;C$1&amp;"|Output"),"I/O","IN"),IF(COUNTIF(Flows!$M$2:$M$1500,$A68&amp;"|"&amp;C$1&amp;"|Output"),"OUT",""))</f>
        <v/>
      </c>
      <c r="D68" s="33" t="str">
        <f aca="false">IF(COUNTIF(Flows!$M$2:$M$1500,$A68&amp;"|"&amp;D$1&amp;"|Input"),IF(COUNTIF(Flows!$M$2:$M$1500,$A68&amp;"|"&amp;D$1&amp;"|Output"),"I/O","IN"),IF(COUNTIF(Flows!$M$2:$M$1500,$A68&amp;"|"&amp;D$1&amp;"|Output"),"OUT",""))</f>
        <v/>
      </c>
      <c r="E68" s="33" t="str">
        <f aca="false">IF(COUNTIF(Flows!$M$2:$M$1500,$A68&amp;"|"&amp;E$1&amp;"|Input"),IF(COUNTIF(Flows!$M$2:$M$1500,$A68&amp;"|"&amp;E$1&amp;"|Output"),"I/O","IN"),IF(COUNTIF(Flows!$M$2:$M$1500,$A68&amp;"|"&amp;E$1&amp;"|Output"),"OUT",""))</f>
        <v/>
      </c>
      <c r="F68" s="33" t="str">
        <f aca="false">IF(COUNTIF(Flows!$M$2:$M$1500,$A68&amp;"|"&amp;F$1&amp;"|Input"),IF(COUNTIF(Flows!$M$2:$M$1500,$A68&amp;"|"&amp;F$1&amp;"|Output"),"I/O","IN"),IF(COUNTIF(Flows!$M$2:$M$1500,$A68&amp;"|"&amp;F$1&amp;"|Output"),"OUT",""))</f>
        <v/>
      </c>
      <c r="G68" s="33" t="str">
        <f aca="false">IF(COUNTIF(Flows!$M$2:$M$1500,$A68&amp;"|"&amp;G$1&amp;"|Input"),IF(COUNTIF(Flows!$M$2:$M$1500,$A68&amp;"|"&amp;G$1&amp;"|Output"),"I/O","IN"),IF(COUNTIF(Flows!$M$2:$M$1500,$A68&amp;"|"&amp;G$1&amp;"|Output"),"OUT",""))</f>
        <v/>
      </c>
      <c r="H68" s="33" t="str">
        <f aca="false">IF(COUNTIF(Flows!$M$2:$M$1500,$A68&amp;"|"&amp;H$1&amp;"|Input"),IF(COUNTIF(Flows!$M$2:$M$1500,$A68&amp;"|"&amp;H$1&amp;"|Output"),"I/O","IN"),IF(COUNTIF(Flows!$M$2:$M$1500,$A68&amp;"|"&amp;H$1&amp;"|Output"),"OUT",""))</f>
        <v/>
      </c>
      <c r="I68" s="33" t="str">
        <f aca="false">IF(COUNTIF(Flows!$M$2:$M$1500,$A68&amp;"|"&amp;I$1&amp;"|Input"),IF(COUNTIF(Flows!$M$2:$M$1500,$A68&amp;"|"&amp;I$1&amp;"|Output"),"I/O","IN"),IF(COUNTIF(Flows!$M$2:$M$1500,$A68&amp;"|"&amp;I$1&amp;"|Output"),"OUT",""))</f>
        <v/>
      </c>
      <c r="J68" s="33" t="str">
        <f aca="false">IF(COUNTIF(Flows!$M$2:$M$1500,$A68&amp;"|"&amp;J$1&amp;"|Input"),IF(COUNTIF(Flows!$M$2:$M$1500,$A68&amp;"|"&amp;J$1&amp;"|Output"),"I/O","IN"),IF(COUNTIF(Flows!$M$2:$M$1500,$A68&amp;"|"&amp;J$1&amp;"|Output"),"OUT",""))</f>
        <v/>
      </c>
      <c r="K68" s="33" t="str">
        <f aca="false">IF(COUNTIF(Flows!$M$2:$M$1500,$A68&amp;"|"&amp;K$1&amp;"|Input"),IF(COUNTIF(Flows!$M$2:$M$1500,$A68&amp;"|"&amp;K$1&amp;"|Output"),"I/O","IN"),IF(COUNTIF(Flows!$M$2:$M$1500,$A68&amp;"|"&amp;K$1&amp;"|Output"),"OUT",""))</f>
        <v/>
      </c>
      <c r="L68" s="33" t="str">
        <f aca="false">IF(COUNTIF(Flows!$M$2:$M$1500,$A68&amp;"|"&amp;L$1&amp;"|Input"),IF(COUNTIF(Flows!$M$2:$M$1500,$A68&amp;"|"&amp;L$1&amp;"|Output"),"I/O","IN"),IF(COUNTIF(Flows!$M$2:$M$1500,$A68&amp;"|"&amp;L$1&amp;"|Output"),"OUT",""))</f>
        <v/>
      </c>
      <c r="M68" s="33" t="str">
        <f aca="false">IF(COUNTIF(Flows!$M$2:$M$1500,$A68&amp;"|"&amp;M$1&amp;"|Input"),IF(COUNTIF(Flows!$M$2:$M$1500,$A68&amp;"|"&amp;M$1&amp;"|Output"),"I/O","IN"),IF(COUNTIF(Flows!$M$2:$M$1500,$A68&amp;"|"&amp;M$1&amp;"|Output"),"OUT",""))</f>
        <v/>
      </c>
      <c r="N68" s="33" t="str">
        <f aca="false">IF(COUNTIF(Flows!$M$2:$M$1500,$A68&amp;"|"&amp;N$1&amp;"|Input"),IF(COUNTIF(Flows!$M$2:$M$1500,$A68&amp;"|"&amp;N$1&amp;"|Output"),"I/O","IN"),IF(COUNTIF(Flows!$M$2:$M$1500,$A68&amp;"|"&amp;N$1&amp;"|Output"),"OUT",""))</f>
        <v/>
      </c>
      <c r="O68" s="33" t="str">
        <f aca="false">IF(COUNTIF(Flows!$M$2:$M$1500,$A68&amp;"|"&amp;O$1&amp;"|Input"),IF(COUNTIF(Flows!$M$2:$M$1500,$A68&amp;"|"&amp;O$1&amp;"|Output"),"I/O","IN"),IF(COUNTIF(Flows!$M$2:$M$1500,$A68&amp;"|"&amp;O$1&amp;"|Output"),"OUT",""))</f>
        <v/>
      </c>
      <c r="P68" s="33" t="str">
        <f aca="false">IF(COUNTIF(Flows!$M$2:$M$1500,$A68&amp;"|"&amp;P$1&amp;"|Input"),IF(COUNTIF(Flows!$M$2:$M$1500,$A68&amp;"|"&amp;P$1&amp;"|Output"),"I/O","IN"),IF(COUNTIF(Flows!$M$2:$M$1500,$A68&amp;"|"&amp;P$1&amp;"|Output"),"OUT",""))</f>
        <v/>
      </c>
      <c r="Q68" s="33" t="str">
        <f aca="false">IF(COUNTIF(Flows!$M$2:$M$1500,$A68&amp;"|"&amp;Q$1&amp;"|Input"),IF(COUNTIF(Flows!$M$2:$M$1500,$A68&amp;"|"&amp;Q$1&amp;"|Output"),"I/O","IN"),IF(COUNTIF(Flows!$M$2:$M$1500,$A68&amp;"|"&amp;Q$1&amp;"|Output"),"OUT",""))</f>
        <v/>
      </c>
      <c r="R68" s="33" t="str">
        <f aca="false">IF(COUNTIF(Flows!$M$2:$M$1500,$A68&amp;"|"&amp;R$1&amp;"|Input"),IF(COUNTIF(Flows!$M$2:$M$1500,$A68&amp;"|"&amp;R$1&amp;"|Output"),"I/O","IN"),IF(COUNTIF(Flows!$M$2:$M$1500,$A68&amp;"|"&amp;R$1&amp;"|Output"),"OUT",""))</f>
        <v/>
      </c>
      <c r="S68" s="33" t="str">
        <f aca="false">IF(COUNTIF(Flows!$M$2:$M$1500,$A68&amp;"|"&amp;S$1&amp;"|Input"),IF(COUNTIF(Flows!$M$2:$M$1500,$A68&amp;"|"&amp;S$1&amp;"|Output"),"I/O","IN"),IF(COUNTIF(Flows!$M$2:$M$1500,$A68&amp;"|"&amp;S$1&amp;"|Output"),"OUT",""))</f>
        <v/>
      </c>
      <c r="T68" s="33" t="str">
        <f aca="false">IF(COUNTIF(Flows!$M$2:$M$1500,$A68&amp;"|"&amp;T$1&amp;"|Input"),IF(COUNTIF(Flows!$M$2:$M$1500,$A68&amp;"|"&amp;T$1&amp;"|Output"),"I/O","IN"),IF(COUNTIF(Flows!$M$2:$M$1500,$A68&amp;"|"&amp;T$1&amp;"|Output"),"OUT",""))</f>
        <v/>
      </c>
      <c r="U68" s="33" t="str">
        <f aca="false">IF(COUNTIF(Flows!$M$2:$M$1500,$A68&amp;"|"&amp;U$1&amp;"|Input"),IF(COUNTIF(Flows!$M$2:$M$1500,$A68&amp;"|"&amp;U$1&amp;"|Output"),"I/O","IN"),IF(COUNTIF(Flows!$M$2:$M$1500,$A68&amp;"|"&amp;U$1&amp;"|Output"),"OUT",""))</f>
        <v>OUT</v>
      </c>
      <c r="V68" s="33" t="str">
        <f aca="false">IF(COUNTIF(Flows!$M$2:$M$1500,$A68&amp;"|"&amp;V$1&amp;"|Input"),IF(COUNTIF(Flows!$M$2:$M$1500,$A68&amp;"|"&amp;V$1&amp;"|Output"),"I/O","IN"),IF(COUNTIF(Flows!$M$2:$M$1500,$A68&amp;"|"&amp;V$1&amp;"|Output"),"OUT",""))</f>
        <v>OUT</v>
      </c>
      <c r="W68" s="33" t="str">
        <f aca="false">IF(COUNTIF(Flows!$M$2:$M$1500,$A68&amp;"|"&amp;W$1&amp;"|Input"),IF(COUNTIF(Flows!$M$2:$M$1500,$A68&amp;"|"&amp;W$1&amp;"|Output"),"I/O","IN"),IF(COUNTIF(Flows!$M$2:$M$1500,$A68&amp;"|"&amp;W$1&amp;"|Output"),"OUT",""))</f>
        <v/>
      </c>
      <c r="X68" s="33" t="str">
        <f aca="false">IF(COUNTIF(Flows!$M$2:$M$1500,$A68&amp;"|"&amp;X$1&amp;"|Input"),IF(COUNTIF(Flows!$M$2:$M$1500,$A68&amp;"|"&amp;X$1&amp;"|Output"),"I/O","IN"),IF(COUNTIF(Flows!$M$2:$M$1500,$A68&amp;"|"&amp;X$1&amp;"|Output"),"OUT",""))</f>
        <v>IN</v>
      </c>
      <c r="Y68" s="33" t="str">
        <f aca="false">IF(COUNTIF(Flows!$M$2:$M$1500,$A68&amp;"|"&amp;Y$1&amp;"|Input"),IF(COUNTIF(Flows!$M$2:$M$1500,$A68&amp;"|"&amp;Y$1&amp;"|Output"),"I/O","IN"),IF(COUNTIF(Flows!$M$2:$M$1500,$A68&amp;"|"&amp;Y$1&amp;"|Output"),"OUT",""))</f>
        <v/>
      </c>
      <c r="Z68" s="33" t="str">
        <f aca="false">IF(COUNTIF(Flows!$M$2:$M$1500,$A68&amp;"|"&amp;Z$1&amp;"|Input"),IF(COUNTIF(Flows!$M$2:$M$1500,$A68&amp;"|"&amp;Z$1&amp;"|Output"),"I/O","IN"),IF(COUNTIF(Flows!$M$2:$M$1500,$A68&amp;"|"&amp;Z$1&amp;"|Output"),"OUT",""))</f>
        <v/>
      </c>
      <c r="AA68" s="33" t="str">
        <f aca="false">IF(COUNTIF(Flows!$M$2:$M$1500,$A68&amp;"|"&amp;AA$1&amp;"|Input"),IF(COUNTIF(Flows!$M$2:$M$1500,$A68&amp;"|"&amp;AA$1&amp;"|Output"),"I/O","IN"),IF(COUNTIF(Flows!$M$2:$M$1500,$A68&amp;"|"&amp;AA$1&amp;"|Output"),"OUT",""))</f>
        <v/>
      </c>
      <c r="AB68" s="33" t="str">
        <f aca="false">IF(COUNTIF(Flows!$M$2:$M$1500,$A68&amp;"|"&amp;AB$1&amp;"|Input"),IF(COUNTIF(Flows!$M$2:$M$1500,$A68&amp;"|"&amp;AB$1&amp;"|Output"),"I/O","IN"),IF(COUNTIF(Flows!$M$2:$M$1500,$A68&amp;"|"&amp;AB$1&amp;"|Output"),"OUT",""))</f>
        <v/>
      </c>
      <c r="AC68" s="33" t="str">
        <f aca="false">IF(COUNTIF(Flows!$M$2:$M$1500,$A68&amp;"|"&amp;AC$1&amp;"|Input"),IF(COUNTIF(Flows!$M$2:$M$1500,$A68&amp;"|"&amp;AC$1&amp;"|Output"),"I/O","IN"),IF(COUNTIF(Flows!$M$2:$M$1500,$A68&amp;"|"&amp;AC$1&amp;"|Output"),"OUT",""))</f>
        <v/>
      </c>
      <c r="AD68" s="33" t="str">
        <f aca="false">IF(COUNTIF(Flows!$M$2:$M$1500,$A68&amp;"|"&amp;AD$1&amp;"|Input"),IF(COUNTIF(Flows!$M$2:$M$1500,$A68&amp;"|"&amp;AD$1&amp;"|Output"),"I/O","IN"),IF(COUNTIF(Flows!$M$2:$M$1500,$A68&amp;"|"&amp;AD$1&amp;"|Output"),"OUT",""))</f>
        <v/>
      </c>
      <c r="AE68" s="33" t="str">
        <f aca="false">IF(COUNTIF(Flows!$M$2:$M$1500,$A68&amp;"|"&amp;AE$1&amp;"|Input"),IF(COUNTIF(Flows!$M$2:$M$1500,$A68&amp;"|"&amp;AE$1&amp;"|Output"),"I/O","IN"),IF(COUNTIF(Flows!$M$2:$M$1500,$A68&amp;"|"&amp;AE$1&amp;"|Output"),"OUT",""))</f>
        <v/>
      </c>
      <c r="AF68" s="33" t="str">
        <f aca="false">IF(COUNTIF(Flows!$M$2:$M$1500,$A68&amp;"|"&amp;AF$1&amp;"|Input"),IF(COUNTIF(Flows!$M$2:$M$1500,$A68&amp;"|"&amp;AF$1&amp;"|Output"),"I/O","IN"),IF(COUNTIF(Flows!$M$2:$M$1500,$A68&amp;"|"&amp;AF$1&amp;"|Output"),"OUT",""))</f>
        <v/>
      </c>
      <c r="AG68" s="33" t="str">
        <f aca="false">IF(COUNTIF(Flows!$M$2:$M$1500,$A68&amp;"|"&amp;AG$1&amp;"|Input"),IF(COUNTIF(Flows!$M$2:$M$1500,$A68&amp;"|"&amp;AG$1&amp;"|Output"),"I/O","IN"),IF(COUNTIF(Flows!$M$2:$M$1500,$A68&amp;"|"&amp;AG$1&amp;"|Output"),"OUT",""))</f>
        <v/>
      </c>
      <c r="AH68" s="33" t="str">
        <f aca="false">IF(COUNTIF(Flows!$M$2:$M$1500,$A68&amp;"|"&amp;AH$1&amp;"|Input"),IF(COUNTIF(Flows!$M$2:$M$1500,$A68&amp;"|"&amp;AH$1&amp;"|Output"),"I/O","IN"),IF(COUNTIF(Flows!$M$2:$M$1500,$A68&amp;"|"&amp;AH$1&amp;"|Output"),"OUT",""))</f>
        <v/>
      </c>
      <c r="AI68" s="33" t="str">
        <f aca="false">IF(COUNTIF(Flows!$M$2:$M$1500,$A68&amp;"|"&amp;AI$1&amp;"|Input"),IF(COUNTIF(Flows!$M$2:$M$1500,$A68&amp;"|"&amp;AI$1&amp;"|Output"),"I/O","IN"),IF(COUNTIF(Flows!$M$2:$M$1500,$A68&amp;"|"&amp;AI$1&amp;"|Output"),"OUT",""))</f>
        <v/>
      </c>
      <c r="AJ68" s="33" t="str">
        <f aca="false">IF(COUNTIF(Flows!$M$2:$M$1500,$A68&amp;"|"&amp;AJ$1&amp;"|Input"),IF(COUNTIF(Flows!$M$2:$M$1500,$A68&amp;"|"&amp;AJ$1&amp;"|Output"),"I/O","IN"),IF(COUNTIF(Flows!$M$2:$M$1500,$A68&amp;"|"&amp;AJ$1&amp;"|Output"),"OUT",""))</f>
        <v/>
      </c>
      <c r="AK68" s="33" t="str">
        <f aca="false">IF(COUNTIF(Flows!$M$2:$M$1500,$A68&amp;"|"&amp;AK$1&amp;"|Input"),IF(COUNTIF(Flows!$M$2:$M$1500,$A68&amp;"|"&amp;AK$1&amp;"|Output"),"I/O","IN"),IF(COUNTIF(Flows!$M$2:$M$1500,$A68&amp;"|"&amp;AK$1&amp;"|Output"),"OUT",""))</f>
        <v/>
      </c>
      <c r="AL68" s="33" t="str">
        <f aca="false">IF(COUNTIF(Flows!$M$2:$M$1500,$A68&amp;"|"&amp;AL$1&amp;"|Input"),IF(COUNTIF(Flows!$M$2:$M$1500,$A68&amp;"|"&amp;AL$1&amp;"|Output"),"I/O","IN"),IF(COUNTIF(Flows!$M$2:$M$1500,$A68&amp;"|"&amp;AL$1&amp;"|Output"),"OUT",""))</f>
        <v>IN</v>
      </c>
      <c r="AM68" s="33" t="str">
        <f aca="false">IF(COUNTIF(Flows!$M$2:$M$1500,$A68&amp;"|"&amp;AM$1&amp;"|Input"),IF(COUNTIF(Flows!$M$2:$M$1500,$A68&amp;"|"&amp;AM$1&amp;"|Output"),"I/O","IN"),IF(COUNTIF(Flows!$M$2:$M$1500,$A68&amp;"|"&amp;AM$1&amp;"|Output"),"OUT",""))</f>
        <v/>
      </c>
      <c r="AN68" s="33" t="str">
        <f aca="false">IF(COUNTIF(Flows!$M$2:$M$1500,$A68&amp;"|"&amp;AN$1&amp;"|Input"),IF(COUNTIF(Flows!$M$2:$M$1500,$A68&amp;"|"&amp;AN$1&amp;"|Output"),"I/O","IN"),IF(COUNTIF(Flows!$M$2:$M$1500,$A68&amp;"|"&amp;AN$1&amp;"|Output"),"OUT",""))</f>
        <v/>
      </c>
      <c r="AO68" s="33" t="str">
        <f aca="false">IF(COUNTIF(Flows!$M$2:$M$1500,$A68&amp;"|"&amp;AO$1&amp;"|Input"),IF(COUNTIF(Flows!$M$2:$M$1500,$A68&amp;"|"&amp;AO$1&amp;"|Output"),"I/O","IN"),IF(COUNTIF(Flows!$M$2:$M$1500,$A68&amp;"|"&amp;AO$1&amp;"|Output"),"OUT",""))</f>
        <v/>
      </c>
      <c r="AP68" s="33" t="str">
        <f aca="false">IF(COUNTIF(Flows!$M$2:$M$1500,$A68&amp;"|"&amp;AP$1&amp;"|Input"),IF(COUNTIF(Flows!$M$2:$M$1500,$A68&amp;"|"&amp;AP$1&amp;"|Output"),"I/O","IN"),IF(COUNTIF(Flows!$M$2:$M$1500,$A68&amp;"|"&amp;AP$1&amp;"|Output"),"OUT",""))</f>
        <v/>
      </c>
      <c r="AQ68" s="33" t="str">
        <f aca="false">IF(COUNTIF(Flows!$M$2:$M$1500,$A68&amp;"|"&amp;AQ$1&amp;"|Input"),IF(COUNTIF(Flows!$M$2:$M$1500,$A68&amp;"|"&amp;AQ$1&amp;"|Output"),"I/O","IN"),IF(COUNTIF(Flows!$M$2:$M$1500,$A68&amp;"|"&amp;AQ$1&amp;"|Output"),"OUT",""))</f>
        <v/>
      </c>
      <c r="AR68" s="33" t="str">
        <f aca="false">IF(COUNTIF(Flows!$M$2:$M$1500,$A68&amp;"|"&amp;AR$1&amp;"|Input"),IF(COUNTIF(Flows!$M$2:$M$1500,$A68&amp;"|"&amp;AR$1&amp;"|Output"),"I/O","IN"),IF(COUNTIF(Flows!$M$2:$M$1500,$A68&amp;"|"&amp;AR$1&amp;"|Output"),"OUT",""))</f>
        <v/>
      </c>
      <c r="AS68" s="33" t="str">
        <f aca="false">IF(COUNTIF(Flows!$M$2:$M$1500,$A68&amp;"|"&amp;AS$1&amp;"|Input"),IF(COUNTIF(Flows!$M$2:$M$1500,$A68&amp;"|"&amp;AS$1&amp;"|Output"),"I/O","IN"),IF(COUNTIF(Flows!$M$2:$M$1500,$A68&amp;"|"&amp;AS$1&amp;"|Output"),"OUT",""))</f>
        <v/>
      </c>
      <c r="AT68" s="33" t="str">
        <f aca="false">IF(COUNTIF(Flows!$M$2:$M$1500,$A68&amp;"|"&amp;AT$1&amp;"|Input"),IF(COUNTIF(Flows!$M$2:$M$1500,$A68&amp;"|"&amp;AT$1&amp;"|Output"),"I/O","IN"),IF(COUNTIF(Flows!$M$2:$M$1500,$A68&amp;"|"&amp;AT$1&amp;"|Output"),"OUT",""))</f>
        <v/>
      </c>
      <c r="AU68" s="33" t="str">
        <f aca="false">IF(COUNTIF(Flows!$M$2:$M$1500,$A68&amp;"|"&amp;AU$1&amp;"|Input"),IF(COUNTIF(Flows!$M$2:$M$1500,$A68&amp;"|"&amp;AU$1&amp;"|Output"),"I/O","IN"),IF(COUNTIF(Flows!$M$2:$M$1500,$A68&amp;"|"&amp;AU$1&amp;"|Output"),"OUT",""))</f>
        <v/>
      </c>
      <c r="AV68" s="33" t="str">
        <f aca="false">IF(COUNTIF(Flows!$M$2:$M$1500,$A68&amp;"|"&amp;AV$1&amp;"|Input"),IF(COUNTIF(Flows!$M$2:$M$1500,$A68&amp;"|"&amp;AV$1&amp;"|Output"),"I/O","IN"),IF(COUNTIF(Flows!$M$2:$M$1500,$A68&amp;"|"&amp;AV$1&amp;"|Output"),"OUT",""))</f>
        <v/>
      </c>
      <c r="AW68" s="33" t="str">
        <f aca="false">IF(COUNTIF(Flows!$M$2:$M$1500,$A68&amp;"|"&amp;AW$1&amp;"|Input"),IF(COUNTIF(Flows!$M$2:$M$1500,$A68&amp;"|"&amp;AW$1&amp;"|Output"),"I/O","IN"),IF(COUNTIF(Flows!$M$2:$M$1500,$A68&amp;"|"&amp;AW$1&amp;"|Output"),"OUT",""))</f>
        <v/>
      </c>
      <c r="AX68" s="33" t="str">
        <f aca="false">IF(COUNTIF(Flows!$M$2:$M$1500,$A68&amp;"|"&amp;AX$1&amp;"|Input"),IF(COUNTIF(Flows!$M$2:$M$1500,$A68&amp;"|"&amp;AX$1&amp;"|Output"),"I/O","IN"),IF(COUNTIF(Flows!$M$2:$M$1500,$A68&amp;"|"&amp;AX$1&amp;"|Output"),"OUT",""))</f>
        <v/>
      </c>
      <c r="AY68" s="33" t="str">
        <f aca="false">IF(COUNTIF(Flows!$M$2:$M$1500,$A68&amp;"|"&amp;AY$1&amp;"|Input"),IF(COUNTIF(Flows!$M$2:$M$1500,$A68&amp;"|"&amp;AY$1&amp;"|Output"),"I/O","IN"),IF(COUNTIF(Flows!$M$2:$M$1500,$A68&amp;"|"&amp;AY$1&amp;"|Output"),"OUT",""))</f>
        <v/>
      </c>
      <c r="AZ68" s="33" t="str">
        <f aca="false">IF(COUNTIF(Flows!$M$2:$M$1500,$A68&amp;"|"&amp;AZ$1&amp;"|Input"),IF(COUNTIF(Flows!$M$2:$M$1500,$A68&amp;"|"&amp;AZ$1&amp;"|Output"),"I/O","IN"),IF(COUNTIF(Flows!$M$2:$M$1500,$A68&amp;"|"&amp;AZ$1&amp;"|Output"),"OUT",""))</f>
        <v/>
      </c>
      <c r="BA68" s="33" t="str">
        <f aca="false">IF(COUNTIF(Flows!$M$2:$M$1500,$A68&amp;"|"&amp;BA$1&amp;"|Input"),IF(COUNTIF(Flows!$M$2:$M$1500,$A68&amp;"|"&amp;BA$1&amp;"|Output"),"I/O","IN"),IF(COUNTIF(Flows!$M$2:$M$1500,$A68&amp;"|"&amp;BA$1&amp;"|Output"),"OUT",""))</f>
        <v/>
      </c>
      <c r="BB68" s="33" t="str">
        <f aca="false">IF(COUNTIF(Flows!$M$2:$M$1500,$A68&amp;"|"&amp;BB$1&amp;"|Input"),IF(COUNTIF(Flows!$M$2:$M$1500,$A68&amp;"|"&amp;BB$1&amp;"|Output"),"I/O","IN"),IF(COUNTIF(Flows!$M$2:$M$1500,$A68&amp;"|"&amp;BB$1&amp;"|Output"),"OUT",""))</f>
        <v/>
      </c>
      <c r="BC68" s="33" t="str">
        <f aca="false">IF(COUNTIF(Flows!$M$2:$M$1500,$A68&amp;"|"&amp;BC$1&amp;"|Input"),IF(COUNTIF(Flows!$M$2:$M$1500,$A68&amp;"|"&amp;BC$1&amp;"|Output"),"I/O","IN"),IF(COUNTIF(Flows!$M$2:$M$1500,$A68&amp;"|"&amp;BC$1&amp;"|Output"),"OUT",""))</f>
        <v/>
      </c>
      <c r="BD68" s="33" t="str">
        <f aca="false">IF(COUNTIF(Flows!$M$2:$M$1500,$A68&amp;"|"&amp;BD$1&amp;"|Input"),IF(COUNTIF(Flows!$M$2:$M$1500,$A68&amp;"|"&amp;BD$1&amp;"|Output"),"I/O","IN"),IF(COUNTIF(Flows!$M$2:$M$1500,$A68&amp;"|"&amp;BD$1&amp;"|Output"),"OUT",""))</f>
        <v/>
      </c>
      <c r="BE68" s="33" t="str">
        <f aca="false">IF(COUNTIF(Flows!$M$2:$M$1500,$A68&amp;"|"&amp;BE$1&amp;"|Input"),IF(COUNTIF(Flows!$M$2:$M$1500,$A68&amp;"|"&amp;BE$1&amp;"|Output"),"I/O","IN"),IF(COUNTIF(Flows!$M$2:$M$1500,$A68&amp;"|"&amp;BE$1&amp;"|Output"),"OUT",""))</f>
        <v/>
      </c>
      <c r="BF68" s="33" t="str">
        <f aca="false">IF(COUNTIF(Flows!$M$2:$M$1500,$A68&amp;"|"&amp;BF$1&amp;"|Input"),IF(COUNTIF(Flows!$M$2:$M$1500,$A68&amp;"|"&amp;BF$1&amp;"|Output"),"I/O","IN"),IF(COUNTIF(Flows!$M$2:$M$1500,$A68&amp;"|"&amp;BF$1&amp;"|Output"),"OUT",""))</f>
        <v/>
      </c>
      <c r="BG68" s="33" t="str">
        <f aca="false">IF(COUNTIF(Flows!$M$2:$M$1500,$A68&amp;"|"&amp;BG$1&amp;"|Input"),IF(COUNTIF(Flows!$M$2:$M$1500,$A68&amp;"|"&amp;BG$1&amp;"|Output"),"I/O","IN"),IF(COUNTIF(Flows!$M$2:$M$1500,$A68&amp;"|"&amp;BG$1&amp;"|Output"),"OUT",""))</f>
        <v/>
      </c>
      <c r="BH68" s="33" t="str">
        <f aca="false">IF(COUNTIF(Flows!$M$2:$M$1500,$A68&amp;"|"&amp;BH$1&amp;"|Input"),IF(COUNTIF(Flows!$M$2:$M$1500,$A68&amp;"|"&amp;BH$1&amp;"|Output"),"I/O","IN"),IF(COUNTIF(Flows!$M$2:$M$1500,$A68&amp;"|"&amp;BH$1&amp;"|Output"),"OUT",""))</f>
        <v/>
      </c>
      <c r="BI68" s="33" t="str">
        <f aca="false">IF(COUNTIF(Flows!$M$2:$M$1500,$A68&amp;"|"&amp;BI$1&amp;"|Input"),IF(COUNTIF(Flows!$M$2:$M$1500,$A68&amp;"|"&amp;BI$1&amp;"|Output"),"I/O","IN"),IF(COUNTIF(Flows!$M$2:$M$1500,$A68&amp;"|"&amp;BI$1&amp;"|Output"),"OUT",""))</f>
        <v/>
      </c>
      <c r="BJ68" s="33" t="str">
        <f aca="false">IF(COUNTIF(Flows!$M$2:$M$1500,$A68&amp;"|"&amp;BJ$1&amp;"|Input"),IF(COUNTIF(Flows!$M$2:$M$1500,$A68&amp;"|"&amp;BJ$1&amp;"|Output"),"I/O","IN"),IF(COUNTIF(Flows!$M$2:$M$1500,$A68&amp;"|"&amp;BJ$1&amp;"|Output"),"OUT",""))</f>
        <v/>
      </c>
      <c r="BK68" s="33" t="str">
        <f aca="false">IF(COUNTIF(Flows!$M$2:$M$1500,$A68&amp;"|"&amp;BK$1&amp;"|Input"),IF(COUNTIF(Flows!$M$2:$M$1500,$A68&amp;"|"&amp;BK$1&amp;"|Output"),"I/O","IN"),IF(COUNTIF(Flows!$M$2:$M$1500,$A68&amp;"|"&amp;BK$1&amp;"|Output"),"OUT",""))</f>
        <v/>
      </c>
    </row>
    <row r="69" customFormat="false" ht="15" hidden="false" customHeight="true" outlineLevel="0" collapsed="false">
      <c r="A69" s="6" t="str">
        <f aca="false">Systems!B69</f>
        <v>Biochar Kiln Firepit</v>
      </c>
      <c r="B69" s="33" t="str">
        <f aca="false">IF(COUNTIF(Flows!$M$2:$M$1500,$A69&amp;"|"&amp;B$1&amp;"|Input"),IF(COUNTIF(Flows!$M$2:$M$1500,$A69&amp;"|"&amp;B$1&amp;"|Output"),"I/O","IN"),IF(COUNTIF(Flows!$M$2:$M$1500,$A69&amp;"|"&amp;B$1&amp;"|Output"),"OUT",""))</f>
        <v>IN</v>
      </c>
      <c r="C69" s="33" t="str">
        <f aca="false">IF(COUNTIF(Flows!$M$2:$M$1500,$A69&amp;"|"&amp;C$1&amp;"|Input"),IF(COUNTIF(Flows!$M$2:$M$1500,$A69&amp;"|"&amp;C$1&amp;"|Output"),"I/O","IN"),IF(COUNTIF(Flows!$M$2:$M$1500,$A69&amp;"|"&amp;C$1&amp;"|Output"),"OUT",""))</f>
        <v/>
      </c>
      <c r="D69" s="33" t="str">
        <f aca="false">IF(COUNTIF(Flows!$M$2:$M$1500,$A69&amp;"|"&amp;D$1&amp;"|Input"),IF(COUNTIF(Flows!$M$2:$M$1500,$A69&amp;"|"&amp;D$1&amp;"|Output"),"I/O","IN"),IF(COUNTIF(Flows!$M$2:$M$1500,$A69&amp;"|"&amp;D$1&amp;"|Output"),"OUT",""))</f>
        <v/>
      </c>
      <c r="E69" s="33" t="str">
        <f aca="false">IF(COUNTIF(Flows!$M$2:$M$1500,$A69&amp;"|"&amp;E$1&amp;"|Input"),IF(COUNTIF(Flows!$M$2:$M$1500,$A69&amp;"|"&amp;E$1&amp;"|Output"),"I/O","IN"),IF(COUNTIF(Flows!$M$2:$M$1500,$A69&amp;"|"&amp;E$1&amp;"|Output"),"OUT",""))</f>
        <v/>
      </c>
      <c r="F69" s="33" t="str">
        <f aca="false">IF(COUNTIF(Flows!$M$2:$M$1500,$A69&amp;"|"&amp;F$1&amp;"|Input"),IF(COUNTIF(Flows!$M$2:$M$1500,$A69&amp;"|"&amp;F$1&amp;"|Output"),"I/O","IN"),IF(COUNTIF(Flows!$M$2:$M$1500,$A69&amp;"|"&amp;F$1&amp;"|Output"),"OUT",""))</f>
        <v/>
      </c>
      <c r="G69" s="33" t="str">
        <f aca="false">IF(COUNTIF(Flows!$M$2:$M$1500,$A69&amp;"|"&amp;G$1&amp;"|Input"),IF(COUNTIF(Flows!$M$2:$M$1500,$A69&amp;"|"&amp;G$1&amp;"|Output"),"I/O","IN"),IF(COUNTIF(Flows!$M$2:$M$1500,$A69&amp;"|"&amp;G$1&amp;"|Output"),"OUT",""))</f>
        <v/>
      </c>
      <c r="H69" s="33" t="str">
        <f aca="false">IF(COUNTIF(Flows!$M$2:$M$1500,$A69&amp;"|"&amp;H$1&amp;"|Input"),IF(COUNTIF(Flows!$M$2:$M$1500,$A69&amp;"|"&amp;H$1&amp;"|Output"),"I/O","IN"),IF(COUNTIF(Flows!$M$2:$M$1500,$A69&amp;"|"&amp;H$1&amp;"|Output"),"OUT",""))</f>
        <v/>
      </c>
      <c r="I69" s="33" t="str">
        <f aca="false">IF(COUNTIF(Flows!$M$2:$M$1500,$A69&amp;"|"&amp;I$1&amp;"|Input"),IF(COUNTIF(Flows!$M$2:$M$1500,$A69&amp;"|"&amp;I$1&amp;"|Output"),"I/O","IN"),IF(COUNTIF(Flows!$M$2:$M$1500,$A69&amp;"|"&amp;I$1&amp;"|Output"),"OUT",""))</f>
        <v/>
      </c>
      <c r="J69" s="33" t="str">
        <f aca="false">IF(COUNTIF(Flows!$M$2:$M$1500,$A69&amp;"|"&amp;J$1&amp;"|Input"),IF(COUNTIF(Flows!$M$2:$M$1500,$A69&amp;"|"&amp;J$1&amp;"|Output"),"I/O","IN"),IF(COUNTIF(Flows!$M$2:$M$1500,$A69&amp;"|"&amp;J$1&amp;"|Output"),"OUT",""))</f>
        <v/>
      </c>
      <c r="K69" s="33" t="str">
        <f aca="false">IF(COUNTIF(Flows!$M$2:$M$1500,$A69&amp;"|"&amp;K$1&amp;"|Input"),IF(COUNTIF(Flows!$M$2:$M$1500,$A69&amp;"|"&amp;K$1&amp;"|Output"),"I/O","IN"),IF(COUNTIF(Flows!$M$2:$M$1500,$A69&amp;"|"&amp;K$1&amp;"|Output"),"OUT",""))</f>
        <v/>
      </c>
      <c r="L69" s="33" t="str">
        <f aca="false">IF(COUNTIF(Flows!$M$2:$M$1500,$A69&amp;"|"&amp;L$1&amp;"|Input"),IF(COUNTIF(Flows!$M$2:$M$1500,$A69&amp;"|"&amp;L$1&amp;"|Output"),"I/O","IN"),IF(COUNTIF(Flows!$M$2:$M$1500,$A69&amp;"|"&amp;L$1&amp;"|Output"),"OUT",""))</f>
        <v/>
      </c>
      <c r="M69" s="33" t="str">
        <f aca="false">IF(COUNTIF(Flows!$M$2:$M$1500,$A69&amp;"|"&amp;M$1&amp;"|Input"),IF(COUNTIF(Flows!$M$2:$M$1500,$A69&amp;"|"&amp;M$1&amp;"|Output"),"I/O","IN"),IF(COUNTIF(Flows!$M$2:$M$1500,$A69&amp;"|"&amp;M$1&amp;"|Output"),"OUT",""))</f>
        <v/>
      </c>
      <c r="N69" s="33" t="str">
        <f aca="false">IF(COUNTIF(Flows!$M$2:$M$1500,$A69&amp;"|"&amp;N$1&amp;"|Input"),IF(COUNTIF(Flows!$M$2:$M$1500,$A69&amp;"|"&amp;N$1&amp;"|Output"),"I/O","IN"),IF(COUNTIF(Flows!$M$2:$M$1500,$A69&amp;"|"&amp;N$1&amp;"|Output"),"OUT",""))</f>
        <v/>
      </c>
      <c r="O69" s="33" t="str">
        <f aca="false">IF(COUNTIF(Flows!$M$2:$M$1500,$A69&amp;"|"&amp;O$1&amp;"|Input"),IF(COUNTIF(Flows!$M$2:$M$1500,$A69&amp;"|"&amp;O$1&amp;"|Output"),"I/O","IN"),IF(COUNTIF(Flows!$M$2:$M$1500,$A69&amp;"|"&amp;O$1&amp;"|Output"),"OUT",""))</f>
        <v/>
      </c>
      <c r="P69" s="33" t="str">
        <f aca="false">IF(COUNTIF(Flows!$M$2:$M$1500,$A69&amp;"|"&amp;P$1&amp;"|Input"),IF(COUNTIF(Flows!$M$2:$M$1500,$A69&amp;"|"&amp;P$1&amp;"|Output"),"I/O","IN"),IF(COUNTIF(Flows!$M$2:$M$1500,$A69&amp;"|"&amp;P$1&amp;"|Output"),"OUT",""))</f>
        <v/>
      </c>
      <c r="Q69" s="33" t="str">
        <f aca="false">IF(COUNTIF(Flows!$M$2:$M$1500,$A69&amp;"|"&amp;Q$1&amp;"|Input"),IF(COUNTIF(Flows!$M$2:$M$1500,$A69&amp;"|"&amp;Q$1&amp;"|Output"),"I/O","IN"),IF(COUNTIF(Flows!$M$2:$M$1500,$A69&amp;"|"&amp;Q$1&amp;"|Output"),"OUT",""))</f>
        <v/>
      </c>
      <c r="R69" s="33" t="str">
        <f aca="false">IF(COUNTIF(Flows!$M$2:$M$1500,$A69&amp;"|"&amp;R$1&amp;"|Input"),IF(COUNTIF(Flows!$M$2:$M$1500,$A69&amp;"|"&amp;R$1&amp;"|Output"),"I/O","IN"),IF(COUNTIF(Flows!$M$2:$M$1500,$A69&amp;"|"&amp;R$1&amp;"|Output"),"OUT",""))</f>
        <v/>
      </c>
      <c r="S69" s="33" t="str">
        <f aca="false">IF(COUNTIF(Flows!$M$2:$M$1500,$A69&amp;"|"&amp;S$1&amp;"|Input"),IF(COUNTIF(Flows!$M$2:$M$1500,$A69&amp;"|"&amp;S$1&amp;"|Output"),"I/O","IN"),IF(COUNTIF(Flows!$M$2:$M$1500,$A69&amp;"|"&amp;S$1&amp;"|Output"),"OUT",""))</f>
        <v/>
      </c>
      <c r="T69" s="33" t="str">
        <f aca="false">IF(COUNTIF(Flows!$M$2:$M$1500,$A69&amp;"|"&amp;T$1&amp;"|Input"),IF(COUNTIF(Flows!$M$2:$M$1500,$A69&amp;"|"&amp;T$1&amp;"|Output"),"I/O","IN"),IF(COUNTIF(Flows!$M$2:$M$1500,$A69&amp;"|"&amp;T$1&amp;"|Output"),"OUT",""))</f>
        <v/>
      </c>
      <c r="U69" s="33" t="str">
        <f aca="false">IF(COUNTIF(Flows!$M$2:$M$1500,$A69&amp;"|"&amp;U$1&amp;"|Input"),IF(COUNTIF(Flows!$M$2:$M$1500,$A69&amp;"|"&amp;U$1&amp;"|Output"),"I/O","IN"),IF(COUNTIF(Flows!$M$2:$M$1500,$A69&amp;"|"&amp;U$1&amp;"|Output"),"OUT",""))</f>
        <v/>
      </c>
      <c r="V69" s="33" t="str">
        <f aca="false">IF(COUNTIF(Flows!$M$2:$M$1500,$A69&amp;"|"&amp;V$1&amp;"|Input"),IF(COUNTIF(Flows!$M$2:$M$1500,$A69&amp;"|"&amp;V$1&amp;"|Output"),"I/O","IN"),IF(COUNTIF(Flows!$M$2:$M$1500,$A69&amp;"|"&amp;V$1&amp;"|Output"),"OUT",""))</f>
        <v>OUT</v>
      </c>
      <c r="W69" s="33" t="str">
        <f aca="false">IF(COUNTIF(Flows!$M$2:$M$1500,$A69&amp;"|"&amp;W$1&amp;"|Input"),IF(COUNTIF(Flows!$M$2:$M$1500,$A69&amp;"|"&amp;W$1&amp;"|Output"),"I/O","IN"),IF(COUNTIF(Flows!$M$2:$M$1500,$A69&amp;"|"&amp;W$1&amp;"|Output"),"OUT",""))</f>
        <v/>
      </c>
      <c r="X69" s="33" t="str">
        <f aca="false">IF(COUNTIF(Flows!$M$2:$M$1500,$A69&amp;"|"&amp;X$1&amp;"|Input"),IF(COUNTIF(Flows!$M$2:$M$1500,$A69&amp;"|"&amp;X$1&amp;"|Output"),"I/O","IN"),IF(COUNTIF(Flows!$M$2:$M$1500,$A69&amp;"|"&amp;X$1&amp;"|Output"),"OUT",""))</f>
        <v>IN</v>
      </c>
      <c r="Y69" s="33" t="str">
        <f aca="false">IF(COUNTIF(Flows!$M$2:$M$1500,$A69&amp;"|"&amp;Y$1&amp;"|Input"),IF(COUNTIF(Flows!$M$2:$M$1500,$A69&amp;"|"&amp;Y$1&amp;"|Output"),"I/O","IN"),IF(COUNTIF(Flows!$M$2:$M$1500,$A69&amp;"|"&amp;Y$1&amp;"|Output"),"OUT",""))</f>
        <v/>
      </c>
      <c r="Z69" s="33" t="str">
        <f aca="false">IF(COUNTIF(Flows!$M$2:$M$1500,$A69&amp;"|"&amp;Z$1&amp;"|Input"),IF(COUNTIF(Flows!$M$2:$M$1500,$A69&amp;"|"&amp;Z$1&amp;"|Output"),"I/O","IN"),IF(COUNTIF(Flows!$M$2:$M$1500,$A69&amp;"|"&amp;Z$1&amp;"|Output"),"OUT",""))</f>
        <v/>
      </c>
      <c r="AA69" s="33" t="str">
        <f aca="false">IF(COUNTIF(Flows!$M$2:$M$1500,$A69&amp;"|"&amp;AA$1&amp;"|Input"),IF(COUNTIF(Flows!$M$2:$M$1500,$A69&amp;"|"&amp;AA$1&amp;"|Output"),"I/O","IN"),IF(COUNTIF(Flows!$M$2:$M$1500,$A69&amp;"|"&amp;AA$1&amp;"|Output"),"OUT",""))</f>
        <v/>
      </c>
      <c r="AB69" s="33" t="str">
        <f aca="false">IF(COUNTIF(Flows!$M$2:$M$1500,$A69&amp;"|"&amp;AB$1&amp;"|Input"),IF(COUNTIF(Flows!$M$2:$M$1500,$A69&amp;"|"&amp;AB$1&amp;"|Output"),"I/O","IN"),IF(COUNTIF(Flows!$M$2:$M$1500,$A69&amp;"|"&amp;AB$1&amp;"|Output"),"OUT",""))</f>
        <v/>
      </c>
      <c r="AC69" s="33" t="str">
        <f aca="false">IF(COUNTIF(Flows!$M$2:$M$1500,$A69&amp;"|"&amp;AC$1&amp;"|Input"),IF(COUNTIF(Flows!$M$2:$M$1500,$A69&amp;"|"&amp;AC$1&amp;"|Output"),"I/O","IN"),IF(COUNTIF(Flows!$M$2:$M$1500,$A69&amp;"|"&amp;AC$1&amp;"|Output"),"OUT",""))</f>
        <v/>
      </c>
      <c r="AD69" s="33" t="str">
        <f aca="false">IF(COUNTIF(Flows!$M$2:$M$1500,$A69&amp;"|"&amp;AD$1&amp;"|Input"),IF(COUNTIF(Flows!$M$2:$M$1500,$A69&amp;"|"&amp;AD$1&amp;"|Output"),"I/O","IN"),IF(COUNTIF(Flows!$M$2:$M$1500,$A69&amp;"|"&amp;AD$1&amp;"|Output"),"OUT",""))</f>
        <v/>
      </c>
      <c r="AE69" s="33" t="str">
        <f aca="false">IF(COUNTIF(Flows!$M$2:$M$1500,$A69&amp;"|"&amp;AE$1&amp;"|Input"),IF(COUNTIF(Flows!$M$2:$M$1500,$A69&amp;"|"&amp;AE$1&amp;"|Output"),"I/O","IN"),IF(COUNTIF(Flows!$M$2:$M$1500,$A69&amp;"|"&amp;AE$1&amp;"|Output"),"OUT",""))</f>
        <v/>
      </c>
      <c r="AF69" s="33" t="str">
        <f aca="false">IF(COUNTIF(Flows!$M$2:$M$1500,$A69&amp;"|"&amp;AF$1&amp;"|Input"),IF(COUNTIF(Flows!$M$2:$M$1500,$A69&amp;"|"&amp;AF$1&amp;"|Output"),"I/O","IN"),IF(COUNTIF(Flows!$M$2:$M$1500,$A69&amp;"|"&amp;AF$1&amp;"|Output"),"OUT",""))</f>
        <v/>
      </c>
      <c r="AG69" s="33" t="str">
        <f aca="false">IF(COUNTIF(Flows!$M$2:$M$1500,$A69&amp;"|"&amp;AG$1&amp;"|Input"),IF(COUNTIF(Flows!$M$2:$M$1500,$A69&amp;"|"&amp;AG$1&amp;"|Output"),"I/O","IN"),IF(COUNTIF(Flows!$M$2:$M$1500,$A69&amp;"|"&amp;AG$1&amp;"|Output"),"OUT",""))</f>
        <v/>
      </c>
      <c r="AH69" s="33" t="str">
        <f aca="false">IF(COUNTIF(Flows!$M$2:$M$1500,$A69&amp;"|"&amp;AH$1&amp;"|Input"),IF(COUNTIF(Flows!$M$2:$M$1500,$A69&amp;"|"&amp;AH$1&amp;"|Output"),"I/O","IN"),IF(COUNTIF(Flows!$M$2:$M$1500,$A69&amp;"|"&amp;AH$1&amp;"|Output"),"OUT",""))</f>
        <v/>
      </c>
      <c r="AI69" s="33" t="str">
        <f aca="false">IF(COUNTIF(Flows!$M$2:$M$1500,$A69&amp;"|"&amp;AI$1&amp;"|Input"),IF(COUNTIF(Flows!$M$2:$M$1500,$A69&amp;"|"&amp;AI$1&amp;"|Output"),"I/O","IN"),IF(COUNTIF(Flows!$M$2:$M$1500,$A69&amp;"|"&amp;AI$1&amp;"|Output"),"OUT",""))</f>
        <v/>
      </c>
      <c r="AJ69" s="33" t="str">
        <f aca="false">IF(COUNTIF(Flows!$M$2:$M$1500,$A69&amp;"|"&amp;AJ$1&amp;"|Input"),IF(COUNTIF(Flows!$M$2:$M$1500,$A69&amp;"|"&amp;AJ$1&amp;"|Output"),"I/O","IN"),IF(COUNTIF(Flows!$M$2:$M$1500,$A69&amp;"|"&amp;AJ$1&amp;"|Output"),"OUT",""))</f>
        <v/>
      </c>
      <c r="AK69" s="33" t="str">
        <f aca="false">IF(COUNTIF(Flows!$M$2:$M$1500,$A69&amp;"|"&amp;AK$1&amp;"|Input"),IF(COUNTIF(Flows!$M$2:$M$1500,$A69&amp;"|"&amp;AK$1&amp;"|Output"),"I/O","IN"),IF(COUNTIF(Flows!$M$2:$M$1500,$A69&amp;"|"&amp;AK$1&amp;"|Output"),"OUT",""))</f>
        <v/>
      </c>
      <c r="AL69" s="33" t="str">
        <f aca="false">IF(COUNTIF(Flows!$M$2:$M$1500,$A69&amp;"|"&amp;AL$1&amp;"|Input"),IF(COUNTIF(Flows!$M$2:$M$1500,$A69&amp;"|"&amp;AL$1&amp;"|Output"),"I/O","IN"),IF(COUNTIF(Flows!$M$2:$M$1500,$A69&amp;"|"&amp;AL$1&amp;"|Output"),"OUT",""))</f>
        <v>IN</v>
      </c>
      <c r="AM69" s="33" t="str">
        <f aca="false">IF(COUNTIF(Flows!$M$2:$M$1500,$A69&amp;"|"&amp;AM$1&amp;"|Input"),IF(COUNTIF(Flows!$M$2:$M$1500,$A69&amp;"|"&amp;AM$1&amp;"|Output"),"I/O","IN"),IF(COUNTIF(Flows!$M$2:$M$1500,$A69&amp;"|"&amp;AM$1&amp;"|Output"),"OUT",""))</f>
        <v/>
      </c>
      <c r="AN69" s="33" t="str">
        <f aca="false">IF(COUNTIF(Flows!$M$2:$M$1500,$A69&amp;"|"&amp;AN$1&amp;"|Input"),IF(COUNTIF(Flows!$M$2:$M$1500,$A69&amp;"|"&amp;AN$1&amp;"|Output"),"I/O","IN"),IF(COUNTIF(Flows!$M$2:$M$1500,$A69&amp;"|"&amp;AN$1&amp;"|Output"),"OUT",""))</f>
        <v/>
      </c>
      <c r="AO69" s="33" t="str">
        <f aca="false">IF(COUNTIF(Flows!$M$2:$M$1500,$A69&amp;"|"&amp;AO$1&amp;"|Input"),IF(COUNTIF(Flows!$M$2:$M$1500,$A69&amp;"|"&amp;AO$1&amp;"|Output"),"I/O","IN"),IF(COUNTIF(Flows!$M$2:$M$1500,$A69&amp;"|"&amp;AO$1&amp;"|Output"),"OUT",""))</f>
        <v/>
      </c>
      <c r="AP69" s="33" t="str">
        <f aca="false">IF(COUNTIF(Flows!$M$2:$M$1500,$A69&amp;"|"&amp;AP$1&amp;"|Input"),IF(COUNTIF(Flows!$M$2:$M$1500,$A69&amp;"|"&amp;AP$1&amp;"|Output"),"I/O","IN"),IF(COUNTIF(Flows!$M$2:$M$1500,$A69&amp;"|"&amp;AP$1&amp;"|Output"),"OUT",""))</f>
        <v/>
      </c>
      <c r="AQ69" s="33" t="str">
        <f aca="false">IF(COUNTIF(Flows!$M$2:$M$1500,$A69&amp;"|"&amp;AQ$1&amp;"|Input"),IF(COUNTIF(Flows!$M$2:$M$1500,$A69&amp;"|"&amp;AQ$1&amp;"|Output"),"I/O","IN"),IF(COUNTIF(Flows!$M$2:$M$1500,$A69&amp;"|"&amp;AQ$1&amp;"|Output"),"OUT",""))</f>
        <v/>
      </c>
      <c r="AR69" s="33" t="str">
        <f aca="false">IF(COUNTIF(Flows!$M$2:$M$1500,$A69&amp;"|"&amp;AR$1&amp;"|Input"),IF(COUNTIF(Flows!$M$2:$M$1500,$A69&amp;"|"&amp;AR$1&amp;"|Output"),"I/O","IN"),IF(COUNTIF(Flows!$M$2:$M$1500,$A69&amp;"|"&amp;AR$1&amp;"|Output"),"OUT",""))</f>
        <v/>
      </c>
      <c r="AS69" s="33" t="str">
        <f aca="false">IF(COUNTIF(Flows!$M$2:$M$1500,$A69&amp;"|"&amp;AS$1&amp;"|Input"),IF(COUNTIF(Flows!$M$2:$M$1500,$A69&amp;"|"&amp;AS$1&amp;"|Output"),"I/O","IN"),IF(COUNTIF(Flows!$M$2:$M$1500,$A69&amp;"|"&amp;AS$1&amp;"|Output"),"OUT",""))</f>
        <v/>
      </c>
      <c r="AT69" s="33" t="str">
        <f aca="false">IF(COUNTIF(Flows!$M$2:$M$1500,$A69&amp;"|"&amp;AT$1&amp;"|Input"),IF(COUNTIF(Flows!$M$2:$M$1500,$A69&amp;"|"&amp;AT$1&amp;"|Output"),"I/O","IN"),IF(COUNTIF(Flows!$M$2:$M$1500,$A69&amp;"|"&amp;AT$1&amp;"|Output"),"OUT",""))</f>
        <v/>
      </c>
      <c r="AU69" s="33" t="str">
        <f aca="false">IF(COUNTIF(Flows!$M$2:$M$1500,$A69&amp;"|"&amp;AU$1&amp;"|Input"),IF(COUNTIF(Flows!$M$2:$M$1500,$A69&amp;"|"&amp;AU$1&amp;"|Output"),"I/O","IN"),IF(COUNTIF(Flows!$M$2:$M$1500,$A69&amp;"|"&amp;AU$1&amp;"|Output"),"OUT",""))</f>
        <v>OUT</v>
      </c>
      <c r="AV69" s="33" t="str">
        <f aca="false">IF(COUNTIF(Flows!$M$2:$M$1500,$A69&amp;"|"&amp;AV$1&amp;"|Input"),IF(COUNTIF(Flows!$M$2:$M$1500,$A69&amp;"|"&amp;AV$1&amp;"|Output"),"I/O","IN"),IF(COUNTIF(Flows!$M$2:$M$1500,$A69&amp;"|"&amp;AV$1&amp;"|Output"),"OUT",""))</f>
        <v>OUT</v>
      </c>
      <c r="AW69" s="33" t="str">
        <f aca="false">IF(COUNTIF(Flows!$M$2:$M$1500,$A69&amp;"|"&amp;AW$1&amp;"|Input"),IF(COUNTIF(Flows!$M$2:$M$1500,$A69&amp;"|"&amp;AW$1&amp;"|Output"),"I/O","IN"),IF(COUNTIF(Flows!$M$2:$M$1500,$A69&amp;"|"&amp;AW$1&amp;"|Output"),"OUT",""))</f>
        <v/>
      </c>
      <c r="AX69" s="33" t="str">
        <f aca="false">IF(COUNTIF(Flows!$M$2:$M$1500,$A69&amp;"|"&amp;AX$1&amp;"|Input"),IF(COUNTIF(Flows!$M$2:$M$1500,$A69&amp;"|"&amp;AX$1&amp;"|Output"),"I/O","IN"),IF(COUNTIF(Flows!$M$2:$M$1500,$A69&amp;"|"&amp;AX$1&amp;"|Output"),"OUT",""))</f>
        <v/>
      </c>
      <c r="AY69" s="33" t="str">
        <f aca="false">IF(COUNTIF(Flows!$M$2:$M$1500,$A69&amp;"|"&amp;AY$1&amp;"|Input"),IF(COUNTIF(Flows!$M$2:$M$1500,$A69&amp;"|"&amp;AY$1&amp;"|Output"),"I/O","IN"),IF(COUNTIF(Flows!$M$2:$M$1500,$A69&amp;"|"&amp;AY$1&amp;"|Output"),"OUT",""))</f>
        <v/>
      </c>
      <c r="AZ69" s="33" t="str">
        <f aca="false">IF(COUNTIF(Flows!$M$2:$M$1500,$A69&amp;"|"&amp;AZ$1&amp;"|Input"),IF(COUNTIF(Flows!$M$2:$M$1500,$A69&amp;"|"&amp;AZ$1&amp;"|Output"),"I/O","IN"),IF(COUNTIF(Flows!$M$2:$M$1500,$A69&amp;"|"&amp;AZ$1&amp;"|Output"),"OUT",""))</f>
        <v/>
      </c>
      <c r="BA69" s="33" t="str">
        <f aca="false">IF(COUNTIF(Flows!$M$2:$M$1500,$A69&amp;"|"&amp;BA$1&amp;"|Input"),IF(COUNTIF(Flows!$M$2:$M$1500,$A69&amp;"|"&amp;BA$1&amp;"|Output"),"I/O","IN"),IF(COUNTIF(Flows!$M$2:$M$1500,$A69&amp;"|"&amp;BA$1&amp;"|Output"),"OUT",""))</f>
        <v/>
      </c>
      <c r="BB69" s="33" t="str">
        <f aca="false">IF(COUNTIF(Flows!$M$2:$M$1500,$A69&amp;"|"&amp;BB$1&amp;"|Input"),IF(COUNTIF(Flows!$M$2:$M$1500,$A69&amp;"|"&amp;BB$1&amp;"|Output"),"I/O","IN"),IF(COUNTIF(Flows!$M$2:$M$1500,$A69&amp;"|"&amp;BB$1&amp;"|Output"),"OUT",""))</f>
        <v/>
      </c>
      <c r="BC69" s="33" t="str">
        <f aca="false">IF(COUNTIF(Flows!$M$2:$M$1500,$A69&amp;"|"&amp;BC$1&amp;"|Input"),IF(COUNTIF(Flows!$M$2:$M$1500,$A69&amp;"|"&amp;BC$1&amp;"|Output"),"I/O","IN"),IF(COUNTIF(Flows!$M$2:$M$1500,$A69&amp;"|"&amp;BC$1&amp;"|Output"),"OUT",""))</f>
        <v/>
      </c>
      <c r="BD69" s="33" t="str">
        <f aca="false">IF(COUNTIF(Flows!$M$2:$M$1500,$A69&amp;"|"&amp;BD$1&amp;"|Input"),IF(COUNTIF(Flows!$M$2:$M$1500,$A69&amp;"|"&amp;BD$1&amp;"|Output"),"I/O","IN"),IF(COUNTIF(Flows!$M$2:$M$1500,$A69&amp;"|"&amp;BD$1&amp;"|Output"),"OUT",""))</f>
        <v/>
      </c>
      <c r="BE69" s="33" t="str">
        <f aca="false">IF(COUNTIF(Flows!$M$2:$M$1500,$A69&amp;"|"&amp;BE$1&amp;"|Input"),IF(COUNTIF(Flows!$M$2:$M$1500,$A69&amp;"|"&amp;BE$1&amp;"|Output"),"I/O","IN"),IF(COUNTIF(Flows!$M$2:$M$1500,$A69&amp;"|"&amp;BE$1&amp;"|Output"),"OUT",""))</f>
        <v/>
      </c>
      <c r="BF69" s="33" t="str">
        <f aca="false">IF(COUNTIF(Flows!$M$2:$M$1500,$A69&amp;"|"&amp;BF$1&amp;"|Input"),IF(COUNTIF(Flows!$M$2:$M$1500,$A69&amp;"|"&amp;BF$1&amp;"|Output"),"I/O","IN"),IF(COUNTIF(Flows!$M$2:$M$1500,$A69&amp;"|"&amp;BF$1&amp;"|Output"),"OUT",""))</f>
        <v/>
      </c>
      <c r="BG69" s="33" t="str">
        <f aca="false">IF(COUNTIF(Flows!$M$2:$M$1500,$A69&amp;"|"&amp;BG$1&amp;"|Input"),IF(COUNTIF(Flows!$M$2:$M$1500,$A69&amp;"|"&amp;BG$1&amp;"|Output"),"I/O","IN"),IF(COUNTIF(Flows!$M$2:$M$1500,$A69&amp;"|"&amp;BG$1&amp;"|Output"),"OUT",""))</f>
        <v/>
      </c>
      <c r="BH69" s="33" t="str">
        <f aca="false">IF(COUNTIF(Flows!$M$2:$M$1500,$A69&amp;"|"&amp;BH$1&amp;"|Input"),IF(COUNTIF(Flows!$M$2:$M$1500,$A69&amp;"|"&amp;BH$1&amp;"|Output"),"I/O","IN"),IF(COUNTIF(Flows!$M$2:$M$1500,$A69&amp;"|"&amp;BH$1&amp;"|Output"),"OUT",""))</f>
        <v/>
      </c>
      <c r="BI69" s="33" t="str">
        <f aca="false">IF(COUNTIF(Flows!$M$2:$M$1500,$A69&amp;"|"&amp;BI$1&amp;"|Input"),IF(COUNTIF(Flows!$M$2:$M$1500,$A69&amp;"|"&amp;BI$1&amp;"|Output"),"I/O","IN"),IF(COUNTIF(Flows!$M$2:$M$1500,$A69&amp;"|"&amp;BI$1&amp;"|Output"),"OUT",""))</f>
        <v/>
      </c>
      <c r="BJ69" s="33" t="str">
        <f aca="false">IF(COUNTIF(Flows!$M$2:$M$1500,$A69&amp;"|"&amp;BJ$1&amp;"|Input"),IF(COUNTIF(Flows!$M$2:$M$1500,$A69&amp;"|"&amp;BJ$1&amp;"|Output"),"I/O","IN"),IF(COUNTIF(Flows!$M$2:$M$1500,$A69&amp;"|"&amp;BJ$1&amp;"|Output"),"OUT",""))</f>
        <v/>
      </c>
      <c r="BK69" s="33" t="str">
        <f aca="false">IF(COUNTIF(Flows!$M$2:$M$1500,$A69&amp;"|"&amp;BK$1&amp;"|Input"),IF(COUNTIF(Flows!$M$2:$M$1500,$A69&amp;"|"&amp;BK$1&amp;"|Output"),"I/O","IN"),IF(COUNTIF(Flows!$M$2:$M$1500,$A69&amp;"|"&amp;BK$1&amp;"|Output"),"OUT",""))</f>
        <v/>
      </c>
    </row>
    <row r="70" customFormat="false" ht="15" hidden="false" customHeight="true" outlineLevel="0" collapsed="false">
      <c r="A70" s="6" t="str">
        <f aca="false">Systems!B70</f>
        <v>Land Title ($50k)</v>
      </c>
      <c r="B70" s="33" t="str">
        <f aca="false">IF(COUNTIF(Flows!$M$2:$M$1500,$A70&amp;"|"&amp;B$1&amp;"|Input"),IF(COUNTIF(Flows!$M$2:$M$1500,$A70&amp;"|"&amp;B$1&amp;"|Output"),"I/O","IN"),IF(COUNTIF(Flows!$M$2:$M$1500,$A70&amp;"|"&amp;B$1&amp;"|Output"),"OUT",""))</f>
        <v/>
      </c>
      <c r="C70" s="33" t="str">
        <f aca="false">IF(COUNTIF(Flows!$M$2:$M$1500,$A70&amp;"|"&amp;C$1&amp;"|Input"),IF(COUNTIF(Flows!$M$2:$M$1500,$A70&amp;"|"&amp;C$1&amp;"|Output"),"I/O","IN"),IF(COUNTIF(Flows!$M$2:$M$1500,$A70&amp;"|"&amp;C$1&amp;"|Output"),"OUT",""))</f>
        <v/>
      </c>
      <c r="D70" s="33" t="str">
        <f aca="false">IF(COUNTIF(Flows!$M$2:$M$1500,$A70&amp;"|"&amp;D$1&amp;"|Input"),IF(COUNTIF(Flows!$M$2:$M$1500,$A70&amp;"|"&amp;D$1&amp;"|Output"),"I/O","IN"),IF(COUNTIF(Flows!$M$2:$M$1500,$A70&amp;"|"&amp;D$1&amp;"|Output"),"OUT",""))</f>
        <v/>
      </c>
      <c r="E70" s="33" t="str">
        <f aca="false">IF(COUNTIF(Flows!$M$2:$M$1500,$A70&amp;"|"&amp;E$1&amp;"|Input"),IF(COUNTIF(Flows!$M$2:$M$1500,$A70&amp;"|"&amp;E$1&amp;"|Output"),"I/O","IN"),IF(COUNTIF(Flows!$M$2:$M$1500,$A70&amp;"|"&amp;E$1&amp;"|Output"),"OUT",""))</f>
        <v/>
      </c>
      <c r="F70" s="33" t="str">
        <f aca="false">IF(COUNTIF(Flows!$M$2:$M$1500,$A70&amp;"|"&amp;F$1&amp;"|Input"),IF(COUNTIF(Flows!$M$2:$M$1500,$A70&amp;"|"&amp;F$1&amp;"|Output"),"I/O","IN"),IF(COUNTIF(Flows!$M$2:$M$1500,$A70&amp;"|"&amp;F$1&amp;"|Output"),"OUT",""))</f>
        <v/>
      </c>
      <c r="G70" s="33" t="str">
        <f aca="false">IF(COUNTIF(Flows!$M$2:$M$1500,$A70&amp;"|"&amp;G$1&amp;"|Input"),IF(COUNTIF(Flows!$M$2:$M$1500,$A70&amp;"|"&amp;G$1&amp;"|Output"),"I/O","IN"),IF(COUNTIF(Flows!$M$2:$M$1500,$A70&amp;"|"&amp;G$1&amp;"|Output"),"OUT",""))</f>
        <v/>
      </c>
      <c r="H70" s="33" t="str">
        <f aca="false">IF(COUNTIF(Flows!$M$2:$M$1500,$A70&amp;"|"&amp;H$1&amp;"|Input"),IF(COUNTIF(Flows!$M$2:$M$1500,$A70&amp;"|"&amp;H$1&amp;"|Output"),"I/O","IN"),IF(COUNTIF(Flows!$M$2:$M$1500,$A70&amp;"|"&amp;H$1&amp;"|Output"),"OUT",""))</f>
        <v/>
      </c>
      <c r="I70" s="33" t="str">
        <f aca="false">IF(COUNTIF(Flows!$M$2:$M$1500,$A70&amp;"|"&amp;I$1&amp;"|Input"),IF(COUNTIF(Flows!$M$2:$M$1500,$A70&amp;"|"&amp;I$1&amp;"|Output"),"I/O","IN"),IF(COUNTIF(Flows!$M$2:$M$1500,$A70&amp;"|"&amp;I$1&amp;"|Output"),"OUT",""))</f>
        <v/>
      </c>
      <c r="J70" s="33" t="str">
        <f aca="false">IF(COUNTIF(Flows!$M$2:$M$1500,$A70&amp;"|"&amp;J$1&amp;"|Input"),IF(COUNTIF(Flows!$M$2:$M$1500,$A70&amp;"|"&amp;J$1&amp;"|Output"),"I/O","IN"),IF(COUNTIF(Flows!$M$2:$M$1500,$A70&amp;"|"&amp;J$1&amp;"|Output"),"OUT",""))</f>
        <v/>
      </c>
      <c r="K70" s="33" t="str">
        <f aca="false">IF(COUNTIF(Flows!$M$2:$M$1500,$A70&amp;"|"&amp;K$1&amp;"|Input"),IF(COUNTIF(Flows!$M$2:$M$1500,$A70&amp;"|"&amp;K$1&amp;"|Output"),"I/O","IN"),IF(COUNTIF(Flows!$M$2:$M$1500,$A70&amp;"|"&amp;K$1&amp;"|Output"),"OUT",""))</f>
        <v/>
      </c>
      <c r="L70" s="33" t="str">
        <f aca="false">IF(COUNTIF(Flows!$M$2:$M$1500,$A70&amp;"|"&amp;L$1&amp;"|Input"),IF(COUNTIF(Flows!$M$2:$M$1500,$A70&amp;"|"&amp;L$1&amp;"|Output"),"I/O","IN"),IF(COUNTIF(Flows!$M$2:$M$1500,$A70&amp;"|"&amp;L$1&amp;"|Output"),"OUT",""))</f>
        <v/>
      </c>
      <c r="M70" s="33" t="str">
        <f aca="false">IF(COUNTIF(Flows!$M$2:$M$1500,$A70&amp;"|"&amp;M$1&amp;"|Input"),IF(COUNTIF(Flows!$M$2:$M$1500,$A70&amp;"|"&amp;M$1&amp;"|Output"),"I/O","IN"),IF(COUNTIF(Flows!$M$2:$M$1500,$A70&amp;"|"&amp;M$1&amp;"|Output"),"OUT",""))</f>
        <v/>
      </c>
      <c r="N70" s="33" t="str">
        <f aca="false">IF(COUNTIF(Flows!$M$2:$M$1500,$A70&amp;"|"&amp;N$1&amp;"|Input"),IF(COUNTIF(Flows!$M$2:$M$1500,$A70&amp;"|"&amp;N$1&amp;"|Output"),"I/O","IN"),IF(COUNTIF(Flows!$M$2:$M$1500,$A70&amp;"|"&amp;N$1&amp;"|Output"),"OUT",""))</f>
        <v/>
      </c>
      <c r="O70" s="33" t="str">
        <f aca="false">IF(COUNTIF(Flows!$M$2:$M$1500,$A70&amp;"|"&amp;O$1&amp;"|Input"),IF(COUNTIF(Flows!$M$2:$M$1500,$A70&amp;"|"&amp;O$1&amp;"|Output"),"I/O","IN"),IF(COUNTIF(Flows!$M$2:$M$1500,$A70&amp;"|"&amp;O$1&amp;"|Output"),"OUT",""))</f>
        <v/>
      </c>
      <c r="P70" s="33" t="str">
        <f aca="false">IF(COUNTIF(Flows!$M$2:$M$1500,$A70&amp;"|"&amp;P$1&amp;"|Input"),IF(COUNTIF(Flows!$M$2:$M$1500,$A70&amp;"|"&amp;P$1&amp;"|Output"),"I/O","IN"),IF(COUNTIF(Flows!$M$2:$M$1500,$A70&amp;"|"&amp;P$1&amp;"|Output"),"OUT",""))</f>
        <v/>
      </c>
      <c r="Q70" s="33" t="str">
        <f aca="false">IF(COUNTIF(Flows!$M$2:$M$1500,$A70&amp;"|"&amp;Q$1&amp;"|Input"),IF(COUNTIF(Flows!$M$2:$M$1500,$A70&amp;"|"&amp;Q$1&amp;"|Output"),"I/O","IN"),IF(COUNTIF(Flows!$M$2:$M$1500,$A70&amp;"|"&amp;Q$1&amp;"|Output"),"OUT",""))</f>
        <v/>
      </c>
      <c r="R70" s="33" t="str">
        <f aca="false">IF(COUNTIF(Flows!$M$2:$M$1500,$A70&amp;"|"&amp;R$1&amp;"|Input"),IF(COUNTIF(Flows!$M$2:$M$1500,$A70&amp;"|"&amp;R$1&amp;"|Output"),"I/O","IN"),IF(COUNTIF(Flows!$M$2:$M$1500,$A70&amp;"|"&amp;R$1&amp;"|Output"),"OUT",""))</f>
        <v/>
      </c>
      <c r="S70" s="33" t="str">
        <f aca="false">IF(COUNTIF(Flows!$M$2:$M$1500,$A70&amp;"|"&amp;S$1&amp;"|Input"),IF(COUNTIF(Flows!$M$2:$M$1500,$A70&amp;"|"&amp;S$1&amp;"|Output"),"I/O","IN"),IF(COUNTIF(Flows!$M$2:$M$1500,$A70&amp;"|"&amp;S$1&amp;"|Output"),"OUT",""))</f>
        <v/>
      </c>
      <c r="T70" s="33" t="str">
        <f aca="false">IF(COUNTIF(Flows!$M$2:$M$1500,$A70&amp;"|"&amp;T$1&amp;"|Input"),IF(COUNTIF(Flows!$M$2:$M$1500,$A70&amp;"|"&amp;T$1&amp;"|Output"),"I/O","IN"),IF(COUNTIF(Flows!$M$2:$M$1500,$A70&amp;"|"&amp;T$1&amp;"|Output"),"OUT",""))</f>
        <v/>
      </c>
      <c r="U70" s="33" t="str">
        <f aca="false">IF(COUNTIF(Flows!$M$2:$M$1500,$A70&amp;"|"&amp;U$1&amp;"|Input"),IF(COUNTIF(Flows!$M$2:$M$1500,$A70&amp;"|"&amp;U$1&amp;"|Output"),"I/O","IN"),IF(COUNTIF(Flows!$M$2:$M$1500,$A70&amp;"|"&amp;U$1&amp;"|Output"),"OUT",""))</f>
        <v/>
      </c>
      <c r="V70" s="33" t="str">
        <f aca="false">IF(COUNTIF(Flows!$M$2:$M$1500,$A70&amp;"|"&amp;V$1&amp;"|Input"),IF(COUNTIF(Flows!$M$2:$M$1500,$A70&amp;"|"&amp;V$1&amp;"|Output"),"I/O","IN"),IF(COUNTIF(Flows!$M$2:$M$1500,$A70&amp;"|"&amp;V$1&amp;"|Output"),"OUT",""))</f>
        <v/>
      </c>
      <c r="W70" s="33" t="str">
        <f aca="false">IF(COUNTIF(Flows!$M$2:$M$1500,$A70&amp;"|"&amp;W$1&amp;"|Input"),IF(COUNTIF(Flows!$M$2:$M$1500,$A70&amp;"|"&amp;W$1&amp;"|Output"),"I/O","IN"),IF(COUNTIF(Flows!$M$2:$M$1500,$A70&amp;"|"&amp;W$1&amp;"|Output"),"OUT",""))</f>
        <v/>
      </c>
      <c r="X70" s="33" t="str">
        <f aca="false">IF(COUNTIF(Flows!$M$2:$M$1500,$A70&amp;"|"&amp;X$1&amp;"|Input"),IF(COUNTIF(Flows!$M$2:$M$1500,$A70&amp;"|"&amp;X$1&amp;"|Output"),"I/O","IN"),IF(COUNTIF(Flows!$M$2:$M$1500,$A70&amp;"|"&amp;X$1&amp;"|Output"),"OUT",""))</f>
        <v/>
      </c>
      <c r="Y70" s="33" t="str">
        <f aca="false">IF(COUNTIF(Flows!$M$2:$M$1500,$A70&amp;"|"&amp;Y$1&amp;"|Input"),IF(COUNTIF(Flows!$M$2:$M$1500,$A70&amp;"|"&amp;Y$1&amp;"|Output"),"I/O","IN"),IF(COUNTIF(Flows!$M$2:$M$1500,$A70&amp;"|"&amp;Y$1&amp;"|Output"),"OUT",""))</f>
        <v/>
      </c>
      <c r="Z70" s="33" t="str">
        <f aca="false">IF(COUNTIF(Flows!$M$2:$M$1500,$A70&amp;"|"&amp;Z$1&amp;"|Input"),IF(COUNTIF(Flows!$M$2:$M$1500,$A70&amp;"|"&amp;Z$1&amp;"|Output"),"I/O","IN"),IF(COUNTIF(Flows!$M$2:$M$1500,$A70&amp;"|"&amp;Z$1&amp;"|Output"),"OUT",""))</f>
        <v/>
      </c>
      <c r="AA70" s="33" t="str">
        <f aca="false">IF(COUNTIF(Flows!$M$2:$M$1500,$A70&amp;"|"&amp;AA$1&amp;"|Input"),IF(COUNTIF(Flows!$M$2:$M$1500,$A70&amp;"|"&amp;AA$1&amp;"|Output"),"I/O","IN"),IF(COUNTIF(Flows!$M$2:$M$1500,$A70&amp;"|"&amp;AA$1&amp;"|Output"),"OUT",""))</f>
        <v/>
      </c>
      <c r="AB70" s="33" t="str">
        <f aca="false">IF(COUNTIF(Flows!$M$2:$M$1500,$A70&amp;"|"&amp;AB$1&amp;"|Input"),IF(COUNTIF(Flows!$M$2:$M$1500,$A70&amp;"|"&amp;AB$1&amp;"|Output"),"I/O","IN"),IF(COUNTIF(Flows!$M$2:$M$1500,$A70&amp;"|"&amp;AB$1&amp;"|Output"),"OUT",""))</f>
        <v/>
      </c>
      <c r="AC70" s="33" t="str">
        <f aca="false">IF(COUNTIF(Flows!$M$2:$M$1500,$A70&amp;"|"&amp;AC$1&amp;"|Input"),IF(COUNTIF(Flows!$M$2:$M$1500,$A70&amp;"|"&amp;AC$1&amp;"|Output"),"I/O","IN"),IF(COUNTIF(Flows!$M$2:$M$1500,$A70&amp;"|"&amp;AC$1&amp;"|Output"),"OUT",""))</f>
        <v/>
      </c>
      <c r="AD70" s="33" t="str">
        <f aca="false">IF(COUNTIF(Flows!$M$2:$M$1500,$A70&amp;"|"&amp;AD$1&amp;"|Input"),IF(COUNTIF(Flows!$M$2:$M$1500,$A70&amp;"|"&amp;AD$1&amp;"|Output"),"I/O","IN"),IF(COUNTIF(Flows!$M$2:$M$1500,$A70&amp;"|"&amp;AD$1&amp;"|Output"),"OUT",""))</f>
        <v/>
      </c>
      <c r="AE70" s="33" t="str">
        <f aca="false">IF(COUNTIF(Flows!$M$2:$M$1500,$A70&amp;"|"&amp;AE$1&amp;"|Input"),IF(COUNTIF(Flows!$M$2:$M$1500,$A70&amp;"|"&amp;AE$1&amp;"|Output"),"I/O","IN"),IF(COUNTIF(Flows!$M$2:$M$1500,$A70&amp;"|"&amp;AE$1&amp;"|Output"),"OUT",""))</f>
        <v/>
      </c>
      <c r="AF70" s="33" t="str">
        <f aca="false">IF(COUNTIF(Flows!$M$2:$M$1500,$A70&amp;"|"&amp;AF$1&amp;"|Input"),IF(COUNTIF(Flows!$M$2:$M$1500,$A70&amp;"|"&amp;AF$1&amp;"|Output"),"I/O","IN"),IF(COUNTIF(Flows!$M$2:$M$1500,$A70&amp;"|"&amp;AF$1&amp;"|Output"),"OUT",""))</f>
        <v/>
      </c>
      <c r="AG70" s="33" t="str">
        <f aca="false">IF(COUNTIF(Flows!$M$2:$M$1500,$A70&amp;"|"&amp;AG$1&amp;"|Input"),IF(COUNTIF(Flows!$M$2:$M$1500,$A70&amp;"|"&amp;AG$1&amp;"|Output"),"I/O","IN"),IF(COUNTIF(Flows!$M$2:$M$1500,$A70&amp;"|"&amp;AG$1&amp;"|Output"),"OUT",""))</f>
        <v/>
      </c>
      <c r="AH70" s="33" t="str">
        <f aca="false">IF(COUNTIF(Flows!$M$2:$M$1500,$A70&amp;"|"&amp;AH$1&amp;"|Input"),IF(COUNTIF(Flows!$M$2:$M$1500,$A70&amp;"|"&amp;AH$1&amp;"|Output"),"I/O","IN"),IF(COUNTIF(Flows!$M$2:$M$1500,$A70&amp;"|"&amp;AH$1&amp;"|Output"),"OUT",""))</f>
        <v/>
      </c>
      <c r="AI70" s="33" t="str">
        <f aca="false">IF(COUNTIF(Flows!$M$2:$M$1500,$A70&amp;"|"&amp;AI$1&amp;"|Input"),IF(COUNTIF(Flows!$M$2:$M$1500,$A70&amp;"|"&amp;AI$1&amp;"|Output"),"I/O","IN"),IF(COUNTIF(Flows!$M$2:$M$1500,$A70&amp;"|"&amp;AI$1&amp;"|Output"),"OUT",""))</f>
        <v>OUT</v>
      </c>
      <c r="AJ70" s="33" t="str">
        <f aca="false">IF(COUNTIF(Flows!$M$2:$M$1500,$A70&amp;"|"&amp;AJ$1&amp;"|Input"),IF(COUNTIF(Flows!$M$2:$M$1500,$A70&amp;"|"&amp;AJ$1&amp;"|Output"),"I/O","IN"),IF(COUNTIF(Flows!$M$2:$M$1500,$A70&amp;"|"&amp;AJ$1&amp;"|Output"),"OUT",""))</f>
        <v/>
      </c>
      <c r="AK70" s="33" t="str">
        <f aca="false">IF(COUNTIF(Flows!$M$2:$M$1500,$A70&amp;"|"&amp;AK$1&amp;"|Input"),IF(COUNTIF(Flows!$M$2:$M$1500,$A70&amp;"|"&amp;AK$1&amp;"|Output"),"I/O","IN"),IF(COUNTIF(Flows!$M$2:$M$1500,$A70&amp;"|"&amp;AK$1&amp;"|Output"),"OUT",""))</f>
        <v/>
      </c>
      <c r="AL70" s="33" t="str">
        <f aca="false">IF(COUNTIF(Flows!$M$2:$M$1500,$A70&amp;"|"&amp;AL$1&amp;"|Input"),IF(COUNTIF(Flows!$M$2:$M$1500,$A70&amp;"|"&amp;AL$1&amp;"|Output"),"I/O","IN"),IF(COUNTIF(Flows!$M$2:$M$1500,$A70&amp;"|"&amp;AL$1&amp;"|Output"),"OUT",""))</f>
        <v/>
      </c>
      <c r="AM70" s="33" t="str">
        <f aca="false">IF(COUNTIF(Flows!$M$2:$M$1500,$A70&amp;"|"&amp;AM$1&amp;"|Input"),IF(COUNTIF(Flows!$M$2:$M$1500,$A70&amp;"|"&amp;AM$1&amp;"|Output"),"I/O","IN"),IF(COUNTIF(Flows!$M$2:$M$1500,$A70&amp;"|"&amp;AM$1&amp;"|Output"),"OUT",""))</f>
        <v/>
      </c>
      <c r="AN70" s="33" t="str">
        <f aca="false">IF(COUNTIF(Flows!$M$2:$M$1500,$A70&amp;"|"&amp;AN$1&amp;"|Input"),IF(COUNTIF(Flows!$M$2:$M$1500,$A70&amp;"|"&amp;AN$1&amp;"|Output"),"I/O","IN"),IF(COUNTIF(Flows!$M$2:$M$1500,$A70&amp;"|"&amp;AN$1&amp;"|Output"),"OUT",""))</f>
        <v/>
      </c>
      <c r="AO70" s="33" t="str">
        <f aca="false">IF(COUNTIF(Flows!$M$2:$M$1500,$A70&amp;"|"&amp;AO$1&amp;"|Input"),IF(COUNTIF(Flows!$M$2:$M$1500,$A70&amp;"|"&amp;AO$1&amp;"|Output"),"I/O","IN"),IF(COUNTIF(Flows!$M$2:$M$1500,$A70&amp;"|"&amp;AO$1&amp;"|Output"),"OUT",""))</f>
        <v/>
      </c>
      <c r="AP70" s="33" t="str">
        <f aca="false">IF(COUNTIF(Flows!$M$2:$M$1500,$A70&amp;"|"&amp;AP$1&amp;"|Input"),IF(COUNTIF(Flows!$M$2:$M$1500,$A70&amp;"|"&amp;AP$1&amp;"|Output"),"I/O","IN"),IF(COUNTIF(Flows!$M$2:$M$1500,$A70&amp;"|"&amp;AP$1&amp;"|Output"),"OUT",""))</f>
        <v/>
      </c>
      <c r="AQ70" s="33" t="str">
        <f aca="false">IF(COUNTIF(Flows!$M$2:$M$1500,$A70&amp;"|"&amp;AQ$1&amp;"|Input"),IF(COUNTIF(Flows!$M$2:$M$1500,$A70&amp;"|"&amp;AQ$1&amp;"|Output"),"I/O","IN"),IF(COUNTIF(Flows!$M$2:$M$1500,$A70&amp;"|"&amp;AQ$1&amp;"|Output"),"OUT",""))</f>
        <v/>
      </c>
      <c r="AR70" s="33" t="str">
        <f aca="false">IF(COUNTIF(Flows!$M$2:$M$1500,$A70&amp;"|"&amp;AR$1&amp;"|Input"),IF(COUNTIF(Flows!$M$2:$M$1500,$A70&amp;"|"&amp;AR$1&amp;"|Output"),"I/O","IN"),IF(COUNTIF(Flows!$M$2:$M$1500,$A70&amp;"|"&amp;AR$1&amp;"|Output"),"OUT",""))</f>
        <v/>
      </c>
      <c r="AS70" s="33" t="str">
        <f aca="false">IF(COUNTIF(Flows!$M$2:$M$1500,$A70&amp;"|"&amp;AS$1&amp;"|Input"),IF(COUNTIF(Flows!$M$2:$M$1500,$A70&amp;"|"&amp;AS$1&amp;"|Output"),"I/O","IN"),IF(COUNTIF(Flows!$M$2:$M$1500,$A70&amp;"|"&amp;AS$1&amp;"|Output"),"OUT",""))</f>
        <v/>
      </c>
      <c r="AT70" s="33" t="str">
        <f aca="false">IF(COUNTIF(Flows!$M$2:$M$1500,$A70&amp;"|"&amp;AT$1&amp;"|Input"),IF(COUNTIF(Flows!$M$2:$M$1500,$A70&amp;"|"&amp;AT$1&amp;"|Output"),"I/O","IN"),IF(COUNTIF(Flows!$M$2:$M$1500,$A70&amp;"|"&amp;AT$1&amp;"|Output"),"OUT",""))</f>
        <v/>
      </c>
      <c r="AU70" s="33" t="str">
        <f aca="false">IF(COUNTIF(Flows!$M$2:$M$1500,$A70&amp;"|"&amp;AU$1&amp;"|Input"),IF(COUNTIF(Flows!$M$2:$M$1500,$A70&amp;"|"&amp;AU$1&amp;"|Output"),"I/O","IN"),IF(COUNTIF(Flows!$M$2:$M$1500,$A70&amp;"|"&amp;AU$1&amp;"|Output"),"OUT",""))</f>
        <v/>
      </c>
      <c r="AV70" s="33" t="str">
        <f aca="false">IF(COUNTIF(Flows!$M$2:$M$1500,$A70&amp;"|"&amp;AV$1&amp;"|Input"),IF(COUNTIF(Flows!$M$2:$M$1500,$A70&amp;"|"&amp;AV$1&amp;"|Output"),"I/O","IN"),IF(COUNTIF(Flows!$M$2:$M$1500,$A70&amp;"|"&amp;AV$1&amp;"|Output"),"OUT",""))</f>
        <v/>
      </c>
      <c r="AW70" s="33" t="str">
        <f aca="false">IF(COUNTIF(Flows!$M$2:$M$1500,$A70&amp;"|"&amp;AW$1&amp;"|Input"),IF(COUNTIF(Flows!$M$2:$M$1500,$A70&amp;"|"&amp;AW$1&amp;"|Output"),"I/O","IN"),IF(COUNTIF(Flows!$M$2:$M$1500,$A70&amp;"|"&amp;AW$1&amp;"|Output"),"OUT",""))</f>
        <v/>
      </c>
      <c r="AX70" s="33" t="str">
        <f aca="false">IF(COUNTIF(Flows!$M$2:$M$1500,$A70&amp;"|"&amp;AX$1&amp;"|Input"),IF(COUNTIF(Flows!$M$2:$M$1500,$A70&amp;"|"&amp;AX$1&amp;"|Output"),"I/O","IN"),IF(COUNTIF(Flows!$M$2:$M$1500,$A70&amp;"|"&amp;AX$1&amp;"|Output"),"OUT",""))</f>
        <v/>
      </c>
      <c r="AY70" s="33" t="str">
        <f aca="false">IF(COUNTIF(Flows!$M$2:$M$1500,$A70&amp;"|"&amp;AY$1&amp;"|Input"),IF(COUNTIF(Flows!$M$2:$M$1500,$A70&amp;"|"&amp;AY$1&amp;"|Output"),"I/O","IN"),IF(COUNTIF(Flows!$M$2:$M$1500,$A70&amp;"|"&amp;AY$1&amp;"|Output"),"OUT",""))</f>
        <v/>
      </c>
      <c r="AZ70" s="33" t="str">
        <f aca="false">IF(COUNTIF(Flows!$M$2:$M$1500,$A70&amp;"|"&amp;AZ$1&amp;"|Input"),IF(COUNTIF(Flows!$M$2:$M$1500,$A70&amp;"|"&amp;AZ$1&amp;"|Output"),"I/O","IN"),IF(COUNTIF(Flows!$M$2:$M$1500,$A70&amp;"|"&amp;AZ$1&amp;"|Output"),"OUT",""))</f>
        <v/>
      </c>
      <c r="BA70" s="33" t="str">
        <f aca="false">IF(COUNTIF(Flows!$M$2:$M$1500,$A70&amp;"|"&amp;BA$1&amp;"|Input"),IF(COUNTIF(Flows!$M$2:$M$1500,$A70&amp;"|"&amp;BA$1&amp;"|Output"),"I/O","IN"),IF(COUNTIF(Flows!$M$2:$M$1500,$A70&amp;"|"&amp;BA$1&amp;"|Output"),"OUT",""))</f>
        <v/>
      </c>
      <c r="BB70" s="33" t="str">
        <f aca="false">IF(COUNTIF(Flows!$M$2:$M$1500,$A70&amp;"|"&amp;BB$1&amp;"|Input"),IF(COUNTIF(Flows!$M$2:$M$1500,$A70&amp;"|"&amp;BB$1&amp;"|Output"),"I/O","IN"),IF(COUNTIF(Flows!$M$2:$M$1500,$A70&amp;"|"&amp;BB$1&amp;"|Output"),"OUT",""))</f>
        <v/>
      </c>
      <c r="BC70" s="33" t="str">
        <f aca="false">IF(COUNTIF(Flows!$M$2:$M$1500,$A70&amp;"|"&amp;BC$1&amp;"|Input"),IF(COUNTIF(Flows!$M$2:$M$1500,$A70&amp;"|"&amp;BC$1&amp;"|Output"),"I/O","IN"),IF(COUNTIF(Flows!$M$2:$M$1500,$A70&amp;"|"&amp;BC$1&amp;"|Output"),"OUT",""))</f>
        <v/>
      </c>
      <c r="BD70" s="33" t="str">
        <f aca="false">IF(COUNTIF(Flows!$M$2:$M$1500,$A70&amp;"|"&amp;BD$1&amp;"|Input"),IF(COUNTIF(Flows!$M$2:$M$1500,$A70&amp;"|"&amp;BD$1&amp;"|Output"),"I/O","IN"),IF(COUNTIF(Flows!$M$2:$M$1500,$A70&amp;"|"&amp;BD$1&amp;"|Output"),"OUT",""))</f>
        <v/>
      </c>
      <c r="BE70" s="33" t="str">
        <f aca="false">IF(COUNTIF(Flows!$M$2:$M$1500,$A70&amp;"|"&amp;BE$1&amp;"|Input"),IF(COUNTIF(Flows!$M$2:$M$1500,$A70&amp;"|"&amp;BE$1&amp;"|Output"),"I/O","IN"),IF(COUNTIF(Flows!$M$2:$M$1500,$A70&amp;"|"&amp;BE$1&amp;"|Output"),"OUT",""))</f>
        <v/>
      </c>
      <c r="BF70" s="33" t="str">
        <f aca="false">IF(COUNTIF(Flows!$M$2:$M$1500,$A70&amp;"|"&amp;BF$1&amp;"|Input"),IF(COUNTIF(Flows!$M$2:$M$1500,$A70&amp;"|"&amp;BF$1&amp;"|Output"),"I/O","IN"),IF(COUNTIF(Flows!$M$2:$M$1500,$A70&amp;"|"&amp;BF$1&amp;"|Output"),"OUT",""))</f>
        <v/>
      </c>
      <c r="BG70" s="33" t="str">
        <f aca="false">IF(COUNTIF(Flows!$M$2:$M$1500,$A70&amp;"|"&amp;BG$1&amp;"|Input"),IF(COUNTIF(Flows!$M$2:$M$1500,$A70&amp;"|"&amp;BG$1&amp;"|Output"),"I/O","IN"),IF(COUNTIF(Flows!$M$2:$M$1500,$A70&amp;"|"&amp;BG$1&amp;"|Output"),"OUT",""))</f>
        <v/>
      </c>
      <c r="BH70" s="33" t="str">
        <f aca="false">IF(COUNTIF(Flows!$M$2:$M$1500,$A70&amp;"|"&amp;BH$1&amp;"|Input"),IF(COUNTIF(Flows!$M$2:$M$1500,$A70&amp;"|"&amp;BH$1&amp;"|Output"),"I/O","IN"),IF(COUNTIF(Flows!$M$2:$M$1500,$A70&amp;"|"&amp;BH$1&amp;"|Output"),"OUT",""))</f>
        <v/>
      </c>
      <c r="BI70" s="33" t="str">
        <f aca="false">IF(COUNTIF(Flows!$M$2:$M$1500,$A70&amp;"|"&amp;BI$1&amp;"|Input"),IF(COUNTIF(Flows!$M$2:$M$1500,$A70&amp;"|"&amp;BI$1&amp;"|Output"),"I/O","IN"),IF(COUNTIF(Flows!$M$2:$M$1500,$A70&amp;"|"&amp;BI$1&amp;"|Output"),"OUT",""))</f>
        <v/>
      </c>
      <c r="BJ70" s="33" t="str">
        <f aca="false">IF(COUNTIF(Flows!$M$2:$M$1500,$A70&amp;"|"&amp;BJ$1&amp;"|Input"),IF(COUNTIF(Flows!$M$2:$M$1500,$A70&amp;"|"&amp;BJ$1&amp;"|Output"),"I/O","IN"),IF(COUNTIF(Flows!$M$2:$M$1500,$A70&amp;"|"&amp;BJ$1&amp;"|Output"),"OUT",""))</f>
        <v/>
      </c>
      <c r="BK70" s="33" t="str">
        <f aca="false">IF(COUNTIF(Flows!$M$2:$M$1500,$A70&amp;"|"&amp;BK$1&amp;"|Input"),IF(COUNTIF(Flows!$M$2:$M$1500,$A70&amp;"|"&amp;BK$1&amp;"|Output"),"I/O","IN"),IF(COUNTIF(Flows!$M$2:$M$1500,$A70&amp;"|"&amp;BK$1&amp;"|Output"),"OUT",""))</f>
        <v/>
      </c>
    </row>
    <row r="71" customFormat="false" ht="15" hidden="false" customHeight="true" outlineLevel="0" collapsed="false">
      <c r="A71" s="6" t="str">
        <f aca="false">Systems!B71</f>
        <v>30 Year Mortgage and Interest</v>
      </c>
      <c r="B71" s="33" t="str">
        <f aca="false">IF(COUNTIF(Flows!$M$2:$M$1500,$A71&amp;"|"&amp;B$1&amp;"|Input"),IF(COUNTIF(Flows!$M$2:$M$1500,$A71&amp;"|"&amp;B$1&amp;"|Output"),"I/O","IN"),IF(COUNTIF(Flows!$M$2:$M$1500,$A71&amp;"|"&amp;B$1&amp;"|Output"),"OUT",""))</f>
        <v/>
      </c>
      <c r="C71" s="33" t="str">
        <f aca="false">IF(COUNTIF(Flows!$M$2:$M$1500,$A71&amp;"|"&amp;C$1&amp;"|Input"),IF(COUNTIF(Flows!$M$2:$M$1500,$A71&amp;"|"&amp;C$1&amp;"|Output"),"I/O","IN"),IF(COUNTIF(Flows!$M$2:$M$1500,$A71&amp;"|"&amp;C$1&amp;"|Output"),"OUT",""))</f>
        <v/>
      </c>
      <c r="D71" s="33" t="str">
        <f aca="false">IF(COUNTIF(Flows!$M$2:$M$1500,$A71&amp;"|"&amp;D$1&amp;"|Input"),IF(COUNTIF(Flows!$M$2:$M$1500,$A71&amp;"|"&amp;D$1&amp;"|Output"),"I/O","IN"),IF(COUNTIF(Flows!$M$2:$M$1500,$A71&amp;"|"&amp;D$1&amp;"|Output"),"OUT",""))</f>
        <v/>
      </c>
      <c r="E71" s="33" t="str">
        <f aca="false">IF(COUNTIF(Flows!$M$2:$M$1500,$A71&amp;"|"&amp;E$1&amp;"|Input"),IF(COUNTIF(Flows!$M$2:$M$1500,$A71&amp;"|"&amp;E$1&amp;"|Output"),"I/O","IN"),IF(COUNTIF(Flows!$M$2:$M$1500,$A71&amp;"|"&amp;E$1&amp;"|Output"),"OUT",""))</f>
        <v/>
      </c>
      <c r="F71" s="33" t="str">
        <f aca="false">IF(COUNTIF(Flows!$M$2:$M$1500,$A71&amp;"|"&amp;F$1&amp;"|Input"),IF(COUNTIF(Flows!$M$2:$M$1500,$A71&amp;"|"&amp;F$1&amp;"|Output"),"I/O","IN"),IF(COUNTIF(Flows!$M$2:$M$1500,$A71&amp;"|"&amp;F$1&amp;"|Output"),"OUT",""))</f>
        <v/>
      </c>
      <c r="G71" s="33" t="str">
        <f aca="false">IF(COUNTIF(Flows!$M$2:$M$1500,$A71&amp;"|"&amp;G$1&amp;"|Input"),IF(COUNTIF(Flows!$M$2:$M$1500,$A71&amp;"|"&amp;G$1&amp;"|Output"),"I/O","IN"),IF(COUNTIF(Flows!$M$2:$M$1500,$A71&amp;"|"&amp;G$1&amp;"|Output"),"OUT",""))</f>
        <v/>
      </c>
      <c r="H71" s="33" t="str">
        <f aca="false">IF(COUNTIF(Flows!$M$2:$M$1500,$A71&amp;"|"&amp;H$1&amp;"|Input"),IF(COUNTIF(Flows!$M$2:$M$1500,$A71&amp;"|"&amp;H$1&amp;"|Output"),"I/O","IN"),IF(COUNTIF(Flows!$M$2:$M$1500,$A71&amp;"|"&amp;H$1&amp;"|Output"),"OUT",""))</f>
        <v/>
      </c>
      <c r="I71" s="33" t="str">
        <f aca="false">IF(COUNTIF(Flows!$M$2:$M$1500,$A71&amp;"|"&amp;I$1&amp;"|Input"),IF(COUNTIF(Flows!$M$2:$M$1500,$A71&amp;"|"&amp;I$1&amp;"|Output"),"I/O","IN"),IF(COUNTIF(Flows!$M$2:$M$1500,$A71&amp;"|"&amp;I$1&amp;"|Output"),"OUT",""))</f>
        <v/>
      </c>
      <c r="J71" s="33" t="str">
        <f aca="false">IF(COUNTIF(Flows!$M$2:$M$1500,$A71&amp;"|"&amp;J$1&amp;"|Input"),IF(COUNTIF(Flows!$M$2:$M$1500,$A71&amp;"|"&amp;J$1&amp;"|Output"),"I/O","IN"),IF(COUNTIF(Flows!$M$2:$M$1500,$A71&amp;"|"&amp;J$1&amp;"|Output"),"OUT",""))</f>
        <v/>
      </c>
      <c r="K71" s="33" t="str">
        <f aca="false">IF(COUNTIF(Flows!$M$2:$M$1500,$A71&amp;"|"&amp;K$1&amp;"|Input"),IF(COUNTIF(Flows!$M$2:$M$1500,$A71&amp;"|"&amp;K$1&amp;"|Output"),"I/O","IN"),IF(COUNTIF(Flows!$M$2:$M$1500,$A71&amp;"|"&amp;K$1&amp;"|Output"),"OUT",""))</f>
        <v/>
      </c>
      <c r="L71" s="33" t="str">
        <f aca="false">IF(COUNTIF(Flows!$M$2:$M$1500,$A71&amp;"|"&amp;L$1&amp;"|Input"),IF(COUNTIF(Flows!$M$2:$M$1500,$A71&amp;"|"&amp;L$1&amp;"|Output"),"I/O","IN"),IF(COUNTIF(Flows!$M$2:$M$1500,$A71&amp;"|"&amp;L$1&amp;"|Output"),"OUT",""))</f>
        <v/>
      </c>
      <c r="M71" s="33" t="str">
        <f aca="false">IF(COUNTIF(Flows!$M$2:$M$1500,$A71&amp;"|"&amp;M$1&amp;"|Input"),IF(COUNTIF(Flows!$M$2:$M$1500,$A71&amp;"|"&amp;M$1&amp;"|Output"),"I/O","IN"),IF(COUNTIF(Flows!$M$2:$M$1500,$A71&amp;"|"&amp;M$1&amp;"|Output"),"OUT",""))</f>
        <v/>
      </c>
      <c r="N71" s="33" t="str">
        <f aca="false">IF(COUNTIF(Flows!$M$2:$M$1500,$A71&amp;"|"&amp;N$1&amp;"|Input"),IF(COUNTIF(Flows!$M$2:$M$1500,$A71&amp;"|"&amp;N$1&amp;"|Output"),"I/O","IN"),IF(COUNTIF(Flows!$M$2:$M$1500,$A71&amp;"|"&amp;N$1&amp;"|Output"),"OUT",""))</f>
        <v/>
      </c>
      <c r="O71" s="33" t="str">
        <f aca="false">IF(COUNTIF(Flows!$M$2:$M$1500,$A71&amp;"|"&amp;O$1&amp;"|Input"),IF(COUNTIF(Flows!$M$2:$M$1500,$A71&amp;"|"&amp;O$1&amp;"|Output"),"I/O","IN"),IF(COUNTIF(Flows!$M$2:$M$1500,$A71&amp;"|"&amp;O$1&amp;"|Output"),"OUT",""))</f>
        <v/>
      </c>
      <c r="P71" s="33" t="str">
        <f aca="false">IF(COUNTIF(Flows!$M$2:$M$1500,$A71&amp;"|"&amp;P$1&amp;"|Input"),IF(COUNTIF(Flows!$M$2:$M$1500,$A71&amp;"|"&amp;P$1&amp;"|Output"),"I/O","IN"),IF(COUNTIF(Flows!$M$2:$M$1500,$A71&amp;"|"&amp;P$1&amp;"|Output"),"OUT",""))</f>
        <v/>
      </c>
      <c r="Q71" s="33" t="str">
        <f aca="false">IF(COUNTIF(Flows!$M$2:$M$1500,$A71&amp;"|"&amp;Q$1&amp;"|Input"),IF(COUNTIF(Flows!$M$2:$M$1500,$A71&amp;"|"&amp;Q$1&amp;"|Output"),"I/O","IN"),IF(COUNTIF(Flows!$M$2:$M$1500,$A71&amp;"|"&amp;Q$1&amp;"|Output"),"OUT",""))</f>
        <v/>
      </c>
      <c r="R71" s="33" t="str">
        <f aca="false">IF(COUNTIF(Flows!$M$2:$M$1500,$A71&amp;"|"&amp;R$1&amp;"|Input"),IF(COUNTIF(Flows!$M$2:$M$1500,$A71&amp;"|"&amp;R$1&amp;"|Output"),"I/O","IN"),IF(COUNTIF(Flows!$M$2:$M$1500,$A71&amp;"|"&amp;R$1&amp;"|Output"),"OUT",""))</f>
        <v/>
      </c>
      <c r="S71" s="33" t="str">
        <f aca="false">IF(COUNTIF(Flows!$M$2:$M$1500,$A71&amp;"|"&amp;S$1&amp;"|Input"),IF(COUNTIF(Flows!$M$2:$M$1500,$A71&amp;"|"&amp;S$1&amp;"|Output"),"I/O","IN"),IF(COUNTIF(Flows!$M$2:$M$1500,$A71&amp;"|"&amp;S$1&amp;"|Output"),"OUT",""))</f>
        <v/>
      </c>
      <c r="T71" s="33" t="str">
        <f aca="false">IF(COUNTIF(Flows!$M$2:$M$1500,$A71&amp;"|"&amp;T$1&amp;"|Input"),IF(COUNTIF(Flows!$M$2:$M$1500,$A71&amp;"|"&amp;T$1&amp;"|Output"),"I/O","IN"),IF(COUNTIF(Flows!$M$2:$M$1500,$A71&amp;"|"&amp;T$1&amp;"|Output"),"OUT",""))</f>
        <v/>
      </c>
      <c r="U71" s="33" t="str">
        <f aca="false">IF(COUNTIF(Flows!$M$2:$M$1500,$A71&amp;"|"&amp;U$1&amp;"|Input"),IF(COUNTIF(Flows!$M$2:$M$1500,$A71&amp;"|"&amp;U$1&amp;"|Output"),"I/O","IN"),IF(COUNTIF(Flows!$M$2:$M$1500,$A71&amp;"|"&amp;U$1&amp;"|Output"),"OUT",""))</f>
        <v/>
      </c>
      <c r="V71" s="33" t="str">
        <f aca="false">IF(COUNTIF(Flows!$M$2:$M$1500,$A71&amp;"|"&amp;V$1&amp;"|Input"),IF(COUNTIF(Flows!$M$2:$M$1500,$A71&amp;"|"&amp;V$1&amp;"|Output"),"I/O","IN"),IF(COUNTIF(Flows!$M$2:$M$1500,$A71&amp;"|"&amp;V$1&amp;"|Output"),"OUT",""))</f>
        <v/>
      </c>
      <c r="W71" s="33" t="str">
        <f aca="false">IF(COUNTIF(Flows!$M$2:$M$1500,$A71&amp;"|"&amp;W$1&amp;"|Input"),IF(COUNTIF(Flows!$M$2:$M$1500,$A71&amp;"|"&amp;W$1&amp;"|Output"),"I/O","IN"),IF(COUNTIF(Flows!$M$2:$M$1500,$A71&amp;"|"&amp;W$1&amp;"|Output"),"OUT",""))</f>
        <v/>
      </c>
      <c r="X71" s="33" t="str">
        <f aca="false">IF(COUNTIF(Flows!$M$2:$M$1500,$A71&amp;"|"&amp;X$1&amp;"|Input"),IF(COUNTIF(Flows!$M$2:$M$1500,$A71&amp;"|"&amp;X$1&amp;"|Output"),"I/O","IN"),IF(COUNTIF(Flows!$M$2:$M$1500,$A71&amp;"|"&amp;X$1&amp;"|Output"),"OUT",""))</f>
        <v/>
      </c>
      <c r="Y71" s="33" t="str">
        <f aca="false">IF(COUNTIF(Flows!$M$2:$M$1500,$A71&amp;"|"&amp;Y$1&amp;"|Input"),IF(COUNTIF(Flows!$M$2:$M$1500,$A71&amp;"|"&amp;Y$1&amp;"|Output"),"I/O","IN"),IF(COUNTIF(Flows!$M$2:$M$1500,$A71&amp;"|"&amp;Y$1&amp;"|Output"),"OUT",""))</f>
        <v>IN</v>
      </c>
      <c r="Z71" s="33" t="str">
        <f aca="false">IF(COUNTIF(Flows!$M$2:$M$1500,$A71&amp;"|"&amp;Z$1&amp;"|Input"),IF(COUNTIF(Flows!$M$2:$M$1500,$A71&amp;"|"&amp;Z$1&amp;"|Output"),"I/O","IN"),IF(COUNTIF(Flows!$M$2:$M$1500,$A71&amp;"|"&amp;Z$1&amp;"|Output"),"OUT",""))</f>
        <v/>
      </c>
      <c r="AA71" s="33" t="str">
        <f aca="false">IF(COUNTIF(Flows!$M$2:$M$1500,$A71&amp;"|"&amp;AA$1&amp;"|Input"),IF(COUNTIF(Flows!$M$2:$M$1500,$A71&amp;"|"&amp;AA$1&amp;"|Output"),"I/O","IN"),IF(COUNTIF(Flows!$M$2:$M$1500,$A71&amp;"|"&amp;AA$1&amp;"|Output"),"OUT",""))</f>
        <v/>
      </c>
      <c r="AB71" s="33" t="str">
        <f aca="false">IF(COUNTIF(Flows!$M$2:$M$1500,$A71&amp;"|"&amp;AB$1&amp;"|Input"),IF(COUNTIF(Flows!$M$2:$M$1500,$A71&amp;"|"&amp;AB$1&amp;"|Output"),"I/O","IN"),IF(COUNTIF(Flows!$M$2:$M$1500,$A71&amp;"|"&amp;AB$1&amp;"|Output"),"OUT",""))</f>
        <v/>
      </c>
      <c r="AC71" s="33" t="str">
        <f aca="false">IF(COUNTIF(Flows!$M$2:$M$1500,$A71&amp;"|"&amp;AC$1&amp;"|Input"),IF(COUNTIF(Flows!$M$2:$M$1500,$A71&amp;"|"&amp;AC$1&amp;"|Output"),"I/O","IN"),IF(COUNTIF(Flows!$M$2:$M$1500,$A71&amp;"|"&amp;AC$1&amp;"|Output"),"OUT",""))</f>
        <v/>
      </c>
      <c r="AD71" s="33" t="str">
        <f aca="false">IF(COUNTIF(Flows!$M$2:$M$1500,$A71&amp;"|"&amp;AD$1&amp;"|Input"),IF(COUNTIF(Flows!$M$2:$M$1500,$A71&amp;"|"&amp;AD$1&amp;"|Output"),"I/O","IN"),IF(COUNTIF(Flows!$M$2:$M$1500,$A71&amp;"|"&amp;AD$1&amp;"|Output"),"OUT",""))</f>
        <v/>
      </c>
      <c r="AE71" s="33" t="str">
        <f aca="false">IF(COUNTIF(Flows!$M$2:$M$1500,$A71&amp;"|"&amp;AE$1&amp;"|Input"),IF(COUNTIF(Flows!$M$2:$M$1500,$A71&amp;"|"&amp;AE$1&amp;"|Output"),"I/O","IN"),IF(COUNTIF(Flows!$M$2:$M$1500,$A71&amp;"|"&amp;AE$1&amp;"|Output"),"OUT",""))</f>
        <v/>
      </c>
      <c r="AF71" s="33" t="str">
        <f aca="false">IF(COUNTIF(Flows!$M$2:$M$1500,$A71&amp;"|"&amp;AF$1&amp;"|Input"),IF(COUNTIF(Flows!$M$2:$M$1500,$A71&amp;"|"&amp;AF$1&amp;"|Output"),"I/O","IN"),IF(COUNTIF(Flows!$M$2:$M$1500,$A71&amp;"|"&amp;AF$1&amp;"|Output"),"OUT",""))</f>
        <v/>
      </c>
      <c r="AG71" s="33" t="str">
        <f aca="false">IF(COUNTIF(Flows!$M$2:$M$1500,$A71&amp;"|"&amp;AG$1&amp;"|Input"),IF(COUNTIF(Flows!$M$2:$M$1500,$A71&amp;"|"&amp;AG$1&amp;"|Output"),"I/O","IN"),IF(COUNTIF(Flows!$M$2:$M$1500,$A71&amp;"|"&amp;AG$1&amp;"|Output"),"OUT",""))</f>
        <v/>
      </c>
      <c r="AH71" s="33" t="str">
        <f aca="false">IF(COUNTIF(Flows!$M$2:$M$1500,$A71&amp;"|"&amp;AH$1&amp;"|Input"),IF(COUNTIF(Flows!$M$2:$M$1500,$A71&amp;"|"&amp;AH$1&amp;"|Output"),"I/O","IN"),IF(COUNTIF(Flows!$M$2:$M$1500,$A71&amp;"|"&amp;AH$1&amp;"|Output"),"OUT",""))</f>
        <v/>
      </c>
      <c r="AI71" s="33" t="str">
        <f aca="false">IF(COUNTIF(Flows!$M$2:$M$1500,$A71&amp;"|"&amp;AI$1&amp;"|Input"),IF(COUNTIF(Flows!$M$2:$M$1500,$A71&amp;"|"&amp;AI$1&amp;"|Output"),"I/O","IN"),IF(COUNTIF(Flows!$M$2:$M$1500,$A71&amp;"|"&amp;AI$1&amp;"|Output"),"OUT",""))</f>
        <v>OUT</v>
      </c>
      <c r="AJ71" s="33" t="str">
        <f aca="false">IF(COUNTIF(Flows!$M$2:$M$1500,$A71&amp;"|"&amp;AJ$1&amp;"|Input"),IF(COUNTIF(Flows!$M$2:$M$1500,$A71&amp;"|"&amp;AJ$1&amp;"|Output"),"I/O","IN"),IF(COUNTIF(Flows!$M$2:$M$1500,$A71&amp;"|"&amp;AJ$1&amp;"|Output"),"OUT",""))</f>
        <v/>
      </c>
      <c r="AK71" s="33" t="str">
        <f aca="false">IF(COUNTIF(Flows!$M$2:$M$1500,$A71&amp;"|"&amp;AK$1&amp;"|Input"),IF(COUNTIF(Flows!$M$2:$M$1500,$A71&amp;"|"&amp;AK$1&amp;"|Output"),"I/O","IN"),IF(COUNTIF(Flows!$M$2:$M$1500,$A71&amp;"|"&amp;AK$1&amp;"|Output"),"OUT",""))</f>
        <v/>
      </c>
      <c r="AL71" s="33" t="str">
        <f aca="false">IF(COUNTIF(Flows!$M$2:$M$1500,$A71&amp;"|"&amp;AL$1&amp;"|Input"),IF(COUNTIF(Flows!$M$2:$M$1500,$A71&amp;"|"&amp;AL$1&amp;"|Output"),"I/O","IN"),IF(COUNTIF(Flows!$M$2:$M$1500,$A71&amp;"|"&amp;AL$1&amp;"|Output"),"OUT",""))</f>
        <v/>
      </c>
      <c r="AM71" s="33" t="str">
        <f aca="false">IF(COUNTIF(Flows!$M$2:$M$1500,$A71&amp;"|"&amp;AM$1&amp;"|Input"),IF(COUNTIF(Flows!$M$2:$M$1500,$A71&amp;"|"&amp;AM$1&amp;"|Output"),"I/O","IN"),IF(COUNTIF(Flows!$M$2:$M$1500,$A71&amp;"|"&amp;AM$1&amp;"|Output"),"OUT",""))</f>
        <v/>
      </c>
      <c r="AN71" s="33" t="str">
        <f aca="false">IF(COUNTIF(Flows!$M$2:$M$1500,$A71&amp;"|"&amp;AN$1&amp;"|Input"),IF(COUNTIF(Flows!$M$2:$M$1500,$A71&amp;"|"&amp;AN$1&amp;"|Output"),"I/O","IN"),IF(COUNTIF(Flows!$M$2:$M$1500,$A71&amp;"|"&amp;AN$1&amp;"|Output"),"OUT",""))</f>
        <v/>
      </c>
      <c r="AO71" s="33" t="str">
        <f aca="false">IF(COUNTIF(Flows!$M$2:$M$1500,$A71&amp;"|"&amp;AO$1&amp;"|Input"),IF(COUNTIF(Flows!$M$2:$M$1500,$A71&amp;"|"&amp;AO$1&amp;"|Output"),"I/O","IN"),IF(COUNTIF(Flows!$M$2:$M$1500,$A71&amp;"|"&amp;AO$1&amp;"|Output"),"OUT",""))</f>
        <v/>
      </c>
      <c r="AP71" s="33" t="str">
        <f aca="false">IF(COUNTIF(Flows!$M$2:$M$1500,$A71&amp;"|"&amp;AP$1&amp;"|Input"),IF(COUNTIF(Flows!$M$2:$M$1500,$A71&amp;"|"&amp;AP$1&amp;"|Output"),"I/O","IN"),IF(COUNTIF(Flows!$M$2:$M$1500,$A71&amp;"|"&amp;AP$1&amp;"|Output"),"OUT",""))</f>
        <v/>
      </c>
      <c r="AQ71" s="33" t="str">
        <f aca="false">IF(COUNTIF(Flows!$M$2:$M$1500,$A71&amp;"|"&amp;AQ$1&amp;"|Input"),IF(COUNTIF(Flows!$M$2:$M$1500,$A71&amp;"|"&amp;AQ$1&amp;"|Output"),"I/O","IN"),IF(COUNTIF(Flows!$M$2:$M$1500,$A71&amp;"|"&amp;AQ$1&amp;"|Output"),"OUT",""))</f>
        <v/>
      </c>
      <c r="AR71" s="33" t="str">
        <f aca="false">IF(COUNTIF(Flows!$M$2:$M$1500,$A71&amp;"|"&amp;AR$1&amp;"|Input"),IF(COUNTIF(Flows!$M$2:$M$1500,$A71&amp;"|"&amp;AR$1&amp;"|Output"),"I/O","IN"),IF(COUNTIF(Flows!$M$2:$M$1500,$A71&amp;"|"&amp;AR$1&amp;"|Output"),"OUT",""))</f>
        <v/>
      </c>
      <c r="AS71" s="33" t="str">
        <f aca="false">IF(COUNTIF(Flows!$M$2:$M$1500,$A71&amp;"|"&amp;AS$1&amp;"|Input"),IF(COUNTIF(Flows!$M$2:$M$1500,$A71&amp;"|"&amp;AS$1&amp;"|Output"),"I/O","IN"),IF(COUNTIF(Flows!$M$2:$M$1500,$A71&amp;"|"&amp;AS$1&amp;"|Output"),"OUT",""))</f>
        <v/>
      </c>
      <c r="AT71" s="33" t="str">
        <f aca="false">IF(COUNTIF(Flows!$M$2:$M$1500,$A71&amp;"|"&amp;AT$1&amp;"|Input"),IF(COUNTIF(Flows!$M$2:$M$1500,$A71&amp;"|"&amp;AT$1&amp;"|Output"),"I/O","IN"),IF(COUNTIF(Flows!$M$2:$M$1500,$A71&amp;"|"&amp;AT$1&amp;"|Output"),"OUT",""))</f>
        <v/>
      </c>
      <c r="AU71" s="33" t="str">
        <f aca="false">IF(COUNTIF(Flows!$M$2:$M$1500,$A71&amp;"|"&amp;AU$1&amp;"|Input"),IF(COUNTIF(Flows!$M$2:$M$1500,$A71&amp;"|"&amp;AU$1&amp;"|Output"),"I/O","IN"),IF(COUNTIF(Flows!$M$2:$M$1500,$A71&amp;"|"&amp;AU$1&amp;"|Output"),"OUT",""))</f>
        <v/>
      </c>
      <c r="AV71" s="33" t="str">
        <f aca="false">IF(COUNTIF(Flows!$M$2:$M$1500,$A71&amp;"|"&amp;AV$1&amp;"|Input"),IF(COUNTIF(Flows!$M$2:$M$1500,$A71&amp;"|"&amp;AV$1&amp;"|Output"),"I/O","IN"),IF(COUNTIF(Flows!$M$2:$M$1500,$A71&amp;"|"&amp;AV$1&amp;"|Output"),"OUT",""))</f>
        <v/>
      </c>
      <c r="AW71" s="33" t="str">
        <f aca="false">IF(COUNTIF(Flows!$M$2:$M$1500,$A71&amp;"|"&amp;AW$1&amp;"|Input"),IF(COUNTIF(Flows!$M$2:$M$1500,$A71&amp;"|"&amp;AW$1&amp;"|Output"),"I/O","IN"),IF(COUNTIF(Flows!$M$2:$M$1500,$A71&amp;"|"&amp;AW$1&amp;"|Output"),"OUT",""))</f>
        <v/>
      </c>
      <c r="AX71" s="33" t="str">
        <f aca="false">IF(COUNTIF(Flows!$M$2:$M$1500,$A71&amp;"|"&amp;AX$1&amp;"|Input"),IF(COUNTIF(Flows!$M$2:$M$1500,$A71&amp;"|"&amp;AX$1&amp;"|Output"),"I/O","IN"),IF(COUNTIF(Flows!$M$2:$M$1500,$A71&amp;"|"&amp;AX$1&amp;"|Output"),"OUT",""))</f>
        <v/>
      </c>
      <c r="AY71" s="33" t="str">
        <f aca="false">IF(COUNTIF(Flows!$M$2:$M$1500,$A71&amp;"|"&amp;AY$1&amp;"|Input"),IF(COUNTIF(Flows!$M$2:$M$1500,$A71&amp;"|"&amp;AY$1&amp;"|Output"),"I/O","IN"),IF(COUNTIF(Flows!$M$2:$M$1500,$A71&amp;"|"&amp;AY$1&amp;"|Output"),"OUT",""))</f>
        <v/>
      </c>
      <c r="AZ71" s="33" t="str">
        <f aca="false">IF(COUNTIF(Flows!$M$2:$M$1500,$A71&amp;"|"&amp;AZ$1&amp;"|Input"),IF(COUNTIF(Flows!$M$2:$M$1500,$A71&amp;"|"&amp;AZ$1&amp;"|Output"),"I/O","IN"),IF(COUNTIF(Flows!$M$2:$M$1500,$A71&amp;"|"&amp;AZ$1&amp;"|Output"),"OUT",""))</f>
        <v/>
      </c>
      <c r="BA71" s="33" t="str">
        <f aca="false">IF(COUNTIF(Flows!$M$2:$M$1500,$A71&amp;"|"&amp;BA$1&amp;"|Input"),IF(COUNTIF(Flows!$M$2:$M$1500,$A71&amp;"|"&amp;BA$1&amp;"|Output"),"I/O","IN"),IF(COUNTIF(Flows!$M$2:$M$1500,$A71&amp;"|"&amp;BA$1&amp;"|Output"),"OUT",""))</f>
        <v/>
      </c>
      <c r="BB71" s="33" t="str">
        <f aca="false">IF(COUNTIF(Flows!$M$2:$M$1500,$A71&amp;"|"&amp;BB$1&amp;"|Input"),IF(COUNTIF(Flows!$M$2:$M$1500,$A71&amp;"|"&amp;BB$1&amp;"|Output"),"I/O","IN"),IF(COUNTIF(Flows!$M$2:$M$1500,$A71&amp;"|"&amp;BB$1&amp;"|Output"),"OUT",""))</f>
        <v/>
      </c>
      <c r="BC71" s="33" t="str">
        <f aca="false">IF(COUNTIF(Flows!$M$2:$M$1500,$A71&amp;"|"&amp;BC$1&amp;"|Input"),IF(COUNTIF(Flows!$M$2:$M$1500,$A71&amp;"|"&amp;BC$1&amp;"|Output"),"I/O","IN"),IF(COUNTIF(Flows!$M$2:$M$1500,$A71&amp;"|"&amp;BC$1&amp;"|Output"),"OUT",""))</f>
        <v/>
      </c>
      <c r="BD71" s="33" t="str">
        <f aca="false">IF(COUNTIF(Flows!$M$2:$M$1500,$A71&amp;"|"&amp;BD$1&amp;"|Input"),IF(COUNTIF(Flows!$M$2:$M$1500,$A71&amp;"|"&amp;BD$1&amp;"|Output"),"I/O","IN"),IF(COUNTIF(Flows!$M$2:$M$1500,$A71&amp;"|"&amp;BD$1&amp;"|Output"),"OUT",""))</f>
        <v/>
      </c>
      <c r="BE71" s="33" t="str">
        <f aca="false">IF(COUNTIF(Flows!$M$2:$M$1500,$A71&amp;"|"&amp;BE$1&amp;"|Input"),IF(COUNTIF(Flows!$M$2:$M$1500,$A71&amp;"|"&amp;BE$1&amp;"|Output"),"I/O","IN"),IF(COUNTIF(Flows!$M$2:$M$1500,$A71&amp;"|"&amp;BE$1&amp;"|Output"),"OUT",""))</f>
        <v/>
      </c>
      <c r="BF71" s="33" t="str">
        <f aca="false">IF(COUNTIF(Flows!$M$2:$M$1500,$A71&amp;"|"&amp;BF$1&amp;"|Input"),IF(COUNTIF(Flows!$M$2:$M$1500,$A71&amp;"|"&amp;BF$1&amp;"|Output"),"I/O","IN"),IF(COUNTIF(Flows!$M$2:$M$1500,$A71&amp;"|"&amp;BF$1&amp;"|Output"),"OUT",""))</f>
        <v/>
      </c>
      <c r="BG71" s="33" t="str">
        <f aca="false">IF(COUNTIF(Flows!$M$2:$M$1500,$A71&amp;"|"&amp;BG$1&amp;"|Input"),IF(COUNTIF(Flows!$M$2:$M$1500,$A71&amp;"|"&amp;BG$1&amp;"|Output"),"I/O","IN"),IF(COUNTIF(Flows!$M$2:$M$1500,$A71&amp;"|"&amp;BG$1&amp;"|Output"),"OUT",""))</f>
        <v/>
      </c>
      <c r="BH71" s="33" t="str">
        <f aca="false">IF(COUNTIF(Flows!$M$2:$M$1500,$A71&amp;"|"&amp;BH$1&amp;"|Input"),IF(COUNTIF(Flows!$M$2:$M$1500,$A71&amp;"|"&amp;BH$1&amp;"|Output"),"I/O","IN"),IF(COUNTIF(Flows!$M$2:$M$1500,$A71&amp;"|"&amp;BH$1&amp;"|Output"),"OUT",""))</f>
        <v/>
      </c>
      <c r="BI71" s="33" t="str">
        <f aca="false">IF(COUNTIF(Flows!$M$2:$M$1500,$A71&amp;"|"&amp;BI$1&amp;"|Input"),IF(COUNTIF(Flows!$M$2:$M$1500,$A71&amp;"|"&amp;BI$1&amp;"|Output"),"I/O","IN"),IF(COUNTIF(Flows!$M$2:$M$1500,$A71&amp;"|"&amp;BI$1&amp;"|Output"),"OUT",""))</f>
        <v/>
      </c>
      <c r="BJ71" s="33" t="str">
        <f aca="false">IF(COUNTIF(Flows!$M$2:$M$1500,$A71&amp;"|"&amp;BJ$1&amp;"|Input"),IF(COUNTIF(Flows!$M$2:$M$1500,$A71&amp;"|"&amp;BJ$1&amp;"|Output"),"I/O","IN"),IF(COUNTIF(Flows!$M$2:$M$1500,$A71&amp;"|"&amp;BJ$1&amp;"|Output"),"OUT",""))</f>
        <v/>
      </c>
      <c r="BK71" s="33" t="str">
        <f aca="false">IF(COUNTIF(Flows!$M$2:$M$1500,$A71&amp;"|"&amp;BK$1&amp;"|Input"),IF(COUNTIF(Flows!$M$2:$M$1500,$A71&amp;"|"&amp;BK$1&amp;"|Output"),"I/O","IN"),IF(COUNTIF(Flows!$M$2:$M$1500,$A71&amp;"|"&amp;BK$1&amp;"|Output"),"OUT",""))</f>
        <v/>
      </c>
    </row>
    <row r="72" customFormat="false" ht="15" hidden="false" customHeight="true" outlineLevel="0" collapsed="false">
      <c r="A72" s="6" t="str">
        <f aca="false">Systems!B72</f>
        <v>Sunlight</v>
      </c>
      <c r="B72" s="33" t="str">
        <f aca="false">IF(COUNTIF(Flows!$M$2:$M$1500,$A72&amp;"|"&amp;B$1&amp;"|Input"),IF(COUNTIF(Flows!$M$2:$M$1500,$A72&amp;"|"&amp;B$1&amp;"|Output"),"I/O","IN"),IF(COUNTIF(Flows!$M$2:$M$1500,$A72&amp;"|"&amp;B$1&amp;"|Output"),"OUT",""))</f>
        <v/>
      </c>
      <c r="C72" s="33" t="str">
        <f aca="false">IF(COUNTIF(Flows!$M$2:$M$1500,$A72&amp;"|"&amp;C$1&amp;"|Input"),IF(COUNTIF(Flows!$M$2:$M$1500,$A72&amp;"|"&amp;C$1&amp;"|Output"),"I/O","IN"),IF(COUNTIF(Flows!$M$2:$M$1500,$A72&amp;"|"&amp;C$1&amp;"|Output"),"OUT",""))</f>
        <v/>
      </c>
      <c r="D72" s="33" t="str">
        <f aca="false">IF(COUNTIF(Flows!$M$2:$M$1500,$A72&amp;"|"&amp;D$1&amp;"|Input"),IF(COUNTIF(Flows!$M$2:$M$1500,$A72&amp;"|"&amp;D$1&amp;"|Output"),"I/O","IN"),IF(COUNTIF(Flows!$M$2:$M$1500,$A72&amp;"|"&amp;D$1&amp;"|Output"),"OUT",""))</f>
        <v/>
      </c>
      <c r="E72" s="33" t="str">
        <f aca="false">IF(COUNTIF(Flows!$M$2:$M$1500,$A72&amp;"|"&amp;E$1&amp;"|Input"),IF(COUNTIF(Flows!$M$2:$M$1500,$A72&amp;"|"&amp;E$1&amp;"|Output"),"I/O","IN"),IF(COUNTIF(Flows!$M$2:$M$1500,$A72&amp;"|"&amp;E$1&amp;"|Output"),"OUT",""))</f>
        <v/>
      </c>
      <c r="F72" s="33" t="str">
        <f aca="false">IF(COUNTIF(Flows!$M$2:$M$1500,$A72&amp;"|"&amp;F$1&amp;"|Input"),IF(COUNTIF(Flows!$M$2:$M$1500,$A72&amp;"|"&amp;F$1&amp;"|Output"),"I/O","IN"),IF(COUNTIF(Flows!$M$2:$M$1500,$A72&amp;"|"&amp;F$1&amp;"|Output"),"OUT",""))</f>
        <v/>
      </c>
      <c r="G72" s="33" t="str">
        <f aca="false">IF(COUNTIF(Flows!$M$2:$M$1500,$A72&amp;"|"&amp;G$1&amp;"|Input"),IF(COUNTIF(Flows!$M$2:$M$1500,$A72&amp;"|"&amp;G$1&amp;"|Output"),"I/O","IN"),IF(COUNTIF(Flows!$M$2:$M$1500,$A72&amp;"|"&amp;G$1&amp;"|Output"),"OUT",""))</f>
        <v/>
      </c>
      <c r="H72" s="33" t="str">
        <f aca="false">IF(COUNTIF(Flows!$M$2:$M$1500,$A72&amp;"|"&amp;H$1&amp;"|Input"),IF(COUNTIF(Flows!$M$2:$M$1500,$A72&amp;"|"&amp;H$1&amp;"|Output"),"I/O","IN"),IF(COUNTIF(Flows!$M$2:$M$1500,$A72&amp;"|"&amp;H$1&amp;"|Output"),"OUT",""))</f>
        <v/>
      </c>
      <c r="I72" s="33" t="str">
        <f aca="false">IF(COUNTIF(Flows!$M$2:$M$1500,$A72&amp;"|"&amp;I$1&amp;"|Input"),IF(COUNTIF(Flows!$M$2:$M$1500,$A72&amp;"|"&amp;I$1&amp;"|Output"),"I/O","IN"),IF(COUNTIF(Flows!$M$2:$M$1500,$A72&amp;"|"&amp;I$1&amp;"|Output"),"OUT",""))</f>
        <v/>
      </c>
      <c r="J72" s="33" t="str">
        <f aca="false">IF(COUNTIF(Flows!$M$2:$M$1500,$A72&amp;"|"&amp;J$1&amp;"|Input"),IF(COUNTIF(Flows!$M$2:$M$1500,$A72&amp;"|"&amp;J$1&amp;"|Output"),"I/O","IN"),IF(COUNTIF(Flows!$M$2:$M$1500,$A72&amp;"|"&amp;J$1&amp;"|Output"),"OUT",""))</f>
        <v/>
      </c>
      <c r="K72" s="33" t="str">
        <f aca="false">IF(COUNTIF(Flows!$M$2:$M$1500,$A72&amp;"|"&amp;K$1&amp;"|Input"),IF(COUNTIF(Flows!$M$2:$M$1500,$A72&amp;"|"&amp;K$1&amp;"|Output"),"I/O","IN"),IF(COUNTIF(Flows!$M$2:$M$1500,$A72&amp;"|"&amp;K$1&amp;"|Output"),"OUT",""))</f>
        <v/>
      </c>
      <c r="L72" s="33" t="str">
        <f aca="false">IF(COUNTIF(Flows!$M$2:$M$1500,$A72&amp;"|"&amp;L$1&amp;"|Input"),IF(COUNTIF(Flows!$M$2:$M$1500,$A72&amp;"|"&amp;L$1&amp;"|Output"),"I/O","IN"),IF(COUNTIF(Flows!$M$2:$M$1500,$A72&amp;"|"&amp;L$1&amp;"|Output"),"OUT",""))</f>
        <v/>
      </c>
      <c r="M72" s="33" t="str">
        <f aca="false">IF(COUNTIF(Flows!$M$2:$M$1500,$A72&amp;"|"&amp;M$1&amp;"|Input"),IF(COUNTIF(Flows!$M$2:$M$1500,$A72&amp;"|"&amp;M$1&amp;"|Output"),"I/O","IN"),IF(COUNTIF(Flows!$M$2:$M$1500,$A72&amp;"|"&amp;M$1&amp;"|Output"),"OUT",""))</f>
        <v/>
      </c>
      <c r="N72" s="33" t="str">
        <f aca="false">IF(COUNTIF(Flows!$M$2:$M$1500,$A72&amp;"|"&amp;N$1&amp;"|Input"),IF(COUNTIF(Flows!$M$2:$M$1500,$A72&amp;"|"&amp;N$1&amp;"|Output"),"I/O","IN"),IF(COUNTIF(Flows!$M$2:$M$1500,$A72&amp;"|"&amp;N$1&amp;"|Output"),"OUT",""))</f>
        <v/>
      </c>
      <c r="O72" s="33" t="str">
        <f aca="false">IF(COUNTIF(Flows!$M$2:$M$1500,$A72&amp;"|"&amp;O$1&amp;"|Input"),IF(COUNTIF(Flows!$M$2:$M$1500,$A72&amp;"|"&amp;O$1&amp;"|Output"),"I/O","IN"),IF(COUNTIF(Flows!$M$2:$M$1500,$A72&amp;"|"&amp;O$1&amp;"|Output"),"OUT",""))</f>
        <v/>
      </c>
      <c r="P72" s="33" t="str">
        <f aca="false">IF(COUNTIF(Flows!$M$2:$M$1500,$A72&amp;"|"&amp;P$1&amp;"|Input"),IF(COUNTIF(Flows!$M$2:$M$1500,$A72&amp;"|"&amp;P$1&amp;"|Output"),"I/O","IN"),IF(COUNTIF(Flows!$M$2:$M$1500,$A72&amp;"|"&amp;P$1&amp;"|Output"),"OUT",""))</f>
        <v/>
      </c>
      <c r="Q72" s="33" t="str">
        <f aca="false">IF(COUNTIF(Flows!$M$2:$M$1500,$A72&amp;"|"&amp;Q$1&amp;"|Input"),IF(COUNTIF(Flows!$M$2:$M$1500,$A72&amp;"|"&amp;Q$1&amp;"|Output"),"I/O","IN"),IF(COUNTIF(Flows!$M$2:$M$1500,$A72&amp;"|"&amp;Q$1&amp;"|Output"),"OUT",""))</f>
        <v/>
      </c>
      <c r="R72" s="33" t="str">
        <f aca="false">IF(COUNTIF(Flows!$M$2:$M$1500,$A72&amp;"|"&amp;R$1&amp;"|Input"),IF(COUNTIF(Flows!$M$2:$M$1500,$A72&amp;"|"&amp;R$1&amp;"|Output"),"I/O","IN"),IF(COUNTIF(Flows!$M$2:$M$1500,$A72&amp;"|"&amp;R$1&amp;"|Output"),"OUT",""))</f>
        <v/>
      </c>
      <c r="S72" s="33" t="str">
        <f aca="false">IF(COUNTIF(Flows!$M$2:$M$1500,$A72&amp;"|"&amp;S$1&amp;"|Input"),IF(COUNTIF(Flows!$M$2:$M$1500,$A72&amp;"|"&amp;S$1&amp;"|Output"),"I/O","IN"),IF(COUNTIF(Flows!$M$2:$M$1500,$A72&amp;"|"&amp;S$1&amp;"|Output"),"OUT",""))</f>
        <v/>
      </c>
      <c r="T72" s="33" t="str">
        <f aca="false">IF(COUNTIF(Flows!$M$2:$M$1500,$A72&amp;"|"&amp;T$1&amp;"|Input"),IF(COUNTIF(Flows!$M$2:$M$1500,$A72&amp;"|"&amp;T$1&amp;"|Output"),"I/O","IN"),IF(COUNTIF(Flows!$M$2:$M$1500,$A72&amp;"|"&amp;T$1&amp;"|Output"),"OUT",""))</f>
        <v/>
      </c>
      <c r="U72" s="33" t="str">
        <f aca="false">IF(COUNTIF(Flows!$M$2:$M$1500,$A72&amp;"|"&amp;U$1&amp;"|Input"),IF(COUNTIF(Flows!$M$2:$M$1500,$A72&amp;"|"&amp;U$1&amp;"|Output"),"I/O","IN"),IF(COUNTIF(Flows!$M$2:$M$1500,$A72&amp;"|"&amp;U$1&amp;"|Output"),"OUT",""))</f>
        <v/>
      </c>
      <c r="V72" s="33" t="str">
        <f aca="false">IF(COUNTIF(Flows!$M$2:$M$1500,$A72&amp;"|"&amp;V$1&amp;"|Input"),IF(COUNTIF(Flows!$M$2:$M$1500,$A72&amp;"|"&amp;V$1&amp;"|Output"),"I/O","IN"),IF(COUNTIF(Flows!$M$2:$M$1500,$A72&amp;"|"&amp;V$1&amp;"|Output"),"OUT",""))</f>
        <v/>
      </c>
      <c r="W72" s="33" t="str">
        <f aca="false">IF(COUNTIF(Flows!$M$2:$M$1500,$A72&amp;"|"&amp;W$1&amp;"|Input"),IF(COUNTIF(Flows!$M$2:$M$1500,$A72&amp;"|"&amp;W$1&amp;"|Output"),"I/O","IN"),IF(COUNTIF(Flows!$M$2:$M$1500,$A72&amp;"|"&amp;W$1&amp;"|Output"),"OUT",""))</f>
        <v/>
      </c>
      <c r="X72" s="33" t="str">
        <f aca="false">IF(COUNTIF(Flows!$M$2:$M$1500,$A72&amp;"|"&amp;X$1&amp;"|Input"),IF(COUNTIF(Flows!$M$2:$M$1500,$A72&amp;"|"&amp;X$1&amp;"|Output"),"I/O","IN"),IF(COUNTIF(Flows!$M$2:$M$1500,$A72&amp;"|"&amp;X$1&amp;"|Output"),"OUT",""))</f>
        <v/>
      </c>
      <c r="Y72" s="33" t="str">
        <f aca="false">IF(COUNTIF(Flows!$M$2:$M$1500,$A72&amp;"|"&amp;Y$1&amp;"|Input"),IF(COUNTIF(Flows!$M$2:$M$1500,$A72&amp;"|"&amp;Y$1&amp;"|Output"),"I/O","IN"),IF(COUNTIF(Flows!$M$2:$M$1500,$A72&amp;"|"&amp;Y$1&amp;"|Output"),"OUT",""))</f>
        <v/>
      </c>
      <c r="Z72" s="33" t="str">
        <f aca="false">IF(COUNTIF(Flows!$M$2:$M$1500,$A72&amp;"|"&amp;Z$1&amp;"|Input"),IF(COUNTIF(Flows!$M$2:$M$1500,$A72&amp;"|"&amp;Z$1&amp;"|Output"),"I/O","IN"),IF(COUNTIF(Flows!$M$2:$M$1500,$A72&amp;"|"&amp;Z$1&amp;"|Output"),"OUT",""))</f>
        <v>OUT</v>
      </c>
      <c r="AA72" s="33" t="str">
        <f aca="false">IF(COUNTIF(Flows!$M$2:$M$1500,$A72&amp;"|"&amp;AA$1&amp;"|Input"),IF(COUNTIF(Flows!$M$2:$M$1500,$A72&amp;"|"&amp;AA$1&amp;"|Output"),"I/O","IN"),IF(COUNTIF(Flows!$M$2:$M$1500,$A72&amp;"|"&amp;AA$1&amp;"|Output"),"OUT",""))</f>
        <v/>
      </c>
      <c r="AB72" s="33" t="str">
        <f aca="false">IF(COUNTIF(Flows!$M$2:$M$1500,$A72&amp;"|"&amp;AB$1&amp;"|Input"),IF(COUNTIF(Flows!$M$2:$M$1500,$A72&amp;"|"&amp;AB$1&amp;"|Output"),"I/O","IN"),IF(COUNTIF(Flows!$M$2:$M$1500,$A72&amp;"|"&amp;AB$1&amp;"|Output"),"OUT",""))</f>
        <v/>
      </c>
      <c r="AC72" s="33" t="str">
        <f aca="false">IF(COUNTIF(Flows!$M$2:$M$1500,$A72&amp;"|"&amp;AC$1&amp;"|Input"),IF(COUNTIF(Flows!$M$2:$M$1500,$A72&amp;"|"&amp;AC$1&amp;"|Output"),"I/O","IN"),IF(COUNTIF(Flows!$M$2:$M$1500,$A72&amp;"|"&amp;AC$1&amp;"|Output"),"OUT",""))</f>
        <v/>
      </c>
      <c r="AD72" s="33" t="str">
        <f aca="false">IF(COUNTIF(Flows!$M$2:$M$1500,$A72&amp;"|"&amp;AD$1&amp;"|Input"),IF(COUNTIF(Flows!$M$2:$M$1500,$A72&amp;"|"&amp;AD$1&amp;"|Output"),"I/O","IN"),IF(COUNTIF(Flows!$M$2:$M$1500,$A72&amp;"|"&amp;AD$1&amp;"|Output"),"OUT",""))</f>
        <v/>
      </c>
      <c r="AE72" s="33" t="str">
        <f aca="false">IF(COUNTIF(Flows!$M$2:$M$1500,$A72&amp;"|"&amp;AE$1&amp;"|Input"),IF(COUNTIF(Flows!$M$2:$M$1500,$A72&amp;"|"&amp;AE$1&amp;"|Output"),"I/O","IN"),IF(COUNTIF(Flows!$M$2:$M$1500,$A72&amp;"|"&amp;AE$1&amp;"|Output"),"OUT",""))</f>
        <v/>
      </c>
      <c r="AF72" s="33" t="str">
        <f aca="false">IF(COUNTIF(Flows!$M$2:$M$1500,$A72&amp;"|"&amp;AF$1&amp;"|Input"),IF(COUNTIF(Flows!$M$2:$M$1500,$A72&amp;"|"&amp;AF$1&amp;"|Output"),"I/O","IN"),IF(COUNTIF(Flows!$M$2:$M$1500,$A72&amp;"|"&amp;AF$1&amp;"|Output"),"OUT",""))</f>
        <v/>
      </c>
      <c r="AG72" s="33" t="str">
        <f aca="false">IF(COUNTIF(Flows!$M$2:$M$1500,$A72&amp;"|"&amp;AG$1&amp;"|Input"),IF(COUNTIF(Flows!$M$2:$M$1500,$A72&amp;"|"&amp;AG$1&amp;"|Output"),"I/O","IN"),IF(COUNTIF(Flows!$M$2:$M$1500,$A72&amp;"|"&amp;AG$1&amp;"|Output"),"OUT",""))</f>
        <v/>
      </c>
      <c r="AH72" s="33" t="str">
        <f aca="false">IF(COUNTIF(Flows!$M$2:$M$1500,$A72&amp;"|"&amp;AH$1&amp;"|Input"),IF(COUNTIF(Flows!$M$2:$M$1500,$A72&amp;"|"&amp;AH$1&amp;"|Output"),"I/O","IN"),IF(COUNTIF(Flows!$M$2:$M$1500,$A72&amp;"|"&amp;AH$1&amp;"|Output"),"OUT",""))</f>
        <v/>
      </c>
      <c r="AI72" s="33" t="str">
        <f aca="false">IF(COUNTIF(Flows!$M$2:$M$1500,$A72&amp;"|"&amp;AI$1&amp;"|Input"),IF(COUNTIF(Flows!$M$2:$M$1500,$A72&amp;"|"&amp;AI$1&amp;"|Output"),"I/O","IN"),IF(COUNTIF(Flows!$M$2:$M$1500,$A72&amp;"|"&amp;AI$1&amp;"|Output"),"OUT",""))</f>
        <v/>
      </c>
      <c r="AJ72" s="33" t="str">
        <f aca="false">IF(COUNTIF(Flows!$M$2:$M$1500,$A72&amp;"|"&amp;AJ$1&amp;"|Input"),IF(COUNTIF(Flows!$M$2:$M$1500,$A72&amp;"|"&amp;AJ$1&amp;"|Output"),"I/O","IN"),IF(COUNTIF(Flows!$M$2:$M$1500,$A72&amp;"|"&amp;AJ$1&amp;"|Output"),"OUT",""))</f>
        <v/>
      </c>
      <c r="AK72" s="33" t="str">
        <f aca="false">IF(COUNTIF(Flows!$M$2:$M$1500,$A72&amp;"|"&amp;AK$1&amp;"|Input"),IF(COUNTIF(Flows!$M$2:$M$1500,$A72&amp;"|"&amp;AK$1&amp;"|Output"),"I/O","IN"),IF(COUNTIF(Flows!$M$2:$M$1500,$A72&amp;"|"&amp;AK$1&amp;"|Output"),"OUT",""))</f>
        <v/>
      </c>
      <c r="AL72" s="33" t="str">
        <f aca="false">IF(COUNTIF(Flows!$M$2:$M$1500,$A72&amp;"|"&amp;AL$1&amp;"|Input"),IF(COUNTIF(Flows!$M$2:$M$1500,$A72&amp;"|"&amp;AL$1&amp;"|Output"),"I/O","IN"),IF(COUNTIF(Flows!$M$2:$M$1500,$A72&amp;"|"&amp;AL$1&amp;"|Output"),"OUT",""))</f>
        <v/>
      </c>
      <c r="AM72" s="33" t="str">
        <f aca="false">IF(COUNTIF(Flows!$M$2:$M$1500,$A72&amp;"|"&amp;AM$1&amp;"|Input"),IF(COUNTIF(Flows!$M$2:$M$1500,$A72&amp;"|"&amp;AM$1&amp;"|Output"),"I/O","IN"),IF(COUNTIF(Flows!$M$2:$M$1500,$A72&amp;"|"&amp;AM$1&amp;"|Output"),"OUT",""))</f>
        <v/>
      </c>
      <c r="AN72" s="33" t="str">
        <f aca="false">IF(COUNTIF(Flows!$M$2:$M$1500,$A72&amp;"|"&amp;AN$1&amp;"|Input"),IF(COUNTIF(Flows!$M$2:$M$1500,$A72&amp;"|"&amp;AN$1&amp;"|Output"),"I/O","IN"),IF(COUNTIF(Flows!$M$2:$M$1500,$A72&amp;"|"&amp;AN$1&amp;"|Output"),"OUT",""))</f>
        <v/>
      </c>
      <c r="AO72" s="33" t="str">
        <f aca="false">IF(COUNTIF(Flows!$M$2:$M$1500,$A72&amp;"|"&amp;AO$1&amp;"|Input"),IF(COUNTIF(Flows!$M$2:$M$1500,$A72&amp;"|"&amp;AO$1&amp;"|Output"),"I/O","IN"),IF(COUNTIF(Flows!$M$2:$M$1500,$A72&amp;"|"&amp;AO$1&amp;"|Output"),"OUT",""))</f>
        <v/>
      </c>
      <c r="AP72" s="33" t="str">
        <f aca="false">IF(COUNTIF(Flows!$M$2:$M$1500,$A72&amp;"|"&amp;AP$1&amp;"|Input"),IF(COUNTIF(Flows!$M$2:$M$1500,$A72&amp;"|"&amp;AP$1&amp;"|Output"),"I/O","IN"),IF(COUNTIF(Flows!$M$2:$M$1500,$A72&amp;"|"&amp;AP$1&amp;"|Output"),"OUT",""))</f>
        <v/>
      </c>
      <c r="AQ72" s="33" t="str">
        <f aca="false">IF(COUNTIF(Flows!$M$2:$M$1500,$A72&amp;"|"&amp;AQ$1&amp;"|Input"),IF(COUNTIF(Flows!$M$2:$M$1500,$A72&amp;"|"&amp;AQ$1&amp;"|Output"),"I/O","IN"),IF(COUNTIF(Flows!$M$2:$M$1500,$A72&amp;"|"&amp;AQ$1&amp;"|Output"),"OUT",""))</f>
        <v/>
      </c>
      <c r="AR72" s="33" t="str">
        <f aca="false">IF(COUNTIF(Flows!$M$2:$M$1500,$A72&amp;"|"&amp;AR$1&amp;"|Input"),IF(COUNTIF(Flows!$M$2:$M$1500,$A72&amp;"|"&amp;AR$1&amp;"|Output"),"I/O","IN"),IF(COUNTIF(Flows!$M$2:$M$1500,$A72&amp;"|"&amp;AR$1&amp;"|Output"),"OUT",""))</f>
        <v/>
      </c>
      <c r="AS72" s="33" t="str">
        <f aca="false">IF(COUNTIF(Flows!$M$2:$M$1500,$A72&amp;"|"&amp;AS$1&amp;"|Input"),IF(COUNTIF(Flows!$M$2:$M$1500,$A72&amp;"|"&amp;AS$1&amp;"|Output"),"I/O","IN"),IF(COUNTIF(Flows!$M$2:$M$1500,$A72&amp;"|"&amp;AS$1&amp;"|Output"),"OUT",""))</f>
        <v/>
      </c>
      <c r="AT72" s="33" t="str">
        <f aca="false">IF(COUNTIF(Flows!$M$2:$M$1500,$A72&amp;"|"&amp;AT$1&amp;"|Input"),IF(COUNTIF(Flows!$M$2:$M$1500,$A72&amp;"|"&amp;AT$1&amp;"|Output"),"I/O","IN"),IF(COUNTIF(Flows!$M$2:$M$1500,$A72&amp;"|"&amp;AT$1&amp;"|Output"),"OUT",""))</f>
        <v/>
      </c>
      <c r="AU72" s="33" t="str">
        <f aca="false">IF(COUNTIF(Flows!$M$2:$M$1500,$A72&amp;"|"&amp;AU$1&amp;"|Input"),IF(COUNTIF(Flows!$M$2:$M$1500,$A72&amp;"|"&amp;AU$1&amp;"|Output"),"I/O","IN"),IF(COUNTIF(Flows!$M$2:$M$1500,$A72&amp;"|"&amp;AU$1&amp;"|Output"),"OUT",""))</f>
        <v/>
      </c>
      <c r="AV72" s="33" t="str">
        <f aca="false">IF(COUNTIF(Flows!$M$2:$M$1500,$A72&amp;"|"&amp;AV$1&amp;"|Input"),IF(COUNTIF(Flows!$M$2:$M$1500,$A72&amp;"|"&amp;AV$1&amp;"|Output"),"I/O","IN"),IF(COUNTIF(Flows!$M$2:$M$1500,$A72&amp;"|"&amp;AV$1&amp;"|Output"),"OUT",""))</f>
        <v/>
      </c>
      <c r="AW72" s="33" t="str">
        <f aca="false">IF(COUNTIF(Flows!$M$2:$M$1500,$A72&amp;"|"&amp;AW$1&amp;"|Input"),IF(COUNTIF(Flows!$M$2:$M$1500,$A72&amp;"|"&amp;AW$1&amp;"|Output"),"I/O","IN"),IF(COUNTIF(Flows!$M$2:$M$1500,$A72&amp;"|"&amp;AW$1&amp;"|Output"),"OUT",""))</f>
        <v/>
      </c>
      <c r="AX72" s="33" t="str">
        <f aca="false">IF(COUNTIF(Flows!$M$2:$M$1500,$A72&amp;"|"&amp;AX$1&amp;"|Input"),IF(COUNTIF(Flows!$M$2:$M$1500,$A72&amp;"|"&amp;AX$1&amp;"|Output"),"I/O","IN"),IF(COUNTIF(Flows!$M$2:$M$1500,$A72&amp;"|"&amp;AX$1&amp;"|Output"),"OUT",""))</f>
        <v/>
      </c>
      <c r="AY72" s="33" t="str">
        <f aca="false">IF(COUNTIF(Flows!$M$2:$M$1500,$A72&amp;"|"&amp;AY$1&amp;"|Input"),IF(COUNTIF(Flows!$M$2:$M$1500,$A72&amp;"|"&amp;AY$1&amp;"|Output"),"I/O","IN"),IF(COUNTIF(Flows!$M$2:$M$1500,$A72&amp;"|"&amp;AY$1&amp;"|Output"),"OUT",""))</f>
        <v/>
      </c>
      <c r="AZ72" s="33" t="str">
        <f aca="false">IF(COUNTIF(Flows!$M$2:$M$1500,$A72&amp;"|"&amp;AZ$1&amp;"|Input"),IF(COUNTIF(Flows!$M$2:$M$1500,$A72&amp;"|"&amp;AZ$1&amp;"|Output"),"I/O","IN"),IF(COUNTIF(Flows!$M$2:$M$1500,$A72&amp;"|"&amp;AZ$1&amp;"|Output"),"OUT",""))</f>
        <v/>
      </c>
      <c r="BA72" s="33" t="str">
        <f aca="false">IF(COUNTIF(Flows!$M$2:$M$1500,$A72&amp;"|"&amp;BA$1&amp;"|Input"),IF(COUNTIF(Flows!$M$2:$M$1500,$A72&amp;"|"&amp;BA$1&amp;"|Output"),"I/O","IN"),IF(COUNTIF(Flows!$M$2:$M$1500,$A72&amp;"|"&amp;BA$1&amp;"|Output"),"OUT",""))</f>
        <v/>
      </c>
      <c r="BB72" s="33" t="str">
        <f aca="false">IF(COUNTIF(Flows!$M$2:$M$1500,$A72&amp;"|"&amp;BB$1&amp;"|Input"),IF(COUNTIF(Flows!$M$2:$M$1500,$A72&amp;"|"&amp;BB$1&amp;"|Output"),"I/O","IN"),IF(COUNTIF(Flows!$M$2:$M$1500,$A72&amp;"|"&amp;BB$1&amp;"|Output"),"OUT",""))</f>
        <v/>
      </c>
      <c r="BC72" s="33" t="str">
        <f aca="false">IF(COUNTIF(Flows!$M$2:$M$1500,$A72&amp;"|"&amp;BC$1&amp;"|Input"),IF(COUNTIF(Flows!$M$2:$M$1500,$A72&amp;"|"&amp;BC$1&amp;"|Output"),"I/O","IN"),IF(COUNTIF(Flows!$M$2:$M$1500,$A72&amp;"|"&amp;BC$1&amp;"|Output"),"OUT",""))</f>
        <v/>
      </c>
      <c r="BD72" s="33" t="str">
        <f aca="false">IF(COUNTIF(Flows!$M$2:$M$1500,$A72&amp;"|"&amp;BD$1&amp;"|Input"),IF(COUNTIF(Flows!$M$2:$M$1500,$A72&amp;"|"&amp;BD$1&amp;"|Output"),"I/O","IN"),IF(COUNTIF(Flows!$M$2:$M$1500,$A72&amp;"|"&amp;BD$1&amp;"|Output"),"OUT",""))</f>
        <v/>
      </c>
      <c r="BE72" s="33" t="str">
        <f aca="false">IF(COUNTIF(Flows!$M$2:$M$1500,$A72&amp;"|"&amp;BE$1&amp;"|Input"),IF(COUNTIF(Flows!$M$2:$M$1500,$A72&amp;"|"&amp;BE$1&amp;"|Output"),"I/O","IN"),IF(COUNTIF(Flows!$M$2:$M$1500,$A72&amp;"|"&amp;BE$1&amp;"|Output"),"OUT",""))</f>
        <v/>
      </c>
      <c r="BF72" s="33" t="str">
        <f aca="false">IF(COUNTIF(Flows!$M$2:$M$1500,$A72&amp;"|"&amp;BF$1&amp;"|Input"),IF(COUNTIF(Flows!$M$2:$M$1500,$A72&amp;"|"&amp;BF$1&amp;"|Output"),"I/O","IN"),IF(COUNTIF(Flows!$M$2:$M$1500,$A72&amp;"|"&amp;BF$1&amp;"|Output"),"OUT",""))</f>
        <v/>
      </c>
      <c r="BG72" s="33" t="str">
        <f aca="false">IF(COUNTIF(Flows!$M$2:$M$1500,$A72&amp;"|"&amp;BG$1&amp;"|Input"),IF(COUNTIF(Flows!$M$2:$M$1500,$A72&amp;"|"&amp;BG$1&amp;"|Output"),"I/O","IN"),IF(COUNTIF(Flows!$M$2:$M$1500,$A72&amp;"|"&amp;BG$1&amp;"|Output"),"OUT",""))</f>
        <v/>
      </c>
      <c r="BH72" s="33" t="str">
        <f aca="false">IF(COUNTIF(Flows!$M$2:$M$1500,$A72&amp;"|"&amp;BH$1&amp;"|Input"),IF(COUNTIF(Flows!$M$2:$M$1500,$A72&amp;"|"&amp;BH$1&amp;"|Output"),"I/O","IN"),IF(COUNTIF(Flows!$M$2:$M$1500,$A72&amp;"|"&amp;BH$1&amp;"|Output"),"OUT",""))</f>
        <v/>
      </c>
      <c r="BI72" s="33" t="str">
        <f aca="false">IF(COUNTIF(Flows!$M$2:$M$1500,$A72&amp;"|"&amp;BI$1&amp;"|Input"),IF(COUNTIF(Flows!$M$2:$M$1500,$A72&amp;"|"&amp;BI$1&amp;"|Output"),"I/O","IN"),IF(COUNTIF(Flows!$M$2:$M$1500,$A72&amp;"|"&amp;BI$1&amp;"|Output"),"OUT",""))</f>
        <v/>
      </c>
      <c r="BJ72" s="33" t="str">
        <f aca="false">IF(COUNTIF(Flows!$M$2:$M$1500,$A72&amp;"|"&amp;BJ$1&amp;"|Input"),IF(COUNTIF(Flows!$M$2:$M$1500,$A72&amp;"|"&amp;BJ$1&amp;"|Output"),"I/O","IN"),IF(COUNTIF(Flows!$M$2:$M$1500,$A72&amp;"|"&amp;BJ$1&amp;"|Output"),"OUT",""))</f>
        <v/>
      </c>
      <c r="BK72" s="33" t="str">
        <f aca="false">IF(COUNTIF(Flows!$M$2:$M$1500,$A72&amp;"|"&amp;BK$1&amp;"|Input"),IF(COUNTIF(Flows!$M$2:$M$1500,$A72&amp;"|"&amp;BK$1&amp;"|Output"),"I/O","IN"),IF(COUNTIF(Flows!$M$2:$M$1500,$A72&amp;"|"&amp;BK$1&amp;"|Output"),"OUT",""))</f>
        <v/>
      </c>
    </row>
    <row r="73" customFormat="false" ht="15" hidden="false" customHeight="true" outlineLevel="0" collapsed="false">
      <c r="A73" s="6" t="str">
        <f aca="false">Systems!B73</f>
        <v>Bird House</v>
      </c>
      <c r="B73" s="33" t="str">
        <f aca="false">IF(COUNTIF(Flows!$M$2:$M$1500,$A73&amp;"|"&amp;B$1&amp;"|Input"),IF(COUNTIF(Flows!$M$2:$M$1500,$A73&amp;"|"&amp;B$1&amp;"|Output"),"I/O","IN"),IF(COUNTIF(Flows!$M$2:$M$1500,$A73&amp;"|"&amp;B$1&amp;"|Output"),"OUT",""))</f>
        <v/>
      </c>
      <c r="C73" s="33" t="str">
        <f aca="false">IF(COUNTIF(Flows!$M$2:$M$1500,$A73&amp;"|"&amp;C$1&amp;"|Input"),IF(COUNTIF(Flows!$M$2:$M$1500,$A73&amp;"|"&amp;C$1&amp;"|Output"),"I/O","IN"),IF(COUNTIF(Flows!$M$2:$M$1500,$A73&amp;"|"&amp;C$1&amp;"|Output"),"OUT",""))</f>
        <v/>
      </c>
      <c r="D73" s="33" t="str">
        <f aca="false">IF(COUNTIF(Flows!$M$2:$M$1500,$A73&amp;"|"&amp;D$1&amp;"|Input"),IF(COUNTIF(Flows!$M$2:$M$1500,$A73&amp;"|"&amp;D$1&amp;"|Output"),"I/O","IN"),IF(COUNTIF(Flows!$M$2:$M$1500,$A73&amp;"|"&amp;D$1&amp;"|Output"),"OUT",""))</f>
        <v/>
      </c>
      <c r="E73" s="33" t="str">
        <f aca="false">IF(COUNTIF(Flows!$M$2:$M$1500,$A73&amp;"|"&amp;E$1&amp;"|Input"),IF(COUNTIF(Flows!$M$2:$M$1500,$A73&amp;"|"&amp;E$1&amp;"|Output"),"I/O","IN"),IF(COUNTIF(Flows!$M$2:$M$1500,$A73&amp;"|"&amp;E$1&amp;"|Output"),"OUT",""))</f>
        <v/>
      </c>
      <c r="F73" s="33" t="str">
        <f aca="false">IF(COUNTIF(Flows!$M$2:$M$1500,$A73&amp;"|"&amp;F$1&amp;"|Input"),IF(COUNTIF(Flows!$M$2:$M$1500,$A73&amp;"|"&amp;F$1&amp;"|Output"),"I/O","IN"),IF(COUNTIF(Flows!$M$2:$M$1500,$A73&amp;"|"&amp;F$1&amp;"|Output"),"OUT",""))</f>
        <v/>
      </c>
      <c r="G73" s="33" t="str">
        <f aca="false">IF(COUNTIF(Flows!$M$2:$M$1500,$A73&amp;"|"&amp;G$1&amp;"|Input"),IF(COUNTIF(Flows!$M$2:$M$1500,$A73&amp;"|"&amp;G$1&amp;"|Output"),"I/O","IN"),IF(COUNTIF(Flows!$M$2:$M$1500,$A73&amp;"|"&amp;G$1&amp;"|Output"),"OUT",""))</f>
        <v/>
      </c>
      <c r="H73" s="33" t="str">
        <f aca="false">IF(COUNTIF(Flows!$M$2:$M$1500,$A73&amp;"|"&amp;H$1&amp;"|Input"),IF(COUNTIF(Flows!$M$2:$M$1500,$A73&amp;"|"&amp;H$1&amp;"|Output"),"I/O","IN"),IF(COUNTIF(Flows!$M$2:$M$1500,$A73&amp;"|"&amp;H$1&amp;"|Output"),"OUT",""))</f>
        <v/>
      </c>
      <c r="I73" s="33" t="str">
        <f aca="false">IF(COUNTIF(Flows!$M$2:$M$1500,$A73&amp;"|"&amp;I$1&amp;"|Input"),IF(COUNTIF(Flows!$M$2:$M$1500,$A73&amp;"|"&amp;I$1&amp;"|Output"),"I/O","IN"),IF(COUNTIF(Flows!$M$2:$M$1500,$A73&amp;"|"&amp;I$1&amp;"|Output"),"OUT",""))</f>
        <v/>
      </c>
      <c r="J73" s="33" t="str">
        <f aca="false">IF(COUNTIF(Flows!$M$2:$M$1500,$A73&amp;"|"&amp;J$1&amp;"|Input"),IF(COUNTIF(Flows!$M$2:$M$1500,$A73&amp;"|"&amp;J$1&amp;"|Output"),"I/O","IN"),IF(COUNTIF(Flows!$M$2:$M$1500,$A73&amp;"|"&amp;J$1&amp;"|Output"),"OUT",""))</f>
        <v/>
      </c>
      <c r="K73" s="33" t="str">
        <f aca="false">IF(COUNTIF(Flows!$M$2:$M$1500,$A73&amp;"|"&amp;K$1&amp;"|Input"),IF(COUNTIF(Flows!$M$2:$M$1500,$A73&amp;"|"&amp;K$1&amp;"|Output"),"I/O","IN"),IF(COUNTIF(Flows!$M$2:$M$1500,$A73&amp;"|"&amp;K$1&amp;"|Output"),"OUT",""))</f>
        <v/>
      </c>
      <c r="L73" s="33" t="str">
        <f aca="false">IF(COUNTIF(Flows!$M$2:$M$1500,$A73&amp;"|"&amp;L$1&amp;"|Input"),IF(COUNTIF(Flows!$M$2:$M$1500,$A73&amp;"|"&amp;L$1&amp;"|Output"),"I/O","IN"),IF(COUNTIF(Flows!$M$2:$M$1500,$A73&amp;"|"&amp;L$1&amp;"|Output"),"OUT",""))</f>
        <v/>
      </c>
      <c r="M73" s="33" t="str">
        <f aca="false">IF(COUNTIF(Flows!$M$2:$M$1500,$A73&amp;"|"&amp;M$1&amp;"|Input"),IF(COUNTIF(Flows!$M$2:$M$1500,$A73&amp;"|"&amp;M$1&amp;"|Output"),"I/O","IN"),IF(COUNTIF(Flows!$M$2:$M$1500,$A73&amp;"|"&amp;M$1&amp;"|Output"),"OUT",""))</f>
        <v/>
      </c>
      <c r="N73" s="33" t="str">
        <f aca="false">IF(COUNTIF(Flows!$M$2:$M$1500,$A73&amp;"|"&amp;N$1&amp;"|Input"),IF(COUNTIF(Flows!$M$2:$M$1500,$A73&amp;"|"&amp;N$1&amp;"|Output"),"I/O","IN"),IF(COUNTIF(Flows!$M$2:$M$1500,$A73&amp;"|"&amp;N$1&amp;"|Output"),"OUT",""))</f>
        <v/>
      </c>
      <c r="O73" s="33" t="str">
        <f aca="false">IF(COUNTIF(Flows!$M$2:$M$1500,$A73&amp;"|"&amp;O$1&amp;"|Input"),IF(COUNTIF(Flows!$M$2:$M$1500,$A73&amp;"|"&amp;O$1&amp;"|Output"),"I/O","IN"),IF(COUNTIF(Flows!$M$2:$M$1500,$A73&amp;"|"&amp;O$1&amp;"|Output"),"OUT",""))</f>
        <v/>
      </c>
      <c r="P73" s="33" t="str">
        <f aca="false">IF(COUNTIF(Flows!$M$2:$M$1500,$A73&amp;"|"&amp;P$1&amp;"|Input"),IF(COUNTIF(Flows!$M$2:$M$1500,$A73&amp;"|"&amp;P$1&amp;"|Output"),"I/O","IN"),IF(COUNTIF(Flows!$M$2:$M$1500,$A73&amp;"|"&amp;P$1&amp;"|Output"),"OUT",""))</f>
        <v/>
      </c>
      <c r="Q73" s="33" t="str">
        <f aca="false">IF(COUNTIF(Flows!$M$2:$M$1500,$A73&amp;"|"&amp;Q$1&amp;"|Input"),IF(COUNTIF(Flows!$M$2:$M$1500,$A73&amp;"|"&amp;Q$1&amp;"|Output"),"I/O","IN"),IF(COUNTIF(Flows!$M$2:$M$1500,$A73&amp;"|"&amp;Q$1&amp;"|Output"),"OUT",""))</f>
        <v/>
      </c>
      <c r="R73" s="33" t="str">
        <f aca="false">IF(COUNTIF(Flows!$M$2:$M$1500,$A73&amp;"|"&amp;R$1&amp;"|Input"),IF(COUNTIF(Flows!$M$2:$M$1500,$A73&amp;"|"&amp;R$1&amp;"|Output"),"I/O","IN"),IF(COUNTIF(Flows!$M$2:$M$1500,$A73&amp;"|"&amp;R$1&amp;"|Output"),"OUT",""))</f>
        <v/>
      </c>
      <c r="S73" s="33" t="str">
        <f aca="false">IF(COUNTIF(Flows!$M$2:$M$1500,$A73&amp;"|"&amp;S$1&amp;"|Input"),IF(COUNTIF(Flows!$M$2:$M$1500,$A73&amp;"|"&amp;S$1&amp;"|Output"),"I/O","IN"),IF(COUNTIF(Flows!$M$2:$M$1500,$A73&amp;"|"&amp;S$1&amp;"|Output"),"OUT",""))</f>
        <v/>
      </c>
      <c r="T73" s="33" t="str">
        <f aca="false">IF(COUNTIF(Flows!$M$2:$M$1500,$A73&amp;"|"&amp;T$1&amp;"|Input"),IF(COUNTIF(Flows!$M$2:$M$1500,$A73&amp;"|"&amp;T$1&amp;"|Output"),"I/O","IN"),IF(COUNTIF(Flows!$M$2:$M$1500,$A73&amp;"|"&amp;T$1&amp;"|Output"),"OUT",""))</f>
        <v/>
      </c>
      <c r="U73" s="33" t="str">
        <f aca="false">IF(COUNTIF(Flows!$M$2:$M$1500,$A73&amp;"|"&amp;U$1&amp;"|Input"),IF(COUNTIF(Flows!$M$2:$M$1500,$A73&amp;"|"&amp;U$1&amp;"|Output"),"I/O","IN"),IF(COUNTIF(Flows!$M$2:$M$1500,$A73&amp;"|"&amp;U$1&amp;"|Output"),"OUT",""))</f>
        <v/>
      </c>
      <c r="V73" s="33" t="str">
        <f aca="false">IF(COUNTIF(Flows!$M$2:$M$1500,$A73&amp;"|"&amp;V$1&amp;"|Input"),IF(COUNTIF(Flows!$M$2:$M$1500,$A73&amp;"|"&amp;V$1&amp;"|Output"),"I/O","IN"),IF(COUNTIF(Flows!$M$2:$M$1500,$A73&amp;"|"&amp;V$1&amp;"|Output"),"OUT",""))</f>
        <v/>
      </c>
      <c r="W73" s="33" t="str">
        <f aca="false">IF(COUNTIF(Flows!$M$2:$M$1500,$A73&amp;"|"&amp;W$1&amp;"|Input"),IF(COUNTIF(Flows!$M$2:$M$1500,$A73&amp;"|"&amp;W$1&amp;"|Output"),"I/O","IN"),IF(COUNTIF(Flows!$M$2:$M$1500,$A73&amp;"|"&amp;W$1&amp;"|Output"),"OUT",""))</f>
        <v/>
      </c>
      <c r="X73" s="33" t="str">
        <f aca="false">IF(COUNTIF(Flows!$M$2:$M$1500,$A73&amp;"|"&amp;X$1&amp;"|Input"),IF(COUNTIF(Flows!$M$2:$M$1500,$A73&amp;"|"&amp;X$1&amp;"|Output"),"I/O","IN"),IF(COUNTIF(Flows!$M$2:$M$1500,$A73&amp;"|"&amp;X$1&amp;"|Output"),"OUT",""))</f>
        <v>IN</v>
      </c>
      <c r="Y73" s="33" t="str">
        <f aca="false">IF(COUNTIF(Flows!$M$2:$M$1500,$A73&amp;"|"&amp;Y$1&amp;"|Input"),IF(COUNTIF(Flows!$M$2:$M$1500,$A73&amp;"|"&amp;Y$1&amp;"|Output"),"I/O","IN"),IF(COUNTIF(Flows!$M$2:$M$1500,$A73&amp;"|"&amp;Y$1&amp;"|Output"),"OUT",""))</f>
        <v/>
      </c>
      <c r="Z73" s="33" t="str">
        <f aca="false">IF(COUNTIF(Flows!$M$2:$M$1500,$A73&amp;"|"&amp;Z$1&amp;"|Input"),IF(COUNTIF(Flows!$M$2:$M$1500,$A73&amp;"|"&amp;Z$1&amp;"|Output"),"I/O","IN"),IF(COUNTIF(Flows!$M$2:$M$1500,$A73&amp;"|"&amp;Z$1&amp;"|Output"),"OUT",""))</f>
        <v/>
      </c>
      <c r="AA73" s="33" t="str">
        <f aca="false">IF(COUNTIF(Flows!$M$2:$M$1500,$A73&amp;"|"&amp;AA$1&amp;"|Input"),IF(COUNTIF(Flows!$M$2:$M$1500,$A73&amp;"|"&amp;AA$1&amp;"|Output"),"I/O","IN"),IF(COUNTIF(Flows!$M$2:$M$1500,$A73&amp;"|"&amp;AA$1&amp;"|Output"),"OUT",""))</f>
        <v/>
      </c>
      <c r="AB73" s="33" t="str">
        <f aca="false">IF(COUNTIF(Flows!$M$2:$M$1500,$A73&amp;"|"&amp;AB$1&amp;"|Input"),IF(COUNTIF(Flows!$M$2:$M$1500,$A73&amp;"|"&amp;AB$1&amp;"|Output"),"I/O","IN"),IF(COUNTIF(Flows!$M$2:$M$1500,$A73&amp;"|"&amp;AB$1&amp;"|Output"),"OUT",""))</f>
        <v/>
      </c>
      <c r="AC73" s="33" t="str">
        <f aca="false">IF(COUNTIF(Flows!$M$2:$M$1500,$A73&amp;"|"&amp;AC$1&amp;"|Input"),IF(COUNTIF(Flows!$M$2:$M$1500,$A73&amp;"|"&amp;AC$1&amp;"|Output"),"I/O","IN"),IF(COUNTIF(Flows!$M$2:$M$1500,$A73&amp;"|"&amp;AC$1&amp;"|Output"),"OUT",""))</f>
        <v/>
      </c>
      <c r="AD73" s="33" t="str">
        <f aca="false">IF(COUNTIF(Flows!$M$2:$M$1500,$A73&amp;"|"&amp;AD$1&amp;"|Input"),IF(COUNTIF(Flows!$M$2:$M$1500,$A73&amp;"|"&amp;AD$1&amp;"|Output"),"I/O","IN"),IF(COUNTIF(Flows!$M$2:$M$1500,$A73&amp;"|"&amp;AD$1&amp;"|Output"),"OUT",""))</f>
        <v/>
      </c>
      <c r="AE73" s="33" t="str">
        <f aca="false">IF(COUNTIF(Flows!$M$2:$M$1500,$A73&amp;"|"&amp;AE$1&amp;"|Input"),IF(COUNTIF(Flows!$M$2:$M$1500,$A73&amp;"|"&amp;AE$1&amp;"|Output"),"I/O","IN"),IF(COUNTIF(Flows!$M$2:$M$1500,$A73&amp;"|"&amp;AE$1&amp;"|Output"),"OUT",""))</f>
        <v/>
      </c>
      <c r="AF73" s="33" t="str">
        <f aca="false">IF(COUNTIF(Flows!$M$2:$M$1500,$A73&amp;"|"&amp;AF$1&amp;"|Input"),IF(COUNTIF(Flows!$M$2:$M$1500,$A73&amp;"|"&amp;AF$1&amp;"|Output"),"I/O","IN"),IF(COUNTIF(Flows!$M$2:$M$1500,$A73&amp;"|"&amp;AF$1&amp;"|Output"),"OUT",""))</f>
        <v/>
      </c>
      <c r="AG73" s="33" t="str">
        <f aca="false">IF(COUNTIF(Flows!$M$2:$M$1500,$A73&amp;"|"&amp;AG$1&amp;"|Input"),IF(COUNTIF(Flows!$M$2:$M$1500,$A73&amp;"|"&amp;AG$1&amp;"|Output"),"I/O","IN"),IF(COUNTIF(Flows!$M$2:$M$1500,$A73&amp;"|"&amp;AG$1&amp;"|Output"),"OUT",""))</f>
        <v/>
      </c>
      <c r="AH73" s="33" t="str">
        <f aca="false">IF(COUNTIF(Flows!$M$2:$M$1500,$A73&amp;"|"&amp;AH$1&amp;"|Input"),IF(COUNTIF(Flows!$M$2:$M$1500,$A73&amp;"|"&amp;AH$1&amp;"|Output"),"I/O","IN"),IF(COUNTIF(Flows!$M$2:$M$1500,$A73&amp;"|"&amp;AH$1&amp;"|Output"),"OUT",""))</f>
        <v/>
      </c>
      <c r="AI73" s="33" t="str">
        <f aca="false">IF(COUNTIF(Flows!$M$2:$M$1500,$A73&amp;"|"&amp;AI$1&amp;"|Input"),IF(COUNTIF(Flows!$M$2:$M$1500,$A73&amp;"|"&amp;AI$1&amp;"|Output"),"I/O","IN"),IF(COUNTIF(Flows!$M$2:$M$1500,$A73&amp;"|"&amp;AI$1&amp;"|Output"),"OUT",""))</f>
        <v/>
      </c>
      <c r="AJ73" s="33" t="str">
        <f aca="false">IF(COUNTIF(Flows!$M$2:$M$1500,$A73&amp;"|"&amp;AJ$1&amp;"|Input"),IF(COUNTIF(Flows!$M$2:$M$1500,$A73&amp;"|"&amp;AJ$1&amp;"|Output"),"I/O","IN"),IF(COUNTIF(Flows!$M$2:$M$1500,$A73&amp;"|"&amp;AJ$1&amp;"|Output"),"OUT",""))</f>
        <v/>
      </c>
      <c r="AK73" s="33" t="str">
        <f aca="false">IF(COUNTIF(Flows!$M$2:$M$1500,$A73&amp;"|"&amp;AK$1&amp;"|Input"),IF(COUNTIF(Flows!$M$2:$M$1500,$A73&amp;"|"&amp;AK$1&amp;"|Output"),"I/O","IN"),IF(COUNTIF(Flows!$M$2:$M$1500,$A73&amp;"|"&amp;AK$1&amp;"|Output"),"OUT",""))</f>
        <v>OUT</v>
      </c>
      <c r="AL73" s="33" t="str">
        <f aca="false">IF(COUNTIF(Flows!$M$2:$M$1500,$A73&amp;"|"&amp;AL$1&amp;"|Input"),IF(COUNTIF(Flows!$M$2:$M$1500,$A73&amp;"|"&amp;AL$1&amp;"|Output"),"I/O","IN"),IF(COUNTIF(Flows!$M$2:$M$1500,$A73&amp;"|"&amp;AL$1&amp;"|Output"),"OUT",""))</f>
        <v/>
      </c>
      <c r="AM73" s="33" t="str">
        <f aca="false">IF(COUNTIF(Flows!$M$2:$M$1500,$A73&amp;"|"&amp;AM$1&amp;"|Input"),IF(COUNTIF(Flows!$M$2:$M$1500,$A73&amp;"|"&amp;AM$1&amp;"|Output"),"I/O","IN"),IF(COUNTIF(Flows!$M$2:$M$1500,$A73&amp;"|"&amp;AM$1&amp;"|Output"),"OUT",""))</f>
        <v/>
      </c>
      <c r="AN73" s="33" t="str">
        <f aca="false">IF(COUNTIF(Flows!$M$2:$M$1500,$A73&amp;"|"&amp;AN$1&amp;"|Input"),IF(COUNTIF(Flows!$M$2:$M$1500,$A73&amp;"|"&amp;AN$1&amp;"|Output"),"I/O","IN"),IF(COUNTIF(Flows!$M$2:$M$1500,$A73&amp;"|"&amp;AN$1&amp;"|Output"),"OUT",""))</f>
        <v/>
      </c>
      <c r="AO73" s="33" t="str">
        <f aca="false">IF(COUNTIF(Flows!$M$2:$M$1500,$A73&amp;"|"&amp;AO$1&amp;"|Input"),IF(COUNTIF(Flows!$M$2:$M$1500,$A73&amp;"|"&amp;AO$1&amp;"|Output"),"I/O","IN"),IF(COUNTIF(Flows!$M$2:$M$1500,$A73&amp;"|"&amp;AO$1&amp;"|Output"),"OUT",""))</f>
        <v>IN</v>
      </c>
      <c r="AP73" s="33" t="str">
        <f aca="false">IF(COUNTIF(Flows!$M$2:$M$1500,$A73&amp;"|"&amp;AP$1&amp;"|Input"),IF(COUNTIF(Flows!$M$2:$M$1500,$A73&amp;"|"&amp;AP$1&amp;"|Output"),"I/O","IN"),IF(COUNTIF(Flows!$M$2:$M$1500,$A73&amp;"|"&amp;AP$1&amp;"|Output"),"OUT",""))</f>
        <v/>
      </c>
      <c r="AQ73" s="33" t="str">
        <f aca="false">IF(COUNTIF(Flows!$M$2:$M$1500,$A73&amp;"|"&amp;AQ$1&amp;"|Input"),IF(COUNTIF(Flows!$M$2:$M$1500,$A73&amp;"|"&amp;AQ$1&amp;"|Output"),"I/O","IN"),IF(COUNTIF(Flows!$M$2:$M$1500,$A73&amp;"|"&amp;AQ$1&amp;"|Output"),"OUT",""))</f>
        <v/>
      </c>
      <c r="AR73" s="33" t="str">
        <f aca="false">IF(COUNTIF(Flows!$M$2:$M$1500,$A73&amp;"|"&amp;AR$1&amp;"|Input"),IF(COUNTIF(Flows!$M$2:$M$1500,$A73&amp;"|"&amp;AR$1&amp;"|Output"),"I/O","IN"),IF(COUNTIF(Flows!$M$2:$M$1500,$A73&amp;"|"&amp;AR$1&amp;"|Output"),"OUT",""))</f>
        <v/>
      </c>
      <c r="AS73" s="33" t="str">
        <f aca="false">IF(COUNTIF(Flows!$M$2:$M$1500,$A73&amp;"|"&amp;AS$1&amp;"|Input"),IF(COUNTIF(Flows!$M$2:$M$1500,$A73&amp;"|"&amp;AS$1&amp;"|Output"),"I/O","IN"),IF(COUNTIF(Flows!$M$2:$M$1500,$A73&amp;"|"&amp;AS$1&amp;"|Output"),"OUT",""))</f>
        <v/>
      </c>
      <c r="AT73" s="33" t="str">
        <f aca="false">IF(COUNTIF(Flows!$M$2:$M$1500,$A73&amp;"|"&amp;AT$1&amp;"|Input"),IF(COUNTIF(Flows!$M$2:$M$1500,$A73&amp;"|"&amp;AT$1&amp;"|Output"),"I/O","IN"),IF(COUNTIF(Flows!$M$2:$M$1500,$A73&amp;"|"&amp;AT$1&amp;"|Output"),"OUT",""))</f>
        <v/>
      </c>
      <c r="AU73" s="33" t="str">
        <f aca="false">IF(COUNTIF(Flows!$M$2:$M$1500,$A73&amp;"|"&amp;AU$1&amp;"|Input"),IF(COUNTIF(Flows!$M$2:$M$1500,$A73&amp;"|"&amp;AU$1&amp;"|Output"),"I/O","IN"),IF(COUNTIF(Flows!$M$2:$M$1500,$A73&amp;"|"&amp;AU$1&amp;"|Output"),"OUT",""))</f>
        <v/>
      </c>
      <c r="AV73" s="33" t="str">
        <f aca="false">IF(COUNTIF(Flows!$M$2:$M$1500,$A73&amp;"|"&amp;AV$1&amp;"|Input"),IF(COUNTIF(Flows!$M$2:$M$1500,$A73&amp;"|"&amp;AV$1&amp;"|Output"),"I/O","IN"),IF(COUNTIF(Flows!$M$2:$M$1500,$A73&amp;"|"&amp;AV$1&amp;"|Output"),"OUT",""))</f>
        <v/>
      </c>
      <c r="AW73" s="33" t="str">
        <f aca="false">IF(COUNTIF(Flows!$M$2:$M$1500,$A73&amp;"|"&amp;AW$1&amp;"|Input"),IF(COUNTIF(Flows!$M$2:$M$1500,$A73&amp;"|"&amp;AW$1&amp;"|Output"),"I/O","IN"),IF(COUNTIF(Flows!$M$2:$M$1500,$A73&amp;"|"&amp;AW$1&amp;"|Output"),"OUT",""))</f>
        <v/>
      </c>
      <c r="AX73" s="33" t="str">
        <f aca="false">IF(COUNTIF(Flows!$M$2:$M$1500,$A73&amp;"|"&amp;AX$1&amp;"|Input"),IF(COUNTIF(Flows!$M$2:$M$1500,$A73&amp;"|"&amp;AX$1&amp;"|Output"),"I/O","IN"),IF(COUNTIF(Flows!$M$2:$M$1500,$A73&amp;"|"&amp;AX$1&amp;"|Output"),"OUT",""))</f>
        <v/>
      </c>
      <c r="AY73" s="33" t="str">
        <f aca="false">IF(COUNTIF(Flows!$M$2:$M$1500,$A73&amp;"|"&amp;AY$1&amp;"|Input"),IF(COUNTIF(Flows!$M$2:$M$1500,$A73&amp;"|"&amp;AY$1&amp;"|Output"),"I/O","IN"),IF(COUNTIF(Flows!$M$2:$M$1500,$A73&amp;"|"&amp;AY$1&amp;"|Output"),"OUT",""))</f>
        <v/>
      </c>
      <c r="AZ73" s="33" t="str">
        <f aca="false">IF(COUNTIF(Flows!$M$2:$M$1500,$A73&amp;"|"&amp;AZ$1&amp;"|Input"),IF(COUNTIF(Flows!$M$2:$M$1500,$A73&amp;"|"&amp;AZ$1&amp;"|Output"),"I/O","IN"),IF(COUNTIF(Flows!$M$2:$M$1500,$A73&amp;"|"&amp;AZ$1&amp;"|Output"),"OUT",""))</f>
        <v/>
      </c>
      <c r="BA73" s="33" t="str">
        <f aca="false">IF(COUNTIF(Flows!$M$2:$M$1500,$A73&amp;"|"&amp;BA$1&amp;"|Input"),IF(COUNTIF(Flows!$M$2:$M$1500,$A73&amp;"|"&amp;BA$1&amp;"|Output"),"I/O","IN"),IF(COUNTIF(Flows!$M$2:$M$1500,$A73&amp;"|"&amp;BA$1&amp;"|Output"),"OUT",""))</f>
        <v/>
      </c>
      <c r="BB73" s="33" t="str">
        <f aca="false">IF(COUNTIF(Flows!$M$2:$M$1500,$A73&amp;"|"&amp;BB$1&amp;"|Input"),IF(COUNTIF(Flows!$M$2:$M$1500,$A73&amp;"|"&amp;BB$1&amp;"|Output"),"I/O","IN"),IF(COUNTIF(Flows!$M$2:$M$1500,$A73&amp;"|"&amp;BB$1&amp;"|Output"),"OUT",""))</f>
        <v/>
      </c>
      <c r="BC73" s="33" t="str">
        <f aca="false">IF(COUNTIF(Flows!$M$2:$M$1500,$A73&amp;"|"&amp;BC$1&amp;"|Input"),IF(COUNTIF(Flows!$M$2:$M$1500,$A73&amp;"|"&amp;BC$1&amp;"|Output"),"I/O","IN"),IF(COUNTIF(Flows!$M$2:$M$1500,$A73&amp;"|"&amp;BC$1&amp;"|Output"),"OUT",""))</f>
        <v/>
      </c>
      <c r="BD73" s="33" t="str">
        <f aca="false">IF(COUNTIF(Flows!$M$2:$M$1500,$A73&amp;"|"&amp;BD$1&amp;"|Input"),IF(COUNTIF(Flows!$M$2:$M$1500,$A73&amp;"|"&amp;BD$1&amp;"|Output"),"I/O","IN"),IF(COUNTIF(Flows!$M$2:$M$1500,$A73&amp;"|"&amp;BD$1&amp;"|Output"),"OUT",""))</f>
        <v/>
      </c>
      <c r="BE73" s="33" t="str">
        <f aca="false">IF(COUNTIF(Flows!$M$2:$M$1500,$A73&amp;"|"&amp;BE$1&amp;"|Input"),IF(COUNTIF(Flows!$M$2:$M$1500,$A73&amp;"|"&amp;BE$1&amp;"|Output"),"I/O","IN"),IF(COUNTIF(Flows!$M$2:$M$1500,$A73&amp;"|"&amp;BE$1&amp;"|Output"),"OUT",""))</f>
        <v/>
      </c>
      <c r="BF73" s="33" t="str">
        <f aca="false">IF(COUNTIF(Flows!$M$2:$M$1500,$A73&amp;"|"&amp;BF$1&amp;"|Input"),IF(COUNTIF(Flows!$M$2:$M$1500,$A73&amp;"|"&amp;BF$1&amp;"|Output"),"I/O","IN"),IF(COUNTIF(Flows!$M$2:$M$1500,$A73&amp;"|"&amp;BF$1&amp;"|Output"),"OUT",""))</f>
        <v/>
      </c>
      <c r="BG73" s="33" t="str">
        <f aca="false">IF(COUNTIF(Flows!$M$2:$M$1500,$A73&amp;"|"&amp;BG$1&amp;"|Input"),IF(COUNTIF(Flows!$M$2:$M$1500,$A73&amp;"|"&amp;BG$1&amp;"|Output"),"I/O","IN"),IF(COUNTIF(Flows!$M$2:$M$1500,$A73&amp;"|"&amp;BG$1&amp;"|Output"),"OUT",""))</f>
        <v/>
      </c>
      <c r="BH73" s="33" t="str">
        <f aca="false">IF(COUNTIF(Flows!$M$2:$M$1500,$A73&amp;"|"&amp;BH$1&amp;"|Input"),IF(COUNTIF(Flows!$M$2:$M$1500,$A73&amp;"|"&amp;BH$1&amp;"|Output"),"I/O","IN"),IF(COUNTIF(Flows!$M$2:$M$1500,$A73&amp;"|"&amp;BH$1&amp;"|Output"),"OUT",""))</f>
        <v/>
      </c>
      <c r="BI73" s="33" t="str">
        <f aca="false">IF(COUNTIF(Flows!$M$2:$M$1500,$A73&amp;"|"&amp;BI$1&amp;"|Input"),IF(COUNTIF(Flows!$M$2:$M$1500,$A73&amp;"|"&amp;BI$1&amp;"|Output"),"I/O","IN"),IF(COUNTIF(Flows!$M$2:$M$1500,$A73&amp;"|"&amp;BI$1&amp;"|Output"),"OUT",""))</f>
        <v/>
      </c>
      <c r="BJ73" s="33" t="str">
        <f aca="false">IF(COUNTIF(Flows!$M$2:$M$1500,$A73&amp;"|"&amp;BJ$1&amp;"|Input"),IF(COUNTIF(Flows!$M$2:$M$1500,$A73&amp;"|"&amp;BJ$1&amp;"|Output"),"I/O","IN"),IF(COUNTIF(Flows!$M$2:$M$1500,$A73&amp;"|"&amp;BJ$1&amp;"|Output"),"OUT",""))</f>
        <v/>
      </c>
      <c r="BK73" s="33" t="str">
        <f aca="false">IF(COUNTIF(Flows!$M$2:$M$1500,$A73&amp;"|"&amp;BK$1&amp;"|Input"),IF(COUNTIF(Flows!$M$2:$M$1500,$A73&amp;"|"&amp;BK$1&amp;"|Output"),"I/O","IN"),IF(COUNTIF(Flows!$M$2:$M$1500,$A73&amp;"|"&amp;BK$1&amp;"|Output"),"OUT",""))</f>
        <v>OUT</v>
      </c>
    </row>
    <row r="74" customFormat="false" ht="15" hidden="false" customHeight="true" outlineLevel="0" collapsed="false">
      <c r="A74" s="6" t="str">
        <f aca="false">Systems!B74</f>
        <v>Blue Birds</v>
      </c>
      <c r="B74" s="33" t="str">
        <f aca="false">IF(COUNTIF(Flows!$M$2:$M$1500,$A74&amp;"|"&amp;B$1&amp;"|Input"),IF(COUNTIF(Flows!$M$2:$M$1500,$A74&amp;"|"&amp;B$1&amp;"|Output"),"I/O","IN"),IF(COUNTIF(Flows!$M$2:$M$1500,$A74&amp;"|"&amp;B$1&amp;"|Output"),"OUT",""))</f>
        <v/>
      </c>
      <c r="C74" s="33" t="str">
        <f aca="false">IF(COUNTIF(Flows!$M$2:$M$1500,$A74&amp;"|"&amp;C$1&amp;"|Input"),IF(COUNTIF(Flows!$M$2:$M$1500,$A74&amp;"|"&amp;C$1&amp;"|Output"),"I/O","IN"),IF(COUNTIF(Flows!$M$2:$M$1500,$A74&amp;"|"&amp;C$1&amp;"|Output"),"OUT",""))</f>
        <v/>
      </c>
      <c r="D74" s="33" t="str">
        <f aca="false">IF(COUNTIF(Flows!$M$2:$M$1500,$A74&amp;"|"&amp;D$1&amp;"|Input"),IF(COUNTIF(Flows!$M$2:$M$1500,$A74&amp;"|"&amp;D$1&amp;"|Output"),"I/O","IN"),IF(COUNTIF(Flows!$M$2:$M$1500,$A74&amp;"|"&amp;D$1&amp;"|Output"),"OUT",""))</f>
        <v/>
      </c>
      <c r="E74" s="33" t="str">
        <f aca="false">IF(COUNTIF(Flows!$M$2:$M$1500,$A74&amp;"|"&amp;E$1&amp;"|Input"),IF(COUNTIF(Flows!$M$2:$M$1500,$A74&amp;"|"&amp;E$1&amp;"|Output"),"I/O","IN"),IF(COUNTIF(Flows!$M$2:$M$1500,$A74&amp;"|"&amp;E$1&amp;"|Output"),"OUT",""))</f>
        <v/>
      </c>
      <c r="F74" s="33" t="str">
        <f aca="false">IF(COUNTIF(Flows!$M$2:$M$1500,$A74&amp;"|"&amp;F$1&amp;"|Input"),IF(COUNTIF(Flows!$M$2:$M$1500,$A74&amp;"|"&amp;F$1&amp;"|Output"),"I/O","IN"),IF(COUNTIF(Flows!$M$2:$M$1500,$A74&amp;"|"&amp;F$1&amp;"|Output"),"OUT",""))</f>
        <v/>
      </c>
      <c r="G74" s="33" t="str">
        <f aca="false">IF(COUNTIF(Flows!$M$2:$M$1500,$A74&amp;"|"&amp;G$1&amp;"|Input"),IF(COUNTIF(Flows!$M$2:$M$1500,$A74&amp;"|"&amp;G$1&amp;"|Output"),"I/O","IN"),IF(COUNTIF(Flows!$M$2:$M$1500,$A74&amp;"|"&amp;G$1&amp;"|Output"),"OUT",""))</f>
        <v/>
      </c>
      <c r="H74" s="33" t="str">
        <f aca="false">IF(COUNTIF(Flows!$M$2:$M$1500,$A74&amp;"|"&amp;H$1&amp;"|Input"),IF(COUNTIF(Flows!$M$2:$M$1500,$A74&amp;"|"&amp;H$1&amp;"|Output"),"I/O","IN"),IF(COUNTIF(Flows!$M$2:$M$1500,$A74&amp;"|"&amp;H$1&amp;"|Output"),"OUT",""))</f>
        <v/>
      </c>
      <c r="I74" s="33" t="str">
        <f aca="false">IF(COUNTIF(Flows!$M$2:$M$1500,$A74&amp;"|"&amp;I$1&amp;"|Input"),IF(COUNTIF(Flows!$M$2:$M$1500,$A74&amp;"|"&amp;I$1&amp;"|Output"),"I/O","IN"),IF(COUNTIF(Flows!$M$2:$M$1500,$A74&amp;"|"&amp;I$1&amp;"|Output"),"OUT",""))</f>
        <v/>
      </c>
      <c r="J74" s="33" t="str">
        <f aca="false">IF(COUNTIF(Flows!$M$2:$M$1500,$A74&amp;"|"&amp;J$1&amp;"|Input"),IF(COUNTIF(Flows!$M$2:$M$1500,$A74&amp;"|"&amp;J$1&amp;"|Output"),"I/O","IN"),IF(COUNTIF(Flows!$M$2:$M$1500,$A74&amp;"|"&amp;J$1&amp;"|Output"),"OUT",""))</f>
        <v/>
      </c>
      <c r="K74" s="33" t="str">
        <f aca="false">IF(COUNTIF(Flows!$M$2:$M$1500,$A74&amp;"|"&amp;K$1&amp;"|Input"),IF(COUNTIF(Flows!$M$2:$M$1500,$A74&amp;"|"&amp;K$1&amp;"|Output"),"I/O","IN"),IF(COUNTIF(Flows!$M$2:$M$1500,$A74&amp;"|"&amp;K$1&amp;"|Output"),"OUT",""))</f>
        <v/>
      </c>
      <c r="L74" s="33" t="str">
        <f aca="false">IF(COUNTIF(Flows!$M$2:$M$1500,$A74&amp;"|"&amp;L$1&amp;"|Input"),IF(COUNTIF(Flows!$M$2:$M$1500,$A74&amp;"|"&amp;L$1&amp;"|Output"),"I/O","IN"),IF(COUNTIF(Flows!$M$2:$M$1500,$A74&amp;"|"&amp;L$1&amp;"|Output"),"OUT",""))</f>
        <v/>
      </c>
      <c r="M74" s="33" t="str">
        <f aca="false">IF(COUNTIF(Flows!$M$2:$M$1500,$A74&amp;"|"&amp;M$1&amp;"|Input"),IF(COUNTIF(Flows!$M$2:$M$1500,$A74&amp;"|"&amp;M$1&amp;"|Output"),"I/O","IN"),IF(COUNTIF(Flows!$M$2:$M$1500,$A74&amp;"|"&amp;M$1&amp;"|Output"),"OUT",""))</f>
        <v/>
      </c>
      <c r="N74" s="33" t="str">
        <f aca="false">IF(COUNTIF(Flows!$M$2:$M$1500,$A74&amp;"|"&amp;N$1&amp;"|Input"),IF(COUNTIF(Flows!$M$2:$M$1500,$A74&amp;"|"&amp;N$1&amp;"|Output"),"I/O","IN"),IF(COUNTIF(Flows!$M$2:$M$1500,$A74&amp;"|"&amp;N$1&amp;"|Output"),"OUT",""))</f>
        <v/>
      </c>
      <c r="O74" s="33" t="str">
        <f aca="false">IF(COUNTIF(Flows!$M$2:$M$1500,$A74&amp;"|"&amp;O$1&amp;"|Input"),IF(COUNTIF(Flows!$M$2:$M$1500,$A74&amp;"|"&amp;O$1&amp;"|Output"),"I/O","IN"),IF(COUNTIF(Flows!$M$2:$M$1500,$A74&amp;"|"&amp;O$1&amp;"|Output"),"OUT",""))</f>
        <v/>
      </c>
      <c r="P74" s="33" t="str">
        <f aca="false">IF(COUNTIF(Flows!$M$2:$M$1500,$A74&amp;"|"&amp;P$1&amp;"|Input"),IF(COUNTIF(Flows!$M$2:$M$1500,$A74&amp;"|"&amp;P$1&amp;"|Output"),"I/O","IN"),IF(COUNTIF(Flows!$M$2:$M$1500,$A74&amp;"|"&amp;P$1&amp;"|Output"),"OUT",""))</f>
        <v/>
      </c>
      <c r="Q74" s="33" t="str">
        <f aca="false">IF(COUNTIF(Flows!$M$2:$M$1500,$A74&amp;"|"&amp;Q$1&amp;"|Input"),IF(COUNTIF(Flows!$M$2:$M$1500,$A74&amp;"|"&amp;Q$1&amp;"|Output"),"I/O","IN"),IF(COUNTIF(Flows!$M$2:$M$1500,$A74&amp;"|"&amp;Q$1&amp;"|Output"),"OUT",""))</f>
        <v/>
      </c>
      <c r="R74" s="33" t="str">
        <f aca="false">IF(COUNTIF(Flows!$M$2:$M$1500,$A74&amp;"|"&amp;R$1&amp;"|Input"),IF(COUNTIF(Flows!$M$2:$M$1500,$A74&amp;"|"&amp;R$1&amp;"|Output"),"I/O","IN"),IF(COUNTIF(Flows!$M$2:$M$1500,$A74&amp;"|"&amp;R$1&amp;"|Output"),"OUT",""))</f>
        <v/>
      </c>
      <c r="S74" s="33" t="str">
        <f aca="false">IF(COUNTIF(Flows!$M$2:$M$1500,$A74&amp;"|"&amp;S$1&amp;"|Input"),IF(COUNTIF(Flows!$M$2:$M$1500,$A74&amp;"|"&amp;S$1&amp;"|Output"),"I/O","IN"),IF(COUNTIF(Flows!$M$2:$M$1500,$A74&amp;"|"&amp;S$1&amp;"|Output"),"OUT",""))</f>
        <v/>
      </c>
      <c r="T74" s="33" t="str">
        <f aca="false">IF(COUNTIF(Flows!$M$2:$M$1500,$A74&amp;"|"&amp;T$1&amp;"|Input"),IF(COUNTIF(Flows!$M$2:$M$1500,$A74&amp;"|"&amp;T$1&amp;"|Output"),"I/O","IN"),IF(COUNTIF(Flows!$M$2:$M$1500,$A74&amp;"|"&amp;T$1&amp;"|Output"),"OUT",""))</f>
        <v/>
      </c>
      <c r="U74" s="33" t="str">
        <f aca="false">IF(COUNTIF(Flows!$M$2:$M$1500,$A74&amp;"|"&amp;U$1&amp;"|Input"),IF(COUNTIF(Flows!$M$2:$M$1500,$A74&amp;"|"&amp;U$1&amp;"|Output"),"I/O","IN"),IF(COUNTIF(Flows!$M$2:$M$1500,$A74&amp;"|"&amp;U$1&amp;"|Output"),"OUT",""))</f>
        <v/>
      </c>
      <c r="V74" s="33" t="str">
        <f aca="false">IF(COUNTIF(Flows!$M$2:$M$1500,$A74&amp;"|"&amp;V$1&amp;"|Input"),IF(COUNTIF(Flows!$M$2:$M$1500,$A74&amp;"|"&amp;V$1&amp;"|Output"),"I/O","IN"),IF(COUNTIF(Flows!$M$2:$M$1500,$A74&amp;"|"&amp;V$1&amp;"|Output"),"OUT",""))</f>
        <v/>
      </c>
      <c r="W74" s="33" t="str">
        <f aca="false">IF(COUNTIF(Flows!$M$2:$M$1500,$A74&amp;"|"&amp;W$1&amp;"|Input"),IF(COUNTIF(Flows!$M$2:$M$1500,$A74&amp;"|"&amp;W$1&amp;"|Output"),"I/O","IN"),IF(COUNTIF(Flows!$M$2:$M$1500,$A74&amp;"|"&amp;W$1&amp;"|Output"),"OUT",""))</f>
        <v/>
      </c>
      <c r="X74" s="33" t="str">
        <f aca="false">IF(COUNTIF(Flows!$M$2:$M$1500,$A74&amp;"|"&amp;X$1&amp;"|Input"),IF(COUNTIF(Flows!$M$2:$M$1500,$A74&amp;"|"&amp;X$1&amp;"|Output"),"I/O","IN"),IF(COUNTIF(Flows!$M$2:$M$1500,$A74&amp;"|"&amp;X$1&amp;"|Output"),"OUT",""))</f>
        <v/>
      </c>
      <c r="Y74" s="33" t="str">
        <f aca="false">IF(COUNTIF(Flows!$M$2:$M$1500,$A74&amp;"|"&amp;Y$1&amp;"|Input"),IF(COUNTIF(Flows!$M$2:$M$1500,$A74&amp;"|"&amp;Y$1&amp;"|Output"),"I/O","IN"),IF(COUNTIF(Flows!$M$2:$M$1500,$A74&amp;"|"&amp;Y$1&amp;"|Output"),"OUT",""))</f>
        <v/>
      </c>
      <c r="Z74" s="33" t="str">
        <f aca="false">IF(COUNTIF(Flows!$M$2:$M$1500,$A74&amp;"|"&amp;Z$1&amp;"|Input"),IF(COUNTIF(Flows!$M$2:$M$1500,$A74&amp;"|"&amp;Z$1&amp;"|Output"),"I/O","IN"),IF(COUNTIF(Flows!$M$2:$M$1500,$A74&amp;"|"&amp;Z$1&amp;"|Output"),"OUT",""))</f>
        <v/>
      </c>
      <c r="AA74" s="33" t="str">
        <f aca="false">IF(COUNTIF(Flows!$M$2:$M$1500,$A74&amp;"|"&amp;AA$1&amp;"|Input"),IF(COUNTIF(Flows!$M$2:$M$1500,$A74&amp;"|"&amp;AA$1&amp;"|Output"),"I/O","IN"),IF(COUNTIF(Flows!$M$2:$M$1500,$A74&amp;"|"&amp;AA$1&amp;"|Output"),"OUT",""))</f>
        <v/>
      </c>
      <c r="AB74" s="33" t="str">
        <f aca="false">IF(COUNTIF(Flows!$M$2:$M$1500,$A74&amp;"|"&amp;AB$1&amp;"|Input"),IF(COUNTIF(Flows!$M$2:$M$1500,$A74&amp;"|"&amp;AB$1&amp;"|Output"),"I/O","IN"),IF(COUNTIF(Flows!$M$2:$M$1500,$A74&amp;"|"&amp;AB$1&amp;"|Output"),"OUT",""))</f>
        <v/>
      </c>
      <c r="AC74" s="33" t="str">
        <f aca="false">IF(COUNTIF(Flows!$M$2:$M$1500,$A74&amp;"|"&amp;AC$1&amp;"|Input"),IF(COUNTIF(Flows!$M$2:$M$1500,$A74&amp;"|"&amp;AC$1&amp;"|Output"),"I/O","IN"),IF(COUNTIF(Flows!$M$2:$M$1500,$A74&amp;"|"&amp;AC$1&amp;"|Output"),"OUT",""))</f>
        <v/>
      </c>
      <c r="AD74" s="33" t="str">
        <f aca="false">IF(COUNTIF(Flows!$M$2:$M$1500,$A74&amp;"|"&amp;AD$1&amp;"|Input"),IF(COUNTIF(Flows!$M$2:$M$1500,$A74&amp;"|"&amp;AD$1&amp;"|Output"),"I/O","IN"),IF(COUNTIF(Flows!$M$2:$M$1500,$A74&amp;"|"&amp;AD$1&amp;"|Output"),"OUT",""))</f>
        <v/>
      </c>
      <c r="AE74" s="33" t="str">
        <f aca="false">IF(COUNTIF(Flows!$M$2:$M$1500,$A74&amp;"|"&amp;AE$1&amp;"|Input"),IF(COUNTIF(Flows!$M$2:$M$1500,$A74&amp;"|"&amp;AE$1&amp;"|Output"),"I/O","IN"),IF(COUNTIF(Flows!$M$2:$M$1500,$A74&amp;"|"&amp;AE$1&amp;"|Output"),"OUT",""))</f>
        <v/>
      </c>
      <c r="AF74" s="33" t="str">
        <f aca="false">IF(COUNTIF(Flows!$M$2:$M$1500,$A74&amp;"|"&amp;AF$1&amp;"|Input"),IF(COUNTIF(Flows!$M$2:$M$1500,$A74&amp;"|"&amp;AF$1&amp;"|Output"),"I/O","IN"),IF(COUNTIF(Flows!$M$2:$M$1500,$A74&amp;"|"&amp;AF$1&amp;"|Output"),"OUT",""))</f>
        <v/>
      </c>
      <c r="AG74" s="33" t="str">
        <f aca="false">IF(COUNTIF(Flows!$M$2:$M$1500,$A74&amp;"|"&amp;AG$1&amp;"|Input"),IF(COUNTIF(Flows!$M$2:$M$1500,$A74&amp;"|"&amp;AG$1&amp;"|Output"),"I/O","IN"),IF(COUNTIF(Flows!$M$2:$M$1500,$A74&amp;"|"&amp;AG$1&amp;"|Output"),"OUT",""))</f>
        <v/>
      </c>
      <c r="AH74" s="33" t="str">
        <f aca="false">IF(COUNTIF(Flows!$M$2:$M$1500,$A74&amp;"|"&amp;AH$1&amp;"|Input"),IF(COUNTIF(Flows!$M$2:$M$1500,$A74&amp;"|"&amp;AH$1&amp;"|Output"),"I/O","IN"),IF(COUNTIF(Flows!$M$2:$M$1500,$A74&amp;"|"&amp;AH$1&amp;"|Output"),"OUT",""))</f>
        <v/>
      </c>
      <c r="AI74" s="33" t="str">
        <f aca="false">IF(COUNTIF(Flows!$M$2:$M$1500,$A74&amp;"|"&amp;AI$1&amp;"|Input"),IF(COUNTIF(Flows!$M$2:$M$1500,$A74&amp;"|"&amp;AI$1&amp;"|Output"),"I/O","IN"),IF(COUNTIF(Flows!$M$2:$M$1500,$A74&amp;"|"&amp;AI$1&amp;"|Output"),"OUT",""))</f>
        <v/>
      </c>
      <c r="AJ74" s="33" t="str">
        <f aca="false">IF(COUNTIF(Flows!$M$2:$M$1500,$A74&amp;"|"&amp;AJ$1&amp;"|Input"),IF(COUNTIF(Flows!$M$2:$M$1500,$A74&amp;"|"&amp;AJ$1&amp;"|Output"),"I/O","IN"),IF(COUNTIF(Flows!$M$2:$M$1500,$A74&amp;"|"&amp;AJ$1&amp;"|Output"),"OUT",""))</f>
        <v/>
      </c>
      <c r="AK74" s="33" t="str">
        <f aca="false">IF(COUNTIF(Flows!$M$2:$M$1500,$A74&amp;"|"&amp;AK$1&amp;"|Input"),IF(COUNTIF(Flows!$M$2:$M$1500,$A74&amp;"|"&amp;AK$1&amp;"|Output"),"I/O","IN"),IF(COUNTIF(Flows!$M$2:$M$1500,$A74&amp;"|"&amp;AK$1&amp;"|Output"),"OUT",""))</f>
        <v>IN</v>
      </c>
      <c r="AL74" s="33" t="str">
        <f aca="false">IF(COUNTIF(Flows!$M$2:$M$1500,$A74&amp;"|"&amp;AL$1&amp;"|Input"),IF(COUNTIF(Flows!$M$2:$M$1500,$A74&amp;"|"&amp;AL$1&amp;"|Output"),"I/O","IN"),IF(COUNTIF(Flows!$M$2:$M$1500,$A74&amp;"|"&amp;AL$1&amp;"|Output"),"OUT",""))</f>
        <v/>
      </c>
      <c r="AM74" s="33" t="str">
        <f aca="false">IF(COUNTIF(Flows!$M$2:$M$1500,$A74&amp;"|"&amp;AM$1&amp;"|Input"),IF(COUNTIF(Flows!$M$2:$M$1500,$A74&amp;"|"&amp;AM$1&amp;"|Output"),"I/O","IN"),IF(COUNTIF(Flows!$M$2:$M$1500,$A74&amp;"|"&amp;AM$1&amp;"|Output"),"OUT",""))</f>
        <v/>
      </c>
      <c r="AN74" s="33" t="str">
        <f aca="false">IF(COUNTIF(Flows!$M$2:$M$1500,$A74&amp;"|"&amp;AN$1&amp;"|Input"),IF(COUNTIF(Flows!$M$2:$M$1500,$A74&amp;"|"&amp;AN$1&amp;"|Output"),"I/O","IN"),IF(COUNTIF(Flows!$M$2:$M$1500,$A74&amp;"|"&amp;AN$1&amp;"|Output"),"OUT",""))</f>
        <v/>
      </c>
      <c r="AO74" s="33" t="str">
        <f aca="false">IF(COUNTIF(Flows!$M$2:$M$1500,$A74&amp;"|"&amp;AO$1&amp;"|Input"),IF(COUNTIF(Flows!$M$2:$M$1500,$A74&amp;"|"&amp;AO$1&amp;"|Output"),"I/O","IN"),IF(COUNTIF(Flows!$M$2:$M$1500,$A74&amp;"|"&amp;AO$1&amp;"|Output"),"OUT",""))</f>
        <v/>
      </c>
      <c r="AP74" s="33" t="str">
        <f aca="false">IF(COUNTIF(Flows!$M$2:$M$1500,$A74&amp;"|"&amp;AP$1&amp;"|Input"),IF(COUNTIF(Flows!$M$2:$M$1500,$A74&amp;"|"&amp;AP$1&amp;"|Output"),"I/O","IN"),IF(COUNTIF(Flows!$M$2:$M$1500,$A74&amp;"|"&amp;AP$1&amp;"|Output"),"OUT",""))</f>
        <v/>
      </c>
      <c r="AQ74" s="33" t="str">
        <f aca="false">IF(COUNTIF(Flows!$M$2:$M$1500,$A74&amp;"|"&amp;AQ$1&amp;"|Input"),IF(COUNTIF(Flows!$M$2:$M$1500,$A74&amp;"|"&amp;AQ$1&amp;"|Output"),"I/O","IN"),IF(COUNTIF(Flows!$M$2:$M$1500,$A74&amp;"|"&amp;AQ$1&amp;"|Output"),"OUT",""))</f>
        <v/>
      </c>
      <c r="AR74" s="33" t="str">
        <f aca="false">IF(COUNTIF(Flows!$M$2:$M$1500,$A74&amp;"|"&amp;AR$1&amp;"|Input"),IF(COUNTIF(Flows!$M$2:$M$1500,$A74&amp;"|"&amp;AR$1&amp;"|Output"),"I/O","IN"),IF(COUNTIF(Flows!$M$2:$M$1500,$A74&amp;"|"&amp;AR$1&amp;"|Output"),"OUT",""))</f>
        <v/>
      </c>
      <c r="AS74" s="33" t="str">
        <f aca="false">IF(COUNTIF(Flows!$M$2:$M$1500,$A74&amp;"|"&amp;AS$1&amp;"|Input"),IF(COUNTIF(Flows!$M$2:$M$1500,$A74&amp;"|"&amp;AS$1&amp;"|Output"),"I/O","IN"),IF(COUNTIF(Flows!$M$2:$M$1500,$A74&amp;"|"&amp;AS$1&amp;"|Output"),"OUT",""))</f>
        <v/>
      </c>
      <c r="AT74" s="33" t="str">
        <f aca="false">IF(COUNTIF(Flows!$M$2:$M$1500,$A74&amp;"|"&amp;AT$1&amp;"|Input"),IF(COUNTIF(Flows!$M$2:$M$1500,$A74&amp;"|"&amp;AT$1&amp;"|Output"),"I/O","IN"),IF(COUNTIF(Flows!$M$2:$M$1500,$A74&amp;"|"&amp;AT$1&amp;"|Output"),"OUT",""))</f>
        <v/>
      </c>
      <c r="AU74" s="33" t="str">
        <f aca="false">IF(COUNTIF(Flows!$M$2:$M$1500,$A74&amp;"|"&amp;AU$1&amp;"|Input"),IF(COUNTIF(Flows!$M$2:$M$1500,$A74&amp;"|"&amp;AU$1&amp;"|Output"),"I/O","IN"),IF(COUNTIF(Flows!$M$2:$M$1500,$A74&amp;"|"&amp;AU$1&amp;"|Output"),"OUT",""))</f>
        <v/>
      </c>
      <c r="AV74" s="33" t="str">
        <f aca="false">IF(COUNTIF(Flows!$M$2:$M$1500,$A74&amp;"|"&amp;AV$1&amp;"|Input"),IF(COUNTIF(Flows!$M$2:$M$1500,$A74&amp;"|"&amp;AV$1&amp;"|Output"),"I/O","IN"),IF(COUNTIF(Flows!$M$2:$M$1500,$A74&amp;"|"&amp;AV$1&amp;"|Output"),"OUT",""))</f>
        <v/>
      </c>
      <c r="AW74" s="33" t="str">
        <f aca="false">IF(COUNTIF(Flows!$M$2:$M$1500,$A74&amp;"|"&amp;AW$1&amp;"|Input"),IF(COUNTIF(Flows!$M$2:$M$1500,$A74&amp;"|"&amp;AW$1&amp;"|Output"),"I/O","IN"),IF(COUNTIF(Flows!$M$2:$M$1500,$A74&amp;"|"&amp;AW$1&amp;"|Output"),"OUT",""))</f>
        <v/>
      </c>
      <c r="AX74" s="33" t="str">
        <f aca="false">IF(COUNTIF(Flows!$M$2:$M$1500,$A74&amp;"|"&amp;AX$1&amp;"|Input"),IF(COUNTIF(Flows!$M$2:$M$1500,$A74&amp;"|"&amp;AX$1&amp;"|Output"),"I/O","IN"),IF(COUNTIF(Flows!$M$2:$M$1500,$A74&amp;"|"&amp;AX$1&amp;"|Output"),"OUT",""))</f>
        <v/>
      </c>
      <c r="AY74" s="33" t="str">
        <f aca="false">IF(COUNTIF(Flows!$M$2:$M$1500,$A74&amp;"|"&amp;AY$1&amp;"|Input"),IF(COUNTIF(Flows!$M$2:$M$1500,$A74&amp;"|"&amp;AY$1&amp;"|Output"),"I/O","IN"),IF(COUNTIF(Flows!$M$2:$M$1500,$A74&amp;"|"&amp;AY$1&amp;"|Output"),"OUT",""))</f>
        <v/>
      </c>
      <c r="AZ74" s="33" t="str">
        <f aca="false">IF(COUNTIF(Flows!$M$2:$M$1500,$A74&amp;"|"&amp;AZ$1&amp;"|Input"),IF(COUNTIF(Flows!$M$2:$M$1500,$A74&amp;"|"&amp;AZ$1&amp;"|Output"),"I/O","IN"),IF(COUNTIF(Flows!$M$2:$M$1500,$A74&amp;"|"&amp;AZ$1&amp;"|Output"),"OUT",""))</f>
        <v/>
      </c>
      <c r="BA74" s="33" t="str">
        <f aca="false">IF(COUNTIF(Flows!$M$2:$M$1500,$A74&amp;"|"&amp;BA$1&amp;"|Input"),IF(COUNTIF(Flows!$M$2:$M$1500,$A74&amp;"|"&amp;BA$1&amp;"|Output"),"I/O","IN"),IF(COUNTIF(Flows!$M$2:$M$1500,$A74&amp;"|"&amp;BA$1&amp;"|Output"),"OUT",""))</f>
        <v>IN</v>
      </c>
      <c r="BB74" s="33" t="str">
        <f aca="false">IF(COUNTIF(Flows!$M$2:$M$1500,$A74&amp;"|"&amp;BB$1&amp;"|Input"),IF(COUNTIF(Flows!$M$2:$M$1500,$A74&amp;"|"&amp;BB$1&amp;"|Output"),"I/O","IN"),IF(COUNTIF(Flows!$M$2:$M$1500,$A74&amp;"|"&amp;BB$1&amp;"|Output"),"OUT",""))</f>
        <v/>
      </c>
      <c r="BC74" s="33" t="str">
        <f aca="false">IF(COUNTIF(Flows!$M$2:$M$1500,$A74&amp;"|"&amp;BC$1&amp;"|Input"),IF(COUNTIF(Flows!$M$2:$M$1500,$A74&amp;"|"&amp;BC$1&amp;"|Output"),"I/O","IN"),IF(COUNTIF(Flows!$M$2:$M$1500,$A74&amp;"|"&amp;BC$1&amp;"|Output"),"OUT",""))</f>
        <v/>
      </c>
      <c r="BD74" s="33" t="str">
        <f aca="false">IF(COUNTIF(Flows!$M$2:$M$1500,$A74&amp;"|"&amp;BD$1&amp;"|Input"),IF(COUNTIF(Flows!$M$2:$M$1500,$A74&amp;"|"&amp;BD$1&amp;"|Output"),"I/O","IN"),IF(COUNTIF(Flows!$M$2:$M$1500,$A74&amp;"|"&amp;BD$1&amp;"|Output"),"OUT",""))</f>
        <v/>
      </c>
      <c r="BE74" s="33" t="str">
        <f aca="false">IF(COUNTIF(Flows!$M$2:$M$1500,$A74&amp;"|"&amp;BE$1&amp;"|Input"),IF(COUNTIF(Flows!$M$2:$M$1500,$A74&amp;"|"&amp;BE$1&amp;"|Output"),"I/O","IN"),IF(COUNTIF(Flows!$M$2:$M$1500,$A74&amp;"|"&amp;BE$1&amp;"|Output"),"OUT",""))</f>
        <v/>
      </c>
      <c r="BF74" s="33" t="str">
        <f aca="false">IF(COUNTIF(Flows!$M$2:$M$1500,$A74&amp;"|"&amp;BF$1&amp;"|Input"),IF(COUNTIF(Flows!$M$2:$M$1500,$A74&amp;"|"&amp;BF$1&amp;"|Output"),"I/O","IN"),IF(COUNTIF(Flows!$M$2:$M$1500,$A74&amp;"|"&amp;BF$1&amp;"|Output"),"OUT",""))</f>
        <v/>
      </c>
      <c r="BG74" s="33" t="str">
        <f aca="false">IF(COUNTIF(Flows!$M$2:$M$1500,$A74&amp;"|"&amp;BG$1&amp;"|Input"),IF(COUNTIF(Flows!$M$2:$M$1500,$A74&amp;"|"&amp;BG$1&amp;"|Output"),"I/O","IN"),IF(COUNTIF(Flows!$M$2:$M$1500,$A74&amp;"|"&amp;BG$1&amp;"|Output"),"OUT",""))</f>
        <v/>
      </c>
      <c r="BH74" s="33" t="str">
        <f aca="false">IF(COUNTIF(Flows!$M$2:$M$1500,$A74&amp;"|"&amp;BH$1&amp;"|Input"),IF(COUNTIF(Flows!$M$2:$M$1500,$A74&amp;"|"&amp;BH$1&amp;"|Output"),"I/O","IN"),IF(COUNTIF(Flows!$M$2:$M$1500,$A74&amp;"|"&amp;BH$1&amp;"|Output"),"OUT",""))</f>
        <v/>
      </c>
      <c r="BI74" s="33" t="str">
        <f aca="false">IF(COUNTIF(Flows!$M$2:$M$1500,$A74&amp;"|"&amp;BI$1&amp;"|Input"),IF(COUNTIF(Flows!$M$2:$M$1500,$A74&amp;"|"&amp;BI$1&amp;"|Output"),"I/O","IN"),IF(COUNTIF(Flows!$M$2:$M$1500,$A74&amp;"|"&amp;BI$1&amp;"|Output"),"OUT",""))</f>
        <v>IN</v>
      </c>
      <c r="BJ74" s="33" t="str">
        <f aca="false">IF(COUNTIF(Flows!$M$2:$M$1500,$A74&amp;"|"&amp;BJ$1&amp;"|Input"),IF(COUNTIF(Flows!$M$2:$M$1500,$A74&amp;"|"&amp;BJ$1&amp;"|Output"),"I/O","IN"),IF(COUNTIF(Flows!$M$2:$M$1500,$A74&amp;"|"&amp;BJ$1&amp;"|Output"),"OUT",""))</f>
        <v>OUT</v>
      </c>
      <c r="BK74" s="33" t="str">
        <f aca="false">IF(COUNTIF(Flows!$M$2:$M$1500,$A74&amp;"|"&amp;BK$1&amp;"|Input"),IF(COUNTIF(Flows!$M$2:$M$1500,$A74&amp;"|"&amp;BK$1&amp;"|Output"),"I/O","IN"),IF(COUNTIF(Flows!$M$2:$M$1500,$A74&amp;"|"&amp;BK$1&amp;"|Output"),"OUT",""))</f>
        <v>OUT</v>
      </c>
    </row>
    <row r="75" customFormat="false" ht="15" hidden="false" customHeight="true" outlineLevel="0" collapsed="false">
      <c r="A75" s="6" t="str">
        <f aca="false">Systems!B75</f>
        <v>Human Being</v>
      </c>
      <c r="B75" s="33" t="str">
        <f aca="false">IF(COUNTIF(Flows!$M$2:$M$1500,$A75&amp;"|"&amp;B$1&amp;"|Input"),IF(COUNTIF(Flows!$M$2:$M$1500,$A75&amp;"|"&amp;B$1&amp;"|Output"),"I/O","IN"),IF(COUNTIF(Flows!$M$2:$M$1500,$A75&amp;"|"&amp;B$1&amp;"|Output"),"OUT",""))</f>
        <v>IN</v>
      </c>
      <c r="C75" s="33" t="str">
        <f aca="false">IF(COUNTIF(Flows!$M$2:$M$1500,$A75&amp;"|"&amp;C$1&amp;"|Input"),IF(COUNTIF(Flows!$M$2:$M$1500,$A75&amp;"|"&amp;C$1&amp;"|Output"),"I/O","IN"),IF(COUNTIF(Flows!$M$2:$M$1500,$A75&amp;"|"&amp;C$1&amp;"|Output"),"OUT",""))</f>
        <v>IN</v>
      </c>
      <c r="D75" s="33" t="str">
        <f aca="false">IF(COUNTIF(Flows!$M$2:$M$1500,$A75&amp;"|"&amp;D$1&amp;"|Input"),IF(COUNTIF(Flows!$M$2:$M$1500,$A75&amp;"|"&amp;D$1&amp;"|Output"),"I/O","IN"),IF(COUNTIF(Flows!$M$2:$M$1500,$A75&amp;"|"&amp;D$1&amp;"|Output"),"OUT",""))</f>
        <v>IN</v>
      </c>
      <c r="E75" s="33" t="str">
        <f aca="false">IF(COUNTIF(Flows!$M$2:$M$1500,$A75&amp;"|"&amp;E$1&amp;"|Input"),IF(COUNTIF(Flows!$M$2:$M$1500,$A75&amp;"|"&amp;E$1&amp;"|Output"),"I/O","IN"),IF(COUNTIF(Flows!$M$2:$M$1500,$A75&amp;"|"&amp;E$1&amp;"|Output"),"OUT",""))</f>
        <v>OUT</v>
      </c>
      <c r="F75" s="33" t="str">
        <f aca="false">IF(COUNTIF(Flows!$M$2:$M$1500,$A75&amp;"|"&amp;F$1&amp;"|Input"),IF(COUNTIF(Flows!$M$2:$M$1500,$A75&amp;"|"&amp;F$1&amp;"|Output"),"I/O","IN"),IF(COUNTIF(Flows!$M$2:$M$1500,$A75&amp;"|"&amp;F$1&amp;"|Output"),"OUT",""))</f>
        <v>IN</v>
      </c>
      <c r="G75" s="33" t="str">
        <f aca="false">IF(COUNTIF(Flows!$M$2:$M$1500,$A75&amp;"|"&amp;G$1&amp;"|Input"),IF(COUNTIF(Flows!$M$2:$M$1500,$A75&amp;"|"&amp;G$1&amp;"|Output"),"I/O","IN"),IF(COUNTIF(Flows!$M$2:$M$1500,$A75&amp;"|"&amp;G$1&amp;"|Output"),"OUT",""))</f>
        <v/>
      </c>
      <c r="H75" s="33" t="str">
        <f aca="false">IF(COUNTIF(Flows!$M$2:$M$1500,$A75&amp;"|"&amp;H$1&amp;"|Input"),IF(COUNTIF(Flows!$M$2:$M$1500,$A75&amp;"|"&amp;H$1&amp;"|Output"),"I/O","IN"),IF(COUNTIF(Flows!$M$2:$M$1500,$A75&amp;"|"&amp;H$1&amp;"|Output"),"OUT",""))</f>
        <v/>
      </c>
      <c r="I75" s="33" t="str">
        <f aca="false">IF(COUNTIF(Flows!$M$2:$M$1500,$A75&amp;"|"&amp;I$1&amp;"|Input"),IF(COUNTIF(Flows!$M$2:$M$1500,$A75&amp;"|"&amp;I$1&amp;"|Output"),"I/O","IN"),IF(COUNTIF(Flows!$M$2:$M$1500,$A75&amp;"|"&amp;I$1&amp;"|Output"),"OUT",""))</f>
        <v/>
      </c>
      <c r="J75" s="33" t="str">
        <f aca="false">IF(COUNTIF(Flows!$M$2:$M$1500,$A75&amp;"|"&amp;J$1&amp;"|Input"),IF(COUNTIF(Flows!$M$2:$M$1500,$A75&amp;"|"&amp;J$1&amp;"|Output"),"I/O","IN"),IF(COUNTIF(Flows!$M$2:$M$1500,$A75&amp;"|"&amp;J$1&amp;"|Output"),"OUT",""))</f>
        <v/>
      </c>
      <c r="K75" s="33" t="str">
        <f aca="false">IF(COUNTIF(Flows!$M$2:$M$1500,$A75&amp;"|"&amp;K$1&amp;"|Input"),IF(COUNTIF(Flows!$M$2:$M$1500,$A75&amp;"|"&amp;K$1&amp;"|Output"),"I/O","IN"),IF(COUNTIF(Flows!$M$2:$M$1500,$A75&amp;"|"&amp;K$1&amp;"|Output"),"OUT",""))</f>
        <v/>
      </c>
      <c r="L75" s="33" t="str">
        <f aca="false">IF(COUNTIF(Flows!$M$2:$M$1500,$A75&amp;"|"&amp;L$1&amp;"|Input"),IF(COUNTIF(Flows!$M$2:$M$1500,$A75&amp;"|"&amp;L$1&amp;"|Output"),"I/O","IN"),IF(COUNTIF(Flows!$M$2:$M$1500,$A75&amp;"|"&amp;L$1&amp;"|Output"),"OUT",""))</f>
        <v/>
      </c>
      <c r="M75" s="33" t="str">
        <f aca="false">IF(COUNTIF(Flows!$M$2:$M$1500,$A75&amp;"|"&amp;M$1&amp;"|Input"),IF(COUNTIF(Flows!$M$2:$M$1500,$A75&amp;"|"&amp;M$1&amp;"|Output"),"I/O","IN"),IF(COUNTIF(Flows!$M$2:$M$1500,$A75&amp;"|"&amp;M$1&amp;"|Output"),"OUT",""))</f>
        <v/>
      </c>
      <c r="N75" s="33" t="str">
        <f aca="false">IF(COUNTIF(Flows!$M$2:$M$1500,$A75&amp;"|"&amp;N$1&amp;"|Input"),IF(COUNTIF(Flows!$M$2:$M$1500,$A75&amp;"|"&amp;N$1&amp;"|Output"),"I/O","IN"),IF(COUNTIF(Flows!$M$2:$M$1500,$A75&amp;"|"&amp;N$1&amp;"|Output"),"OUT",""))</f>
        <v/>
      </c>
      <c r="O75" s="33" t="str">
        <f aca="false">IF(COUNTIF(Flows!$M$2:$M$1500,$A75&amp;"|"&amp;O$1&amp;"|Input"),IF(COUNTIF(Flows!$M$2:$M$1500,$A75&amp;"|"&amp;O$1&amp;"|Output"),"I/O","IN"),IF(COUNTIF(Flows!$M$2:$M$1500,$A75&amp;"|"&amp;O$1&amp;"|Output"),"OUT",""))</f>
        <v/>
      </c>
      <c r="P75" s="33" t="str">
        <f aca="false">IF(COUNTIF(Flows!$M$2:$M$1500,$A75&amp;"|"&amp;P$1&amp;"|Input"),IF(COUNTIF(Flows!$M$2:$M$1500,$A75&amp;"|"&amp;P$1&amp;"|Output"),"I/O","IN"),IF(COUNTIF(Flows!$M$2:$M$1500,$A75&amp;"|"&amp;P$1&amp;"|Output"),"OUT",""))</f>
        <v/>
      </c>
      <c r="Q75" s="33" t="str">
        <f aca="false">IF(COUNTIF(Flows!$M$2:$M$1500,$A75&amp;"|"&amp;Q$1&amp;"|Input"),IF(COUNTIF(Flows!$M$2:$M$1500,$A75&amp;"|"&amp;Q$1&amp;"|Output"),"I/O","IN"),IF(COUNTIF(Flows!$M$2:$M$1500,$A75&amp;"|"&amp;Q$1&amp;"|Output"),"OUT",""))</f>
        <v>IN</v>
      </c>
      <c r="R75" s="33" t="str">
        <f aca="false">IF(COUNTIF(Flows!$M$2:$M$1500,$A75&amp;"|"&amp;R$1&amp;"|Input"),IF(COUNTIF(Flows!$M$2:$M$1500,$A75&amp;"|"&amp;R$1&amp;"|Output"),"I/O","IN"),IF(COUNTIF(Flows!$M$2:$M$1500,$A75&amp;"|"&amp;R$1&amp;"|Output"),"OUT",""))</f>
        <v>IN</v>
      </c>
      <c r="S75" s="33" t="str">
        <f aca="false">IF(COUNTIF(Flows!$M$2:$M$1500,$A75&amp;"|"&amp;S$1&amp;"|Input"),IF(COUNTIF(Flows!$M$2:$M$1500,$A75&amp;"|"&amp;S$1&amp;"|Output"),"I/O","IN"),IF(COUNTIF(Flows!$M$2:$M$1500,$A75&amp;"|"&amp;S$1&amp;"|Output"),"OUT",""))</f>
        <v>IN</v>
      </c>
      <c r="T75" s="33" t="str">
        <f aca="false">IF(COUNTIF(Flows!$M$2:$M$1500,$A75&amp;"|"&amp;T$1&amp;"|Input"),IF(COUNTIF(Flows!$M$2:$M$1500,$A75&amp;"|"&amp;T$1&amp;"|Output"),"I/O","IN"),IF(COUNTIF(Flows!$M$2:$M$1500,$A75&amp;"|"&amp;T$1&amp;"|Output"),"OUT",""))</f>
        <v>IN</v>
      </c>
      <c r="U75" s="33" t="str">
        <f aca="false">IF(COUNTIF(Flows!$M$2:$M$1500,$A75&amp;"|"&amp;U$1&amp;"|Input"),IF(COUNTIF(Flows!$M$2:$M$1500,$A75&amp;"|"&amp;U$1&amp;"|Output"),"I/O","IN"),IF(COUNTIF(Flows!$M$2:$M$1500,$A75&amp;"|"&amp;U$1&amp;"|Output"),"OUT",""))</f>
        <v>IN</v>
      </c>
      <c r="V75" s="33" t="str">
        <f aca="false">IF(COUNTIF(Flows!$M$2:$M$1500,$A75&amp;"|"&amp;V$1&amp;"|Input"),IF(COUNTIF(Flows!$M$2:$M$1500,$A75&amp;"|"&amp;V$1&amp;"|Output"),"I/O","IN"),IF(COUNTIF(Flows!$M$2:$M$1500,$A75&amp;"|"&amp;V$1&amp;"|Output"),"OUT",""))</f>
        <v/>
      </c>
      <c r="W75" s="33" t="str">
        <f aca="false">IF(COUNTIF(Flows!$M$2:$M$1500,$A75&amp;"|"&amp;W$1&amp;"|Input"),IF(COUNTIF(Flows!$M$2:$M$1500,$A75&amp;"|"&amp;W$1&amp;"|Output"),"I/O","IN"),IF(COUNTIF(Flows!$M$2:$M$1500,$A75&amp;"|"&amp;W$1&amp;"|Output"),"OUT",""))</f>
        <v/>
      </c>
      <c r="X75" s="33" t="str">
        <f aca="false">IF(COUNTIF(Flows!$M$2:$M$1500,$A75&amp;"|"&amp;X$1&amp;"|Input"),IF(COUNTIF(Flows!$M$2:$M$1500,$A75&amp;"|"&amp;X$1&amp;"|Output"),"I/O","IN"),IF(COUNTIF(Flows!$M$2:$M$1500,$A75&amp;"|"&amp;X$1&amp;"|Output"),"OUT",""))</f>
        <v>OUT</v>
      </c>
      <c r="Y75" s="33" t="str">
        <f aca="false">IF(COUNTIF(Flows!$M$2:$M$1500,$A75&amp;"|"&amp;Y$1&amp;"|Input"),IF(COUNTIF(Flows!$M$2:$M$1500,$A75&amp;"|"&amp;Y$1&amp;"|Output"),"I/O","IN"),IF(COUNTIF(Flows!$M$2:$M$1500,$A75&amp;"|"&amp;Y$1&amp;"|Output"),"OUT",""))</f>
        <v/>
      </c>
      <c r="Z75" s="33" t="str">
        <f aca="false">IF(COUNTIF(Flows!$M$2:$M$1500,$A75&amp;"|"&amp;Z$1&amp;"|Input"),IF(COUNTIF(Flows!$M$2:$M$1500,$A75&amp;"|"&amp;Z$1&amp;"|Output"),"I/O","IN"),IF(COUNTIF(Flows!$M$2:$M$1500,$A75&amp;"|"&amp;Z$1&amp;"|Output"),"OUT",""))</f>
        <v/>
      </c>
      <c r="AA75" s="33" t="str">
        <f aca="false">IF(COUNTIF(Flows!$M$2:$M$1500,$A75&amp;"|"&amp;AA$1&amp;"|Input"),IF(COUNTIF(Flows!$M$2:$M$1500,$A75&amp;"|"&amp;AA$1&amp;"|Output"),"I/O","IN"),IF(COUNTIF(Flows!$M$2:$M$1500,$A75&amp;"|"&amp;AA$1&amp;"|Output"),"OUT",""))</f>
        <v/>
      </c>
      <c r="AB75" s="33" t="str">
        <f aca="false">IF(COUNTIF(Flows!$M$2:$M$1500,$A75&amp;"|"&amp;AB$1&amp;"|Input"),IF(COUNTIF(Flows!$M$2:$M$1500,$A75&amp;"|"&amp;AB$1&amp;"|Output"),"I/O","IN"),IF(COUNTIF(Flows!$M$2:$M$1500,$A75&amp;"|"&amp;AB$1&amp;"|Output"),"OUT",""))</f>
        <v/>
      </c>
      <c r="AC75" s="33" t="str">
        <f aca="false">IF(COUNTIF(Flows!$M$2:$M$1500,$A75&amp;"|"&amp;AC$1&amp;"|Input"),IF(COUNTIF(Flows!$M$2:$M$1500,$A75&amp;"|"&amp;AC$1&amp;"|Output"),"I/O","IN"),IF(COUNTIF(Flows!$M$2:$M$1500,$A75&amp;"|"&amp;AC$1&amp;"|Output"),"OUT",""))</f>
        <v/>
      </c>
      <c r="AD75" s="33" t="str">
        <f aca="false">IF(COUNTIF(Flows!$M$2:$M$1500,$A75&amp;"|"&amp;AD$1&amp;"|Input"),IF(COUNTIF(Flows!$M$2:$M$1500,$A75&amp;"|"&amp;AD$1&amp;"|Output"),"I/O","IN"),IF(COUNTIF(Flows!$M$2:$M$1500,$A75&amp;"|"&amp;AD$1&amp;"|Output"),"OUT",""))</f>
        <v/>
      </c>
      <c r="AE75" s="33" t="str">
        <f aca="false">IF(COUNTIF(Flows!$M$2:$M$1500,$A75&amp;"|"&amp;AE$1&amp;"|Input"),IF(COUNTIF(Flows!$M$2:$M$1500,$A75&amp;"|"&amp;AE$1&amp;"|Output"),"I/O","IN"),IF(COUNTIF(Flows!$M$2:$M$1500,$A75&amp;"|"&amp;AE$1&amp;"|Output"),"OUT",""))</f>
        <v/>
      </c>
      <c r="AF75" s="33" t="str">
        <f aca="false">IF(COUNTIF(Flows!$M$2:$M$1500,$A75&amp;"|"&amp;AF$1&amp;"|Input"),IF(COUNTIF(Flows!$M$2:$M$1500,$A75&amp;"|"&amp;AF$1&amp;"|Output"),"I/O","IN"),IF(COUNTIF(Flows!$M$2:$M$1500,$A75&amp;"|"&amp;AF$1&amp;"|Output"),"OUT",""))</f>
        <v/>
      </c>
      <c r="AG75" s="33" t="str">
        <f aca="false">IF(COUNTIF(Flows!$M$2:$M$1500,$A75&amp;"|"&amp;AG$1&amp;"|Input"),IF(COUNTIF(Flows!$M$2:$M$1500,$A75&amp;"|"&amp;AG$1&amp;"|Output"),"I/O","IN"),IF(COUNTIF(Flows!$M$2:$M$1500,$A75&amp;"|"&amp;AG$1&amp;"|Output"),"OUT",""))</f>
        <v/>
      </c>
      <c r="AH75" s="33" t="str">
        <f aca="false">IF(COUNTIF(Flows!$M$2:$M$1500,$A75&amp;"|"&amp;AH$1&amp;"|Input"),IF(COUNTIF(Flows!$M$2:$M$1500,$A75&amp;"|"&amp;AH$1&amp;"|Output"),"I/O","IN"),IF(COUNTIF(Flows!$M$2:$M$1500,$A75&amp;"|"&amp;AH$1&amp;"|Output"),"OUT",""))</f>
        <v/>
      </c>
      <c r="AI75" s="33" t="str">
        <f aca="false">IF(COUNTIF(Flows!$M$2:$M$1500,$A75&amp;"|"&amp;AI$1&amp;"|Input"),IF(COUNTIF(Flows!$M$2:$M$1500,$A75&amp;"|"&amp;AI$1&amp;"|Output"),"I/O","IN"),IF(COUNTIF(Flows!$M$2:$M$1500,$A75&amp;"|"&amp;AI$1&amp;"|Output"),"OUT",""))</f>
        <v/>
      </c>
      <c r="AJ75" s="33" t="str">
        <f aca="false">IF(COUNTIF(Flows!$M$2:$M$1500,$A75&amp;"|"&amp;AJ$1&amp;"|Input"),IF(COUNTIF(Flows!$M$2:$M$1500,$A75&amp;"|"&amp;AJ$1&amp;"|Output"),"I/O","IN"),IF(COUNTIF(Flows!$M$2:$M$1500,$A75&amp;"|"&amp;AJ$1&amp;"|Output"),"OUT",""))</f>
        <v/>
      </c>
      <c r="AK75" s="33" t="str">
        <f aca="false">IF(COUNTIF(Flows!$M$2:$M$1500,$A75&amp;"|"&amp;AK$1&amp;"|Input"),IF(COUNTIF(Flows!$M$2:$M$1500,$A75&amp;"|"&amp;AK$1&amp;"|Output"),"I/O","IN"),IF(COUNTIF(Flows!$M$2:$M$1500,$A75&amp;"|"&amp;AK$1&amp;"|Output"),"OUT",""))</f>
        <v/>
      </c>
      <c r="AL75" s="33" t="str">
        <f aca="false">IF(COUNTIF(Flows!$M$2:$M$1500,$A75&amp;"|"&amp;AL$1&amp;"|Input"),IF(COUNTIF(Flows!$M$2:$M$1500,$A75&amp;"|"&amp;AL$1&amp;"|Output"),"I/O","IN"),IF(COUNTIF(Flows!$M$2:$M$1500,$A75&amp;"|"&amp;AL$1&amp;"|Output"),"OUT",""))</f>
        <v/>
      </c>
      <c r="AM75" s="33" t="str">
        <f aca="false">IF(COUNTIF(Flows!$M$2:$M$1500,$A75&amp;"|"&amp;AM$1&amp;"|Input"),IF(COUNTIF(Flows!$M$2:$M$1500,$A75&amp;"|"&amp;AM$1&amp;"|Output"),"I/O","IN"),IF(COUNTIF(Flows!$M$2:$M$1500,$A75&amp;"|"&amp;AM$1&amp;"|Output"),"OUT",""))</f>
        <v/>
      </c>
      <c r="AN75" s="33" t="str">
        <f aca="false">IF(COUNTIF(Flows!$M$2:$M$1500,$A75&amp;"|"&amp;AN$1&amp;"|Input"),IF(COUNTIF(Flows!$M$2:$M$1500,$A75&amp;"|"&amp;AN$1&amp;"|Output"),"I/O","IN"),IF(COUNTIF(Flows!$M$2:$M$1500,$A75&amp;"|"&amp;AN$1&amp;"|Output"),"OUT",""))</f>
        <v/>
      </c>
      <c r="AO75" s="33" t="str">
        <f aca="false">IF(COUNTIF(Flows!$M$2:$M$1500,$A75&amp;"|"&amp;AO$1&amp;"|Input"),IF(COUNTIF(Flows!$M$2:$M$1500,$A75&amp;"|"&amp;AO$1&amp;"|Output"),"I/O","IN"),IF(COUNTIF(Flows!$M$2:$M$1500,$A75&amp;"|"&amp;AO$1&amp;"|Output"),"OUT",""))</f>
        <v/>
      </c>
      <c r="AP75" s="33" t="str">
        <f aca="false">IF(COUNTIF(Flows!$M$2:$M$1500,$A75&amp;"|"&amp;AP$1&amp;"|Input"),IF(COUNTIF(Flows!$M$2:$M$1500,$A75&amp;"|"&amp;AP$1&amp;"|Output"),"I/O","IN"),IF(COUNTIF(Flows!$M$2:$M$1500,$A75&amp;"|"&amp;AP$1&amp;"|Output"),"OUT",""))</f>
        <v/>
      </c>
      <c r="AQ75" s="33" t="str">
        <f aca="false">IF(COUNTIF(Flows!$M$2:$M$1500,$A75&amp;"|"&amp;AQ$1&amp;"|Input"),IF(COUNTIF(Flows!$M$2:$M$1500,$A75&amp;"|"&amp;AQ$1&amp;"|Output"),"I/O","IN"),IF(COUNTIF(Flows!$M$2:$M$1500,$A75&amp;"|"&amp;AQ$1&amp;"|Output"),"OUT",""))</f>
        <v/>
      </c>
      <c r="AR75" s="33" t="str">
        <f aca="false">IF(COUNTIF(Flows!$M$2:$M$1500,$A75&amp;"|"&amp;AR$1&amp;"|Input"),IF(COUNTIF(Flows!$M$2:$M$1500,$A75&amp;"|"&amp;AR$1&amp;"|Output"),"I/O","IN"),IF(COUNTIF(Flows!$M$2:$M$1500,$A75&amp;"|"&amp;AR$1&amp;"|Output"),"OUT",""))</f>
        <v/>
      </c>
      <c r="AS75" s="33" t="str">
        <f aca="false">IF(COUNTIF(Flows!$M$2:$M$1500,$A75&amp;"|"&amp;AS$1&amp;"|Input"),IF(COUNTIF(Flows!$M$2:$M$1500,$A75&amp;"|"&amp;AS$1&amp;"|Output"),"I/O","IN"),IF(COUNTIF(Flows!$M$2:$M$1500,$A75&amp;"|"&amp;AS$1&amp;"|Output"),"OUT",""))</f>
        <v/>
      </c>
      <c r="AT75" s="33" t="str">
        <f aca="false">IF(COUNTIF(Flows!$M$2:$M$1500,$A75&amp;"|"&amp;AT$1&amp;"|Input"),IF(COUNTIF(Flows!$M$2:$M$1500,$A75&amp;"|"&amp;AT$1&amp;"|Output"),"I/O","IN"),IF(COUNTIF(Flows!$M$2:$M$1500,$A75&amp;"|"&amp;AT$1&amp;"|Output"),"OUT",""))</f>
        <v/>
      </c>
      <c r="AU75" s="33" t="str">
        <f aca="false">IF(COUNTIF(Flows!$M$2:$M$1500,$A75&amp;"|"&amp;AU$1&amp;"|Input"),IF(COUNTIF(Flows!$M$2:$M$1500,$A75&amp;"|"&amp;AU$1&amp;"|Output"),"I/O","IN"),IF(COUNTIF(Flows!$M$2:$M$1500,$A75&amp;"|"&amp;AU$1&amp;"|Output"),"OUT",""))</f>
        <v/>
      </c>
      <c r="AV75" s="33" t="str">
        <f aca="false">IF(COUNTIF(Flows!$M$2:$M$1500,$A75&amp;"|"&amp;AV$1&amp;"|Input"),IF(COUNTIF(Flows!$M$2:$M$1500,$A75&amp;"|"&amp;AV$1&amp;"|Output"),"I/O","IN"),IF(COUNTIF(Flows!$M$2:$M$1500,$A75&amp;"|"&amp;AV$1&amp;"|Output"),"OUT",""))</f>
        <v/>
      </c>
      <c r="AW75" s="33" t="str">
        <f aca="false">IF(COUNTIF(Flows!$M$2:$M$1500,$A75&amp;"|"&amp;AW$1&amp;"|Input"),IF(COUNTIF(Flows!$M$2:$M$1500,$A75&amp;"|"&amp;AW$1&amp;"|Output"),"I/O","IN"),IF(COUNTIF(Flows!$M$2:$M$1500,$A75&amp;"|"&amp;AW$1&amp;"|Output"),"OUT",""))</f>
        <v>OUT</v>
      </c>
      <c r="AX75" s="33" t="str">
        <f aca="false">IF(COUNTIF(Flows!$M$2:$M$1500,$A75&amp;"|"&amp;AX$1&amp;"|Input"),IF(COUNTIF(Flows!$M$2:$M$1500,$A75&amp;"|"&amp;AX$1&amp;"|Output"),"I/O","IN"),IF(COUNTIF(Flows!$M$2:$M$1500,$A75&amp;"|"&amp;AX$1&amp;"|Output"),"OUT",""))</f>
        <v>OUT</v>
      </c>
      <c r="AY75" s="33" t="str">
        <f aca="false">IF(COUNTIF(Flows!$M$2:$M$1500,$A75&amp;"|"&amp;AY$1&amp;"|Input"),IF(COUNTIF(Flows!$M$2:$M$1500,$A75&amp;"|"&amp;AY$1&amp;"|Output"),"I/O","IN"),IF(COUNTIF(Flows!$M$2:$M$1500,$A75&amp;"|"&amp;AY$1&amp;"|Output"),"OUT",""))</f>
        <v/>
      </c>
      <c r="AZ75" s="33" t="str">
        <f aca="false">IF(COUNTIF(Flows!$M$2:$M$1500,$A75&amp;"|"&amp;AZ$1&amp;"|Input"),IF(COUNTIF(Flows!$M$2:$M$1500,$A75&amp;"|"&amp;AZ$1&amp;"|Output"),"I/O","IN"),IF(COUNTIF(Flows!$M$2:$M$1500,$A75&amp;"|"&amp;AZ$1&amp;"|Output"),"OUT",""))</f>
        <v/>
      </c>
      <c r="BA75" s="33" t="str">
        <f aca="false">IF(COUNTIF(Flows!$M$2:$M$1500,$A75&amp;"|"&amp;BA$1&amp;"|Input"),IF(COUNTIF(Flows!$M$2:$M$1500,$A75&amp;"|"&amp;BA$1&amp;"|Output"),"I/O","IN"),IF(COUNTIF(Flows!$M$2:$M$1500,$A75&amp;"|"&amp;BA$1&amp;"|Output"),"OUT",""))</f>
        <v/>
      </c>
      <c r="BB75" s="33" t="str">
        <f aca="false">IF(COUNTIF(Flows!$M$2:$M$1500,$A75&amp;"|"&amp;BB$1&amp;"|Input"),IF(COUNTIF(Flows!$M$2:$M$1500,$A75&amp;"|"&amp;BB$1&amp;"|Output"),"I/O","IN"),IF(COUNTIF(Flows!$M$2:$M$1500,$A75&amp;"|"&amp;BB$1&amp;"|Output"),"OUT",""))</f>
        <v/>
      </c>
      <c r="BC75" s="33" t="str">
        <f aca="false">IF(COUNTIF(Flows!$M$2:$M$1500,$A75&amp;"|"&amp;BC$1&amp;"|Input"),IF(COUNTIF(Flows!$M$2:$M$1500,$A75&amp;"|"&amp;BC$1&amp;"|Output"),"I/O","IN"),IF(COUNTIF(Flows!$M$2:$M$1500,$A75&amp;"|"&amp;BC$1&amp;"|Output"),"OUT",""))</f>
        <v/>
      </c>
      <c r="BD75" s="33" t="str">
        <f aca="false">IF(COUNTIF(Flows!$M$2:$M$1500,$A75&amp;"|"&amp;BD$1&amp;"|Input"),IF(COUNTIF(Flows!$M$2:$M$1500,$A75&amp;"|"&amp;BD$1&amp;"|Output"),"I/O","IN"),IF(COUNTIF(Flows!$M$2:$M$1500,$A75&amp;"|"&amp;BD$1&amp;"|Output"),"OUT",""))</f>
        <v/>
      </c>
      <c r="BE75" s="33" t="str">
        <f aca="false">IF(COUNTIF(Flows!$M$2:$M$1500,$A75&amp;"|"&amp;BE$1&amp;"|Input"),IF(COUNTIF(Flows!$M$2:$M$1500,$A75&amp;"|"&amp;BE$1&amp;"|Output"),"I/O","IN"),IF(COUNTIF(Flows!$M$2:$M$1500,$A75&amp;"|"&amp;BE$1&amp;"|Output"),"OUT",""))</f>
        <v/>
      </c>
      <c r="BF75" s="33" t="str">
        <f aca="false">IF(COUNTIF(Flows!$M$2:$M$1500,$A75&amp;"|"&amp;BF$1&amp;"|Input"),IF(COUNTIF(Flows!$M$2:$M$1500,$A75&amp;"|"&amp;BF$1&amp;"|Output"),"I/O","IN"),IF(COUNTIF(Flows!$M$2:$M$1500,$A75&amp;"|"&amp;BF$1&amp;"|Output"),"OUT",""))</f>
        <v/>
      </c>
      <c r="BG75" s="33" t="str">
        <f aca="false">IF(COUNTIF(Flows!$M$2:$M$1500,$A75&amp;"|"&amp;BG$1&amp;"|Input"),IF(COUNTIF(Flows!$M$2:$M$1500,$A75&amp;"|"&amp;BG$1&amp;"|Output"),"I/O","IN"),IF(COUNTIF(Flows!$M$2:$M$1500,$A75&amp;"|"&amp;BG$1&amp;"|Output"),"OUT",""))</f>
        <v/>
      </c>
      <c r="BH75" s="33" t="str">
        <f aca="false">IF(COUNTIF(Flows!$M$2:$M$1500,$A75&amp;"|"&amp;BH$1&amp;"|Input"),IF(COUNTIF(Flows!$M$2:$M$1500,$A75&amp;"|"&amp;BH$1&amp;"|Output"),"I/O","IN"),IF(COUNTIF(Flows!$M$2:$M$1500,$A75&amp;"|"&amp;BH$1&amp;"|Output"),"OUT",""))</f>
        <v/>
      </c>
      <c r="BI75" s="33" t="str">
        <f aca="false">IF(COUNTIF(Flows!$M$2:$M$1500,$A75&amp;"|"&amp;BI$1&amp;"|Input"),IF(COUNTIF(Flows!$M$2:$M$1500,$A75&amp;"|"&amp;BI$1&amp;"|Output"),"I/O","IN"),IF(COUNTIF(Flows!$M$2:$M$1500,$A75&amp;"|"&amp;BI$1&amp;"|Output"),"OUT",""))</f>
        <v/>
      </c>
      <c r="BJ75" s="33" t="str">
        <f aca="false">IF(COUNTIF(Flows!$M$2:$M$1500,$A75&amp;"|"&amp;BJ$1&amp;"|Input"),IF(COUNTIF(Flows!$M$2:$M$1500,$A75&amp;"|"&amp;BJ$1&amp;"|Output"),"I/O","IN"),IF(COUNTIF(Flows!$M$2:$M$1500,$A75&amp;"|"&amp;BJ$1&amp;"|Output"),"OUT",""))</f>
        <v/>
      </c>
      <c r="BK75" s="33" t="str">
        <f aca="false">IF(COUNTIF(Flows!$M$2:$M$1500,$A75&amp;"|"&amp;BK$1&amp;"|Input"),IF(COUNTIF(Flows!$M$2:$M$1500,$A75&amp;"|"&amp;BK$1&amp;"|Output"),"I/O","IN"),IF(COUNTIF(Flows!$M$2:$M$1500,$A75&amp;"|"&amp;BK$1&amp;"|Output"),"OUT",""))</f>
        <v/>
      </c>
    </row>
    <row r="76" customFormat="false" ht="15" hidden="false" customHeight="true" outlineLevel="0" collapsed="false">
      <c r="A76" s="6" t="str">
        <f aca="false">Systems!B76</f>
        <v>Chicken Coop (12 hens)</v>
      </c>
      <c r="B76" s="33" t="str">
        <f aca="false">IF(COUNTIF(Flows!$M$2:$M$1500,$A76&amp;"|"&amp;B$1&amp;"|Input"),IF(COUNTIF(Flows!$M$2:$M$1500,$A76&amp;"|"&amp;B$1&amp;"|Output"),"I/O","IN"),IF(COUNTIF(Flows!$M$2:$M$1500,$A76&amp;"|"&amp;B$1&amp;"|Output"),"OUT",""))</f>
        <v>IN</v>
      </c>
      <c r="C76" s="33" t="str">
        <f aca="false">IF(COUNTIF(Flows!$M$2:$M$1500,$A76&amp;"|"&amp;C$1&amp;"|Input"),IF(COUNTIF(Flows!$M$2:$M$1500,$A76&amp;"|"&amp;C$1&amp;"|Output"),"I/O","IN"),IF(COUNTIF(Flows!$M$2:$M$1500,$A76&amp;"|"&amp;C$1&amp;"|Output"),"OUT",""))</f>
        <v/>
      </c>
      <c r="D76" s="33" t="str">
        <f aca="false">IF(COUNTIF(Flows!$M$2:$M$1500,$A76&amp;"|"&amp;D$1&amp;"|Input"),IF(COUNTIF(Flows!$M$2:$M$1500,$A76&amp;"|"&amp;D$1&amp;"|Output"),"I/O","IN"),IF(COUNTIF(Flows!$M$2:$M$1500,$A76&amp;"|"&amp;D$1&amp;"|Output"),"OUT",""))</f>
        <v/>
      </c>
      <c r="E76" s="33" t="str">
        <f aca="false">IF(COUNTIF(Flows!$M$2:$M$1500,$A76&amp;"|"&amp;E$1&amp;"|Input"),IF(COUNTIF(Flows!$M$2:$M$1500,$A76&amp;"|"&amp;E$1&amp;"|Output"),"I/O","IN"),IF(COUNTIF(Flows!$M$2:$M$1500,$A76&amp;"|"&amp;E$1&amp;"|Output"),"OUT",""))</f>
        <v/>
      </c>
      <c r="F76" s="33" t="str">
        <f aca="false">IF(COUNTIF(Flows!$M$2:$M$1500,$A76&amp;"|"&amp;F$1&amp;"|Input"),IF(COUNTIF(Flows!$M$2:$M$1500,$A76&amp;"|"&amp;F$1&amp;"|Output"),"I/O","IN"),IF(COUNTIF(Flows!$M$2:$M$1500,$A76&amp;"|"&amp;F$1&amp;"|Output"),"OUT",""))</f>
        <v/>
      </c>
      <c r="G76" s="33" t="str">
        <f aca="false">IF(COUNTIF(Flows!$M$2:$M$1500,$A76&amp;"|"&amp;G$1&amp;"|Input"),IF(COUNTIF(Flows!$M$2:$M$1500,$A76&amp;"|"&amp;G$1&amp;"|Output"),"I/O","IN"),IF(COUNTIF(Flows!$M$2:$M$1500,$A76&amp;"|"&amp;G$1&amp;"|Output"),"OUT",""))</f>
        <v/>
      </c>
      <c r="H76" s="33" t="str">
        <f aca="false">IF(COUNTIF(Flows!$M$2:$M$1500,$A76&amp;"|"&amp;H$1&amp;"|Input"),IF(COUNTIF(Flows!$M$2:$M$1500,$A76&amp;"|"&amp;H$1&amp;"|Output"),"I/O","IN"),IF(COUNTIF(Flows!$M$2:$M$1500,$A76&amp;"|"&amp;H$1&amp;"|Output"),"OUT",""))</f>
        <v/>
      </c>
      <c r="I76" s="33" t="str">
        <f aca="false">IF(COUNTIF(Flows!$M$2:$M$1500,$A76&amp;"|"&amp;I$1&amp;"|Input"),IF(COUNTIF(Flows!$M$2:$M$1500,$A76&amp;"|"&amp;I$1&amp;"|Output"),"I/O","IN"),IF(COUNTIF(Flows!$M$2:$M$1500,$A76&amp;"|"&amp;I$1&amp;"|Output"),"OUT",""))</f>
        <v/>
      </c>
      <c r="J76" s="33" t="str">
        <f aca="false">IF(COUNTIF(Flows!$M$2:$M$1500,$A76&amp;"|"&amp;J$1&amp;"|Input"),IF(COUNTIF(Flows!$M$2:$M$1500,$A76&amp;"|"&amp;J$1&amp;"|Output"),"I/O","IN"),IF(COUNTIF(Flows!$M$2:$M$1500,$A76&amp;"|"&amp;J$1&amp;"|Output"),"OUT",""))</f>
        <v>OUT</v>
      </c>
      <c r="K76" s="33" t="str">
        <f aca="false">IF(COUNTIF(Flows!$M$2:$M$1500,$A76&amp;"|"&amp;K$1&amp;"|Input"),IF(COUNTIF(Flows!$M$2:$M$1500,$A76&amp;"|"&amp;K$1&amp;"|Output"),"I/O","IN"),IF(COUNTIF(Flows!$M$2:$M$1500,$A76&amp;"|"&amp;K$1&amp;"|Output"),"OUT",""))</f>
        <v/>
      </c>
      <c r="L76" s="33" t="str">
        <f aca="false">IF(COUNTIF(Flows!$M$2:$M$1500,$A76&amp;"|"&amp;L$1&amp;"|Input"),IF(COUNTIF(Flows!$M$2:$M$1500,$A76&amp;"|"&amp;L$1&amp;"|Output"),"I/O","IN"),IF(COUNTIF(Flows!$M$2:$M$1500,$A76&amp;"|"&amp;L$1&amp;"|Output"),"OUT",""))</f>
        <v/>
      </c>
      <c r="M76" s="33" t="str">
        <f aca="false">IF(COUNTIF(Flows!$M$2:$M$1500,$A76&amp;"|"&amp;M$1&amp;"|Input"),IF(COUNTIF(Flows!$M$2:$M$1500,$A76&amp;"|"&amp;M$1&amp;"|Output"),"I/O","IN"),IF(COUNTIF(Flows!$M$2:$M$1500,$A76&amp;"|"&amp;M$1&amp;"|Output"),"OUT",""))</f>
        <v/>
      </c>
      <c r="N76" s="33" t="str">
        <f aca="false">IF(COUNTIF(Flows!$M$2:$M$1500,$A76&amp;"|"&amp;N$1&amp;"|Input"),IF(COUNTIF(Flows!$M$2:$M$1500,$A76&amp;"|"&amp;N$1&amp;"|Output"),"I/O","IN"),IF(COUNTIF(Flows!$M$2:$M$1500,$A76&amp;"|"&amp;N$1&amp;"|Output"),"OUT",""))</f>
        <v/>
      </c>
      <c r="O76" s="33" t="str">
        <f aca="false">IF(COUNTIF(Flows!$M$2:$M$1500,$A76&amp;"|"&amp;O$1&amp;"|Input"),IF(COUNTIF(Flows!$M$2:$M$1500,$A76&amp;"|"&amp;O$1&amp;"|Output"),"I/O","IN"),IF(COUNTIF(Flows!$M$2:$M$1500,$A76&amp;"|"&amp;O$1&amp;"|Output"),"OUT",""))</f>
        <v/>
      </c>
      <c r="P76" s="33" t="str">
        <f aca="false">IF(COUNTIF(Flows!$M$2:$M$1500,$A76&amp;"|"&amp;P$1&amp;"|Input"),IF(COUNTIF(Flows!$M$2:$M$1500,$A76&amp;"|"&amp;P$1&amp;"|Output"),"I/O","IN"),IF(COUNTIF(Flows!$M$2:$M$1500,$A76&amp;"|"&amp;P$1&amp;"|Output"),"OUT",""))</f>
        <v/>
      </c>
      <c r="Q76" s="33" t="str">
        <f aca="false">IF(COUNTIF(Flows!$M$2:$M$1500,$A76&amp;"|"&amp;Q$1&amp;"|Input"),IF(COUNTIF(Flows!$M$2:$M$1500,$A76&amp;"|"&amp;Q$1&amp;"|Output"),"I/O","IN"),IF(COUNTIF(Flows!$M$2:$M$1500,$A76&amp;"|"&amp;Q$1&amp;"|Output"),"OUT",""))</f>
        <v/>
      </c>
      <c r="R76" s="33" t="str">
        <f aca="false">IF(COUNTIF(Flows!$M$2:$M$1500,$A76&amp;"|"&amp;R$1&amp;"|Input"),IF(COUNTIF(Flows!$M$2:$M$1500,$A76&amp;"|"&amp;R$1&amp;"|Output"),"I/O","IN"),IF(COUNTIF(Flows!$M$2:$M$1500,$A76&amp;"|"&amp;R$1&amp;"|Output"),"OUT",""))</f>
        <v/>
      </c>
      <c r="S76" s="33" t="str">
        <f aca="false">IF(COUNTIF(Flows!$M$2:$M$1500,$A76&amp;"|"&amp;S$1&amp;"|Input"),IF(COUNTIF(Flows!$M$2:$M$1500,$A76&amp;"|"&amp;S$1&amp;"|Output"),"I/O","IN"),IF(COUNTIF(Flows!$M$2:$M$1500,$A76&amp;"|"&amp;S$1&amp;"|Output"),"OUT",""))</f>
        <v/>
      </c>
      <c r="T76" s="33" t="str">
        <f aca="false">IF(COUNTIF(Flows!$M$2:$M$1500,$A76&amp;"|"&amp;T$1&amp;"|Input"),IF(COUNTIF(Flows!$M$2:$M$1500,$A76&amp;"|"&amp;T$1&amp;"|Output"),"I/O","IN"),IF(COUNTIF(Flows!$M$2:$M$1500,$A76&amp;"|"&amp;T$1&amp;"|Output"),"OUT",""))</f>
        <v/>
      </c>
      <c r="U76" s="33" t="str">
        <f aca="false">IF(COUNTIF(Flows!$M$2:$M$1500,$A76&amp;"|"&amp;U$1&amp;"|Input"),IF(COUNTIF(Flows!$M$2:$M$1500,$A76&amp;"|"&amp;U$1&amp;"|Output"),"I/O","IN"),IF(COUNTIF(Flows!$M$2:$M$1500,$A76&amp;"|"&amp;U$1&amp;"|Output"),"OUT",""))</f>
        <v/>
      </c>
      <c r="V76" s="33" t="str">
        <f aca="false">IF(COUNTIF(Flows!$M$2:$M$1500,$A76&amp;"|"&amp;V$1&amp;"|Input"),IF(COUNTIF(Flows!$M$2:$M$1500,$A76&amp;"|"&amp;V$1&amp;"|Output"),"I/O","IN"),IF(COUNTIF(Flows!$M$2:$M$1500,$A76&amp;"|"&amp;V$1&amp;"|Output"),"OUT",""))</f>
        <v/>
      </c>
      <c r="W76" s="33" t="str">
        <f aca="false">IF(COUNTIF(Flows!$M$2:$M$1500,$A76&amp;"|"&amp;W$1&amp;"|Input"),IF(COUNTIF(Flows!$M$2:$M$1500,$A76&amp;"|"&amp;W$1&amp;"|Output"),"I/O","IN"),IF(COUNTIF(Flows!$M$2:$M$1500,$A76&amp;"|"&amp;W$1&amp;"|Output"),"OUT",""))</f>
        <v/>
      </c>
      <c r="X76" s="33" t="str">
        <f aca="false">IF(COUNTIF(Flows!$M$2:$M$1500,$A76&amp;"|"&amp;X$1&amp;"|Input"),IF(COUNTIF(Flows!$M$2:$M$1500,$A76&amp;"|"&amp;X$1&amp;"|Output"),"I/O","IN"),IF(COUNTIF(Flows!$M$2:$M$1500,$A76&amp;"|"&amp;X$1&amp;"|Output"),"OUT",""))</f>
        <v>IN</v>
      </c>
      <c r="Y76" s="33" t="str">
        <f aca="false">IF(COUNTIF(Flows!$M$2:$M$1500,$A76&amp;"|"&amp;Y$1&amp;"|Input"),IF(COUNTIF(Flows!$M$2:$M$1500,$A76&amp;"|"&amp;Y$1&amp;"|Output"),"I/O","IN"),IF(COUNTIF(Flows!$M$2:$M$1500,$A76&amp;"|"&amp;Y$1&amp;"|Output"),"OUT",""))</f>
        <v/>
      </c>
      <c r="Z76" s="33" t="str">
        <f aca="false">IF(COUNTIF(Flows!$M$2:$M$1500,$A76&amp;"|"&amp;Z$1&amp;"|Input"),IF(COUNTIF(Flows!$M$2:$M$1500,$A76&amp;"|"&amp;Z$1&amp;"|Output"),"I/O","IN"),IF(COUNTIF(Flows!$M$2:$M$1500,$A76&amp;"|"&amp;Z$1&amp;"|Output"),"OUT",""))</f>
        <v/>
      </c>
      <c r="AA76" s="33" t="str">
        <f aca="false">IF(COUNTIF(Flows!$M$2:$M$1500,$A76&amp;"|"&amp;AA$1&amp;"|Input"),IF(COUNTIF(Flows!$M$2:$M$1500,$A76&amp;"|"&amp;AA$1&amp;"|Output"),"I/O","IN"),IF(COUNTIF(Flows!$M$2:$M$1500,$A76&amp;"|"&amp;AA$1&amp;"|Output"),"OUT",""))</f>
        <v/>
      </c>
      <c r="AB76" s="33" t="str">
        <f aca="false">IF(COUNTIF(Flows!$M$2:$M$1500,$A76&amp;"|"&amp;AB$1&amp;"|Input"),IF(COUNTIF(Flows!$M$2:$M$1500,$A76&amp;"|"&amp;AB$1&amp;"|Output"),"I/O","IN"),IF(COUNTIF(Flows!$M$2:$M$1500,$A76&amp;"|"&amp;AB$1&amp;"|Output"),"OUT",""))</f>
        <v/>
      </c>
      <c r="AC76" s="33" t="str">
        <f aca="false">IF(COUNTIF(Flows!$M$2:$M$1500,$A76&amp;"|"&amp;AC$1&amp;"|Input"),IF(COUNTIF(Flows!$M$2:$M$1500,$A76&amp;"|"&amp;AC$1&amp;"|Output"),"I/O","IN"),IF(COUNTIF(Flows!$M$2:$M$1500,$A76&amp;"|"&amp;AC$1&amp;"|Output"),"OUT",""))</f>
        <v/>
      </c>
      <c r="AD76" s="33" t="str">
        <f aca="false">IF(COUNTIF(Flows!$M$2:$M$1500,$A76&amp;"|"&amp;AD$1&amp;"|Input"),IF(COUNTIF(Flows!$M$2:$M$1500,$A76&amp;"|"&amp;AD$1&amp;"|Output"),"I/O","IN"),IF(COUNTIF(Flows!$M$2:$M$1500,$A76&amp;"|"&amp;AD$1&amp;"|Output"),"OUT",""))</f>
        <v/>
      </c>
      <c r="AE76" s="33" t="str">
        <f aca="false">IF(COUNTIF(Flows!$M$2:$M$1500,$A76&amp;"|"&amp;AE$1&amp;"|Input"),IF(COUNTIF(Flows!$M$2:$M$1500,$A76&amp;"|"&amp;AE$1&amp;"|Output"),"I/O","IN"),IF(COUNTIF(Flows!$M$2:$M$1500,$A76&amp;"|"&amp;AE$1&amp;"|Output"),"OUT",""))</f>
        <v/>
      </c>
      <c r="AF76" s="33" t="str">
        <f aca="false">IF(COUNTIF(Flows!$M$2:$M$1500,$A76&amp;"|"&amp;AF$1&amp;"|Input"),IF(COUNTIF(Flows!$M$2:$M$1500,$A76&amp;"|"&amp;AF$1&amp;"|Output"),"I/O","IN"),IF(COUNTIF(Flows!$M$2:$M$1500,$A76&amp;"|"&amp;AF$1&amp;"|Output"),"OUT",""))</f>
        <v/>
      </c>
      <c r="AG76" s="33" t="str">
        <f aca="false">IF(COUNTIF(Flows!$M$2:$M$1500,$A76&amp;"|"&amp;AG$1&amp;"|Input"),IF(COUNTIF(Flows!$M$2:$M$1500,$A76&amp;"|"&amp;AG$1&amp;"|Output"),"I/O","IN"),IF(COUNTIF(Flows!$M$2:$M$1500,$A76&amp;"|"&amp;AG$1&amp;"|Output"),"OUT",""))</f>
        <v/>
      </c>
      <c r="AH76" s="33" t="str">
        <f aca="false">IF(COUNTIF(Flows!$M$2:$M$1500,$A76&amp;"|"&amp;AH$1&amp;"|Input"),IF(COUNTIF(Flows!$M$2:$M$1500,$A76&amp;"|"&amp;AH$1&amp;"|Output"),"I/O","IN"),IF(COUNTIF(Flows!$M$2:$M$1500,$A76&amp;"|"&amp;AH$1&amp;"|Output"),"OUT",""))</f>
        <v/>
      </c>
      <c r="AI76" s="33" t="str">
        <f aca="false">IF(COUNTIF(Flows!$M$2:$M$1500,$A76&amp;"|"&amp;AI$1&amp;"|Input"),IF(COUNTIF(Flows!$M$2:$M$1500,$A76&amp;"|"&amp;AI$1&amp;"|Output"),"I/O","IN"),IF(COUNTIF(Flows!$M$2:$M$1500,$A76&amp;"|"&amp;AI$1&amp;"|Output"),"OUT",""))</f>
        <v/>
      </c>
      <c r="AJ76" s="33" t="str">
        <f aca="false">IF(COUNTIF(Flows!$M$2:$M$1500,$A76&amp;"|"&amp;AJ$1&amp;"|Input"),IF(COUNTIF(Flows!$M$2:$M$1500,$A76&amp;"|"&amp;AJ$1&amp;"|Output"),"I/O","IN"),IF(COUNTIF(Flows!$M$2:$M$1500,$A76&amp;"|"&amp;AJ$1&amp;"|Output"),"OUT",""))</f>
        <v/>
      </c>
      <c r="AK76" s="33" t="str">
        <f aca="false">IF(COUNTIF(Flows!$M$2:$M$1500,$A76&amp;"|"&amp;AK$1&amp;"|Input"),IF(COUNTIF(Flows!$M$2:$M$1500,$A76&amp;"|"&amp;AK$1&amp;"|Output"),"I/O","IN"),IF(COUNTIF(Flows!$M$2:$M$1500,$A76&amp;"|"&amp;AK$1&amp;"|Output"),"OUT",""))</f>
        <v/>
      </c>
      <c r="AL76" s="33" t="str">
        <f aca="false">IF(COUNTIF(Flows!$M$2:$M$1500,$A76&amp;"|"&amp;AL$1&amp;"|Input"),IF(COUNTIF(Flows!$M$2:$M$1500,$A76&amp;"|"&amp;AL$1&amp;"|Output"),"I/O","IN"),IF(COUNTIF(Flows!$M$2:$M$1500,$A76&amp;"|"&amp;AL$1&amp;"|Output"),"OUT",""))</f>
        <v/>
      </c>
      <c r="AM76" s="33" t="str">
        <f aca="false">IF(COUNTIF(Flows!$M$2:$M$1500,$A76&amp;"|"&amp;AM$1&amp;"|Input"),IF(COUNTIF(Flows!$M$2:$M$1500,$A76&amp;"|"&amp;AM$1&amp;"|Output"),"I/O","IN"),IF(COUNTIF(Flows!$M$2:$M$1500,$A76&amp;"|"&amp;AM$1&amp;"|Output"),"OUT",""))</f>
        <v/>
      </c>
      <c r="AN76" s="33" t="str">
        <f aca="false">IF(COUNTIF(Flows!$M$2:$M$1500,$A76&amp;"|"&amp;AN$1&amp;"|Input"),IF(COUNTIF(Flows!$M$2:$M$1500,$A76&amp;"|"&amp;AN$1&amp;"|Output"),"I/O","IN"),IF(COUNTIF(Flows!$M$2:$M$1500,$A76&amp;"|"&amp;AN$1&amp;"|Output"),"OUT",""))</f>
        <v/>
      </c>
      <c r="AO76" s="33" t="str">
        <f aca="false">IF(COUNTIF(Flows!$M$2:$M$1500,$A76&amp;"|"&amp;AO$1&amp;"|Input"),IF(COUNTIF(Flows!$M$2:$M$1500,$A76&amp;"|"&amp;AO$1&amp;"|Output"),"I/O","IN"),IF(COUNTIF(Flows!$M$2:$M$1500,$A76&amp;"|"&amp;AO$1&amp;"|Output"),"OUT",""))</f>
        <v/>
      </c>
      <c r="AP76" s="33" t="str">
        <f aca="false">IF(COUNTIF(Flows!$M$2:$M$1500,$A76&amp;"|"&amp;AP$1&amp;"|Input"),IF(COUNTIF(Flows!$M$2:$M$1500,$A76&amp;"|"&amp;AP$1&amp;"|Output"),"I/O","IN"),IF(COUNTIF(Flows!$M$2:$M$1500,$A76&amp;"|"&amp;AP$1&amp;"|Output"),"OUT",""))</f>
        <v>IN</v>
      </c>
      <c r="AQ76" s="33" t="str">
        <f aca="false">IF(COUNTIF(Flows!$M$2:$M$1500,$A76&amp;"|"&amp;AQ$1&amp;"|Input"),IF(COUNTIF(Flows!$M$2:$M$1500,$A76&amp;"|"&amp;AQ$1&amp;"|Output"),"I/O","IN"),IF(COUNTIF(Flows!$M$2:$M$1500,$A76&amp;"|"&amp;AQ$1&amp;"|Output"),"OUT",""))</f>
        <v/>
      </c>
      <c r="AR76" s="33" t="str">
        <f aca="false">IF(COUNTIF(Flows!$M$2:$M$1500,$A76&amp;"|"&amp;AR$1&amp;"|Input"),IF(COUNTIF(Flows!$M$2:$M$1500,$A76&amp;"|"&amp;AR$1&amp;"|Output"),"I/O","IN"),IF(COUNTIF(Flows!$M$2:$M$1500,$A76&amp;"|"&amp;AR$1&amp;"|Output"),"OUT",""))</f>
        <v>IN</v>
      </c>
      <c r="AS76" s="33" t="str">
        <f aca="false">IF(COUNTIF(Flows!$M$2:$M$1500,$A76&amp;"|"&amp;AS$1&amp;"|Input"),IF(COUNTIF(Flows!$M$2:$M$1500,$A76&amp;"|"&amp;AS$1&amp;"|Output"),"I/O","IN"),IF(COUNTIF(Flows!$M$2:$M$1500,$A76&amp;"|"&amp;AS$1&amp;"|Output"),"OUT",""))</f>
        <v/>
      </c>
      <c r="AT76" s="33" t="str">
        <f aca="false">IF(COUNTIF(Flows!$M$2:$M$1500,$A76&amp;"|"&amp;AT$1&amp;"|Input"),IF(COUNTIF(Flows!$M$2:$M$1500,$A76&amp;"|"&amp;AT$1&amp;"|Output"),"I/O","IN"),IF(COUNTIF(Flows!$M$2:$M$1500,$A76&amp;"|"&amp;AT$1&amp;"|Output"),"OUT",""))</f>
        <v>OUT</v>
      </c>
      <c r="AU76" s="33" t="str">
        <f aca="false">IF(COUNTIF(Flows!$M$2:$M$1500,$A76&amp;"|"&amp;AU$1&amp;"|Input"),IF(COUNTIF(Flows!$M$2:$M$1500,$A76&amp;"|"&amp;AU$1&amp;"|Output"),"I/O","IN"),IF(COUNTIF(Flows!$M$2:$M$1500,$A76&amp;"|"&amp;AU$1&amp;"|Output"),"OUT",""))</f>
        <v/>
      </c>
      <c r="AV76" s="33" t="str">
        <f aca="false">IF(COUNTIF(Flows!$M$2:$M$1500,$A76&amp;"|"&amp;AV$1&amp;"|Input"),IF(COUNTIF(Flows!$M$2:$M$1500,$A76&amp;"|"&amp;AV$1&amp;"|Output"),"I/O","IN"),IF(COUNTIF(Flows!$M$2:$M$1500,$A76&amp;"|"&amp;AV$1&amp;"|Output"),"OUT",""))</f>
        <v/>
      </c>
      <c r="AW76" s="33" t="str">
        <f aca="false">IF(COUNTIF(Flows!$M$2:$M$1500,$A76&amp;"|"&amp;AW$1&amp;"|Input"),IF(COUNTIF(Flows!$M$2:$M$1500,$A76&amp;"|"&amp;AW$1&amp;"|Output"),"I/O","IN"),IF(COUNTIF(Flows!$M$2:$M$1500,$A76&amp;"|"&amp;AW$1&amp;"|Output"),"OUT",""))</f>
        <v/>
      </c>
      <c r="AX76" s="33" t="str">
        <f aca="false">IF(COUNTIF(Flows!$M$2:$M$1500,$A76&amp;"|"&amp;AX$1&amp;"|Input"),IF(COUNTIF(Flows!$M$2:$M$1500,$A76&amp;"|"&amp;AX$1&amp;"|Output"),"I/O","IN"),IF(COUNTIF(Flows!$M$2:$M$1500,$A76&amp;"|"&amp;AX$1&amp;"|Output"),"OUT",""))</f>
        <v>IN</v>
      </c>
      <c r="AY76" s="33" t="str">
        <f aca="false">IF(COUNTIF(Flows!$M$2:$M$1500,$A76&amp;"|"&amp;AY$1&amp;"|Input"),IF(COUNTIF(Flows!$M$2:$M$1500,$A76&amp;"|"&amp;AY$1&amp;"|Output"),"I/O","IN"),IF(COUNTIF(Flows!$M$2:$M$1500,$A76&amp;"|"&amp;AY$1&amp;"|Output"),"OUT",""))</f>
        <v/>
      </c>
      <c r="AZ76" s="33" t="str">
        <f aca="false">IF(COUNTIF(Flows!$M$2:$M$1500,$A76&amp;"|"&amp;AZ$1&amp;"|Input"),IF(COUNTIF(Flows!$M$2:$M$1500,$A76&amp;"|"&amp;AZ$1&amp;"|Output"),"I/O","IN"),IF(COUNTIF(Flows!$M$2:$M$1500,$A76&amp;"|"&amp;AZ$1&amp;"|Output"),"OUT",""))</f>
        <v>IN</v>
      </c>
      <c r="BA76" s="33" t="str">
        <f aca="false">IF(COUNTIF(Flows!$M$2:$M$1500,$A76&amp;"|"&amp;BA$1&amp;"|Input"),IF(COUNTIF(Flows!$M$2:$M$1500,$A76&amp;"|"&amp;BA$1&amp;"|Output"),"I/O","IN"),IF(COUNTIF(Flows!$M$2:$M$1500,$A76&amp;"|"&amp;BA$1&amp;"|Output"),"OUT",""))</f>
        <v>IN</v>
      </c>
      <c r="BB76" s="33" t="str">
        <f aca="false">IF(COUNTIF(Flows!$M$2:$M$1500,$A76&amp;"|"&amp;BB$1&amp;"|Input"),IF(COUNTIF(Flows!$M$2:$M$1500,$A76&amp;"|"&amp;BB$1&amp;"|Output"),"I/O","IN"),IF(COUNTIF(Flows!$M$2:$M$1500,$A76&amp;"|"&amp;BB$1&amp;"|Output"),"OUT",""))</f>
        <v/>
      </c>
      <c r="BC76" s="33" t="str">
        <f aca="false">IF(COUNTIF(Flows!$M$2:$M$1500,$A76&amp;"|"&amp;BC$1&amp;"|Input"),IF(COUNTIF(Flows!$M$2:$M$1500,$A76&amp;"|"&amp;BC$1&amp;"|Output"),"I/O","IN"),IF(COUNTIF(Flows!$M$2:$M$1500,$A76&amp;"|"&amp;BC$1&amp;"|Output"),"OUT",""))</f>
        <v/>
      </c>
      <c r="BD76" s="33" t="str">
        <f aca="false">IF(COUNTIF(Flows!$M$2:$M$1500,$A76&amp;"|"&amp;BD$1&amp;"|Input"),IF(COUNTIF(Flows!$M$2:$M$1500,$A76&amp;"|"&amp;BD$1&amp;"|Output"),"I/O","IN"),IF(COUNTIF(Flows!$M$2:$M$1500,$A76&amp;"|"&amp;BD$1&amp;"|Output"),"OUT",""))</f>
        <v/>
      </c>
      <c r="BE76" s="33" t="str">
        <f aca="false">IF(COUNTIF(Flows!$M$2:$M$1500,$A76&amp;"|"&amp;BE$1&amp;"|Input"),IF(COUNTIF(Flows!$M$2:$M$1500,$A76&amp;"|"&amp;BE$1&amp;"|Output"),"I/O","IN"),IF(COUNTIF(Flows!$M$2:$M$1500,$A76&amp;"|"&amp;BE$1&amp;"|Output"),"OUT",""))</f>
        <v/>
      </c>
      <c r="BF76" s="33" t="str">
        <f aca="false">IF(COUNTIF(Flows!$M$2:$M$1500,$A76&amp;"|"&amp;BF$1&amp;"|Input"),IF(COUNTIF(Flows!$M$2:$M$1500,$A76&amp;"|"&amp;BF$1&amp;"|Output"),"I/O","IN"),IF(COUNTIF(Flows!$M$2:$M$1500,$A76&amp;"|"&amp;BF$1&amp;"|Output"),"OUT",""))</f>
        <v/>
      </c>
      <c r="BG76" s="33" t="str">
        <f aca="false">IF(COUNTIF(Flows!$M$2:$M$1500,$A76&amp;"|"&amp;BG$1&amp;"|Input"),IF(COUNTIF(Flows!$M$2:$M$1500,$A76&amp;"|"&amp;BG$1&amp;"|Output"),"I/O","IN"),IF(COUNTIF(Flows!$M$2:$M$1500,$A76&amp;"|"&amp;BG$1&amp;"|Output"),"OUT",""))</f>
        <v/>
      </c>
      <c r="BH76" s="33" t="str">
        <f aca="false">IF(COUNTIF(Flows!$M$2:$M$1500,$A76&amp;"|"&amp;BH$1&amp;"|Input"),IF(COUNTIF(Flows!$M$2:$M$1500,$A76&amp;"|"&amp;BH$1&amp;"|Output"),"I/O","IN"),IF(COUNTIF(Flows!$M$2:$M$1500,$A76&amp;"|"&amp;BH$1&amp;"|Output"),"OUT",""))</f>
        <v/>
      </c>
      <c r="BI76" s="33" t="str">
        <f aca="false">IF(COUNTIF(Flows!$M$2:$M$1500,$A76&amp;"|"&amp;BI$1&amp;"|Input"),IF(COUNTIF(Flows!$M$2:$M$1500,$A76&amp;"|"&amp;BI$1&amp;"|Output"),"I/O","IN"),IF(COUNTIF(Flows!$M$2:$M$1500,$A76&amp;"|"&amp;BI$1&amp;"|Output"),"OUT",""))</f>
        <v/>
      </c>
      <c r="BJ76" s="33" t="str">
        <f aca="false">IF(COUNTIF(Flows!$M$2:$M$1500,$A76&amp;"|"&amp;BJ$1&amp;"|Input"),IF(COUNTIF(Flows!$M$2:$M$1500,$A76&amp;"|"&amp;BJ$1&amp;"|Output"),"I/O","IN"),IF(COUNTIF(Flows!$M$2:$M$1500,$A76&amp;"|"&amp;BJ$1&amp;"|Output"),"OUT",""))</f>
        <v>OUT</v>
      </c>
      <c r="BK76" s="33" t="str">
        <f aca="false">IF(COUNTIF(Flows!$M$2:$M$1500,$A76&amp;"|"&amp;BK$1&amp;"|Input"),IF(COUNTIF(Flows!$M$2:$M$1500,$A76&amp;"|"&amp;BK$1&amp;"|Output"),"I/O","IN"),IF(COUNTIF(Flows!$M$2:$M$1500,$A76&amp;"|"&amp;BK$1&amp;"|Output"),"OUT",""))</f>
        <v/>
      </c>
    </row>
    <row r="77" customFormat="false" ht="15" hidden="false" customHeight="true" outlineLevel="0" collapsed="false">
      <c r="A77" s="6" t="str">
        <f aca="false">Systems!B77</f>
        <v>Cargo Bike</v>
      </c>
      <c r="B77" s="33" t="str">
        <f aca="false">IF(COUNTIF(Flows!$M$2:$M$1500,$A77&amp;"|"&amp;B$1&amp;"|Input"),IF(COUNTIF(Flows!$M$2:$M$1500,$A77&amp;"|"&amp;B$1&amp;"|Output"),"I/O","IN"),IF(COUNTIF(Flows!$M$2:$M$1500,$A77&amp;"|"&amp;B$1&amp;"|Output"),"OUT",""))</f>
        <v/>
      </c>
      <c r="C77" s="33" t="str">
        <f aca="false">IF(COUNTIF(Flows!$M$2:$M$1500,$A77&amp;"|"&amp;C$1&amp;"|Input"),IF(COUNTIF(Flows!$M$2:$M$1500,$A77&amp;"|"&amp;C$1&amp;"|Output"),"I/O","IN"),IF(COUNTIF(Flows!$M$2:$M$1500,$A77&amp;"|"&amp;C$1&amp;"|Output"),"OUT",""))</f>
        <v/>
      </c>
      <c r="D77" s="33" t="str">
        <f aca="false">IF(COUNTIF(Flows!$M$2:$M$1500,$A77&amp;"|"&amp;D$1&amp;"|Input"),IF(COUNTIF(Flows!$M$2:$M$1500,$A77&amp;"|"&amp;D$1&amp;"|Output"),"I/O","IN"),IF(COUNTIF(Flows!$M$2:$M$1500,$A77&amp;"|"&amp;D$1&amp;"|Output"),"OUT",""))</f>
        <v/>
      </c>
      <c r="E77" s="33" t="str">
        <f aca="false">IF(COUNTIF(Flows!$M$2:$M$1500,$A77&amp;"|"&amp;E$1&amp;"|Input"),IF(COUNTIF(Flows!$M$2:$M$1500,$A77&amp;"|"&amp;E$1&amp;"|Output"),"I/O","IN"),IF(COUNTIF(Flows!$M$2:$M$1500,$A77&amp;"|"&amp;E$1&amp;"|Output"),"OUT",""))</f>
        <v/>
      </c>
      <c r="F77" s="33" t="str">
        <f aca="false">IF(COUNTIF(Flows!$M$2:$M$1500,$A77&amp;"|"&amp;F$1&amp;"|Input"),IF(COUNTIF(Flows!$M$2:$M$1500,$A77&amp;"|"&amp;F$1&amp;"|Output"),"I/O","IN"),IF(COUNTIF(Flows!$M$2:$M$1500,$A77&amp;"|"&amp;F$1&amp;"|Output"),"OUT",""))</f>
        <v>IN</v>
      </c>
      <c r="G77" s="33" t="str">
        <f aca="false">IF(COUNTIF(Flows!$M$2:$M$1500,$A77&amp;"|"&amp;G$1&amp;"|Input"),IF(COUNTIF(Flows!$M$2:$M$1500,$A77&amp;"|"&amp;G$1&amp;"|Output"),"I/O","IN"),IF(COUNTIF(Flows!$M$2:$M$1500,$A77&amp;"|"&amp;G$1&amp;"|Output"),"OUT",""))</f>
        <v/>
      </c>
      <c r="H77" s="33" t="str">
        <f aca="false">IF(COUNTIF(Flows!$M$2:$M$1500,$A77&amp;"|"&amp;H$1&amp;"|Input"),IF(COUNTIF(Flows!$M$2:$M$1500,$A77&amp;"|"&amp;H$1&amp;"|Output"),"I/O","IN"),IF(COUNTIF(Flows!$M$2:$M$1500,$A77&amp;"|"&amp;H$1&amp;"|Output"),"OUT",""))</f>
        <v/>
      </c>
      <c r="I77" s="33" t="str">
        <f aca="false">IF(COUNTIF(Flows!$M$2:$M$1500,$A77&amp;"|"&amp;I$1&amp;"|Input"),IF(COUNTIF(Flows!$M$2:$M$1500,$A77&amp;"|"&amp;I$1&amp;"|Output"),"I/O","IN"),IF(COUNTIF(Flows!$M$2:$M$1500,$A77&amp;"|"&amp;I$1&amp;"|Output"),"OUT",""))</f>
        <v/>
      </c>
      <c r="J77" s="33" t="str">
        <f aca="false">IF(COUNTIF(Flows!$M$2:$M$1500,$A77&amp;"|"&amp;J$1&amp;"|Input"),IF(COUNTIF(Flows!$M$2:$M$1500,$A77&amp;"|"&amp;J$1&amp;"|Output"),"I/O","IN"),IF(COUNTIF(Flows!$M$2:$M$1500,$A77&amp;"|"&amp;J$1&amp;"|Output"),"OUT",""))</f>
        <v/>
      </c>
      <c r="K77" s="33" t="str">
        <f aca="false">IF(COUNTIF(Flows!$M$2:$M$1500,$A77&amp;"|"&amp;K$1&amp;"|Input"),IF(COUNTIF(Flows!$M$2:$M$1500,$A77&amp;"|"&amp;K$1&amp;"|Output"),"I/O","IN"),IF(COUNTIF(Flows!$M$2:$M$1500,$A77&amp;"|"&amp;K$1&amp;"|Output"),"OUT",""))</f>
        <v/>
      </c>
      <c r="L77" s="33" t="str">
        <f aca="false">IF(COUNTIF(Flows!$M$2:$M$1500,$A77&amp;"|"&amp;L$1&amp;"|Input"),IF(COUNTIF(Flows!$M$2:$M$1500,$A77&amp;"|"&amp;L$1&amp;"|Output"),"I/O","IN"),IF(COUNTIF(Flows!$M$2:$M$1500,$A77&amp;"|"&amp;L$1&amp;"|Output"),"OUT",""))</f>
        <v/>
      </c>
      <c r="M77" s="33" t="str">
        <f aca="false">IF(COUNTIF(Flows!$M$2:$M$1500,$A77&amp;"|"&amp;M$1&amp;"|Input"),IF(COUNTIF(Flows!$M$2:$M$1500,$A77&amp;"|"&amp;M$1&amp;"|Output"),"I/O","IN"),IF(COUNTIF(Flows!$M$2:$M$1500,$A77&amp;"|"&amp;M$1&amp;"|Output"),"OUT",""))</f>
        <v/>
      </c>
      <c r="N77" s="33" t="str">
        <f aca="false">IF(COUNTIF(Flows!$M$2:$M$1500,$A77&amp;"|"&amp;N$1&amp;"|Input"),IF(COUNTIF(Flows!$M$2:$M$1500,$A77&amp;"|"&amp;N$1&amp;"|Output"),"I/O","IN"),IF(COUNTIF(Flows!$M$2:$M$1500,$A77&amp;"|"&amp;N$1&amp;"|Output"),"OUT",""))</f>
        <v/>
      </c>
      <c r="O77" s="33" t="str">
        <f aca="false">IF(COUNTIF(Flows!$M$2:$M$1500,$A77&amp;"|"&amp;O$1&amp;"|Input"),IF(COUNTIF(Flows!$M$2:$M$1500,$A77&amp;"|"&amp;O$1&amp;"|Output"),"I/O","IN"),IF(COUNTIF(Flows!$M$2:$M$1500,$A77&amp;"|"&amp;O$1&amp;"|Output"),"OUT",""))</f>
        <v/>
      </c>
      <c r="P77" s="33" t="str">
        <f aca="false">IF(COUNTIF(Flows!$M$2:$M$1500,$A77&amp;"|"&amp;P$1&amp;"|Input"),IF(COUNTIF(Flows!$M$2:$M$1500,$A77&amp;"|"&amp;P$1&amp;"|Output"),"I/O","IN"),IF(COUNTIF(Flows!$M$2:$M$1500,$A77&amp;"|"&amp;P$1&amp;"|Output"),"OUT",""))</f>
        <v/>
      </c>
      <c r="Q77" s="33" t="str">
        <f aca="false">IF(COUNTIF(Flows!$M$2:$M$1500,$A77&amp;"|"&amp;Q$1&amp;"|Input"),IF(COUNTIF(Flows!$M$2:$M$1500,$A77&amp;"|"&amp;Q$1&amp;"|Output"),"I/O","IN"),IF(COUNTIF(Flows!$M$2:$M$1500,$A77&amp;"|"&amp;Q$1&amp;"|Output"),"OUT",""))</f>
        <v/>
      </c>
      <c r="R77" s="33" t="str">
        <f aca="false">IF(COUNTIF(Flows!$M$2:$M$1500,$A77&amp;"|"&amp;R$1&amp;"|Input"),IF(COUNTIF(Flows!$M$2:$M$1500,$A77&amp;"|"&amp;R$1&amp;"|Output"),"I/O","IN"),IF(COUNTIF(Flows!$M$2:$M$1500,$A77&amp;"|"&amp;R$1&amp;"|Output"),"OUT",""))</f>
        <v/>
      </c>
      <c r="S77" s="33" t="str">
        <f aca="false">IF(COUNTIF(Flows!$M$2:$M$1500,$A77&amp;"|"&amp;S$1&amp;"|Input"),IF(COUNTIF(Flows!$M$2:$M$1500,$A77&amp;"|"&amp;S$1&amp;"|Output"),"I/O","IN"),IF(COUNTIF(Flows!$M$2:$M$1500,$A77&amp;"|"&amp;S$1&amp;"|Output"),"OUT",""))</f>
        <v/>
      </c>
      <c r="T77" s="33" t="str">
        <f aca="false">IF(COUNTIF(Flows!$M$2:$M$1500,$A77&amp;"|"&amp;T$1&amp;"|Input"),IF(COUNTIF(Flows!$M$2:$M$1500,$A77&amp;"|"&amp;T$1&amp;"|Output"),"I/O","IN"),IF(COUNTIF(Flows!$M$2:$M$1500,$A77&amp;"|"&amp;T$1&amp;"|Output"),"OUT",""))</f>
        <v>OUT</v>
      </c>
      <c r="U77" s="33" t="str">
        <f aca="false">IF(COUNTIF(Flows!$M$2:$M$1500,$A77&amp;"|"&amp;U$1&amp;"|Input"),IF(COUNTIF(Flows!$M$2:$M$1500,$A77&amp;"|"&amp;U$1&amp;"|Output"),"I/O","IN"),IF(COUNTIF(Flows!$M$2:$M$1500,$A77&amp;"|"&amp;U$1&amp;"|Output"),"OUT",""))</f>
        <v/>
      </c>
      <c r="V77" s="33" t="str">
        <f aca="false">IF(COUNTIF(Flows!$M$2:$M$1500,$A77&amp;"|"&amp;V$1&amp;"|Input"),IF(COUNTIF(Flows!$M$2:$M$1500,$A77&amp;"|"&amp;V$1&amp;"|Output"),"I/O","IN"),IF(COUNTIF(Flows!$M$2:$M$1500,$A77&amp;"|"&amp;V$1&amp;"|Output"),"OUT",""))</f>
        <v/>
      </c>
      <c r="W77" s="33" t="str">
        <f aca="false">IF(COUNTIF(Flows!$M$2:$M$1500,$A77&amp;"|"&amp;W$1&amp;"|Input"),IF(COUNTIF(Flows!$M$2:$M$1500,$A77&amp;"|"&amp;W$1&amp;"|Output"),"I/O","IN"),IF(COUNTIF(Flows!$M$2:$M$1500,$A77&amp;"|"&amp;W$1&amp;"|Output"),"OUT",""))</f>
        <v/>
      </c>
      <c r="X77" s="33" t="str">
        <f aca="false">IF(COUNTIF(Flows!$M$2:$M$1500,$A77&amp;"|"&amp;X$1&amp;"|Input"),IF(COUNTIF(Flows!$M$2:$M$1500,$A77&amp;"|"&amp;X$1&amp;"|Output"),"I/O","IN"),IF(COUNTIF(Flows!$M$2:$M$1500,$A77&amp;"|"&amp;X$1&amp;"|Output"),"OUT",""))</f>
        <v>IN</v>
      </c>
      <c r="Y77" s="33" t="str">
        <f aca="false">IF(COUNTIF(Flows!$M$2:$M$1500,$A77&amp;"|"&amp;Y$1&amp;"|Input"),IF(COUNTIF(Flows!$M$2:$M$1500,$A77&amp;"|"&amp;Y$1&amp;"|Output"),"I/O","IN"),IF(COUNTIF(Flows!$M$2:$M$1500,$A77&amp;"|"&amp;Y$1&amp;"|Output"),"OUT",""))</f>
        <v/>
      </c>
      <c r="Z77" s="33" t="str">
        <f aca="false">IF(COUNTIF(Flows!$M$2:$M$1500,$A77&amp;"|"&amp;Z$1&amp;"|Input"),IF(COUNTIF(Flows!$M$2:$M$1500,$A77&amp;"|"&amp;Z$1&amp;"|Output"),"I/O","IN"),IF(COUNTIF(Flows!$M$2:$M$1500,$A77&amp;"|"&amp;Z$1&amp;"|Output"),"OUT",""))</f>
        <v/>
      </c>
      <c r="AA77" s="33" t="str">
        <f aca="false">IF(COUNTIF(Flows!$M$2:$M$1500,$A77&amp;"|"&amp;AA$1&amp;"|Input"),IF(COUNTIF(Flows!$M$2:$M$1500,$A77&amp;"|"&amp;AA$1&amp;"|Output"),"I/O","IN"),IF(COUNTIF(Flows!$M$2:$M$1500,$A77&amp;"|"&amp;AA$1&amp;"|Output"),"OUT",""))</f>
        <v/>
      </c>
      <c r="AB77" s="33" t="str">
        <f aca="false">IF(COUNTIF(Flows!$M$2:$M$1500,$A77&amp;"|"&amp;AB$1&amp;"|Input"),IF(COUNTIF(Flows!$M$2:$M$1500,$A77&amp;"|"&amp;AB$1&amp;"|Output"),"I/O","IN"),IF(COUNTIF(Flows!$M$2:$M$1500,$A77&amp;"|"&amp;AB$1&amp;"|Output"),"OUT",""))</f>
        <v/>
      </c>
      <c r="AC77" s="33" t="str">
        <f aca="false">IF(COUNTIF(Flows!$M$2:$M$1500,$A77&amp;"|"&amp;AC$1&amp;"|Input"),IF(COUNTIF(Flows!$M$2:$M$1500,$A77&amp;"|"&amp;AC$1&amp;"|Output"),"I/O","IN"),IF(COUNTIF(Flows!$M$2:$M$1500,$A77&amp;"|"&amp;AC$1&amp;"|Output"),"OUT",""))</f>
        <v/>
      </c>
      <c r="AD77" s="33" t="str">
        <f aca="false">IF(COUNTIF(Flows!$M$2:$M$1500,$A77&amp;"|"&amp;AD$1&amp;"|Input"),IF(COUNTIF(Flows!$M$2:$M$1500,$A77&amp;"|"&amp;AD$1&amp;"|Output"),"I/O","IN"),IF(COUNTIF(Flows!$M$2:$M$1500,$A77&amp;"|"&amp;AD$1&amp;"|Output"),"OUT",""))</f>
        <v/>
      </c>
      <c r="AE77" s="33" t="str">
        <f aca="false">IF(COUNTIF(Flows!$M$2:$M$1500,$A77&amp;"|"&amp;AE$1&amp;"|Input"),IF(COUNTIF(Flows!$M$2:$M$1500,$A77&amp;"|"&amp;AE$1&amp;"|Output"),"I/O","IN"),IF(COUNTIF(Flows!$M$2:$M$1500,$A77&amp;"|"&amp;AE$1&amp;"|Output"),"OUT",""))</f>
        <v/>
      </c>
      <c r="AF77" s="33" t="str">
        <f aca="false">IF(COUNTIF(Flows!$M$2:$M$1500,$A77&amp;"|"&amp;AF$1&amp;"|Input"),IF(COUNTIF(Flows!$M$2:$M$1500,$A77&amp;"|"&amp;AF$1&amp;"|Output"),"I/O","IN"),IF(COUNTIF(Flows!$M$2:$M$1500,$A77&amp;"|"&amp;AF$1&amp;"|Output"),"OUT",""))</f>
        <v/>
      </c>
      <c r="AG77" s="33" t="str">
        <f aca="false">IF(COUNTIF(Flows!$M$2:$M$1500,$A77&amp;"|"&amp;AG$1&amp;"|Input"),IF(COUNTIF(Flows!$M$2:$M$1500,$A77&amp;"|"&amp;AG$1&amp;"|Output"),"I/O","IN"),IF(COUNTIF(Flows!$M$2:$M$1500,$A77&amp;"|"&amp;AG$1&amp;"|Output"),"OUT",""))</f>
        <v/>
      </c>
      <c r="AH77" s="33" t="str">
        <f aca="false">IF(COUNTIF(Flows!$M$2:$M$1500,$A77&amp;"|"&amp;AH$1&amp;"|Input"),IF(COUNTIF(Flows!$M$2:$M$1500,$A77&amp;"|"&amp;AH$1&amp;"|Output"),"I/O","IN"),IF(COUNTIF(Flows!$M$2:$M$1500,$A77&amp;"|"&amp;AH$1&amp;"|Output"),"OUT",""))</f>
        <v>IN</v>
      </c>
      <c r="AI77" s="33" t="str">
        <f aca="false">IF(COUNTIF(Flows!$M$2:$M$1500,$A77&amp;"|"&amp;AI$1&amp;"|Input"),IF(COUNTIF(Flows!$M$2:$M$1500,$A77&amp;"|"&amp;AI$1&amp;"|Output"),"I/O","IN"),IF(COUNTIF(Flows!$M$2:$M$1500,$A77&amp;"|"&amp;AI$1&amp;"|Output"),"OUT",""))</f>
        <v/>
      </c>
      <c r="AJ77" s="33" t="str">
        <f aca="false">IF(COUNTIF(Flows!$M$2:$M$1500,$A77&amp;"|"&amp;AJ$1&amp;"|Input"),IF(COUNTIF(Flows!$M$2:$M$1500,$A77&amp;"|"&amp;AJ$1&amp;"|Output"),"I/O","IN"),IF(COUNTIF(Flows!$M$2:$M$1500,$A77&amp;"|"&amp;AJ$1&amp;"|Output"),"OUT",""))</f>
        <v/>
      </c>
      <c r="AK77" s="33" t="str">
        <f aca="false">IF(COUNTIF(Flows!$M$2:$M$1500,$A77&amp;"|"&amp;AK$1&amp;"|Input"),IF(COUNTIF(Flows!$M$2:$M$1500,$A77&amp;"|"&amp;AK$1&amp;"|Output"),"I/O","IN"),IF(COUNTIF(Flows!$M$2:$M$1500,$A77&amp;"|"&amp;AK$1&amp;"|Output"),"OUT",""))</f>
        <v/>
      </c>
      <c r="AL77" s="33" t="str">
        <f aca="false">IF(COUNTIF(Flows!$M$2:$M$1500,$A77&amp;"|"&amp;AL$1&amp;"|Input"),IF(COUNTIF(Flows!$M$2:$M$1500,$A77&amp;"|"&amp;AL$1&amp;"|Output"),"I/O","IN"),IF(COUNTIF(Flows!$M$2:$M$1500,$A77&amp;"|"&amp;AL$1&amp;"|Output"),"OUT",""))</f>
        <v/>
      </c>
      <c r="AM77" s="33" t="str">
        <f aca="false">IF(COUNTIF(Flows!$M$2:$M$1500,$A77&amp;"|"&amp;AM$1&amp;"|Input"),IF(COUNTIF(Flows!$M$2:$M$1500,$A77&amp;"|"&amp;AM$1&amp;"|Output"),"I/O","IN"),IF(COUNTIF(Flows!$M$2:$M$1500,$A77&amp;"|"&amp;AM$1&amp;"|Output"),"OUT",""))</f>
        <v/>
      </c>
      <c r="AN77" s="33" t="str">
        <f aca="false">IF(COUNTIF(Flows!$M$2:$M$1500,$A77&amp;"|"&amp;AN$1&amp;"|Input"),IF(COUNTIF(Flows!$M$2:$M$1500,$A77&amp;"|"&amp;AN$1&amp;"|Output"),"I/O","IN"),IF(COUNTIF(Flows!$M$2:$M$1500,$A77&amp;"|"&amp;AN$1&amp;"|Output"),"OUT",""))</f>
        <v/>
      </c>
      <c r="AO77" s="33" t="str">
        <f aca="false">IF(COUNTIF(Flows!$M$2:$M$1500,$A77&amp;"|"&amp;AO$1&amp;"|Input"),IF(COUNTIF(Flows!$M$2:$M$1500,$A77&amp;"|"&amp;AO$1&amp;"|Output"),"I/O","IN"),IF(COUNTIF(Flows!$M$2:$M$1500,$A77&amp;"|"&amp;AO$1&amp;"|Output"),"OUT",""))</f>
        <v/>
      </c>
      <c r="AP77" s="33" t="str">
        <f aca="false">IF(COUNTIF(Flows!$M$2:$M$1500,$A77&amp;"|"&amp;AP$1&amp;"|Input"),IF(COUNTIF(Flows!$M$2:$M$1500,$A77&amp;"|"&amp;AP$1&amp;"|Output"),"I/O","IN"),IF(COUNTIF(Flows!$M$2:$M$1500,$A77&amp;"|"&amp;AP$1&amp;"|Output"),"OUT",""))</f>
        <v/>
      </c>
      <c r="AQ77" s="33" t="str">
        <f aca="false">IF(COUNTIF(Flows!$M$2:$M$1500,$A77&amp;"|"&amp;AQ$1&amp;"|Input"),IF(COUNTIF(Flows!$M$2:$M$1500,$A77&amp;"|"&amp;AQ$1&amp;"|Output"),"I/O","IN"),IF(COUNTIF(Flows!$M$2:$M$1500,$A77&amp;"|"&amp;AQ$1&amp;"|Output"),"OUT",""))</f>
        <v/>
      </c>
      <c r="AR77" s="33" t="str">
        <f aca="false">IF(COUNTIF(Flows!$M$2:$M$1500,$A77&amp;"|"&amp;AR$1&amp;"|Input"),IF(COUNTIF(Flows!$M$2:$M$1500,$A77&amp;"|"&amp;AR$1&amp;"|Output"),"I/O","IN"),IF(COUNTIF(Flows!$M$2:$M$1500,$A77&amp;"|"&amp;AR$1&amp;"|Output"),"OUT",""))</f>
        <v/>
      </c>
      <c r="AS77" s="33" t="str">
        <f aca="false">IF(COUNTIF(Flows!$M$2:$M$1500,$A77&amp;"|"&amp;AS$1&amp;"|Input"),IF(COUNTIF(Flows!$M$2:$M$1500,$A77&amp;"|"&amp;AS$1&amp;"|Output"),"I/O","IN"),IF(COUNTIF(Flows!$M$2:$M$1500,$A77&amp;"|"&amp;AS$1&amp;"|Output"),"OUT",""))</f>
        <v/>
      </c>
      <c r="AT77" s="33" t="str">
        <f aca="false">IF(COUNTIF(Flows!$M$2:$M$1500,$A77&amp;"|"&amp;AT$1&amp;"|Input"),IF(COUNTIF(Flows!$M$2:$M$1500,$A77&amp;"|"&amp;AT$1&amp;"|Output"),"I/O","IN"),IF(COUNTIF(Flows!$M$2:$M$1500,$A77&amp;"|"&amp;AT$1&amp;"|Output"),"OUT",""))</f>
        <v/>
      </c>
      <c r="AU77" s="33" t="str">
        <f aca="false">IF(COUNTIF(Flows!$M$2:$M$1500,$A77&amp;"|"&amp;AU$1&amp;"|Input"),IF(COUNTIF(Flows!$M$2:$M$1500,$A77&amp;"|"&amp;AU$1&amp;"|Output"),"I/O","IN"),IF(COUNTIF(Flows!$M$2:$M$1500,$A77&amp;"|"&amp;AU$1&amp;"|Output"),"OUT",""))</f>
        <v/>
      </c>
      <c r="AV77" s="33" t="str">
        <f aca="false">IF(COUNTIF(Flows!$M$2:$M$1500,$A77&amp;"|"&amp;AV$1&amp;"|Input"),IF(COUNTIF(Flows!$M$2:$M$1500,$A77&amp;"|"&amp;AV$1&amp;"|Output"),"I/O","IN"),IF(COUNTIF(Flows!$M$2:$M$1500,$A77&amp;"|"&amp;AV$1&amp;"|Output"),"OUT",""))</f>
        <v/>
      </c>
      <c r="AW77" s="33" t="str">
        <f aca="false">IF(COUNTIF(Flows!$M$2:$M$1500,$A77&amp;"|"&amp;AW$1&amp;"|Input"),IF(COUNTIF(Flows!$M$2:$M$1500,$A77&amp;"|"&amp;AW$1&amp;"|Output"),"I/O","IN"),IF(COUNTIF(Flows!$M$2:$M$1500,$A77&amp;"|"&amp;AW$1&amp;"|Output"),"OUT",""))</f>
        <v/>
      </c>
      <c r="AX77" s="33" t="str">
        <f aca="false">IF(COUNTIF(Flows!$M$2:$M$1500,$A77&amp;"|"&amp;AX$1&amp;"|Input"),IF(COUNTIF(Flows!$M$2:$M$1500,$A77&amp;"|"&amp;AX$1&amp;"|Output"),"I/O","IN"),IF(COUNTIF(Flows!$M$2:$M$1500,$A77&amp;"|"&amp;AX$1&amp;"|Output"),"OUT",""))</f>
        <v/>
      </c>
      <c r="AY77" s="33" t="str">
        <f aca="false">IF(COUNTIF(Flows!$M$2:$M$1500,$A77&amp;"|"&amp;AY$1&amp;"|Input"),IF(COUNTIF(Flows!$M$2:$M$1500,$A77&amp;"|"&amp;AY$1&amp;"|Output"),"I/O","IN"),IF(COUNTIF(Flows!$M$2:$M$1500,$A77&amp;"|"&amp;AY$1&amp;"|Output"),"OUT",""))</f>
        <v/>
      </c>
      <c r="AZ77" s="33" t="str">
        <f aca="false">IF(COUNTIF(Flows!$M$2:$M$1500,$A77&amp;"|"&amp;AZ$1&amp;"|Input"),IF(COUNTIF(Flows!$M$2:$M$1500,$A77&amp;"|"&amp;AZ$1&amp;"|Output"),"I/O","IN"),IF(COUNTIF(Flows!$M$2:$M$1500,$A77&amp;"|"&amp;AZ$1&amp;"|Output"),"OUT",""))</f>
        <v/>
      </c>
      <c r="BA77" s="33" t="str">
        <f aca="false">IF(COUNTIF(Flows!$M$2:$M$1500,$A77&amp;"|"&amp;BA$1&amp;"|Input"),IF(COUNTIF(Flows!$M$2:$M$1500,$A77&amp;"|"&amp;BA$1&amp;"|Output"),"I/O","IN"),IF(COUNTIF(Flows!$M$2:$M$1500,$A77&amp;"|"&amp;BA$1&amp;"|Output"),"OUT",""))</f>
        <v/>
      </c>
      <c r="BB77" s="33" t="str">
        <f aca="false">IF(COUNTIF(Flows!$M$2:$M$1500,$A77&amp;"|"&amp;BB$1&amp;"|Input"),IF(COUNTIF(Flows!$M$2:$M$1500,$A77&amp;"|"&amp;BB$1&amp;"|Output"),"I/O","IN"),IF(COUNTIF(Flows!$M$2:$M$1500,$A77&amp;"|"&amp;BB$1&amp;"|Output"),"OUT",""))</f>
        <v/>
      </c>
      <c r="BC77" s="33" t="str">
        <f aca="false">IF(COUNTIF(Flows!$M$2:$M$1500,$A77&amp;"|"&amp;BC$1&amp;"|Input"),IF(COUNTIF(Flows!$M$2:$M$1500,$A77&amp;"|"&amp;BC$1&amp;"|Output"),"I/O","IN"),IF(COUNTIF(Flows!$M$2:$M$1500,$A77&amp;"|"&amp;BC$1&amp;"|Output"),"OUT",""))</f>
        <v/>
      </c>
      <c r="BD77" s="33" t="str">
        <f aca="false">IF(COUNTIF(Flows!$M$2:$M$1500,$A77&amp;"|"&amp;BD$1&amp;"|Input"),IF(COUNTIF(Flows!$M$2:$M$1500,$A77&amp;"|"&amp;BD$1&amp;"|Output"),"I/O","IN"),IF(COUNTIF(Flows!$M$2:$M$1500,$A77&amp;"|"&amp;BD$1&amp;"|Output"),"OUT",""))</f>
        <v/>
      </c>
      <c r="BE77" s="33" t="str">
        <f aca="false">IF(COUNTIF(Flows!$M$2:$M$1500,$A77&amp;"|"&amp;BE$1&amp;"|Input"),IF(COUNTIF(Flows!$M$2:$M$1500,$A77&amp;"|"&amp;BE$1&amp;"|Output"),"I/O","IN"),IF(COUNTIF(Flows!$M$2:$M$1500,$A77&amp;"|"&amp;BE$1&amp;"|Output"),"OUT",""))</f>
        <v/>
      </c>
      <c r="BF77" s="33" t="str">
        <f aca="false">IF(COUNTIF(Flows!$M$2:$M$1500,$A77&amp;"|"&amp;BF$1&amp;"|Input"),IF(COUNTIF(Flows!$M$2:$M$1500,$A77&amp;"|"&amp;BF$1&amp;"|Output"),"I/O","IN"),IF(COUNTIF(Flows!$M$2:$M$1500,$A77&amp;"|"&amp;BF$1&amp;"|Output"),"OUT",""))</f>
        <v/>
      </c>
      <c r="BG77" s="33" t="str">
        <f aca="false">IF(COUNTIF(Flows!$M$2:$M$1500,$A77&amp;"|"&amp;BG$1&amp;"|Input"),IF(COUNTIF(Flows!$M$2:$M$1500,$A77&amp;"|"&amp;BG$1&amp;"|Output"),"I/O","IN"),IF(COUNTIF(Flows!$M$2:$M$1500,$A77&amp;"|"&amp;BG$1&amp;"|Output"),"OUT",""))</f>
        <v/>
      </c>
      <c r="BH77" s="33" t="str">
        <f aca="false">IF(COUNTIF(Flows!$M$2:$M$1500,$A77&amp;"|"&amp;BH$1&amp;"|Input"),IF(COUNTIF(Flows!$M$2:$M$1500,$A77&amp;"|"&amp;BH$1&amp;"|Output"),"I/O","IN"),IF(COUNTIF(Flows!$M$2:$M$1500,$A77&amp;"|"&amp;BH$1&amp;"|Output"),"OUT",""))</f>
        <v/>
      </c>
      <c r="BI77" s="33" t="str">
        <f aca="false">IF(COUNTIF(Flows!$M$2:$M$1500,$A77&amp;"|"&amp;BI$1&amp;"|Input"),IF(COUNTIF(Flows!$M$2:$M$1500,$A77&amp;"|"&amp;BI$1&amp;"|Output"),"I/O","IN"),IF(COUNTIF(Flows!$M$2:$M$1500,$A77&amp;"|"&amp;BI$1&amp;"|Output"),"OUT",""))</f>
        <v/>
      </c>
      <c r="BJ77" s="33" t="str">
        <f aca="false">IF(COUNTIF(Flows!$M$2:$M$1500,$A77&amp;"|"&amp;BJ$1&amp;"|Input"),IF(COUNTIF(Flows!$M$2:$M$1500,$A77&amp;"|"&amp;BJ$1&amp;"|Output"),"I/O","IN"),IF(COUNTIF(Flows!$M$2:$M$1500,$A77&amp;"|"&amp;BJ$1&amp;"|Output"),"OUT",""))</f>
        <v/>
      </c>
      <c r="BK77" s="33" t="str">
        <f aca="false">IF(COUNTIF(Flows!$M$2:$M$1500,$A77&amp;"|"&amp;BK$1&amp;"|Input"),IF(COUNTIF(Flows!$M$2:$M$1500,$A77&amp;"|"&amp;BK$1&amp;"|Output"),"I/O","IN"),IF(COUNTIF(Flows!$M$2:$M$1500,$A77&amp;"|"&amp;BK$1&amp;"|Output"),"OUT",""))</f>
        <v>OUT</v>
      </c>
    </row>
    <row r="78" customFormat="false" ht="15" hidden="false" customHeight="true" outlineLevel="0" collapsed="false">
      <c r="A78" s="6" t="str">
        <f aca="false">Systems!B78</f>
        <v>Poplar Tree</v>
      </c>
      <c r="B78" s="33" t="str">
        <f aca="false">IF(COUNTIF(Flows!$M$2:$M$1500,$A78&amp;"|"&amp;B$1&amp;"|Input"),IF(COUNTIF(Flows!$M$2:$M$1500,$A78&amp;"|"&amp;B$1&amp;"|Output"),"I/O","IN"),IF(COUNTIF(Flows!$M$2:$M$1500,$A78&amp;"|"&amp;B$1&amp;"|Output"),"OUT",""))</f>
        <v>IN</v>
      </c>
      <c r="C78" s="33" t="str">
        <f aca="false">IF(COUNTIF(Flows!$M$2:$M$1500,$A78&amp;"|"&amp;C$1&amp;"|Input"),IF(COUNTIF(Flows!$M$2:$M$1500,$A78&amp;"|"&amp;C$1&amp;"|Output"),"I/O","IN"),IF(COUNTIF(Flows!$M$2:$M$1500,$A78&amp;"|"&amp;C$1&amp;"|Output"),"OUT",""))</f>
        <v/>
      </c>
      <c r="D78" s="33" t="str">
        <f aca="false">IF(COUNTIF(Flows!$M$2:$M$1500,$A78&amp;"|"&amp;D$1&amp;"|Input"),IF(COUNTIF(Flows!$M$2:$M$1500,$A78&amp;"|"&amp;D$1&amp;"|Output"),"I/O","IN"),IF(COUNTIF(Flows!$M$2:$M$1500,$A78&amp;"|"&amp;D$1&amp;"|Output"),"OUT",""))</f>
        <v/>
      </c>
      <c r="E78" s="33" t="str">
        <f aca="false">IF(COUNTIF(Flows!$M$2:$M$1500,$A78&amp;"|"&amp;E$1&amp;"|Input"),IF(COUNTIF(Flows!$M$2:$M$1500,$A78&amp;"|"&amp;E$1&amp;"|Output"),"I/O","IN"),IF(COUNTIF(Flows!$M$2:$M$1500,$A78&amp;"|"&amp;E$1&amp;"|Output"),"OUT",""))</f>
        <v/>
      </c>
      <c r="F78" s="33" t="str">
        <f aca="false">IF(COUNTIF(Flows!$M$2:$M$1500,$A78&amp;"|"&amp;F$1&amp;"|Input"),IF(COUNTIF(Flows!$M$2:$M$1500,$A78&amp;"|"&amp;F$1&amp;"|Output"),"I/O","IN"),IF(COUNTIF(Flows!$M$2:$M$1500,$A78&amp;"|"&amp;F$1&amp;"|Output"),"OUT",""))</f>
        <v/>
      </c>
      <c r="G78" s="33" t="str">
        <f aca="false">IF(COUNTIF(Flows!$M$2:$M$1500,$A78&amp;"|"&amp;G$1&amp;"|Input"),IF(COUNTIF(Flows!$M$2:$M$1500,$A78&amp;"|"&amp;G$1&amp;"|Output"),"I/O","IN"),IF(COUNTIF(Flows!$M$2:$M$1500,$A78&amp;"|"&amp;G$1&amp;"|Output"),"OUT",""))</f>
        <v/>
      </c>
      <c r="H78" s="33" t="str">
        <f aca="false">IF(COUNTIF(Flows!$M$2:$M$1500,$A78&amp;"|"&amp;H$1&amp;"|Input"),IF(COUNTIF(Flows!$M$2:$M$1500,$A78&amp;"|"&amp;H$1&amp;"|Output"),"I/O","IN"),IF(COUNTIF(Flows!$M$2:$M$1500,$A78&amp;"|"&amp;H$1&amp;"|Output"),"OUT",""))</f>
        <v/>
      </c>
      <c r="I78" s="33" t="str">
        <f aca="false">IF(COUNTIF(Flows!$M$2:$M$1500,$A78&amp;"|"&amp;I$1&amp;"|Input"),IF(COUNTIF(Flows!$M$2:$M$1500,$A78&amp;"|"&amp;I$1&amp;"|Output"),"I/O","IN"),IF(COUNTIF(Flows!$M$2:$M$1500,$A78&amp;"|"&amp;I$1&amp;"|Output"),"OUT",""))</f>
        <v/>
      </c>
      <c r="J78" s="33" t="str">
        <f aca="false">IF(COUNTIF(Flows!$M$2:$M$1500,$A78&amp;"|"&amp;J$1&amp;"|Input"),IF(COUNTIF(Flows!$M$2:$M$1500,$A78&amp;"|"&amp;J$1&amp;"|Output"),"I/O","IN"),IF(COUNTIF(Flows!$M$2:$M$1500,$A78&amp;"|"&amp;J$1&amp;"|Output"),"OUT",""))</f>
        <v/>
      </c>
      <c r="K78" s="33" t="str">
        <f aca="false">IF(COUNTIF(Flows!$M$2:$M$1500,$A78&amp;"|"&amp;K$1&amp;"|Input"),IF(COUNTIF(Flows!$M$2:$M$1500,$A78&amp;"|"&amp;K$1&amp;"|Output"),"I/O","IN"),IF(COUNTIF(Flows!$M$2:$M$1500,$A78&amp;"|"&amp;K$1&amp;"|Output"),"OUT",""))</f>
        <v/>
      </c>
      <c r="L78" s="33" t="str">
        <f aca="false">IF(COUNTIF(Flows!$M$2:$M$1500,$A78&amp;"|"&amp;L$1&amp;"|Input"),IF(COUNTIF(Flows!$M$2:$M$1500,$A78&amp;"|"&amp;L$1&amp;"|Output"),"I/O","IN"),IF(COUNTIF(Flows!$M$2:$M$1500,$A78&amp;"|"&amp;L$1&amp;"|Output"),"OUT",""))</f>
        <v/>
      </c>
      <c r="M78" s="33" t="str">
        <f aca="false">IF(COUNTIF(Flows!$M$2:$M$1500,$A78&amp;"|"&amp;M$1&amp;"|Input"),IF(COUNTIF(Flows!$M$2:$M$1500,$A78&amp;"|"&amp;M$1&amp;"|Output"),"I/O","IN"),IF(COUNTIF(Flows!$M$2:$M$1500,$A78&amp;"|"&amp;M$1&amp;"|Output"),"OUT",""))</f>
        <v/>
      </c>
      <c r="N78" s="33" t="str">
        <f aca="false">IF(COUNTIF(Flows!$M$2:$M$1500,$A78&amp;"|"&amp;N$1&amp;"|Input"),IF(COUNTIF(Flows!$M$2:$M$1500,$A78&amp;"|"&amp;N$1&amp;"|Output"),"I/O","IN"),IF(COUNTIF(Flows!$M$2:$M$1500,$A78&amp;"|"&amp;N$1&amp;"|Output"),"OUT",""))</f>
        <v/>
      </c>
      <c r="O78" s="33" t="str">
        <f aca="false">IF(COUNTIF(Flows!$M$2:$M$1500,$A78&amp;"|"&amp;O$1&amp;"|Input"),IF(COUNTIF(Flows!$M$2:$M$1500,$A78&amp;"|"&amp;O$1&amp;"|Output"),"I/O","IN"),IF(COUNTIF(Flows!$M$2:$M$1500,$A78&amp;"|"&amp;O$1&amp;"|Output"),"OUT",""))</f>
        <v/>
      </c>
      <c r="P78" s="33" t="str">
        <f aca="false">IF(COUNTIF(Flows!$M$2:$M$1500,$A78&amp;"|"&amp;P$1&amp;"|Input"),IF(COUNTIF(Flows!$M$2:$M$1500,$A78&amp;"|"&amp;P$1&amp;"|Output"),"I/O","IN"),IF(COUNTIF(Flows!$M$2:$M$1500,$A78&amp;"|"&amp;P$1&amp;"|Output"),"OUT",""))</f>
        <v/>
      </c>
      <c r="Q78" s="33" t="str">
        <f aca="false">IF(COUNTIF(Flows!$M$2:$M$1500,$A78&amp;"|"&amp;Q$1&amp;"|Input"),IF(COUNTIF(Flows!$M$2:$M$1500,$A78&amp;"|"&amp;Q$1&amp;"|Output"),"I/O","IN"),IF(COUNTIF(Flows!$M$2:$M$1500,$A78&amp;"|"&amp;Q$1&amp;"|Output"),"OUT",""))</f>
        <v/>
      </c>
      <c r="R78" s="33" t="str">
        <f aca="false">IF(COUNTIF(Flows!$M$2:$M$1500,$A78&amp;"|"&amp;R$1&amp;"|Input"),IF(COUNTIF(Flows!$M$2:$M$1500,$A78&amp;"|"&amp;R$1&amp;"|Output"),"I/O","IN"),IF(COUNTIF(Flows!$M$2:$M$1500,$A78&amp;"|"&amp;R$1&amp;"|Output"),"OUT",""))</f>
        <v/>
      </c>
      <c r="S78" s="33" t="str">
        <f aca="false">IF(COUNTIF(Flows!$M$2:$M$1500,$A78&amp;"|"&amp;S$1&amp;"|Input"),IF(COUNTIF(Flows!$M$2:$M$1500,$A78&amp;"|"&amp;S$1&amp;"|Output"),"I/O","IN"),IF(COUNTIF(Flows!$M$2:$M$1500,$A78&amp;"|"&amp;S$1&amp;"|Output"),"OUT",""))</f>
        <v/>
      </c>
      <c r="T78" s="33" t="str">
        <f aca="false">IF(COUNTIF(Flows!$M$2:$M$1500,$A78&amp;"|"&amp;T$1&amp;"|Input"),IF(COUNTIF(Flows!$M$2:$M$1500,$A78&amp;"|"&amp;T$1&amp;"|Output"),"I/O","IN"),IF(COUNTIF(Flows!$M$2:$M$1500,$A78&amp;"|"&amp;T$1&amp;"|Output"),"OUT",""))</f>
        <v/>
      </c>
      <c r="U78" s="33" t="str">
        <f aca="false">IF(COUNTIF(Flows!$M$2:$M$1500,$A78&amp;"|"&amp;U$1&amp;"|Input"),IF(COUNTIF(Flows!$M$2:$M$1500,$A78&amp;"|"&amp;U$1&amp;"|Output"),"I/O","IN"),IF(COUNTIF(Flows!$M$2:$M$1500,$A78&amp;"|"&amp;U$1&amp;"|Output"),"OUT",""))</f>
        <v/>
      </c>
      <c r="V78" s="33" t="str">
        <f aca="false">IF(COUNTIF(Flows!$M$2:$M$1500,$A78&amp;"|"&amp;V$1&amp;"|Input"),IF(COUNTIF(Flows!$M$2:$M$1500,$A78&amp;"|"&amp;V$1&amp;"|Output"),"I/O","IN"),IF(COUNTIF(Flows!$M$2:$M$1500,$A78&amp;"|"&amp;V$1&amp;"|Output"),"OUT",""))</f>
        <v/>
      </c>
      <c r="W78" s="33" t="str">
        <f aca="false">IF(COUNTIF(Flows!$M$2:$M$1500,$A78&amp;"|"&amp;W$1&amp;"|Input"),IF(COUNTIF(Flows!$M$2:$M$1500,$A78&amp;"|"&amp;W$1&amp;"|Output"),"I/O","IN"),IF(COUNTIF(Flows!$M$2:$M$1500,$A78&amp;"|"&amp;W$1&amp;"|Output"),"OUT",""))</f>
        <v>OUT</v>
      </c>
      <c r="X78" s="33" t="str">
        <f aca="false">IF(COUNTIF(Flows!$M$2:$M$1500,$A78&amp;"|"&amp;X$1&amp;"|Input"),IF(COUNTIF(Flows!$M$2:$M$1500,$A78&amp;"|"&amp;X$1&amp;"|Output"),"I/O","IN"),IF(COUNTIF(Flows!$M$2:$M$1500,$A78&amp;"|"&amp;X$1&amp;"|Output"),"OUT",""))</f>
        <v>IN</v>
      </c>
      <c r="Y78" s="33" t="str">
        <f aca="false">IF(COUNTIF(Flows!$M$2:$M$1500,$A78&amp;"|"&amp;Y$1&amp;"|Input"),IF(COUNTIF(Flows!$M$2:$M$1500,$A78&amp;"|"&amp;Y$1&amp;"|Output"),"I/O","IN"),IF(COUNTIF(Flows!$M$2:$M$1500,$A78&amp;"|"&amp;Y$1&amp;"|Output"),"OUT",""))</f>
        <v/>
      </c>
      <c r="Z78" s="33" t="str">
        <f aca="false">IF(COUNTIF(Flows!$M$2:$M$1500,$A78&amp;"|"&amp;Z$1&amp;"|Input"),IF(COUNTIF(Flows!$M$2:$M$1500,$A78&amp;"|"&amp;Z$1&amp;"|Output"),"I/O","IN"),IF(COUNTIF(Flows!$M$2:$M$1500,$A78&amp;"|"&amp;Z$1&amp;"|Output"),"OUT",""))</f>
        <v/>
      </c>
      <c r="AA78" s="33" t="str">
        <f aca="false">IF(COUNTIF(Flows!$M$2:$M$1500,$A78&amp;"|"&amp;AA$1&amp;"|Input"),IF(COUNTIF(Flows!$M$2:$M$1500,$A78&amp;"|"&amp;AA$1&amp;"|Output"),"I/O","IN"),IF(COUNTIF(Flows!$M$2:$M$1500,$A78&amp;"|"&amp;AA$1&amp;"|Output"),"OUT",""))</f>
        <v/>
      </c>
      <c r="AB78" s="33" t="str">
        <f aca="false">IF(COUNTIF(Flows!$M$2:$M$1500,$A78&amp;"|"&amp;AB$1&amp;"|Input"),IF(COUNTIF(Flows!$M$2:$M$1500,$A78&amp;"|"&amp;AB$1&amp;"|Output"),"I/O","IN"),IF(COUNTIF(Flows!$M$2:$M$1500,$A78&amp;"|"&amp;AB$1&amp;"|Output"),"OUT",""))</f>
        <v/>
      </c>
      <c r="AC78" s="33" t="str">
        <f aca="false">IF(COUNTIF(Flows!$M$2:$M$1500,$A78&amp;"|"&amp;AC$1&amp;"|Input"),IF(COUNTIF(Flows!$M$2:$M$1500,$A78&amp;"|"&amp;AC$1&amp;"|Output"),"I/O","IN"),IF(COUNTIF(Flows!$M$2:$M$1500,$A78&amp;"|"&amp;AC$1&amp;"|Output"),"OUT",""))</f>
        <v/>
      </c>
      <c r="AD78" s="33" t="str">
        <f aca="false">IF(COUNTIF(Flows!$M$2:$M$1500,$A78&amp;"|"&amp;AD$1&amp;"|Input"),IF(COUNTIF(Flows!$M$2:$M$1500,$A78&amp;"|"&amp;AD$1&amp;"|Output"),"I/O","IN"),IF(COUNTIF(Flows!$M$2:$M$1500,$A78&amp;"|"&amp;AD$1&amp;"|Output"),"OUT",""))</f>
        <v/>
      </c>
      <c r="AE78" s="33" t="str">
        <f aca="false">IF(COUNTIF(Flows!$M$2:$M$1500,$A78&amp;"|"&amp;AE$1&amp;"|Input"),IF(COUNTIF(Flows!$M$2:$M$1500,$A78&amp;"|"&amp;AE$1&amp;"|Output"),"I/O","IN"),IF(COUNTIF(Flows!$M$2:$M$1500,$A78&amp;"|"&amp;AE$1&amp;"|Output"),"OUT",""))</f>
        <v/>
      </c>
      <c r="AF78" s="33" t="str">
        <f aca="false">IF(COUNTIF(Flows!$M$2:$M$1500,$A78&amp;"|"&amp;AF$1&amp;"|Input"),IF(COUNTIF(Flows!$M$2:$M$1500,$A78&amp;"|"&amp;AF$1&amp;"|Output"),"I/O","IN"),IF(COUNTIF(Flows!$M$2:$M$1500,$A78&amp;"|"&amp;AF$1&amp;"|Output"),"OUT",""))</f>
        <v/>
      </c>
      <c r="AG78" s="33" t="str">
        <f aca="false">IF(COUNTIF(Flows!$M$2:$M$1500,$A78&amp;"|"&amp;AG$1&amp;"|Input"),IF(COUNTIF(Flows!$M$2:$M$1500,$A78&amp;"|"&amp;AG$1&amp;"|Output"),"I/O","IN"),IF(COUNTIF(Flows!$M$2:$M$1500,$A78&amp;"|"&amp;AG$1&amp;"|Output"),"OUT",""))</f>
        <v/>
      </c>
      <c r="AH78" s="33" t="str">
        <f aca="false">IF(COUNTIF(Flows!$M$2:$M$1500,$A78&amp;"|"&amp;AH$1&amp;"|Input"),IF(COUNTIF(Flows!$M$2:$M$1500,$A78&amp;"|"&amp;AH$1&amp;"|Output"),"I/O","IN"),IF(COUNTIF(Flows!$M$2:$M$1500,$A78&amp;"|"&amp;AH$1&amp;"|Output"),"OUT",""))</f>
        <v/>
      </c>
      <c r="AI78" s="33" t="str">
        <f aca="false">IF(COUNTIF(Flows!$M$2:$M$1500,$A78&amp;"|"&amp;AI$1&amp;"|Input"),IF(COUNTIF(Flows!$M$2:$M$1500,$A78&amp;"|"&amp;AI$1&amp;"|Output"),"I/O","IN"),IF(COUNTIF(Flows!$M$2:$M$1500,$A78&amp;"|"&amp;AI$1&amp;"|Output"),"OUT",""))</f>
        <v/>
      </c>
      <c r="AJ78" s="33" t="str">
        <f aca="false">IF(COUNTIF(Flows!$M$2:$M$1500,$A78&amp;"|"&amp;AJ$1&amp;"|Input"),IF(COUNTIF(Flows!$M$2:$M$1500,$A78&amp;"|"&amp;AJ$1&amp;"|Output"),"I/O","IN"),IF(COUNTIF(Flows!$M$2:$M$1500,$A78&amp;"|"&amp;AJ$1&amp;"|Output"),"OUT",""))</f>
        <v/>
      </c>
      <c r="AK78" s="33" t="str">
        <f aca="false">IF(COUNTIF(Flows!$M$2:$M$1500,$A78&amp;"|"&amp;AK$1&amp;"|Input"),IF(COUNTIF(Flows!$M$2:$M$1500,$A78&amp;"|"&amp;AK$1&amp;"|Output"),"I/O","IN"),IF(COUNTIF(Flows!$M$2:$M$1500,$A78&amp;"|"&amp;AK$1&amp;"|Output"),"OUT",""))</f>
        <v/>
      </c>
      <c r="AL78" s="33" t="str">
        <f aca="false">IF(COUNTIF(Flows!$M$2:$M$1500,$A78&amp;"|"&amp;AL$1&amp;"|Input"),IF(COUNTIF(Flows!$M$2:$M$1500,$A78&amp;"|"&amp;AL$1&amp;"|Output"),"I/O","IN"),IF(COUNTIF(Flows!$M$2:$M$1500,$A78&amp;"|"&amp;AL$1&amp;"|Output"),"OUT",""))</f>
        <v>OUT</v>
      </c>
      <c r="AM78" s="33" t="str">
        <f aca="false">IF(COUNTIF(Flows!$M$2:$M$1500,$A78&amp;"|"&amp;AM$1&amp;"|Input"),IF(COUNTIF(Flows!$M$2:$M$1500,$A78&amp;"|"&amp;AM$1&amp;"|Output"),"I/O","IN"),IF(COUNTIF(Flows!$M$2:$M$1500,$A78&amp;"|"&amp;AM$1&amp;"|Output"),"OUT",""))</f>
        <v/>
      </c>
      <c r="AN78" s="33" t="str">
        <f aca="false">IF(COUNTIF(Flows!$M$2:$M$1500,$A78&amp;"|"&amp;AN$1&amp;"|Input"),IF(COUNTIF(Flows!$M$2:$M$1500,$A78&amp;"|"&amp;AN$1&amp;"|Output"),"I/O","IN"),IF(COUNTIF(Flows!$M$2:$M$1500,$A78&amp;"|"&amp;AN$1&amp;"|Output"),"OUT",""))</f>
        <v/>
      </c>
      <c r="AO78" s="33" t="str">
        <f aca="false">IF(COUNTIF(Flows!$M$2:$M$1500,$A78&amp;"|"&amp;AO$1&amp;"|Input"),IF(COUNTIF(Flows!$M$2:$M$1500,$A78&amp;"|"&amp;AO$1&amp;"|Output"),"I/O","IN"),IF(COUNTIF(Flows!$M$2:$M$1500,$A78&amp;"|"&amp;AO$1&amp;"|Output"),"OUT",""))</f>
        <v/>
      </c>
      <c r="AP78" s="33" t="str">
        <f aca="false">IF(COUNTIF(Flows!$M$2:$M$1500,$A78&amp;"|"&amp;AP$1&amp;"|Input"),IF(COUNTIF(Flows!$M$2:$M$1500,$A78&amp;"|"&amp;AP$1&amp;"|Output"),"I/O","IN"),IF(COUNTIF(Flows!$M$2:$M$1500,$A78&amp;"|"&amp;AP$1&amp;"|Output"),"OUT",""))</f>
        <v/>
      </c>
      <c r="AQ78" s="33" t="str">
        <f aca="false">IF(COUNTIF(Flows!$M$2:$M$1500,$A78&amp;"|"&amp;AQ$1&amp;"|Input"),IF(COUNTIF(Flows!$M$2:$M$1500,$A78&amp;"|"&amp;AQ$1&amp;"|Output"),"I/O","IN"),IF(COUNTIF(Flows!$M$2:$M$1500,$A78&amp;"|"&amp;AQ$1&amp;"|Output"),"OUT",""))</f>
        <v/>
      </c>
      <c r="AR78" s="33" t="str">
        <f aca="false">IF(COUNTIF(Flows!$M$2:$M$1500,$A78&amp;"|"&amp;AR$1&amp;"|Input"),IF(COUNTIF(Flows!$M$2:$M$1500,$A78&amp;"|"&amp;AR$1&amp;"|Output"),"I/O","IN"),IF(COUNTIF(Flows!$M$2:$M$1500,$A78&amp;"|"&amp;AR$1&amp;"|Output"),"OUT",""))</f>
        <v>OUT</v>
      </c>
      <c r="AS78" s="33" t="str">
        <f aca="false">IF(COUNTIF(Flows!$M$2:$M$1500,$A78&amp;"|"&amp;AS$1&amp;"|Input"),IF(COUNTIF(Flows!$M$2:$M$1500,$A78&amp;"|"&amp;AS$1&amp;"|Output"),"I/O","IN"),IF(COUNTIF(Flows!$M$2:$M$1500,$A78&amp;"|"&amp;AS$1&amp;"|Output"),"OUT",""))</f>
        <v/>
      </c>
      <c r="AT78" s="33" t="str">
        <f aca="false">IF(COUNTIF(Flows!$M$2:$M$1500,$A78&amp;"|"&amp;AT$1&amp;"|Input"),IF(COUNTIF(Flows!$M$2:$M$1500,$A78&amp;"|"&amp;AT$1&amp;"|Output"),"I/O","IN"),IF(COUNTIF(Flows!$M$2:$M$1500,$A78&amp;"|"&amp;AT$1&amp;"|Output"),"OUT",""))</f>
        <v/>
      </c>
      <c r="AU78" s="33" t="str">
        <f aca="false">IF(COUNTIF(Flows!$M$2:$M$1500,$A78&amp;"|"&amp;AU$1&amp;"|Input"),IF(COUNTIF(Flows!$M$2:$M$1500,$A78&amp;"|"&amp;AU$1&amp;"|Output"),"I/O","IN"),IF(COUNTIF(Flows!$M$2:$M$1500,$A78&amp;"|"&amp;AU$1&amp;"|Output"),"OUT",""))</f>
        <v/>
      </c>
      <c r="AV78" s="33" t="str">
        <f aca="false">IF(COUNTIF(Flows!$M$2:$M$1500,$A78&amp;"|"&amp;AV$1&amp;"|Input"),IF(COUNTIF(Flows!$M$2:$M$1500,$A78&amp;"|"&amp;AV$1&amp;"|Output"),"I/O","IN"),IF(COUNTIF(Flows!$M$2:$M$1500,$A78&amp;"|"&amp;AV$1&amp;"|Output"),"OUT",""))</f>
        <v/>
      </c>
      <c r="AW78" s="33" t="str">
        <f aca="false">IF(COUNTIF(Flows!$M$2:$M$1500,$A78&amp;"|"&amp;AW$1&amp;"|Input"),IF(COUNTIF(Flows!$M$2:$M$1500,$A78&amp;"|"&amp;AW$1&amp;"|Output"),"I/O","IN"),IF(COUNTIF(Flows!$M$2:$M$1500,$A78&amp;"|"&amp;AW$1&amp;"|Output"),"OUT",""))</f>
        <v/>
      </c>
      <c r="AX78" s="33" t="str">
        <f aca="false">IF(COUNTIF(Flows!$M$2:$M$1500,$A78&amp;"|"&amp;AX$1&amp;"|Input"),IF(COUNTIF(Flows!$M$2:$M$1500,$A78&amp;"|"&amp;AX$1&amp;"|Output"),"I/O","IN"),IF(COUNTIF(Flows!$M$2:$M$1500,$A78&amp;"|"&amp;AX$1&amp;"|Output"),"OUT",""))</f>
        <v/>
      </c>
      <c r="AY78" s="33" t="str">
        <f aca="false">IF(COUNTIF(Flows!$M$2:$M$1500,$A78&amp;"|"&amp;AY$1&amp;"|Input"),IF(COUNTIF(Flows!$M$2:$M$1500,$A78&amp;"|"&amp;AY$1&amp;"|Output"),"I/O","IN"),IF(COUNTIF(Flows!$M$2:$M$1500,$A78&amp;"|"&amp;AY$1&amp;"|Output"),"OUT",""))</f>
        <v/>
      </c>
      <c r="AZ78" s="33" t="str">
        <f aca="false">IF(COUNTIF(Flows!$M$2:$M$1500,$A78&amp;"|"&amp;AZ$1&amp;"|Input"),IF(COUNTIF(Flows!$M$2:$M$1500,$A78&amp;"|"&amp;AZ$1&amp;"|Output"),"I/O","IN"),IF(COUNTIF(Flows!$M$2:$M$1500,$A78&amp;"|"&amp;AZ$1&amp;"|Output"),"OUT",""))</f>
        <v/>
      </c>
      <c r="BA78" s="33" t="str">
        <f aca="false">IF(COUNTIF(Flows!$M$2:$M$1500,$A78&amp;"|"&amp;BA$1&amp;"|Input"),IF(COUNTIF(Flows!$M$2:$M$1500,$A78&amp;"|"&amp;BA$1&amp;"|Output"),"I/O","IN"),IF(COUNTIF(Flows!$M$2:$M$1500,$A78&amp;"|"&amp;BA$1&amp;"|Output"),"OUT",""))</f>
        <v/>
      </c>
      <c r="BB78" s="33" t="str">
        <f aca="false">IF(COUNTIF(Flows!$M$2:$M$1500,$A78&amp;"|"&amp;BB$1&amp;"|Input"),IF(COUNTIF(Flows!$M$2:$M$1500,$A78&amp;"|"&amp;BB$1&amp;"|Output"),"I/O","IN"),IF(COUNTIF(Flows!$M$2:$M$1500,$A78&amp;"|"&amp;BB$1&amp;"|Output"),"OUT",""))</f>
        <v/>
      </c>
      <c r="BC78" s="33" t="str">
        <f aca="false">IF(COUNTIF(Flows!$M$2:$M$1500,$A78&amp;"|"&amp;BC$1&amp;"|Input"),IF(COUNTIF(Flows!$M$2:$M$1500,$A78&amp;"|"&amp;BC$1&amp;"|Output"),"I/O","IN"),IF(COUNTIF(Flows!$M$2:$M$1500,$A78&amp;"|"&amp;BC$1&amp;"|Output"),"OUT",""))</f>
        <v>IN</v>
      </c>
      <c r="BD78" s="33" t="str">
        <f aca="false">IF(COUNTIF(Flows!$M$2:$M$1500,$A78&amp;"|"&amp;BD$1&amp;"|Input"),IF(COUNTIF(Flows!$M$2:$M$1500,$A78&amp;"|"&amp;BD$1&amp;"|Output"),"I/O","IN"),IF(COUNTIF(Flows!$M$2:$M$1500,$A78&amp;"|"&amp;BD$1&amp;"|Output"),"OUT",""))</f>
        <v/>
      </c>
      <c r="BE78" s="33" t="str">
        <f aca="false">IF(COUNTIF(Flows!$M$2:$M$1500,$A78&amp;"|"&amp;BE$1&amp;"|Input"),IF(COUNTIF(Flows!$M$2:$M$1500,$A78&amp;"|"&amp;BE$1&amp;"|Output"),"I/O","IN"),IF(COUNTIF(Flows!$M$2:$M$1500,$A78&amp;"|"&amp;BE$1&amp;"|Output"),"OUT",""))</f>
        <v/>
      </c>
      <c r="BF78" s="33" t="str">
        <f aca="false">IF(COUNTIF(Flows!$M$2:$M$1500,$A78&amp;"|"&amp;BF$1&amp;"|Input"),IF(COUNTIF(Flows!$M$2:$M$1500,$A78&amp;"|"&amp;BF$1&amp;"|Output"),"I/O","IN"),IF(COUNTIF(Flows!$M$2:$M$1500,$A78&amp;"|"&amp;BF$1&amp;"|Output"),"OUT",""))</f>
        <v/>
      </c>
      <c r="BG78" s="33" t="str">
        <f aca="false">IF(COUNTIF(Flows!$M$2:$M$1500,$A78&amp;"|"&amp;BG$1&amp;"|Input"),IF(COUNTIF(Flows!$M$2:$M$1500,$A78&amp;"|"&amp;BG$1&amp;"|Output"),"I/O","IN"),IF(COUNTIF(Flows!$M$2:$M$1500,$A78&amp;"|"&amp;BG$1&amp;"|Output"),"OUT",""))</f>
        <v/>
      </c>
      <c r="BH78" s="33" t="str">
        <f aca="false">IF(COUNTIF(Flows!$M$2:$M$1500,$A78&amp;"|"&amp;BH$1&amp;"|Input"),IF(COUNTIF(Flows!$M$2:$M$1500,$A78&amp;"|"&amp;BH$1&amp;"|Output"),"I/O","IN"),IF(COUNTIF(Flows!$M$2:$M$1500,$A78&amp;"|"&amp;BH$1&amp;"|Output"),"OUT",""))</f>
        <v/>
      </c>
      <c r="BI78" s="33" t="str">
        <f aca="false">IF(COUNTIF(Flows!$M$2:$M$1500,$A78&amp;"|"&amp;BI$1&amp;"|Input"),IF(COUNTIF(Flows!$M$2:$M$1500,$A78&amp;"|"&amp;BI$1&amp;"|Output"),"I/O","IN"),IF(COUNTIF(Flows!$M$2:$M$1500,$A78&amp;"|"&amp;BI$1&amp;"|Output"),"OUT",""))</f>
        <v/>
      </c>
      <c r="BJ78" s="33" t="str">
        <f aca="false">IF(COUNTIF(Flows!$M$2:$M$1500,$A78&amp;"|"&amp;BJ$1&amp;"|Input"),IF(COUNTIF(Flows!$M$2:$M$1500,$A78&amp;"|"&amp;BJ$1&amp;"|Output"),"I/O","IN"),IF(COUNTIF(Flows!$M$2:$M$1500,$A78&amp;"|"&amp;BJ$1&amp;"|Output"),"OUT",""))</f>
        <v/>
      </c>
      <c r="BK78" s="33" t="str">
        <f aca="false">IF(COUNTIF(Flows!$M$2:$M$1500,$A78&amp;"|"&amp;BK$1&amp;"|Input"),IF(COUNTIF(Flows!$M$2:$M$1500,$A78&amp;"|"&amp;BK$1&amp;"|Output"),"I/O","IN"),IF(COUNTIF(Flows!$M$2:$M$1500,$A78&amp;"|"&amp;BK$1&amp;"|Output"),"OUT",""))</f>
        <v/>
      </c>
    </row>
    <row r="79" customFormat="false" ht="15" hidden="false" customHeight="true" outlineLevel="0" collapsed="false">
      <c r="A79" s="6" t="str">
        <f aca="false">Systems!B79</f>
        <v>Raised Beds (24 sq ft)</v>
      </c>
      <c r="B79" s="33" t="str">
        <f aca="false">IF(COUNTIF(Flows!$M$2:$M$1500,$A79&amp;"|"&amp;B$1&amp;"|Input"),IF(COUNTIF(Flows!$M$2:$M$1500,$A79&amp;"|"&amp;B$1&amp;"|Output"),"I/O","IN"),IF(COUNTIF(Flows!$M$2:$M$1500,$A79&amp;"|"&amp;B$1&amp;"|Output"),"OUT",""))</f>
        <v>IN</v>
      </c>
      <c r="C79" s="33" t="str">
        <f aca="false">IF(COUNTIF(Flows!$M$2:$M$1500,$A79&amp;"|"&amp;C$1&amp;"|Input"),IF(COUNTIF(Flows!$M$2:$M$1500,$A79&amp;"|"&amp;C$1&amp;"|Output"),"I/O","IN"),IF(COUNTIF(Flows!$M$2:$M$1500,$A79&amp;"|"&amp;C$1&amp;"|Output"),"OUT",""))</f>
        <v/>
      </c>
      <c r="D79" s="33" t="str">
        <f aca="false">IF(COUNTIF(Flows!$M$2:$M$1500,$A79&amp;"|"&amp;D$1&amp;"|Input"),IF(COUNTIF(Flows!$M$2:$M$1500,$A79&amp;"|"&amp;D$1&amp;"|Output"),"I/O","IN"),IF(COUNTIF(Flows!$M$2:$M$1500,$A79&amp;"|"&amp;D$1&amp;"|Output"),"OUT",""))</f>
        <v/>
      </c>
      <c r="E79" s="33" t="str">
        <f aca="false">IF(COUNTIF(Flows!$M$2:$M$1500,$A79&amp;"|"&amp;E$1&amp;"|Input"),IF(COUNTIF(Flows!$M$2:$M$1500,$A79&amp;"|"&amp;E$1&amp;"|Output"),"I/O","IN"),IF(COUNTIF(Flows!$M$2:$M$1500,$A79&amp;"|"&amp;E$1&amp;"|Output"),"OUT",""))</f>
        <v/>
      </c>
      <c r="F79" s="33" t="str">
        <f aca="false">IF(COUNTIF(Flows!$M$2:$M$1500,$A79&amp;"|"&amp;F$1&amp;"|Input"),IF(COUNTIF(Flows!$M$2:$M$1500,$A79&amp;"|"&amp;F$1&amp;"|Output"),"I/O","IN"),IF(COUNTIF(Flows!$M$2:$M$1500,$A79&amp;"|"&amp;F$1&amp;"|Output"),"OUT",""))</f>
        <v/>
      </c>
      <c r="G79" s="33" t="str">
        <f aca="false">IF(COUNTIF(Flows!$M$2:$M$1500,$A79&amp;"|"&amp;G$1&amp;"|Input"),IF(COUNTIF(Flows!$M$2:$M$1500,$A79&amp;"|"&amp;G$1&amp;"|Output"),"I/O","IN"),IF(COUNTIF(Flows!$M$2:$M$1500,$A79&amp;"|"&amp;G$1&amp;"|Output"),"OUT",""))</f>
        <v>OUT</v>
      </c>
      <c r="H79" s="33" t="str">
        <f aca="false">IF(COUNTIF(Flows!$M$2:$M$1500,$A79&amp;"|"&amp;H$1&amp;"|Input"),IF(COUNTIF(Flows!$M$2:$M$1500,$A79&amp;"|"&amp;H$1&amp;"|Output"),"I/O","IN"),IF(COUNTIF(Flows!$M$2:$M$1500,$A79&amp;"|"&amp;H$1&amp;"|Output"),"OUT",""))</f>
        <v/>
      </c>
      <c r="I79" s="33" t="str">
        <f aca="false">IF(COUNTIF(Flows!$M$2:$M$1500,$A79&amp;"|"&amp;I$1&amp;"|Input"),IF(COUNTIF(Flows!$M$2:$M$1500,$A79&amp;"|"&amp;I$1&amp;"|Output"),"I/O","IN"),IF(COUNTIF(Flows!$M$2:$M$1500,$A79&amp;"|"&amp;I$1&amp;"|Output"),"OUT",""))</f>
        <v/>
      </c>
      <c r="J79" s="33" t="str">
        <f aca="false">IF(COUNTIF(Flows!$M$2:$M$1500,$A79&amp;"|"&amp;J$1&amp;"|Input"),IF(COUNTIF(Flows!$M$2:$M$1500,$A79&amp;"|"&amp;J$1&amp;"|Output"),"I/O","IN"),IF(COUNTIF(Flows!$M$2:$M$1500,$A79&amp;"|"&amp;J$1&amp;"|Output"),"OUT",""))</f>
        <v/>
      </c>
      <c r="K79" s="33" t="str">
        <f aca="false">IF(COUNTIF(Flows!$M$2:$M$1500,$A79&amp;"|"&amp;K$1&amp;"|Input"),IF(COUNTIF(Flows!$M$2:$M$1500,$A79&amp;"|"&amp;K$1&amp;"|Output"),"I/O","IN"),IF(COUNTIF(Flows!$M$2:$M$1500,$A79&amp;"|"&amp;K$1&amp;"|Output"),"OUT",""))</f>
        <v/>
      </c>
      <c r="L79" s="33" t="str">
        <f aca="false">IF(COUNTIF(Flows!$M$2:$M$1500,$A79&amp;"|"&amp;L$1&amp;"|Input"),IF(COUNTIF(Flows!$M$2:$M$1500,$A79&amp;"|"&amp;L$1&amp;"|Output"),"I/O","IN"),IF(COUNTIF(Flows!$M$2:$M$1500,$A79&amp;"|"&amp;L$1&amp;"|Output"),"OUT",""))</f>
        <v/>
      </c>
      <c r="M79" s="33" t="str">
        <f aca="false">IF(COUNTIF(Flows!$M$2:$M$1500,$A79&amp;"|"&amp;M$1&amp;"|Input"),IF(COUNTIF(Flows!$M$2:$M$1500,$A79&amp;"|"&amp;M$1&amp;"|Output"),"I/O","IN"),IF(COUNTIF(Flows!$M$2:$M$1500,$A79&amp;"|"&amp;M$1&amp;"|Output"),"OUT",""))</f>
        <v/>
      </c>
      <c r="N79" s="33" t="str">
        <f aca="false">IF(COUNTIF(Flows!$M$2:$M$1500,$A79&amp;"|"&amp;N$1&amp;"|Input"),IF(COUNTIF(Flows!$M$2:$M$1500,$A79&amp;"|"&amp;N$1&amp;"|Output"),"I/O","IN"),IF(COUNTIF(Flows!$M$2:$M$1500,$A79&amp;"|"&amp;N$1&amp;"|Output"),"OUT",""))</f>
        <v/>
      </c>
      <c r="O79" s="33" t="str">
        <f aca="false">IF(COUNTIF(Flows!$M$2:$M$1500,$A79&amp;"|"&amp;O$1&amp;"|Input"),IF(COUNTIF(Flows!$M$2:$M$1500,$A79&amp;"|"&amp;O$1&amp;"|Output"),"I/O","IN"),IF(COUNTIF(Flows!$M$2:$M$1500,$A79&amp;"|"&amp;O$1&amp;"|Output"),"OUT",""))</f>
        <v/>
      </c>
      <c r="P79" s="33" t="str">
        <f aca="false">IF(COUNTIF(Flows!$M$2:$M$1500,$A79&amp;"|"&amp;P$1&amp;"|Input"),IF(COUNTIF(Flows!$M$2:$M$1500,$A79&amp;"|"&amp;P$1&amp;"|Output"),"I/O","IN"),IF(COUNTIF(Flows!$M$2:$M$1500,$A79&amp;"|"&amp;P$1&amp;"|Output"),"OUT",""))</f>
        <v/>
      </c>
      <c r="Q79" s="33" t="str">
        <f aca="false">IF(COUNTIF(Flows!$M$2:$M$1500,$A79&amp;"|"&amp;Q$1&amp;"|Input"),IF(COUNTIF(Flows!$M$2:$M$1500,$A79&amp;"|"&amp;Q$1&amp;"|Output"),"I/O","IN"),IF(COUNTIF(Flows!$M$2:$M$1500,$A79&amp;"|"&amp;Q$1&amp;"|Output"),"OUT",""))</f>
        <v/>
      </c>
      <c r="R79" s="33" t="str">
        <f aca="false">IF(COUNTIF(Flows!$M$2:$M$1500,$A79&amp;"|"&amp;R$1&amp;"|Input"),IF(COUNTIF(Flows!$M$2:$M$1500,$A79&amp;"|"&amp;R$1&amp;"|Output"),"I/O","IN"),IF(COUNTIF(Flows!$M$2:$M$1500,$A79&amp;"|"&amp;R$1&amp;"|Output"),"OUT",""))</f>
        <v/>
      </c>
      <c r="S79" s="33" t="str">
        <f aca="false">IF(COUNTIF(Flows!$M$2:$M$1500,$A79&amp;"|"&amp;S$1&amp;"|Input"),IF(COUNTIF(Flows!$M$2:$M$1500,$A79&amp;"|"&amp;S$1&amp;"|Output"),"I/O","IN"),IF(COUNTIF(Flows!$M$2:$M$1500,$A79&amp;"|"&amp;S$1&amp;"|Output"),"OUT",""))</f>
        <v/>
      </c>
      <c r="T79" s="33" t="str">
        <f aca="false">IF(COUNTIF(Flows!$M$2:$M$1500,$A79&amp;"|"&amp;T$1&amp;"|Input"),IF(COUNTIF(Flows!$M$2:$M$1500,$A79&amp;"|"&amp;T$1&amp;"|Output"),"I/O","IN"),IF(COUNTIF(Flows!$M$2:$M$1500,$A79&amp;"|"&amp;T$1&amp;"|Output"),"OUT",""))</f>
        <v/>
      </c>
      <c r="U79" s="33" t="str">
        <f aca="false">IF(COUNTIF(Flows!$M$2:$M$1500,$A79&amp;"|"&amp;U$1&amp;"|Input"),IF(COUNTIF(Flows!$M$2:$M$1500,$A79&amp;"|"&amp;U$1&amp;"|Output"),"I/O","IN"),IF(COUNTIF(Flows!$M$2:$M$1500,$A79&amp;"|"&amp;U$1&amp;"|Output"),"OUT",""))</f>
        <v/>
      </c>
      <c r="V79" s="33" t="str">
        <f aca="false">IF(COUNTIF(Flows!$M$2:$M$1500,$A79&amp;"|"&amp;V$1&amp;"|Input"),IF(COUNTIF(Flows!$M$2:$M$1500,$A79&amp;"|"&amp;V$1&amp;"|Output"),"I/O","IN"),IF(COUNTIF(Flows!$M$2:$M$1500,$A79&amp;"|"&amp;V$1&amp;"|Output"),"OUT",""))</f>
        <v/>
      </c>
      <c r="W79" s="33" t="str">
        <f aca="false">IF(COUNTIF(Flows!$M$2:$M$1500,$A79&amp;"|"&amp;W$1&amp;"|Input"),IF(COUNTIF(Flows!$M$2:$M$1500,$A79&amp;"|"&amp;W$1&amp;"|Output"),"I/O","IN"),IF(COUNTIF(Flows!$M$2:$M$1500,$A79&amp;"|"&amp;W$1&amp;"|Output"),"OUT",""))</f>
        <v/>
      </c>
      <c r="X79" s="33" t="str">
        <f aca="false">IF(COUNTIF(Flows!$M$2:$M$1500,$A79&amp;"|"&amp;X$1&amp;"|Input"),IF(COUNTIF(Flows!$M$2:$M$1500,$A79&amp;"|"&amp;X$1&amp;"|Output"),"I/O","IN"),IF(COUNTIF(Flows!$M$2:$M$1500,$A79&amp;"|"&amp;X$1&amp;"|Output"),"OUT",""))</f>
        <v>IN</v>
      </c>
      <c r="Y79" s="33" t="str">
        <f aca="false">IF(COUNTIF(Flows!$M$2:$M$1500,$A79&amp;"|"&amp;Y$1&amp;"|Input"),IF(COUNTIF(Flows!$M$2:$M$1500,$A79&amp;"|"&amp;Y$1&amp;"|Output"),"I/O","IN"),IF(COUNTIF(Flows!$M$2:$M$1500,$A79&amp;"|"&amp;Y$1&amp;"|Output"),"OUT",""))</f>
        <v/>
      </c>
      <c r="Z79" s="33" t="str">
        <f aca="false">IF(COUNTIF(Flows!$M$2:$M$1500,$A79&amp;"|"&amp;Z$1&amp;"|Input"),IF(COUNTIF(Flows!$M$2:$M$1500,$A79&amp;"|"&amp;Z$1&amp;"|Output"),"I/O","IN"),IF(COUNTIF(Flows!$M$2:$M$1500,$A79&amp;"|"&amp;Z$1&amp;"|Output"),"OUT",""))</f>
        <v/>
      </c>
      <c r="AA79" s="33" t="str">
        <f aca="false">IF(COUNTIF(Flows!$M$2:$M$1500,$A79&amp;"|"&amp;AA$1&amp;"|Input"),IF(COUNTIF(Flows!$M$2:$M$1500,$A79&amp;"|"&amp;AA$1&amp;"|Output"),"I/O","IN"),IF(COUNTIF(Flows!$M$2:$M$1500,$A79&amp;"|"&amp;AA$1&amp;"|Output"),"OUT",""))</f>
        <v/>
      </c>
      <c r="AB79" s="33" t="str">
        <f aca="false">IF(COUNTIF(Flows!$M$2:$M$1500,$A79&amp;"|"&amp;AB$1&amp;"|Input"),IF(COUNTIF(Flows!$M$2:$M$1500,$A79&amp;"|"&amp;AB$1&amp;"|Output"),"I/O","IN"),IF(COUNTIF(Flows!$M$2:$M$1500,$A79&amp;"|"&amp;AB$1&amp;"|Output"),"OUT",""))</f>
        <v/>
      </c>
      <c r="AC79" s="33" t="str">
        <f aca="false">IF(COUNTIF(Flows!$M$2:$M$1500,$A79&amp;"|"&amp;AC$1&amp;"|Input"),IF(COUNTIF(Flows!$M$2:$M$1500,$A79&amp;"|"&amp;AC$1&amp;"|Output"),"I/O","IN"),IF(COUNTIF(Flows!$M$2:$M$1500,$A79&amp;"|"&amp;AC$1&amp;"|Output"),"OUT",""))</f>
        <v/>
      </c>
      <c r="AD79" s="33" t="str">
        <f aca="false">IF(COUNTIF(Flows!$M$2:$M$1500,$A79&amp;"|"&amp;AD$1&amp;"|Input"),IF(COUNTIF(Flows!$M$2:$M$1500,$A79&amp;"|"&amp;AD$1&amp;"|Output"),"I/O","IN"),IF(COUNTIF(Flows!$M$2:$M$1500,$A79&amp;"|"&amp;AD$1&amp;"|Output"),"OUT",""))</f>
        <v/>
      </c>
      <c r="AE79" s="33" t="str">
        <f aca="false">IF(COUNTIF(Flows!$M$2:$M$1500,$A79&amp;"|"&amp;AE$1&amp;"|Input"),IF(COUNTIF(Flows!$M$2:$M$1500,$A79&amp;"|"&amp;AE$1&amp;"|Output"),"I/O","IN"),IF(COUNTIF(Flows!$M$2:$M$1500,$A79&amp;"|"&amp;AE$1&amp;"|Output"),"OUT",""))</f>
        <v/>
      </c>
      <c r="AF79" s="33" t="str">
        <f aca="false">IF(COUNTIF(Flows!$M$2:$M$1500,$A79&amp;"|"&amp;AF$1&amp;"|Input"),IF(COUNTIF(Flows!$M$2:$M$1500,$A79&amp;"|"&amp;AF$1&amp;"|Output"),"I/O","IN"),IF(COUNTIF(Flows!$M$2:$M$1500,$A79&amp;"|"&amp;AF$1&amp;"|Output"),"OUT",""))</f>
        <v/>
      </c>
      <c r="AG79" s="33" t="str">
        <f aca="false">IF(COUNTIF(Flows!$M$2:$M$1500,$A79&amp;"|"&amp;AG$1&amp;"|Input"),IF(COUNTIF(Flows!$M$2:$M$1500,$A79&amp;"|"&amp;AG$1&amp;"|Output"),"I/O","IN"),IF(COUNTIF(Flows!$M$2:$M$1500,$A79&amp;"|"&amp;AG$1&amp;"|Output"),"OUT",""))</f>
        <v/>
      </c>
      <c r="AH79" s="33" t="str">
        <f aca="false">IF(COUNTIF(Flows!$M$2:$M$1500,$A79&amp;"|"&amp;AH$1&amp;"|Input"),IF(COUNTIF(Flows!$M$2:$M$1500,$A79&amp;"|"&amp;AH$1&amp;"|Output"),"I/O","IN"),IF(COUNTIF(Flows!$M$2:$M$1500,$A79&amp;"|"&amp;AH$1&amp;"|Output"),"OUT",""))</f>
        <v/>
      </c>
      <c r="AI79" s="33" t="str">
        <f aca="false">IF(COUNTIF(Flows!$M$2:$M$1500,$A79&amp;"|"&amp;AI$1&amp;"|Input"),IF(COUNTIF(Flows!$M$2:$M$1500,$A79&amp;"|"&amp;AI$1&amp;"|Output"),"I/O","IN"),IF(COUNTIF(Flows!$M$2:$M$1500,$A79&amp;"|"&amp;AI$1&amp;"|Output"),"OUT",""))</f>
        <v/>
      </c>
      <c r="AJ79" s="33" t="str">
        <f aca="false">IF(COUNTIF(Flows!$M$2:$M$1500,$A79&amp;"|"&amp;AJ$1&amp;"|Input"),IF(COUNTIF(Flows!$M$2:$M$1500,$A79&amp;"|"&amp;AJ$1&amp;"|Output"),"I/O","IN"),IF(COUNTIF(Flows!$M$2:$M$1500,$A79&amp;"|"&amp;AJ$1&amp;"|Output"),"OUT",""))</f>
        <v/>
      </c>
      <c r="AK79" s="33" t="str">
        <f aca="false">IF(COUNTIF(Flows!$M$2:$M$1500,$A79&amp;"|"&amp;AK$1&amp;"|Input"),IF(COUNTIF(Flows!$M$2:$M$1500,$A79&amp;"|"&amp;AK$1&amp;"|Output"),"I/O","IN"),IF(COUNTIF(Flows!$M$2:$M$1500,$A79&amp;"|"&amp;AK$1&amp;"|Output"),"OUT",""))</f>
        <v/>
      </c>
      <c r="AL79" s="33" t="str">
        <f aca="false">IF(COUNTIF(Flows!$M$2:$M$1500,$A79&amp;"|"&amp;AL$1&amp;"|Input"),IF(COUNTIF(Flows!$M$2:$M$1500,$A79&amp;"|"&amp;AL$1&amp;"|Output"),"I/O","IN"),IF(COUNTIF(Flows!$M$2:$M$1500,$A79&amp;"|"&amp;AL$1&amp;"|Output"),"OUT",""))</f>
        <v/>
      </c>
      <c r="AM79" s="33" t="str">
        <f aca="false">IF(COUNTIF(Flows!$M$2:$M$1500,$A79&amp;"|"&amp;AM$1&amp;"|Input"),IF(COUNTIF(Flows!$M$2:$M$1500,$A79&amp;"|"&amp;AM$1&amp;"|Output"),"I/O","IN"),IF(COUNTIF(Flows!$M$2:$M$1500,$A79&amp;"|"&amp;AM$1&amp;"|Output"),"OUT",""))</f>
        <v/>
      </c>
      <c r="AN79" s="33" t="str">
        <f aca="false">IF(COUNTIF(Flows!$M$2:$M$1500,$A79&amp;"|"&amp;AN$1&amp;"|Input"),IF(COUNTIF(Flows!$M$2:$M$1500,$A79&amp;"|"&amp;AN$1&amp;"|Output"),"I/O","IN"),IF(COUNTIF(Flows!$M$2:$M$1500,$A79&amp;"|"&amp;AN$1&amp;"|Output"),"OUT",""))</f>
        <v/>
      </c>
      <c r="AO79" s="33" t="str">
        <f aca="false">IF(COUNTIF(Flows!$M$2:$M$1500,$A79&amp;"|"&amp;AO$1&amp;"|Input"),IF(COUNTIF(Flows!$M$2:$M$1500,$A79&amp;"|"&amp;AO$1&amp;"|Output"),"I/O","IN"),IF(COUNTIF(Flows!$M$2:$M$1500,$A79&amp;"|"&amp;AO$1&amp;"|Output"),"OUT",""))</f>
        <v/>
      </c>
      <c r="AP79" s="33" t="str">
        <f aca="false">IF(COUNTIF(Flows!$M$2:$M$1500,$A79&amp;"|"&amp;AP$1&amp;"|Input"),IF(COUNTIF(Flows!$M$2:$M$1500,$A79&amp;"|"&amp;AP$1&amp;"|Output"),"I/O","IN"),IF(COUNTIF(Flows!$M$2:$M$1500,$A79&amp;"|"&amp;AP$1&amp;"|Output"),"OUT",""))</f>
        <v/>
      </c>
      <c r="AQ79" s="33" t="str">
        <f aca="false">IF(COUNTIF(Flows!$M$2:$M$1500,$A79&amp;"|"&amp;AQ$1&amp;"|Input"),IF(COUNTIF(Flows!$M$2:$M$1500,$A79&amp;"|"&amp;AQ$1&amp;"|Output"),"I/O","IN"),IF(COUNTIF(Flows!$M$2:$M$1500,$A79&amp;"|"&amp;AQ$1&amp;"|Output"),"OUT",""))</f>
        <v/>
      </c>
      <c r="AR79" s="33" t="str">
        <f aca="false">IF(COUNTIF(Flows!$M$2:$M$1500,$A79&amp;"|"&amp;AR$1&amp;"|Input"),IF(COUNTIF(Flows!$M$2:$M$1500,$A79&amp;"|"&amp;AR$1&amp;"|Output"),"I/O","IN"),IF(COUNTIF(Flows!$M$2:$M$1500,$A79&amp;"|"&amp;AR$1&amp;"|Output"),"OUT",""))</f>
        <v/>
      </c>
      <c r="AS79" s="33" t="str">
        <f aca="false">IF(COUNTIF(Flows!$M$2:$M$1500,$A79&amp;"|"&amp;AS$1&amp;"|Input"),IF(COUNTIF(Flows!$M$2:$M$1500,$A79&amp;"|"&amp;AS$1&amp;"|Output"),"I/O","IN"),IF(COUNTIF(Flows!$M$2:$M$1500,$A79&amp;"|"&amp;AS$1&amp;"|Output"),"OUT",""))</f>
        <v>IN</v>
      </c>
      <c r="AT79" s="33" t="str">
        <f aca="false">IF(COUNTIF(Flows!$M$2:$M$1500,$A79&amp;"|"&amp;AT$1&amp;"|Input"),IF(COUNTIF(Flows!$M$2:$M$1500,$A79&amp;"|"&amp;AT$1&amp;"|Output"),"I/O","IN"),IF(COUNTIF(Flows!$M$2:$M$1500,$A79&amp;"|"&amp;AT$1&amp;"|Output"),"OUT",""))</f>
        <v/>
      </c>
      <c r="AU79" s="33" t="str">
        <f aca="false">IF(COUNTIF(Flows!$M$2:$M$1500,$A79&amp;"|"&amp;AU$1&amp;"|Input"),IF(COUNTIF(Flows!$M$2:$M$1500,$A79&amp;"|"&amp;AU$1&amp;"|Output"),"I/O","IN"),IF(COUNTIF(Flows!$M$2:$M$1500,$A79&amp;"|"&amp;AU$1&amp;"|Output"),"OUT",""))</f>
        <v>IN</v>
      </c>
      <c r="AV79" s="33" t="str">
        <f aca="false">IF(COUNTIF(Flows!$M$2:$M$1500,$A79&amp;"|"&amp;AV$1&amp;"|Input"),IF(COUNTIF(Flows!$M$2:$M$1500,$A79&amp;"|"&amp;AV$1&amp;"|Output"),"I/O","IN"),IF(COUNTIF(Flows!$M$2:$M$1500,$A79&amp;"|"&amp;AV$1&amp;"|Output"),"OUT",""))</f>
        <v/>
      </c>
      <c r="AW79" s="33" t="str">
        <f aca="false">IF(COUNTIF(Flows!$M$2:$M$1500,$A79&amp;"|"&amp;AW$1&amp;"|Input"),IF(COUNTIF(Flows!$M$2:$M$1500,$A79&amp;"|"&amp;AW$1&amp;"|Output"),"I/O","IN"),IF(COUNTIF(Flows!$M$2:$M$1500,$A79&amp;"|"&amp;AW$1&amp;"|Output"),"OUT",""))</f>
        <v/>
      </c>
      <c r="AX79" s="33" t="str">
        <f aca="false">IF(COUNTIF(Flows!$M$2:$M$1500,$A79&amp;"|"&amp;AX$1&amp;"|Input"),IF(COUNTIF(Flows!$M$2:$M$1500,$A79&amp;"|"&amp;AX$1&amp;"|Output"),"I/O","IN"),IF(COUNTIF(Flows!$M$2:$M$1500,$A79&amp;"|"&amp;AX$1&amp;"|Output"),"OUT",""))</f>
        <v/>
      </c>
      <c r="AY79" s="33" t="str">
        <f aca="false">IF(COUNTIF(Flows!$M$2:$M$1500,$A79&amp;"|"&amp;AY$1&amp;"|Input"),IF(COUNTIF(Flows!$M$2:$M$1500,$A79&amp;"|"&amp;AY$1&amp;"|Output"),"I/O","IN"),IF(COUNTIF(Flows!$M$2:$M$1500,$A79&amp;"|"&amp;AY$1&amp;"|Output"),"OUT",""))</f>
        <v/>
      </c>
      <c r="AZ79" s="33" t="str">
        <f aca="false">IF(COUNTIF(Flows!$M$2:$M$1500,$A79&amp;"|"&amp;AZ$1&amp;"|Input"),IF(COUNTIF(Flows!$M$2:$M$1500,$A79&amp;"|"&amp;AZ$1&amp;"|Output"),"I/O","IN"),IF(COUNTIF(Flows!$M$2:$M$1500,$A79&amp;"|"&amp;AZ$1&amp;"|Output"),"OUT",""))</f>
        <v/>
      </c>
      <c r="BA79" s="33" t="str">
        <f aca="false">IF(COUNTIF(Flows!$M$2:$M$1500,$A79&amp;"|"&amp;BA$1&amp;"|Input"),IF(COUNTIF(Flows!$M$2:$M$1500,$A79&amp;"|"&amp;BA$1&amp;"|Output"),"I/O","IN"),IF(COUNTIF(Flows!$M$2:$M$1500,$A79&amp;"|"&amp;BA$1&amp;"|Output"),"OUT",""))</f>
        <v/>
      </c>
      <c r="BB79" s="33" t="str">
        <f aca="false">IF(COUNTIF(Flows!$M$2:$M$1500,$A79&amp;"|"&amp;BB$1&amp;"|Input"),IF(COUNTIF(Flows!$M$2:$M$1500,$A79&amp;"|"&amp;BB$1&amp;"|Output"),"I/O","IN"),IF(COUNTIF(Flows!$M$2:$M$1500,$A79&amp;"|"&amp;BB$1&amp;"|Output"),"OUT",""))</f>
        <v>IN</v>
      </c>
      <c r="BC79" s="33" t="str">
        <f aca="false">IF(COUNTIF(Flows!$M$2:$M$1500,$A79&amp;"|"&amp;BC$1&amp;"|Input"),IF(COUNTIF(Flows!$M$2:$M$1500,$A79&amp;"|"&amp;BC$1&amp;"|Output"),"I/O","IN"),IF(COUNTIF(Flows!$M$2:$M$1500,$A79&amp;"|"&amp;BC$1&amp;"|Output"),"OUT",""))</f>
        <v/>
      </c>
      <c r="BD79" s="33" t="str">
        <f aca="false">IF(COUNTIF(Flows!$M$2:$M$1500,$A79&amp;"|"&amp;BD$1&amp;"|Input"),IF(COUNTIF(Flows!$M$2:$M$1500,$A79&amp;"|"&amp;BD$1&amp;"|Output"),"I/O","IN"),IF(COUNTIF(Flows!$M$2:$M$1500,$A79&amp;"|"&amp;BD$1&amp;"|Output"),"OUT",""))</f>
        <v>IN</v>
      </c>
      <c r="BE79" s="33" t="str">
        <f aca="false">IF(COUNTIF(Flows!$M$2:$M$1500,$A79&amp;"|"&amp;BE$1&amp;"|Input"),IF(COUNTIF(Flows!$M$2:$M$1500,$A79&amp;"|"&amp;BE$1&amp;"|Output"),"I/O","IN"),IF(COUNTIF(Flows!$M$2:$M$1500,$A79&amp;"|"&amp;BE$1&amp;"|Output"),"OUT",""))</f>
        <v/>
      </c>
      <c r="BF79" s="33" t="str">
        <f aca="false">IF(COUNTIF(Flows!$M$2:$M$1500,$A79&amp;"|"&amp;BF$1&amp;"|Input"),IF(COUNTIF(Flows!$M$2:$M$1500,$A79&amp;"|"&amp;BF$1&amp;"|Output"),"I/O","IN"),IF(COUNTIF(Flows!$M$2:$M$1500,$A79&amp;"|"&amp;BF$1&amp;"|Output"),"OUT",""))</f>
        <v/>
      </c>
      <c r="BG79" s="33" t="str">
        <f aca="false">IF(COUNTIF(Flows!$M$2:$M$1500,$A79&amp;"|"&amp;BG$1&amp;"|Input"),IF(COUNTIF(Flows!$M$2:$M$1500,$A79&amp;"|"&amp;BG$1&amp;"|Output"),"I/O","IN"),IF(COUNTIF(Flows!$M$2:$M$1500,$A79&amp;"|"&amp;BG$1&amp;"|Output"),"OUT",""))</f>
        <v/>
      </c>
      <c r="BH79" s="33" t="str">
        <f aca="false">IF(COUNTIF(Flows!$M$2:$M$1500,$A79&amp;"|"&amp;BH$1&amp;"|Input"),IF(COUNTIF(Flows!$M$2:$M$1500,$A79&amp;"|"&amp;BH$1&amp;"|Output"),"I/O","IN"),IF(COUNTIF(Flows!$M$2:$M$1500,$A79&amp;"|"&amp;BH$1&amp;"|Output"),"OUT",""))</f>
        <v>IN</v>
      </c>
      <c r="BI79" s="33" t="str">
        <f aca="false">IF(COUNTIF(Flows!$M$2:$M$1500,$A79&amp;"|"&amp;BI$1&amp;"|Input"),IF(COUNTIF(Flows!$M$2:$M$1500,$A79&amp;"|"&amp;BI$1&amp;"|Output"),"I/O","IN"),IF(COUNTIF(Flows!$M$2:$M$1500,$A79&amp;"|"&amp;BI$1&amp;"|Output"),"OUT",""))</f>
        <v/>
      </c>
      <c r="BJ79" s="33" t="str">
        <f aca="false">IF(COUNTIF(Flows!$M$2:$M$1500,$A79&amp;"|"&amp;BJ$1&amp;"|Input"),IF(COUNTIF(Flows!$M$2:$M$1500,$A79&amp;"|"&amp;BJ$1&amp;"|Output"),"I/O","IN"),IF(COUNTIF(Flows!$M$2:$M$1500,$A79&amp;"|"&amp;BJ$1&amp;"|Output"),"OUT",""))</f>
        <v>IN</v>
      </c>
      <c r="BK79" s="33" t="str">
        <f aca="false">IF(COUNTIF(Flows!$M$2:$M$1500,$A79&amp;"|"&amp;BK$1&amp;"|Input"),IF(COUNTIF(Flows!$M$2:$M$1500,$A79&amp;"|"&amp;BK$1&amp;"|Output"),"I/O","IN"),IF(COUNTIF(Flows!$M$2:$M$1500,$A79&amp;"|"&amp;BK$1&amp;"|Output"),"OUT",""))</f>
        <v/>
      </c>
    </row>
    <row r="80" customFormat="false" ht="15" hidden="false" customHeight="true" outlineLevel="0" collapsed="false">
      <c r="A80" s="6" t="str">
        <f aca="false">Systems!B80</f>
        <v>Well</v>
      </c>
      <c r="B80" s="33" t="str">
        <f aca="false">IF(COUNTIF(Flows!$M$2:$M$1500,$A80&amp;"|"&amp;B$1&amp;"|Input"),IF(COUNTIF(Flows!$M$2:$M$1500,$A80&amp;"|"&amp;B$1&amp;"|Output"),"I/O","IN"),IF(COUNTIF(Flows!$M$2:$M$1500,$A80&amp;"|"&amp;B$1&amp;"|Output"),"OUT",""))</f>
        <v>OUT</v>
      </c>
      <c r="C80" s="33" t="str">
        <f aca="false">IF(COUNTIF(Flows!$M$2:$M$1500,$A80&amp;"|"&amp;C$1&amp;"|Input"),IF(COUNTIF(Flows!$M$2:$M$1500,$A80&amp;"|"&amp;C$1&amp;"|Output"),"I/O","IN"),IF(COUNTIF(Flows!$M$2:$M$1500,$A80&amp;"|"&amp;C$1&amp;"|Output"),"OUT",""))</f>
        <v/>
      </c>
      <c r="D80" s="33" t="str">
        <f aca="false">IF(COUNTIF(Flows!$M$2:$M$1500,$A80&amp;"|"&amp;D$1&amp;"|Input"),IF(COUNTIF(Flows!$M$2:$M$1500,$A80&amp;"|"&amp;D$1&amp;"|Output"),"I/O","IN"),IF(COUNTIF(Flows!$M$2:$M$1500,$A80&amp;"|"&amp;D$1&amp;"|Output"),"OUT",""))</f>
        <v/>
      </c>
      <c r="E80" s="33" t="str">
        <f aca="false">IF(COUNTIF(Flows!$M$2:$M$1500,$A80&amp;"|"&amp;E$1&amp;"|Input"),IF(COUNTIF(Flows!$M$2:$M$1500,$A80&amp;"|"&amp;E$1&amp;"|Output"),"I/O","IN"),IF(COUNTIF(Flows!$M$2:$M$1500,$A80&amp;"|"&amp;E$1&amp;"|Output"),"OUT",""))</f>
        <v/>
      </c>
      <c r="F80" s="33" t="str">
        <f aca="false">IF(COUNTIF(Flows!$M$2:$M$1500,$A80&amp;"|"&amp;F$1&amp;"|Input"),IF(COUNTIF(Flows!$M$2:$M$1500,$A80&amp;"|"&amp;F$1&amp;"|Output"),"I/O","IN"),IF(COUNTIF(Flows!$M$2:$M$1500,$A80&amp;"|"&amp;F$1&amp;"|Output"),"OUT",""))</f>
        <v/>
      </c>
      <c r="G80" s="33" t="str">
        <f aca="false">IF(COUNTIF(Flows!$M$2:$M$1500,$A80&amp;"|"&amp;G$1&amp;"|Input"),IF(COUNTIF(Flows!$M$2:$M$1500,$A80&amp;"|"&amp;G$1&amp;"|Output"),"I/O","IN"),IF(COUNTIF(Flows!$M$2:$M$1500,$A80&amp;"|"&amp;G$1&amp;"|Output"),"OUT",""))</f>
        <v/>
      </c>
      <c r="H80" s="33" t="str">
        <f aca="false">IF(COUNTIF(Flows!$M$2:$M$1500,$A80&amp;"|"&amp;H$1&amp;"|Input"),IF(COUNTIF(Flows!$M$2:$M$1500,$A80&amp;"|"&amp;H$1&amp;"|Output"),"I/O","IN"),IF(COUNTIF(Flows!$M$2:$M$1500,$A80&amp;"|"&amp;H$1&amp;"|Output"),"OUT",""))</f>
        <v/>
      </c>
      <c r="I80" s="33" t="str">
        <f aca="false">IF(COUNTIF(Flows!$M$2:$M$1500,$A80&amp;"|"&amp;I$1&amp;"|Input"),IF(COUNTIF(Flows!$M$2:$M$1500,$A80&amp;"|"&amp;I$1&amp;"|Output"),"I/O","IN"),IF(COUNTIF(Flows!$M$2:$M$1500,$A80&amp;"|"&amp;I$1&amp;"|Output"),"OUT",""))</f>
        <v/>
      </c>
      <c r="J80" s="33" t="str">
        <f aca="false">IF(COUNTIF(Flows!$M$2:$M$1500,$A80&amp;"|"&amp;J$1&amp;"|Input"),IF(COUNTIF(Flows!$M$2:$M$1500,$A80&amp;"|"&amp;J$1&amp;"|Output"),"I/O","IN"),IF(COUNTIF(Flows!$M$2:$M$1500,$A80&amp;"|"&amp;J$1&amp;"|Output"),"OUT",""))</f>
        <v/>
      </c>
      <c r="K80" s="33" t="str">
        <f aca="false">IF(COUNTIF(Flows!$M$2:$M$1500,$A80&amp;"|"&amp;K$1&amp;"|Input"),IF(COUNTIF(Flows!$M$2:$M$1500,$A80&amp;"|"&amp;K$1&amp;"|Output"),"I/O","IN"),IF(COUNTIF(Flows!$M$2:$M$1500,$A80&amp;"|"&amp;K$1&amp;"|Output"),"OUT",""))</f>
        <v/>
      </c>
      <c r="L80" s="33" t="str">
        <f aca="false">IF(COUNTIF(Flows!$M$2:$M$1500,$A80&amp;"|"&amp;L$1&amp;"|Input"),IF(COUNTIF(Flows!$M$2:$M$1500,$A80&amp;"|"&amp;L$1&amp;"|Output"),"I/O","IN"),IF(COUNTIF(Flows!$M$2:$M$1500,$A80&amp;"|"&amp;L$1&amp;"|Output"),"OUT",""))</f>
        <v/>
      </c>
      <c r="M80" s="33" t="str">
        <f aca="false">IF(COUNTIF(Flows!$M$2:$M$1500,$A80&amp;"|"&amp;M$1&amp;"|Input"),IF(COUNTIF(Flows!$M$2:$M$1500,$A80&amp;"|"&amp;M$1&amp;"|Output"),"I/O","IN"),IF(COUNTIF(Flows!$M$2:$M$1500,$A80&amp;"|"&amp;M$1&amp;"|Output"),"OUT",""))</f>
        <v/>
      </c>
      <c r="N80" s="33" t="str">
        <f aca="false">IF(COUNTIF(Flows!$M$2:$M$1500,$A80&amp;"|"&amp;N$1&amp;"|Input"),IF(COUNTIF(Flows!$M$2:$M$1500,$A80&amp;"|"&amp;N$1&amp;"|Output"),"I/O","IN"),IF(COUNTIF(Flows!$M$2:$M$1500,$A80&amp;"|"&amp;N$1&amp;"|Output"),"OUT",""))</f>
        <v/>
      </c>
      <c r="O80" s="33" t="str">
        <f aca="false">IF(COUNTIF(Flows!$M$2:$M$1500,$A80&amp;"|"&amp;O$1&amp;"|Input"),IF(COUNTIF(Flows!$M$2:$M$1500,$A80&amp;"|"&amp;O$1&amp;"|Output"),"I/O","IN"),IF(COUNTIF(Flows!$M$2:$M$1500,$A80&amp;"|"&amp;O$1&amp;"|Output"),"OUT",""))</f>
        <v/>
      </c>
      <c r="P80" s="33" t="str">
        <f aca="false">IF(COUNTIF(Flows!$M$2:$M$1500,$A80&amp;"|"&amp;P$1&amp;"|Input"),IF(COUNTIF(Flows!$M$2:$M$1500,$A80&amp;"|"&amp;P$1&amp;"|Output"),"I/O","IN"),IF(COUNTIF(Flows!$M$2:$M$1500,$A80&amp;"|"&amp;P$1&amp;"|Output"),"OUT",""))</f>
        <v/>
      </c>
      <c r="Q80" s="33" t="str">
        <f aca="false">IF(COUNTIF(Flows!$M$2:$M$1500,$A80&amp;"|"&amp;Q$1&amp;"|Input"),IF(COUNTIF(Flows!$M$2:$M$1500,$A80&amp;"|"&amp;Q$1&amp;"|Output"),"I/O","IN"),IF(COUNTIF(Flows!$M$2:$M$1500,$A80&amp;"|"&amp;Q$1&amp;"|Output"),"OUT",""))</f>
        <v/>
      </c>
      <c r="R80" s="33" t="str">
        <f aca="false">IF(COUNTIF(Flows!$M$2:$M$1500,$A80&amp;"|"&amp;R$1&amp;"|Input"),IF(COUNTIF(Flows!$M$2:$M$1500,$A80&amp;"|"&amp;R$1&amp;"|Output"),"I/O","IN"),IF(COUNTIF(Flows!$M$2:$M$1500,$A80&amp;"|"&amp;R$1&amp;"|Output"),"OUT",""))</f>
        <v/>
      </c>
      <c r="S80" s="33" t="str">
        <f aca="false">IF(COUNTIF(Flows!$M$2:$M$1500,$A80&amp;"|"&amp;S$1&amp;"|Input"),IF(COUNTIF(Flows!$M$2:$M$1500,$A80&amp;"|"&amp;S$1&amp;"|Output"),"I/O","IN"),IF(COUNTIF(Flows!$M$2:$M$1500,$A80&amp;"|"&amp;S$1&amp;"|Output"),"OUT",""))</f>
        <v>IN</v>
      </c>
      <c r="T80" s="33" t="str">
        <f aca="false">IF(COUNTIF(Flows!$M$2:$M$1500,$A80&amp;"|"&amp;T$1&amp;"|Input"),IF(COUNTIF(Flows!$M$2:$M$1500,$A80&amp;"|"&amp;T$1&amp;"|Output"),"I/O","IN"),IF(COUNTIF(Flows!$M$2:$M$1500,$A80&amp;"|"&amp;T$1&amp;"|Output"),"OUT",""))</f>
        <v/>
      </c>
      <c r="U80" s="33" t="str">
        <f aca="false">IF(COUNTIF(Flows!$M$2:$M$1500,$A80&amp;"|"&amp;U$1&amp;"|Input"),IF(COUNTIF(Flows!$M$2:$M$1500,$A80&amp;"|"&amp;U$1&amp;"|Output"),"I/O","IN"),IF(COUNTIF(Flows!$M$2:$M$1500,$A80&amp;"|"&amp;U$1&amp;"|Output"),"OUT",""))</f>
        <v/>
      </c>
      <c r="V80" s="33" t="str">
        <f aca="false">IF(COUNTIF(Flows!$M$2:$M$1500,$A80&amp;"|"&amp;V$1&amp;"|Input"),IF(COUNTIF(Flows!$M$2:$M$1500,$A80&amp;"|"&amp;V$1&amp;"|Output"),"I/O","IN"),IF(COUNTIF(Flows!$M$2:$M$1500,$A80&amp;"|"&amp;V$1&amp;"|Output"),"OUT",""))</f>
        <v/>
      </c>
      <c r="W80" s="33" t="str">
        <f aca="false">IF(COUNTIF(Flows!$M$2:$M$1500,$A80&amp;"|"&amp;W$1&amp;"|Input"),IF(COUNTIF(Flows!$M$2:$M$1500,$A80&amp;"|"&amp;W$1&amp;"|Output"),"I/O","IN"),IF(COUNTIF(Flows!$M$2:$M$1500,$A80&amp;"|"&amp;W$1&amp;"|Output"),"OUT",""))</f>
        <v/>
      </c>
      <c r="X80" s="33" t="str">
        <f aca="false">IF(COUNTIF(Flows!$M$2:$M$1500,$A80&amp;"|"&amp;X$1&amp;"|Input"),IF(COUNTIF(Flows!$M$2:$M$1500,$A80&amp;"|"&amp;X$1&amp;"|Output"),"I/O","IN"),IF(COUNTIF(Flows!$M$2:$M$1500,$A80&amp;"|"&amp;X$1&amp;"|Output"),"OUT",""))</f>
        <v>IN</v>
      </c>
      <c r="Y80" s="33" t="str">
        <f aca="false">IF(COUNTIF(Flows!$M$2:$M$1500,$A80&amp;"|"&amp;Y$1&amp;"|Input"),IF(COUNTIF(Flows!$M$2:$M$1500,$A80&amp;"|"&amp;Y$1&amp;"|Output"),"I/O","IN"),IF(COUNTIF(Flows!$M$2:$M$1500,$A80&amp;"|"&amp;Y$1&amp;"|Output"),"OUT",""))</f>
        <v/>
      </c>
      <c r="Z80" s="33" t="str">
        <f aca="false">IF(COUNTIF(Flows!$M$2:$M$1500,$A80&amp;"|"&amp;Z$1&amp;"|Input"),IF(COUNTIF(Flows!$M$2:$M$1500,$A80&amp;"|"&amp;Z$1&amp;"|Output"),"I/O","IN"),IF(COUNTIF(Flows!$M$2:$M$1500,$A80&amp;"|"&amp;Z$1&amp;"|Output"),"OUT",""))</f>
        <v/>
      </c>
      <c r="AA80" s="33" t="str">
        <f aca="false">IF(COUNTIF(Flows!$M$2:$M$1500,$A80&amp;"|"&amp;AA$1&amp;"|Input"),IF(COUNTIF(Flows!$M$2:$M$1500,$A80&amp;"|"&amp;AA$1&amp;"|Output"),"I/O","IN"),IF(COUNTIF(Flows!$M$2:$M$1500,$A80&amp;"|"&amp;AA$1&amp;"|Output"),"OUT",""))</f>
        <v/>
      </c>
      <c r="AB80" s="33" t="str">
        <f aca="false">IF(COUNTIF(Flows!$M$2:$M$1500,$A80&amp;"|"&amp;AB$1&amp;"|Input"),IF(COUNTIF(Flows!$M$2:$M$1500,$A80&amp;"|"&amp;AB$1&amp;"|Output"),"I/O","IN"),IF(COUNTIF(Flows!$M$2:$M$1500,$A80&amp;"|"&amp;AB$1&amp;"|Output"),"OUT",""))</f>
        <v/>
      </c>
      <c r="AC80" s="33" t="str">
        <f aca="false">IF(COUNTIF(Flows!$M$2:$M$1500,$A80&amp;"|"&amp;AC$1&amp;"|Input"),IF(COUNTIF(Flows!$M$2:$M$1500,$A80&amp;"|"&amp;AC$1&amp;"|Output"),"I/O","IN"),IF(COUNTIF(Flows!$M$2:$M$1500,$A80&amp;"|"&amp;AC$1&amp;"|Output"),"OUT",""))</f>
        <v/>
      </c>
      <c r="AD80" s="33" t="str">
        <f aca="false">IF(COUNTIF(Flows!$M$2:$M$1500,$A80&amp;"|"&amp;AD$1&amp;"|Input"),IF(COUNTIF(Flows!$M$2:$M$1500,$A80&amp;"|"&amp;AD$1&amp;"|Output"),"I/O","IN"),IF(COUNTIF(Flows!$M$2:$M$1500,$A80&amp;"|"&amp;AD$1&amp;"|Output"),"OUT",""))</f>
        <v/>
      </c>
      <c r="AE80" s="33" t="str">
        <f aca="false">IF(COUNTIF(Flows!$M$2:$M$1500,$A80&amp;"|"&amp;AE$1&amp;"|Input"),IF(COUNTIF(Flows!$M$2:$M$1500,$A80&amp;"|"&amp;AE$1&amp;"|Output"),"I/O","IN"),IF(COUNTIF(Flows!$M$2:$M$1500,$A80&amp;"|"&amp;AE$1&amp;"|Output"),"OUT",""))</f>
        <v/>
      </c>
      <c r="AF80" s="33" t="str">
        <f aca="false">IF(COUNTIF(Flows!$M$2:$M$1500,$A80&amp;"|"&amp;AF$1&amp;"|Input"),IF(COUNTIF(Flows!$M$2:$M$1500,$A80&amp;"|"&amp;AF$1&amp;"|Output"),"I/O","IN"),IF(COUNTIF(Flows!$M$2:$M$1500,$A80&amp;"|"&amp;AF$1&amp;"|Output"),"OUT",""))</f>
        <v/>
      </c>
      <c r="AG80" s="33" t="str">
        <f aca="false">IF(COUNTIF(Flows!$M$2:$M$1500,$A80&amp;"|"&amp;AG$1&amp;"|Input"),IF(COUNTIF(Flows!$M$2:$M$1500,$A80&amp;"|"&amp;AG$1&amp;"|Output"),"I/O","IN"),IF(COUNTIF(Flows!$M$2:$M$1500,$A80&amp;"|"&amp;AG$1&amp;"|Output"),"OUT",""))</f>
        <v/>
      </c>
      <c r="AH80" s="33" t="str">
        <f aca="false">IF(COUNTIF(Flows!$M$2:$M$1500,$A80&amp;"|"&amp;AH$1&amp;"|Input"),IF(COUNTIF(Flows!$M$2:$M$1500,$A80&amp;"|"&amp;AH$1&amp;"|Output"),"I/O","IN"),IF(COUNTIF(Flows!$M$2:$M$1500,$A80&amp;"|"&amp;AH$1&amp;"|Output"),"OUT",""))</f>
        <v/>
      </c>
      <c r="AI80" s="33" t="str">
        <f aca="false">IF(COUNTIF(Flows!$M$2:$M$1500,$A80&amp;"|"&amp;AI$1&amp;"|Input"),IF(COUNTIF(Flows!$M$2:$M$1500,$A80&amp;"|"&amp;AI$1&amp;"|Output"),"I/O","IN"),IF(COUNTIF(Flows!$M$2:$M$1500,$A80&amp;"|"&amp;AI$1&amp;"|Output"),"OUT",""))</f>
        <v/>
      </c>
      <c r="AJ80" s="33" t="str">
        <f aca="false">IF(COUNTIF(Flows!$M$2:$M$1500,$A80&amp;"|"&amp;AJ$1&amp;"|Input"),IF(COUNTIF(Flows!$M$2:$M$1500,$A80&amp;"|"&amp;AJ$1&amp;"|Output"),"I/O","IN"),IF(COUNTIF(Flows!$M$2:$M$1500,$A80&amp;"|"&amp;AJ$1&amp;"|Output"),"OUT",""))</f>
        <v/>
      </c>
      <c r="AK80" s="33" t="str">
        <f aca="false">IF(COUNTIF(Flows!$M$2:$M$1500,$A80&amp;"|"&amp;AK$1&amp;"|Input"),IF(COUNTIF(Flows!$M$2:$M$1500,$A80&amp;"|"&amp;AK$1&amp;"|Output"),"I/O","IN"),IF(COUNTIF(Flows!$M$2:$M$1500,$A80&amp;"|"&amp;AK$1&amp;"|Output"),"OUT",""))</f>
        <v/>
      </c>
      <c r="AL80" s="33" t="str">
        <f aca="false">IF(COUNTIF(Flows!$M$2:$M$1500,$A80&amp;"|"&amp;AL$1&amp;"|Input"),IF(COUNTIF(Flows!$M$2:$M$1500,$A80&amp;"|"&amp;AL$1&amp;"|Output"),"I/O","IN"),IF(COUNTIF(Flows!$M$2:$M$1500,$A80&amp;"|"&amp;AL$1&amp;"|Output"),"OUT",""))</f>
        <v/>
      </c>
      <c r="AM80" s="33" t="str">
        <f aca="false">IF(COUNTIF(Flows!$M$2:$M$1500,$A80&amp;"|"&amp;AM$1&amp;"|Input"),IF(COUNTIF(Flows!$M$2:$M$1500,$A80&amp;"|"&amp;AM$1&amp;"|Output"),"I/O","IN"),IF(COUNTIF(Flows!$M$2:$M$1500,$A80&amp;"|"&amp;AM$1&amp;"|Output"),"OUT",""))</f>
        <v/>
      </c>
      <c r="AN80" s="33" t="str">
        <f aca="false">IF(COUNTIF(Flows!$M$2:$M$1500,$A80&amp;"|"&amp;AN$1&amp;"|Input"),IF(COUNTIF(Flows!$M$2:$M$1500,$A80&amp;"|"&amp;AN$1&amp;"|Output"),"I/O","IN"),IF(COUNTIF(Flows!$M$2:$M$1500,$A80&amp;"|"&amp;AN$1&amp;"|Output"),"OUT",""))</f>
        <v/>
      </c>
      <c r="AO80" s="33" t="str">
        <f aca="false">IF(COUNTIF(Flows!$M$2:$M$1500,$A80&amp;"|"&amp;AO$1&amp;"|Input"),IF(COUNTIF(Flows!$M$2:$M$1500,$A80&amp;"|"&amp;AO$1&amp;"|Output"),"I/O","IN"),IF(COUNTIF(Flows!$M$2:$M$1500,$A80&amp;"|"&amp;AO$1&amp;"|Output"),"OUT",""))</f>
        <v/>
      </c>
      <c r="AP80" s="33" t="str">
        <f aca="false">IF(COUNTIF(Flows!$M$2:$M$1500,$A80&amp;"|"&amp;AP$1&amp;"|Input"),IF(COUNTIF(Flows!$M$2:$M$1500,$A80&amp;"|"&amp;AP$1&amp;"|Output"),"I/O","IN"),IF(COUNTIF(Flows!$M$2:$M$1500,$A80&amp;"|"&amp;AP$1&amp;"|Output"),"OUT",""))</f>
        <v/>
      </c>
      <c r="AQ80" s="33" t="str">
        <f aca="false">IF(COUNTIF(Flows!$M$2:$M$1500,$A80&amp;"|"&amp;AQ$1&amp;"|Input"),IF(COUNTIF(Flows!$M$2:$M$1500,$A80&amp;"|"&amp;AQ$1&amp;"|Output"),"I/O","IN"),IF(COUNTIF(Flows!$M$2:$M$1500,$A80&amp;"|"&amp;AQ$1&amp;"|Output"),"OUT",""))</f>
        <v/>
      </c>
      <c r="AR80" s="33" t="str">
        <f aca="false">IF(COUNTIF(Flows!$M$2:$M$1500,$A80&amp;"|"&amp;AR$1&amp;"|Input"),IF(COUNTIF(Flows!$M$2:$M$1500,$A80&amp;"|"&amp;AR$1&amp;"|Output"),"I/O","IN"),IF(COUNTIF(Flows!$M$2:$M$1500,$A80&amp;"|"&amp;AR$1&amp;"|Output"),"OUT",""))</f>
        <v/>
      </c>
      <c r="AS80" s="33" t="str">
        <f aca="false">IF(COUNTIF(Flows!$M$2:$M$1500,$A80&amp;"|"&amp;AS$1&amp;"|Input"),IF(COUNTIF(Flows!$M$2:$M$1500,$A80&amp;"|"&amp;AS$1&amp;"|Output"),"I/O","IN"),IF(COUNTIF(Flows!$M$2:$M$1500,$A80&amp;"|"&amp;AS$1&amp;"|Output"),"OUT",""))</f>
        <v/>
      </c>
      <c r="AT80" s="33" t="str">
        <f aca="false">IF(COUNTIF(Flows!$M$2:$M$1500,$A80&amp;"|"&amp;AT$1&amp;"|Input"),IF(COUNTIF(Flows!$M$2:$M$1500,$A80&amp;"|"&amp;AT$1&amp;"|Output"),"I/O","IN"),IF(COUNTIF(Flows!$M$2:$M$1500,$A80&amp;"|"&amp;AT$1&amp;"|Output"),"OUT",""))</f>
        <v/>
      </c>
      <c r="AU80" s="33" t="str">
        <f aca="false">IF(COUNTIF(Flows!$M$2:$M$1500,$A80&amp;"|"&amp;AU$1&amp;"|Input"),IF(COUNTIF(Flows!$M$2:$M$1500,$A80&amp;"|"&amp;AU$1&amp;"|Output"),"I/O","IN"),IF(COUNTIF(Flows!$M$2:$M$1500,$A80&amp;"|"&amp;AU$1&amp;"|Output"),"OUT",""))</f>
        <v/>
      </c>
      <c r="AV80" s="33" t="str">
        <f aca="false">IF(COUNTIF(Flows!$M$2:$M$1500,$A80&amp;"|"&amp;AV$1&amp;"|Input"),IF(COUNTIF(Flows!$M$2:$M$1500,$A80&amp;"|"&amp;AV$1&amp;"|Output"),"I/O","IN"),IF(COUNTIF(Flows!$M$2:$M$1500,$A80&amp;"|"&amp;AV$1&amp;"|Output"),"OUT",""))</f>
        <v/>
      </c>
      <c r="AW80" s="33" t="str">
        <f aca="false">IF(COUNTIF(Flows!$M$2:$M$1500,$A80&amp;"|"&amp;AW$1&amp;"|Input"),IF(COUNTIF(Flows!$M$2:$M$1500,$A80&amp;"|"&amp;AW$1&amp;"|Output"),"I/O","IN"),IF(COUNTIF(Flows!$M$2:$M$1500,$A80&amp;"|"&amp;AW$1&amp;"|Output"),"OUT",""))</f>
        <v/>
      </c>
      <c r="AX80" s="33" t="str">
        <f aca="false">IF(COUNTIF(Flows!$M$2:$M$1500,$A80&amp;"|"&amp;AX$1&amp;"|Input"),IF(COUNTIF(Flows!$M$2:$M$1500,$A80&amp;"|"&amp;AX$1&amp;"|Output"),"I/O","IN"),IF(COUNTIF(Flows!$M$2:$M$1500,$A80&amp;"|"&amp;AX$1&amp;"|Output"),"OUT",""))</f>
        <v/>
      </c>
      <c r="AY80" s="33" t="str">
        <f aca="false">IF(COUNTIF(Flows!$M$2:$M$1500,$A80&amp;"|"&amp;AY$1&amp;"|Input"),IF(COUNTIF(Flows!$M$2:$M$1500,$A80&amp;"|"&amp;AY$1&amp;"|Output"),"I/O","IN"),IF(COUNTIF(Flows!$M$2:$M$1500,$A80&amp;"|"&amp;AY$1&amp;"|Output"),"OUT",""))</f>
        <v/>
      </c>
      <c r="AZ80" s="33" t="str">
        <f aca="false">IF(COUNTIF(Flows!$M$2:$M$1500,$A80&amp;"|"&amp;AZ$1&amp;"|Input"),IF(COUNTIF(Flows!$M$2:$M$1500,$A80&amp;"|"&amp;AZ$1&amp;"|Output"),"I/O","IN"),IF(COUNTIF(Flows!$M$2:$M$1500,$A80&amp;"|"&amp;AZ$1&amp;"|Output"),"OUT",""))</f>
        <v/>
      </c>
      <c r="BA80" s="33" t="str">
        <f aca="false">IF(COUNTIF(Flows!$M$2:$M$1500,$A80&amp;"|"&amp;BA$1&amp;"|Input"),IF(COUNTIF(Flows!$M$2:$M$1500,$A80&amp;"|"&amp;BA$1&amp;"|Output"),"I/O","IN"),IF(COUNTIF(Flows!$M$2:$M$1500,$A80&amp;"|"&amp;BA$1&amp;"|Output"),"OUT",""))</f>
        <v/>
      </c>
      <c r="BB80" s="33" t="str">
        <f aca="false">IF(COUNTIF(Flows!$M$2:$M$1500,$A80&amp;"|"&amp;BB$1&amp;"|Input"),IF(COUNTIF(Flows!$M$2:$M$1500,$A80&amp;"|"&amp;BB$1&amp;"|Output"),"I/O","IN"),IF(COUNTIF(Flows!$M$2:$M$1500,$A80&amp;"|"&amp;BB$1&amp;"|Output"),"OUT",""))</f>
        <v/>
      </c>
      <c r="BC80" s="33" t="str">
        <f aca="false">IF(COUNTIF(Flows!$M$2:$M$1500,$A80&amp;"|"&amp;BC$1&amp;"|Input"),IF(COUNTIF(Flows!$M$2:$M$1500,$A80&amp;"|"&amp;BC$1&amp;"|Output"),"I/O","IN"),IF(COUNTIF(Flows!$M$2:$M$1500,$A80&amp;"|"&amp;BC$1&amp;"|Output"),"OUT",""))</f>
        <v/>
      </c>
      <c r="BD80" s="33" t="str">
        <f aca="false">IF(COUNTIF(Flows!$M$2:$M$1500,$A80&amp;"|"&amp;BD$1&amp;"|Input"),IF(COUNTIF(Flows!$M$2:$M$1500,$A80&amp;"|"&amp;BD$1&amp;"|Output"),"I/O","IN"),IF(COUNTIF(Flows!$M$2:$M$1500,$A80&amp;"|"&amp;BD$1&amp;"|Output"),"OUT",""))</f>
        <v/>
      </c>
      <c r="BE80" s="33" t="str">
        <f aca="false">IF(COUNTIF(Flows!$M$2:$M$1500,$A80&amp;"|"&amp;BE$1&amp;"|Input"),IF(COUNTIF(Flows!$M$2:$M$1500,$A80&amp;"|"&amp;BE$1&amp;"|Output"),"I/O","IN"),IF(COUNTIF(Flows!$M$2:$M$1500,$A80&amp;"|"&amp;BE$1&amp;"|Output"),"OUT",""))</f>
        <v/>
      </c>
      <c r="BF80" s="33" t="str">
        <f aca="false">IF(COUNTIF(Flows!$M$2:$M$1500,$A80&amp;"|"&amp;BF$1&amp;"|Input"),IF(COUNTIF(Flows!$M$2:$M$1500,$A80&amp;"|"&amp;BF$1&amp;"|Output"),"I/O","IN"),IF(COUNTIF(Flows!$M$2:$M$1500,$A80&amp;"|"&amp;BF$1&amp;"|Output"),"OUT",""))</f>
        <v/>
      </c>
      <c r="BG80" s="33" t="str">
        <f aca="false">IF(COUNTIF(Flows!$M$2:$M$1500,$A80&amp;"|"&amp;BG$1&amp;"|Input"),IF(COUNTIF(Flows!$M$2:$M$1500,$A80&amp;"|"&amp;BG$1&amp;"|Output"),"I/O","IN"),IF(COUNTIF(Flows!$M$2:$M$1500,$A80&amp;"|"&amp;BG$1&amp;"|Output"),"OUT",""))</f>
        <v/>
      </c>
      <c r="BH80" s="33" t="str">
        <f aca="false">IF(COUNTIF(Flows!$M$2:$M$1500,$A80&amp;"|"&amp;BH$1&amp;"|Input"),IF(COUNTIF(Flows!$M$2:$M$1500,$A80&amp;"|"&amp;BH$1&amp;"|Output"),"I/O","IN"),IF(COUNTIF(Flows!$M$2:$M$1500,$A80&amp;"|"&amp;BH$1&amp;"|Output"),"OUT",""))</f>
        <v/>
      </c>
      <c r="BI80" s="33" t="str">
        <f aca="false">IF(COUNTIF(Flows!$M$2:$M$1500,$A80&amp;"|"&amp;BI$1&amp;"|Input"),IF(COUNTIF(Flows!$M$2:$M$1500,$A80&amp;"|"&amp;BI$1&amp;"|Output"),"I/O","IN"),IF(COUNTIF(Flows!$M$2:$M$1500,$A80&amp;"|"&amp;BI$1&amp;"|Output"),"OUT",""))</f>
        <v/>
      </c>
      <c r="BJ80" s="33" t="str">
        <f aca="false">IF(COUNTIF(Flows!$M$2:$M$1500,$A80&amp;"|"&amp;BJ$1&amp;"|Input"),IF(COUNTIF(Flows!$M$2:$M$1500,$A80&amp;"|"&amp;BJ$1&amp;"|Output"),"I/O","IN"),IF(COUNTIF(Flows!$M$2:$M$1500,$A80&amp;"|"&amp;BJ$1&amp;"|Output"),"OUT",""))</f>
        <v/>
      </c>
      <c r="BK80" s="33" t="str">
        <f aca="false">IF(COUNTIF(Flows!$M$2:$M$1500,$A80&amp;"|"&amp;BK$1&amp;"|Input"),IF(COUNTIF(Flows!$M$2:$M$1500,$A80&amp;"|"&amp;BK$1&amp;"|Output"),"I/O","IN"),IF(COUNTIF(Flows!$M$2:$M$1500,$A80&amp;"|"&amp;BK$1&amp;"|Output"),"OUT",""))</f>
        <v/>
      </c>
    </row>
    <row r="81" customFormat="false" ht="15" hidden="false" customHeight="true" outlineLevel="0" collapsed="false">
      <c r="A81" s="6" t="str">
        <f aca="false">Systems!B81</f>
        <v>Tiny House on Wheels</v>
      </c>
      <c r="B81" s="33" t="str">
        <f aca="false">IF(COUNTIF(Flows!$M$2:$M$1500,$A81&amp;"|"&amp;B$1&amp;"|Input"),IF(COUNTIF(Flows!$M$2:$M$1500,$A81&amp;"|"&amp;B$1&amp;"|Output"),"I/O","IN"),IF(COUNTIF(Flows!$M$2:$M$1500,$A81&amp;"|"&amp;B$1&amp;"|Output"),"OUT",""))</f>
        <v/>
      </c>
      <c r="C81" s="33" t="str">
        <f aca="false">IF(COUNTIF(Flows!$M$2:$M$1500,$A81&amp;"|"&amp;C$1&amp;"|Input"),IF(COUNTIF(Flows!$M$2:$M$1500,$A81&amp;"|"&amp;C$1&amp;"|Output"),"I/O","IN"),IF(COUNTIF(Flows!$M$2:$M$1500,$A81&amp;"|"&amp;C$1&amp;"|Output"),"OUT",""))</f>
        <v/>
      </c>
      <c r="D81" s="33" t="str">
        <f aca="false">IF(COUNTIF(Flows!$M$2:$M$1500,$A81&amp;"|"&amp;D$1&amp;"|Input"),IF(COUNTIF(Flows!$M$2:$M$1500,$A81&amp;"|"&amp;D$1&amp;"|Output"),"I/O","IN"),IF(COUNTIF(Flows!$M$2:$M$1500,$A81&amp;"|"&amp;D$1&amp;"|Output"),"OUT",""))</f>
        <v/>
      </c>
      <c r="E81" s="33" t="str">
        <f aca="false">IF(COUNTIF(Flows!$M$2:$M$1500,$A81&amp;"|"&amp;E$1&amp;"|Input"),IF(COUNTIF(Flows!$M$2:$M$1500,$A81&amp;"|"&amp;E$1&amp;"|Output"),"I/O","IN"),IF(COUNTIF(Flows!$M$2:$M$1500,$A81&amp;"|"&amp;E$1&amp;"|Output"),"OUT",""))</f>
        <v/>
      </c>
      <c r="F81" s="33" t="str">
        <f aca="false">IF(COUNTIF(Flows!$M$2:$M$1500,$A81&amp;"|"&amp;F$1&amp;"|Input"),IF(COUNTIF(Flows!$M$2:$M$1500,$A81&amp;"|"&amp;F$1&amp;"|Output"),"I/O","IN"),IF(COUNTIF(Flows!$M$2:$M$1500,$A81&amp;"|"&amp;F$1&amp;"|Output"),"OUT",""))</f>
        <v/>
      </c>
      <c r="G81" s="33" t="str">
        <f aca="false">IF(COUNTIF(Flows!$M$2:$M$1500,$A81&amp;"|"&amp;G$1&amp;"|Input"),IF(COUNTIF(Flows!$M$2:$M$1500,$A81&amp;"|"&amp;G$1&amp;"|Output"),"I/O","IN"),IF(COUNTIF(Flows!$M$2:$M$1500,$A81&amp;"|"&amp;G$1&amp;"|Output"),"OUT",""))</f>
        <v/>
      </c>
      <c r="H81" s="33" t="str">
        <f aca="false">IF(COUNTIF(Flows!$M$2:$M$1500,$A81&amp;"|"&amp;H$1&amp;"|Input"),IF(COUNTIF(Flows!$M$2:$M$1500,$A81&amp;"|"&amp;H$1&amp;"|Output"),"I/O","IN"),IF(COUNTIF(Flows!$M$2:$M$1500,$A81&amp;"|"&amp;H$1&amp;"|Output"),"OUT",""))</f>
        <v/>
      </c>
      <c r="I81" s="33" t="str">
        <f aca="false">IF(COUNTIF(Flows!$M$2:$M$1500,$A81&amp;"|"&amp;I$1&amp;"|Input"),IF(COUNTIF(Flows!$M$2:$M$1500,$A81&amp;"|"&amp;I$1&amp;"|Output"),"I/O","IN"),IF(COUNTIF(Flows!$M$2:$M$1500,$A81&amp;"|"&amp;I$1&amp;"|Output"),"OUT",""))</f>
        <v/>
      </c>
      <c r="J81" s="33" t="str">
        <f aca="false">IF(COUNTIF(Flows!$M$2:$M$1500,$A81&amp;"|"&amp;J$1&amp;"|Input"),IF(COUNTIF(Flows!$M$2:$M$1500,$A81&amp;"|"&amp;J$1&amp;"|Output"),"I/O","IN"),IF(COUNTIF(Flows!$M$2:$M$1500,$A81&amp;"|"&amp;J$1&amp;"|Output"),"OUT",""))</f>
        <v/>
      </c>
      <c r="K81" s="33" t="str">
        <f aca="false">IF(COUNTIF(Flows!$M$2:$M$1500,$A81&amp;"|"&amp;K$1&amp;"|Input"),IF(COUNTIF(Flows!$M$2:$M$1500,$A81&amp;"|"&amp;K$1&amp;"|Output"),"I/O","IN"),IF(COUNTIF(Flows!$M$2:$M$1500,$A81&amp;"|"&amp;K$1&amp;"|Output"),"OUT",""))</f>
        <v/>
      </c>
      <c r="L81" s="33" t="str">
        <f aca="false">IF(COUNTIF(Flows!$M$2:$M$1500,$A81&amp;"|"&amp;L$1&amp;"|Input"),IF(COUNTIF(Flows!$M$2:$M$1500,$A81&amp;"|"&amp;L$1&amp;"|Output"),"I/O","IN"),IF(COUNTIF(Flows!$M$2:$M$1500,$A81&amp;"|"&amp;L$1&amp;"|Output"),"OUT",""))</f>
        <v/>
      </c>
      <c r="M81" s="33" t="str">
        <f aca="false">IF(COUNTIF(Flows!$M$2:$M$1500,$A81&amp;"|"&amp;M$1&amp;"|Input"),IF(COUNTIF(Flows!$M$2:$M$1500,$A81&amp;"|"&amp;M$1&amp;"|Output"),"I/O","IN"),IF(COUNTIF(Flows!$M$2:$M$1500,$A81&amp;"|"&amp;M$1&amp;"|Output"),"OUT",""))</f>
        <v/>
      </c>
      <c r="N81" s="33" t="str">
        <f aca="false">IF(COUNTIF(Flows!$M$2:$M$1500,$A81&amp;"|"&amp;N$1&amp;"|Input"),IF(COUNTIF(Flows!$M$2:$M$1500,$A81&amp;"|"&amp;N$1&amp;"|Output"),"I/O","IN"),IF(COUNTIF(Flows!$M$2:$M$1500,$A81&amp;"|"&amp;N$1&amp;"|Output"),"OUT",""))</f>
        <v/>
      </c>
      <c r="O81" s="33" t="str">
        <f aca="false">IF(COUNTIF(Flows!$M$2:$M$1500,$A81&amp;"|"&amp;O$1&amp;"|Input"),IF(COUNTIF(Flows!$M$2:$M$1500,$A81&amp;"|"&amp;O$1&amp;"|Output"),"I/O","IN"),IF(COUNTIF(Flows!$M$2:$M$1500,$A81&amp;"|"&amp;O$1&amp;"|Output"),"OUT",""))</f>
        <v/>
      </c>
      <c r="P81" s="33" t="str">
        <f aca="false">IF(COUNTIF(Flows!$M$2:$M$1500,$A81&amp;"|"&amp;P$1&amp;"|Input"),IF(COUNTIF(Flows!$M$2:$M$1500,$A81&amp;"|"&amp;P$1&amp;"|Output"),"I/O","IN"),IF(COUNTIF(Flows!$M$2:$M$1500,$A81&amp;"|"&amp;P$1&amp;"|Output"),"OUT",""))</f>
        <v/>
      </c>
      <c r="Q81" s="33" t="str">
        <f aca="false">IF(COUNTIF(Flows!$M$2:$M$1500,$A81&amp;"|"&amp;Q$1&amp;"|Input"),IF(COUNTIF(Flows!$M$2:$M$1500,$A81&amp;"|"&amp;Q$1&amp;"|Output"),"I/O","IN"),IF(COUNTIF(Flows!$M$2:$M$1500,$A81&amp;"|"&amp;Q$1&amp;"|Output"),"OUT",""))</f>
        <v>OUT</v>
      </c>
      <c r="R81" s="33" t="str">
        <f aca="false">IF(COUNTIF(Flows!$M$2:$M$1500,$A81&amp;"|"&amp;R$1&amp;"|Input"),IF(COUNTIF(Flows!$M$2:$M$1500,$A81&amp;"|"&amp;R$1&amp;"|Output"),"I/O","IN"),IF(COUNTIF(Flows!$M$2:$M$1500,$A81&amp;"|"&amp;R$1&amp;"|Output"),"OUT",""))</f>
        <v/>
      </c>
      <c r="S81" s="33" t="str">
        <f aca="false">IF(COUNTIF(Flows!$M$2:$M$1500,$A81&amp;"|"&amp;S$1&amp;"|Input"),IF(COUNTIF(Flows!$M$2:$M$1500,$A81&amp;"|"&amp;S$1&amp;"|Output"),"I/O","IN"),IF(COUNTIF(Flows!$M$2:$M$1500,$A81&amp;"|"&amp;S$1&amp;"|Output"),"OUT",""))</f>
        <v/>
      </c>
      <c r="T81" s="33" t="str">
        <f aca="false">IF(COUNTIF(Flows!$M$2:$M$1500,$A81&amp;"|"&amp;T$1&amp;"|Input"),IF(COUNTIF(Flows!$M$2:$M$1500,$A81&amp;"|"&amp;T$1&amp;"|Output"),"I/O","IN"),IF(COUNTIF(Flows!$M$2:$M$1500,$A81&amp;"|"&amp;T$1&amp;"|Output"),"OUT",""))</f>
        <v/>
      </c>
      <c r="U81" s="33" t="str">
        <f aca="false">IF(COUNTIF(Flows!$M$2:$M$1500,$A81&amp;"|"&amp;U$1&amp;"|Input"),IF(COUNTIF(Flows!$M$2:$M$1500,$A81&amp;"|"&amp;U$1&amp;"|Output"),"I/O","IN"),IF(COUNTIF(Flows!$M$2:$M$1500,$A81&amp;"|"&amp;U$1&amp;"|Output"),"OUT",""))</f>
        <v/>
      </c>
      <c r="V81" s="33" t="str">
        <f aca="false">IF(COUNTIF(Flows!$M$2:$M$1500,$A81&amp;"|"&amp;V$1&amp;"|Input"),IF(COUNTIF(Flows!$M$2:$M$1500,$A81&amp;"|"&amp;V$1&amp;"|Output"),"I/O","IN"),IF(COUNTIF(Flows!$M$2:$M$1500,$A81&amp;"|"&amp;V$1&amp;"|Output"),"OUT",""))</f>
        <v>IN</v>
      </c>
      <c r="W81" s="33" t="str">
        <f aca="false">IF(COUNTIF(Flows!$M$2:$M$1500,$A81&amp;"|"&amp;W$1&amp;"|Input"),IF(COUNTIF(Flows!$M$2:$M$1500,$A81&amp;"|"&amp;W$1&amp;"|Output"),"I/O","IN"),IF(COUNTIF(Flows!$M$2:$M$1500,$A81&amp;"|"&amp;W$1&amp;"|Output"),"OUT",""))</f>
        <v>IN</v>
      </c>
      <c r="X81" s="33" t="str">
        <f aca="false">IF(COUNTIF(Flows!$M$2:$M$1500,$A81&amp;"|"&amp;X$1&amp;"|Input"),IF(COUNTIF(Flows!$M$2:$M$1500,$A81&amp;"|"&amp;X$1&amp;"|Output"),"I/O","IN"),IF(COUNTIF(Flows!$M$2:$M$1500,$A81&amp;"|"&amp;X$1&amp;"|Output"),"OUT",""))</f>
        <v>IN</v>
      </c>
      <c r="Y81" s="33" t="str">
        <f aca="false">IF(COUNTIF(Flows!$M$2:$M$1500,$A81&amp;"|"&amp;Y$1&amp;"|Input"),IF(COUNTIF(Flows!$M$2:$M$1500,$A81&amp;"|"&amp;Y$1&amp;"|Output"),"I/O","IN"),IF(COUNTIF(Flows!$M$2:$M$1500,$A81&amp;"|"&amp;Y$1&amp;"|Output"),"OUT",""))</f>
        <v>IN</v>
      </c>
      <c r="Z81" s="33" t="str">
        <f aca="false">IF(COUNTIF(Flows!$M$2:$M$1500,$A81&amp;"|"&amp;Z$1&amp;"|Input"),IF(COUNTIF(Flows!$M$2:$M$1500,$A81&amp;"|"&amp;Z$1&amp;"|Output"),"I/O","IN"),IF(COUNTIF(Flows!$M$2:$M$1500,$A81&amp;"|"&amp;Z$1&amp;"|Output"),"OUT",""))</f>
        <v/>
      </c>
      <c r="AA81" s="33" t="str">
        <f aca="false">IF(COUNTIF(Flows!$M$2:$M$1500,$A81&amp;"|"&amp;AA$1&amp;"|Input"),IF(COUNTIF(Flows!$M$2:$M$1500,$A81&amp;"|"&amp;AA$1&amp;"|Output"),"I/O","IN"),IF(COUNTIF(Flows!$M$2:$M$1500,$A81&amp;"|"&amp;AA$1&amp;"|Output"),"OUT",""))</f>
        <v/>
      </c>
      <c r="AB81" s="33" t="str">
        <f aca="false">IF(COUNTIF(Flows!$M$2:$M$1500,$A81&amp;"|"&amp;AB$1&amp;"|Input"),IF(COUNTIF(Flows!$M$2:$M$1500,$A81&amp;"|"&amp;AB$1&amp;"|Output"),"I/O","IN"),IF(COUNTIF(Flows!$M$2:$M$1500,$A81&amp;"|"&amp;AB$1&amp;"|Output"),"OUT",""))</f>
        <v/>
      </c>
      <c r="AC81" s="33" t="str">
        <f aca="false">IF(COUNTIF(Flows!$M$2:$M$1500,$A81&amp;"|"&amp;AC$1&amp;"|Input"),IF(COUNTIF(Flows!$M$2:$M$1500,$A81&amp;"|"&amp;AC$1&amp;"|Output"),"I/O","IN"),IF(COUNTIF(Flows!$M$2:$M$1500,$A81&amp;"|"&amp;AC$1&amp;"|Output"),"OUT",""))</f>
        <v/>
      </c>
      <c r="AD81" s="33" t="str">
        <f aca="false">IF(COUNTIF(Flows!$M$2:$M$1500,$A81&amp;"|"&amp;AD$1&amp;"|Input"),IF(COUNTIF(Flows!$M$2:$M$1500,$A81&amp;"|"&amp;AD$1&amp;"|Output"),"I/O","IN"),IF(COUNTIF(Flows!$M$2:$M$1500,$A81&amp;"|"&amp;AD$1&amp;"|Output"),"OUT",""))</f>
        <v>OUT</v>
      </c>
      <c r="AE81" s="33" t="str">
        <f aca="false">IF(COUNTIF(Flows!$M$2:$M$1500,$A81&amp;"|"&amp;AE$1&amp;"|Input"),IF(COUNTIF(Flows!$M$2:$M$1500,$A81&amp;"|"&amp;AE$1&amp;"|Output"),"I/O","IN"),IF(COUNTIF(Flows!$M$2:$M$1500,$A81&amp;"|"&amp;AE$1&amp;"|Output"),"OUT",""))</f>
        <v/>
      </c>
      <c r="AF81" s="33" t="str">
        <f aca="false">IF(COUNTIF(Flows!$M$2:$M$1500,$A81&amp;"|"&amp;AF$1&amp;"|Input"),IF(COUNTIF(Flows!$M$2:$M$1500,$A81&amp;"|"&amp;AF$1&amp;"|Output"),"I/O","IN"),IF(COUNTIF(Flows!$M$2:$M$1500,$A81&amp;"|"&amp;AF$1&amp;"|Output"),"OUT",""))</f>
        <v/>
      </c>
      <c r="AG81" s="33" t="str">
        <f aca="false">IF(COUNTIF(Flows!$M$2:$M$1500,$A81&amp;"|"&amp;AG$1&amp;"|Input"),IF(COUNTIF(Flows!$M$2:$M$1500,$A81&amp;"|"&amp;AG$1&amp;"|Output"),"I/O","IN"),IF(COUNTIF(Flows!$M$2:$M$1500,$A81&amp;"|"&amp;AG$1&amp;"|Output"),"OUT",""))</f>
        <v/>
      </c>
      <c r="AH81" s="33" t="str">
        <f aca="false">IF(COUNTIF(Flows!$M$2:$M$1500,$A81&amp;"|"&amp;AH$1&amp;"|Input"),IF(COUNTIF(Flows!$M$2:$M$1500,$A81&amp;"|"&amp;AH$1&amp;"|Output"),"I/O","IN"),IF(COUNTIF(Flows!$M$2:$M$1500,$A81&amp;"|"&amp;AH$1&amp;"|Output"),"OUT",""))</f>
        <v/>
      </c>
      <c r="AI81" s="33" t="str">
        <f aca="false">IF(COUNTIF(Flows!$M$2:$M$1500,$A81&amp;"|"&amp;AI$1&amp;"|Input"),IF(COUNTIF(Flows!$M$2:$M$1500,$A81&amp;"|"&amp;AI$1&amp;"|Output"),"I/O","IN"),IF(COUNTIF(Flows!$M$2:$M$1500,$A81&amp;"|"&amp;AI$1&amp;"|Output"),"OUT",""))</f>
        <v/>
      </c>
      <c r="AJ81" s="33" t="str">
        <f aca="false">IF(COUNTIF(Flows!$M$2:$M$1500,$A81&amp;"|"&amp;AJ$1&amp;"|Input"),IF(COUNTIF(Flows!$M$2:$M$1500,$A81&amp;"|"&amp;AJ$1&amp;"|Output"),"I/O","IN"),IF(COUNTIF(Flows!$M$2:$M$1500,$A81&amp;"|"&amp;AJ$1&amp;"|Output"),"OUT",""))</f>
        <v/>
      </c>
      <c r="AK81" s="33" t="str">
        <f aca="false">IF(COUNTIF(Flows!$M$2:$M$1500,$A81&amp;"|"&amp;AK$1&amp;"|Input"),IF(COUNTIF(Flows!$M$2:$M$1500,$A81&amp;"|"&amp;AK$1&amp;"|Output"),"I/O","IN"),IF(COUNTIF(Flows!$M$2:$M$1500,$A81&amp;"|"&amp;AK$1&amp;"|Output"),"OUT",""))</f>
        <v/>
      </c>
      <c r="AL81" s="33" t="str">
        <f aca="false">IF(COUNTIF(Flows!$M$2:$M$1500,$A81&amp;"|"&amp;AL$1&amp;"|Input"),IF(COUNTIF(Flows!$M$2:$M$1500,$A81&amp;"|"&amp;AL$1&amp;"|Output"),"I/O","IN"),IF(COUNTIF(Flows!$M$2:$M$1500,$A81&amp;"|"&amp;AL$1&amp;"|Output"),"OUT",""))</f>
        <v/>
      </c>
      <c r="AM81" s="33" t="str">
        <f aca="false">IF(COUNTIF(Flows!$M$2:$M$1500,$A81&amp;"|"&amp;AM$1&amp;"|Input"),IF(COUNTIF(Flows!$M$2:$M$1500,$A81&amp;"|"&amp;AM$1&amp;"|Output"),"I/O","IN"),IF(COUNTIF(Flows!$M$2:$M$1500,$A81&amp;"|"&amp;AM$1&amp;"|Output"),"OUT",""))</f>
        <v/>
      </c>
      <c r="AN81" s="33" t="str">
        <f aca="false">IF(COUNTIF(Flows!$M$2:$M$1500,$A81&amp;"|"&amp;AN$1&amp;"|Input"),IF(COUNTIF(Flows!$M$2:$M$1500,$A81&amp;"|"&amp;AN$1&amp;"|Output"),"I/O","IN"),IF(COUNTIF(Flows!$M$2:$M$1500,$A81&amp;"|"&amp;AN$1&amp;"|Output"),"OUT",""))</f>
        <v/>
      </c>
      <c r="AO81" s="33" t="str">
        <f aca="false">IF(COUNTIF(Flows!$M$2:$M$1500,$A81&amp;"|"&amp;AO$1&amp;"|Input"),IF(COUNTIF(Flows!$M$2:$M$1500,$A81&amp;"|"&amp;AO$1&amp;"|Output"),"I/O","IN"),IF(COUNTIF(Flows!$M$2:$M$1500,$A81&amp;"|"&amp;AO$1&amp;"|Output"),"OUT",""))</f>
        <v/>
      </c>
      <c r="AP81" s="33" t="str">
        <f aca="false">IF(COUNTIF(Flows!$M$2:$M$1500,$A81&amp;"|"&amp;AP$1&amp;"|Input"),IF(COUNTIF(Flows!$M$2:$M$1500,$A81&amp;"|"&amp;AP$1&amp;"|Output"),"I/O","IN"),IF(COUNTIF(Flows!$M$2:$M$1500,$A81&amp;"|"&amp;AP$1&amp;"|Output"),"OUT",""))</f>
        <v/>
      </c>
      <c r="AQ81" s="33" t="str">
        <f aca="false">IF(COUNTIF(Flows!$M$2:$M$1500,$A81&amp;"|"&amp;AQ$1&amp;"|Input"),IF(COUNTIF(Flows!$M$2:$M$1500,$A81&amp;"|"&amp;AQ$1&amp;"|Output"),"I/O","IN"),IF(COUNTIF(Flows!$M$2:$M$1500,$A81&amp;"|"&amp;AQ$1&amp;"|Output"),"OUT",""))</f>
        <v/>
      </c>
      <c r="AR81" s="33" t="str">
        <f aca="false">IF(COUNTIF(Flows!$M$2:$M$1500,$A81&amp;"|"&amp;AR$1&amp;"|Input"),IF(COUNTIF(Flows!$M$2:$M$1500,$A81&amp;"|"&amp;AR$1&amp;"|Output"),"I/O","IN"),IF(COUNTIF(Flows!$M$2:$M$1500,$A81&amp;"|"&amp;AR$1&amp;"|Output"),"OUT",""))</f>
        <v/>
      </c>
      <c r="AS81" s="33" t="str">
        <f aca="false">IF(COUNTIF(Flows!$M$2:$M$1500,$A81&amp;"|"&amp;AS$1&amp;"|Input"),IF(COUNTIF(Flows!$M$2:$M$1500,$A81&amp;"|"&amp;AS$1&amp;"|Output"),"I/O","IN"),IF(COUNTIF(Flows!$M$2:$M$1500,$A81&amp;"|"&amp;AS$1&amp;"|Output"),"OUT",""))</f>
        <v/>
      </c>
      <c r="AT81" s="33" t="str">
        <f aca="false">IF(COUNTIF(Flows!$M$2:$M$1500,$A81&amp;"|"&amp;AT$1&amp;"|Input"),IF(COUNTIF(Flows!$M$2:$M$1500,$A81&amp;"|"&amp;AT$1&amp;"|Output"),"I/O","IN"),IF(COUNTIF(Flows!$M$2:$M$1500,$A81&amp;"|"&amp;AT$1&amp;"|Output"),"OUT",""))</f>
        <v/>
      </c>
      <c r="AU81" s="33" t="str">
        <f aca="false">IF(COUNTIF(Flows!$M$2:$M$1500,$A81&amp;"|"&amp;AU$1&amp;"|Input"),IF(COUNTIF(Flows!$M$2:$M$1500,$A81&amp;"|"&amp;AU$1&amp;"|Output"),"I/O","IN"),IF(COUNTIF(Flows!$M$2:$M$1500,$A81&amp;"|"&amp;AU$1&amp;"|Output"),"OUT",""))</f>
        <v/>
      </c>
      <c r="AV81" s="33" t="str">
        <f aca="false">IF(COUNTIF(Flows!$M$2:$M$1500,$A81&amp;"|"&amp;AV$1&amp;"|Input"),IF(COUNTIF(Flows!$M$2:$M$1500,$A81&amp;"|"&amp;AV$1&amp;"|Output"),"I/O","IN"),IF(COUNTIF(Flows!$M$2:$M$1500,$A81&amp;"|"&amp;AV$1&amp;"|Output"),"OUT",""))</f>
        <v/>
      </c>
      <c r="AW81" s="33" t="str">
        <f aca="false">IF(COUNTIF(Flows!$M$2:$M$1500,$A81&amp;"|"&amp;AW$1&amp;"|Input"),IF(COUNTIF(Flows!$M$2:$M$1500,$A81&amp;"|"&amp;AW$1&amp;"|Output"),"I/O","IN"),IF(COUNTIF(Flows!$M$2:$M$1500,$A81&amp;"|"&amp;AW$1&amp;"|Output"),"OUT",""))</f>
        <v/>
      </c>
      <c r="AX81" s="33" t="str">
        <f aca="false">IF(COUNTIF(Flows!$M$2:$M$1500,$A81&amp;"|"&amp;AX$1&amp;"|Input"),IF(COUNTIF(Flows!$M$2:$M$1500,$A81&amp;"|"&amp;AX$1&amp;"|Output"),"I/O","IN"),IF(COUNTIF(Flows!$M$2:$M$1500,$A81&amp;"|"&amp;AX$1&amp;"|Output"),"OUT",""))</f>
        <v/>
      </c>
      <c r="AY81" s="33" t="str">
        <f aca="false">IF(COUNTIF(Flows!$M$2:$M$1500,$A81&amp;"|"&amp;AY$1&amp;"|Input"),IF(COUNTIF(Flows!$M$2:$M$1500,$A81&amp;"|"&amp;AY$1&amp;"|Output"),"I/O","IN"),IF(COUNTIF(Flows!$M$2:$M$1500,$A81&amp;"|"&amp;AY$1&amp;"|Output"),"OUT",""))</f>
        <v/>
      </c>
      <c r="AZ81" s="33" t="str">
        <f aca="false">IF(COUNTIF(Flows!$M$2:$M$1500,$A81&amp;"|"&amp;AZ$1&amp;"|Input"),IF(COUNTIF(Flows!$M$2:$M$1500,$A81&amp;"|"&amp;AZ$1&amp;"|Output"),"I/O","IN"),IF(COUNTIF(Flows!$M$2:$M$1500,$A81&amp;"|"&amp;AZ$1&amp;"|Output"),"OUT",""))</f>
        <v/>
      </c>
      <c r="BA81" s="33" t="str">
        <f aca="false">IF(COUNTIF(Flows!$M$2:$M$1500,$A81&amp;"|"&amp;BA$1&amp;"|Input"),IF(COUNTIF(Flows!$M$2:$M$1500,$A81&amp;"|"&amp;BA$1&amp;"|Output"),"I/O","IN"),IF(COUNTIF(Flows!$M$2:$M$1500,$A81&amp;"|"&amp;BA$1&amp;"|Output"),"OUT",""))</f>
        <v/>
      </c>
      <c r="BB81" s="33" t="str">
        <f aca="false">IF(COUNTIF(Flows!$M$2:$M$1500,$A81&amp;"|"&amp;BB$1&amp;"|Input"),IF(COUNTIF(Flows!$M$2:$M$1500,$A81&amp;"|"&amp;BB$1&amp;"|Output"),"I/O","IN"),IF(COUNTIF(Flows!$M$2:$M$1500,$A81&amp;"|"&amp;BB$1&amp;"|Output"),"OUT",""))</f>
        <v/>
      </c>
      <c r="BC81" s="33" t="str">
        <f aca="false">IF(COUNTIF(Flows!$M$2:$M$1500,$A81&amp;"|"&amp;BC$1&amp;"|Input"),IF(COUNTIF(Flows!$M$2:$M$1500,$A81&amp;"|"&amp;BC$1&amp;"|Output"),"I/O","IN"),IF(COUNTIF(Flows!$M$2:$M$1500,$A81&amp;"|"&amp;BC$1&amp;"|Output"),"OUT",""))</f>
        <v/>
      </c>
      <c r="BD81" s="33" t="str">
        <f aca="false">IF(COUNTIF(Flows!$M$2:$M$1500,$A81&amp;"|"&amp;BD$1&amp;"|Input"),IF(COUNTIF(Flows!$M$2:$M$1500,$A81&amp;"|"&amp;BD$1&amp;"|Output"),"I/O","IN"),IF(COUNTIF(Flows!$M$2:$M$1500,$A81&amp;"|"&amp;BD$1&amp;"|Output"),"OUT",""))</f>
        <v/>
      </c>
      <c r="BE81" s="33" t="str">
        <f aca="false">IF(COUNTIF(Flows!$M$2:$M$1500,$A81&amp;"|"&amp;BE$1&amp;"|Input"),IF(COUNTIF(Flows!$M$2:$M$1500,$A81&amp;"|"&amp;BE$1&amp;"|Output"),"I/O","IN"),IF(COUNTIF(Flows!$M$2:$M$1500,$A81&amp;"|"&amp;BE$1&amp;"|Output"),"OUT",""))</f>
        <v/>
      </c>
      <c r="BF81" s="33" t="str">
        <f aca="false">IF(COUNTIF(Flows!$M$2:$M$1500,$A81&amp;"|"&amp;BF$1&amp;"|Input"),IF(COUNTIF(Flows!$M$2:$M$1500,$A81&amp;"|"&amp;BF$1&amp;"|Output"),"I/O","IN"),IF(COUNTIF(Flows!$M$2:$M$1500,$A81&amp;"|"&amp;BF$1&amp;"|Output"),"OUT",""))</f>
        <v/>
      </c>
      <c r="BG81" s="33" t="str">
        <f aca="false">IF(COUNTIF(Flows!$M$2:$M$1500,$A81&amp;"|"&amp;BG$1&amp;"|Input"),IF(COUNTIF(Flows!$M$2:$M$1500,$A81&amp;"|"&amp;BG$1&amp;"|Output"),"I/O","IN"),IF(COUNTIF(Flows!$M$2:$M$1500,$A81&amp;"|"&amp;BG$1&amp;"|Output"),"OUT",""))</f>
        <v/>
      </c>
      <c r="BH81" s="33" t="str">
        <f aca="false">IF(COUNTIF(Flows!$M$2:$M$1500,$A81&amp;"|"&amp;BH$1&amp;"|Input"),IF(COUNTIF(Flows!$M$2:$M$1500,$A81&amp;"|"&amp;BH$1&amp;"|Output"),"I/O","IN"),IF(COUNTIF(Flows!$M$2:$M$1500,$A81&amp;"|"&amp;BH$1&amp;"|Output"),"OUT",""))</f>
        <v/>
      </c>
      <c r="BI81" s="33" t="str">
        <f aca="false">IF(COUNTIF(Flows!$M$2:$M$1500,$A81&amp;"|"&amp;BI$1&amp;"|Input"),IF(COUNTIF(Flows!$M$2:$M$1500,$A81&amp;"|"&amp;BI$1&amp;"|Output"),"I/O","IN"),IF(COUNTIF(Flows!$M$2:$M$1500,$A81&amp;"|"&amp;BI$1&amp;"|Output"),"OUT",""))</f>
        <v/>
      </c>
      <c r="BJ81" s="33" t="str">
        <f aca="false">IF(COUNTIF(Flows!$M$2:$M$1500,$A81&amp;"|"&amp;BJ$1&amp;"|Input"),IF(COUNTIF(Flows!$M$2:$M$1500,$A81&amp;"|"&amp;BJ$1&amp;"|Output"),"I/O","IN"),IF(COUNTIF(Flows!$M$2:$M$1500,$A81&amp;"|"&amp;BJ$1&amp;"|Output"),"OUT",""))</f>
        <v/>
      </c>
      <c r="BK81" s="33" t="str">
        <f aca="false">IF(COUNTIF(Flows!$M$2:$M$1500,$A81&amp;"|"&amp;BK$1&amp;"|Input"),IF(COUNTIF(Flows!$M$2:$M$1500,$A81&amp;"|"&amp;BK$1&amp;"|Output"),"I/O","IN"),IF(COUNTIF(Flows!$M$2:$M$1500,$A81&amp;"|"&amp;BK$1&amp;"|Output"),"OUT",""))</f>
        <v/>
      </c>
    </row>
    <row r="82" customFormat="false" ht="15" hidden="false" customHeight="true" outlineLevel="0" collapsed="false">
      <c r="A82" s="6" t="str">
        <f aca="false">Systems!B82</f>
        <v>Earthship</v>
      </c>
      <c r="B82" s="33" t="str">
        <f aca="false">IF(COUNTIF(Flows!$M$2:$M$1500,$A82&amp;"|"&amp;B$1&amp;"|Input"),IF(COUNTIF(Flows!$M$2:$M$1500,$A82&amp;"|"&amp;B$1&amp;"|Output"),"I/O","IN"),IF(COUNTIF(Flows!$M$2:$M$1500,$A82&amp;"|"&amp;B$1&amp;"|Output"),"OUT",""))</f>
        <v/>
      </c>
      <c r="C82" s="33" t="str">
        <f aca="false">IF(COUNTIF(Flows!$M$2:$M$1500,$A82&amp;"|"&amp;C$1&amp;"|Input"),IF(COUNTIF(Flows!$M$2:$M$1500,$A82&amp;"|"&amp;C$1&amp;"|Output"),"I/O","IN"),IF(COUNTIF(Flows!$M$2:$M$1500,$A82&amp;"|"&amp;C$1&amp;"|Output"),"OUT",""))</f>
        <v/>
      </c>
      <c r="D82" s="33" t="str">
        <f aca="false">IF(COUNTIF(Flows!$M$2:$M$1500,$A82&amp;"|"&amp;D$1&amp;"|Input"),IF(COUNTIF(Flows!$M$2:$M$1500,$A82&amp;"|"&amp;D$1&amp;"|Output"),"I/O","IN"),IF(COUNTIF(Flows!$M$2:$M$1500,$A82&amp;"|"&amp;D$1&amp;"|Output"),"OUT",""))</f>
        <v/>
      </c>
      <c r="E82" s="33" t="str">
        <f aca="false">IF(COUNTIF(Flows!$M$2:$M$1500,$A82&amp;"|"&amp;E$1&amp;"|Input"),IF(COUNTIF(Flows!$M$2:$M$1500,$A82&amp;"|"&amp;E$1&amp;"|Output"),"I/O","IN"),IF(COUNTIF(Flows!$M$2:$M$1500,$A82&amp;"|"&amp;E$1&amp;"|Output"),"OUT",""))</f>
        <v/>
      </c>
      <c r="F82" s="33" t="str">
        <f aca="false">IF(COUNTIF(Flows!$M$2:$M$1500,$A82&amp;"|"&amp;F$1&amp;"|Input"),IF(COUNTIF(Flows!$M$2:$M$1500,$A82&amp;"|"&amp;F$1&amp;"|Output"),"I/O","IN"),IF(COUNTIF(Flows!$M$2:$M$1500,$A82&amp;"|"&amp;F$1&amp;"|Output"),"OUT",""))</f>
        <v/>
      </c>
      <c r="G82" s="33" t="str">
        <f aca="false">IF(COUNTIF(Flows!$M$2:$M$1500,$A82&amp;"|"&amp;G$1&amp;"|Input"),IF(COUNTIF(Flows!$M$2:$M$1500,$A82&amp;"|"&amp;G$1&amp;"|Output"),"I/O","IN"),IF(COUNTIF(Flows!$M$2:$M$1500,$A82&amp;"|"&amp;G$1&amp;"|Output"),"OUT",""))</f>
        <v/>
      </c>
      <c r="H82" s="33" t="str">
        <f aca="false">IF(COUNTIF(Flows!$M$2:$M$1500,$A82&amp;"|"&amp;H$1&amp;"|Input"),IF(COUNTIF(Flows!$M$2:$M$1500,$A82&amp;"|"&amp;H$1&amp;"|Output"),"I/O","IN"),IF(COUNTIF(Flows!$M$2:$M$1500,$A82&amp;"|"&amp;H$1&amp;"|Output"),"OUT",""))</f>
        <v/>
      </c>
      <c r="I82" s="33" t="str">
        <f aca="false">IF(COUNTIF(Flows!$M$2:$M$1500,$A82&amp;"|"&amp;I$1&amp;"|Input"),IF(COUNTIF(Flows!$M$2:$M$1500,$A82&amp;"|"&amp;I$1&amp;"|Output"),"I/O","IN"),IF(COUNTIF(Flows!$M$2:$M$1500,$A82&amp;"|"&amp;I$1&amp;"|Output"),"OUT",""))</f>
        <v/>
      </c>
      <c r="J82" s="33" t="str">
        <f aca="false">IF(COUNTIF(Flows!$M$2:$M$1500,$A82&amp;"|"&amp;J$1&amp;"|Input"),IF(COUNTIF(Flows!$M$2:$M$1500,$A82&amp;"|"&amp;J$1&amp;"|Output"),"I/O","IN"),IF(COUNTIF(Flows!$M$2:$M$1500,$A82&amp;"|"&amp;J$1&amp;"|Output"),"OUT",""))</f>
        <v/>
      </c>
      <c r="K82" s="33" t="str">
        <f aca="false">IF(COUNTIF(Flows!$M$2:$M$1500,$A82&amp;"|"&amp;K$1&amp;"|Input"),IF(COUNTIF(Flows!$M$2:$M$1500,$A82&amp;"|"&amp;K$1&amp;"|Output"),"I/O","IN"),IF(COUNTIF(Flows!$M$2:$M$1500,$A82&amp;"|"&amp;K$1&amp;"|Output"),"OUT",""))</f>
        <v/>
      </c>
      <c r="L82" s="33" t="str">
        <f aca="false">IF(COUNTIF(Flows!$M$2:$M$1500,$A82&amp;"|"&amp;L$1&amp;"|Input"),IF(COUNTIF(Flows!$M$2:$M$1500,$A82&amp;"|"&amp;L$1&amp;"|Output"),"I/O","IN"),IF(COUNTIF(Flows!$M$2:$M$1500,$A82&amp;"|"&amp;L$1&amp;"|Output"),"OUT",""))</f>
        <v/>
      </c>
      <c r="M82" s="33" t="str">
        <f aca="false">IF(COUNTIF(Flows!$M$2:$M$1500,$A82&amp;"|"&amp;M$1&amp;"|Input"),IF(COUNTIF(Flows!$M$2:$M$1500,$A82&amp;"|"&amp;M$1&amp;"|Output"),"I/O","IN"),IF(COUNTIF(Flows!$M$2:$M$1500,$A82&amp;"|"&amp;M$1&amp;"|Output"),"OUT",""))</f>
        <v/>
      </c>
      <c r="N82" s="33" t="str">
        <f aca="false">IF(COUNTIF(Flows!$M$2:$M$1500,$A82&amp;"|"&amp;N$1&amp;"|Input"),IF(COUNTIF(Flows!$M$2:$M$1500,$A82&amp;"|"&amp;N$1&amp;"|Output"),"I/O","IN"),IF(COUNTIF(Flows!$M$2:$M$1500,$A82&amp;"|"&amp;N$1&amp;"|Output"),"OUT",""))</f>
        <v/>
      </c>
      <c r="O82" s="33" t="str">
        <f aca="false">IF(COUNTIF(Flows!$M$2:$M$1500,$A82&amp;"|"&amp;O$1&amp;"|Input"),IF(COUNTIF(Flows!$M$2:$M$1500,$A82&amp;"|"&amp;O$1&amp;"|Output"),"I/O","IN"),IF(COUNTIF(Flows!$M$2:$M$1500,$A82&amp;"|"&amp;O$1&amp;"|Output"),"OUT",""))</f>
        <v/>
      </c>
      <c r="P82" s="33" t="str">
        <f aca="false">IF(COUNTIF(Flows!$M$2:$M$1500,$A82&amp;"|"&amp;P$1&amp;"|Input"),IF(COUNTIF(Flows!$M$2:$M$1500,$A82&amp;"|"&amp;P$1&amp;"|Output"),"I/O","IN"),IF(COUNTIF(Flows!$M$2:$M$1500,$A82&amp;"|"&amp;P$1&amp;"|Output"),"OUT",""))</f>
        <v/>
      </c>
      <c r="Q82" s="33" t="str">
        <f aca="false">IF(COUNTIF(Flows!$M$2:$M$1500,$A82&amp;"|"&amp;Q$1&amp;"|Input"),IF(COUNTIF(Flows!$M$2:$M$1500,$A82&amp;"|"&amp;Q$1&amp;"|Output"),"I/O","IN"),IF(COUNTIF(Flows!$M$2:$M$1500,$A82&amp;"|"&amp;Q$1&amp;"|Output"),"OUT",""))</f>
        <v>OUT</v>
      </c>
      <c r="R82" s="33" t="str">
        <f aca="false">IF(COUNTIF(Flows!$M$2:$M$1500,$A82&amp;"|"&amp;R$1&amp;"|Input"),IF(COUNTIF(Flows!$M$2:$M$1500,$A82&amp;"|"&amp;R$1&amp;"|Output"),"I/O","IN"),IF(COUNTIF(Flows!$M$2:$M$1500,$A82&amp;"|"&amp;R$1&amp;"|Output"),"OUT",""))</f>
        <v/>
      </c>
      <c r="S82" s="33" t="str">
        <f aca="false">IF(COUNTIF(Flows!$M$2:$M$1500,$A82&amp;"|"&amp;S$1&amp;"|Input"),IF(COUNTIF(Flows!$M$2:$M$1500,$A82&amp;"|"&amp;S$1&amp;"|Output"),"I/O","IN"),IF(COUNTIF(Flows!$M$2:$M$1500,$A82&amp;"|"&amp;S$1&amp;"|Output"),"OUT",""))</f>
        <v/>
      </c>
      <c r="T82" s="33" t="str">
        <f aca="false">IF(COUNTIF(Flows!$M$2:$M$1500,$A82&amp;"|"&amp;T$1&amp;"|Input"),IF(COUNTIF(Flows!$M$2:$M$1500,$A82&amp;"|"&amp;T$1&amp;"|Output"),"I/O","IN"),IF(COUNTIF(Flows!$M$2:$M$1500,$A82&amp;"|"&amp;T$1&amp;"|Output"),"OUT",""))</f>
        <v/>
      </c>
      <c r="U82" s="33" t="str">
        <f aca="false">IF(COUNTIF(Flows!$M$2:$M$1500,$A82&amp;"|"&amp;U$1&amp;"|Input"),IF(COUNTIF(Flows!$M$2:$M$1500,$A82&amp;"|"&amp;U$1&amp;"|Output"),"I/O","IN"),IF(COUNTIF(Flows!$M$2:$M$1500,$A82&amp;"|"&amp;U$1&amp;"|Output"),"OUT",""))</f>
        <v/>
      </c>
      <c r="V82" s="33" t="str">
        <f aca="false">IF(COUNTIF(Flows!$M$2:$M$1500,$A82&amp;"|"&amp;V$1&amp;"|Input"),IF(COUNTIF(Flows!$M$2:$M$1500,$A82&amp;"|"&amp;V$1&amp;"|Output"),"I/O","IN"),IF(COUNTIF(Flows!$M$2:$M$1500,$A82&amp;"|"&amp;V$1&amp;"|Output"),"OUT",""))</f>
        <v>I/O</v>
      </c>
      <c r="W82" s="33" t="str">
        <f aca="false">IF(COUNTIF(Flows!$M$2:$M$1500,$A82&amp;"|"&amp;W$1&amp;"|Input"),IF(COUNTIF(Flows!$M$2:$M$1500,$A82&amp;"|"&amp;W$1&amp;"|Output"),"I/O","IN"),IF(COUNTIF(Flows!$M$2:$M$1500,$A82&amp;"|"&amp;W$1&amp;"|Output"),"OUT",""))</f>
        <v>I/O</v>
      </c>
      <c r="X82" s="33" t="str">
        <f aca="false">IF(COUNTIF(Flows!$M$2:$M$1500,$A82&amp;"|"&amp;X$1&amp;"|Input"),IF(COUNTIF(Flows!$M$2:$M$1500,$A82&amp;"|"&amp;X$1&amp;"|Output"),"I/O","IN"),IF(COUNTIF(Flows!$M$2:$M$1500,$A82&amp;"|"&amp;X$1&amp;"|Output"),"OUT",""))</f>
        <v>IN</v>
      </c>
      <c r="Y82" s="33" t="str">
        <f aca="false">IF(COUNTIF(Flows!$M$2:$M$1500,$A82&amp;"|"&amp;Y$1&amp;"|Input"),IF(COUNTIF(Flows!$M$2:$M$1500,$A82&amp;"|"&amp;Y$1&amp;"|Output"),"I/O","IN"),IF(COUNTIF(Flows!$M$2:$M$1500,$A82&amp;"|"&amp;Y$1&amp;"|Output"),"OUT",""))</f>
        <v>IN</v>
      </c>
      <c r="Z82" s="33" t="str">
        <f aca="false">IF(COUNTIF(Flows!$M$2:$M$1500,$A82&amp;"|"&amp;Z$1&amp;"|Input"),IF(COUNTIF(Flows!$M$2:$M$1500,$A82&amp;"|"&amp;Z$1&amp;"|Output"),"I/O","IN"),IF(COUNTIF(Flows!$M$2:$M$1500,$A82&amp;"|"&amp;Z$1&amp;"|Output"),"OUT",""))</f>
        <v>IN</v>
      </c>
      <c r="AA82" s="33" t="str">
        <f aca="false">IF(COUNTIF(Flows!$M$2:$M$1500,$A82&amp;"|"&amp;AA$1&amp;"|Input"),IF(COUNTIF(Flows!$M$2:$M$1500,$A82&amp;"|"&amp;AA$1&amp;"|Output"),"I/O","IN"),IF(COUNTIF(Flows!$M$2:$M$1500,$A82&amp;"|"&amp;AA$1&amp;"|Output"),"OUT",""))</f>
        <v/>
      </c>
      <c r="AB82" s="33" t="str">
        <f aca="false">IF(COUNTIF(Flows!$M$2:$M$1500,$A82&amp;"|"&amp;AB$1&amp;"|Input"),IF(COUNTIF(Flows!$M$2:$M$1500,$A82&amp;"|"&amp;AB$1&amp;"|Output"),"I/O","IN"),IF(COUNTIF(Flows!$M$2:$M$1500,$A82&amp;"|"&amp;AB$1&amp;"|Output"),"OUT",""))</f>
        <v/>
      </c>
      <c r="AC82" s="33" t="str">
        <f aca="false">IF(COUNTIF(Flows!$M$2:$M$1500,$A82&amp;"|"&amp;AC$1&amp;"|Input"),IF(COUNTIF(Flows!$M$2:$M$1500,$A82&amp;"|"&amp;AC$1&amp;"|Output"),"I/O","IN"),IF(COUNTIF(Flows!$M$2:$M$1500,$A82&amp;"|"&amp;AC$1&amp;"|Output"),"OUT",""))</f>
        <v/>
      </c>
      <c r="AD82" s="33" t="str">
        <f aca="false">IF(COUNTIF(Flows!$M$2:$M$1500,$A82&amp;"|"&amp;AD$1&amp;"|Input"),IF(COUNTIF(Flows!$M$2:$M$1500,$A82&amp;"|"&amp;AD$1&amp;"|Output"),"I/O","IN"),IF(COUNTIF(Flows!$M$2:$M$1500,$A82&amp;"|"&amp;AD$1&amp;"|Output"),"OUT",""))</f>
        <v>OUT</v>
      </c>
      <c r="AE82" s="33" t="str">
        <f aca="false">IF(COUNTIF(Flows!$M$2:$M$1500,$A82&amp;"|"&amp;AE$1&amp;"|Input"),IF(COUNTIF(Flows!$M$2:$M$1500,$A82&amp;"|"&amp;AE$1&amp;"|Output"),"I/O","IN"),IF(COUNTIF(Flows!$M$2:$M$1500,$A82&amp;"|"&amp;AE$1&amp;"|Output"),"OUT",""))</f>
        <v>OUT</v>
      </c>
      <c r="AF82" s="33" t="str">
        <f aca="false">IF(COUNTIF(Flows!$M$2:$M$1500,$A82&amp;"|"&amp;AF$1&amp;"|Input"),IF(COUNTIF(Flows!$M$2:$M$1500,$A82&amp;"|"&amp;AF$1&amp;"|Output"),"I/O","IN"),IF(COUNTIF(Flows!$M$2:$M$1500,$A82&amp;"|"&amp;AF$1&amp;"|Output"),"OUT",""))</f>
        <v/>
      </c>
      <c r="AG82" s="33" t="str">
        <f aca="false">IF(COUNTIF(Flows!$M$2:$M$1500,$A82&amp;"|"&amp;AG$1&amp;"|Input"),IF(COUNTIF(Flows!$M$2:$M$1500,$A82&amp;"|"&amp;AG$1&amp;"|Output"),"I/O","IN"),IF(COUNTIF(Flows!$M$2:$M$1500,$A82&amp;"|"&amp;AG$1&amp;"|Output"),"OUT",""))</f>
        <v/>
      </c>
      <c r="AH82" s="33" t="str">
        <f aca="false">IF(COUNTIF(Flows!$M$2:$M$1500,$A82&amp;"|"&amp;AH$1&amp;"|Input"),IF(COUNTIF(Flows!$M$2:$M$1500,$A82&amp;"|"&amp;AH$1&amp;"|Output"),"I/O","IN"),IF(COUNTIF(Flows!$M$2:$M$1500,$A82&amp;"|"&amp;AH$1&amp;"|Output"),"OUT",""))</f>
        <v/>
      </c>
      <c r="AI82" s="33" t="str">
        <f aca="false">IF(COUNTIF(Flows!$M$2:$M$1500,$A82&amp;"|"&amp;AI$1&amp;"|Input"),IF(COUNTIF(Flows!$M$2:$M$1500,$A82&amp;"|"&amp;AI$1&amp;"|Output"),"I/O","IN"),IF(COUNTIF(Flows!$M$2:$M$1500,$A82&amp;"|"&amp;AI$1&amp;"|Output"),"OUT",""))</f>
        <v/>
      </c>
      <c r="AJ82" s="33" t="str">
        <f aca="false">IF(COUNTIF(Flows!$M$2:$M$1500,$A82&amp;"|"&amp;AJ$1&amp;"|Input"),IF(COUNTIF(Flows!$M$2:$M$1500,$A82&amp;"|"&amp;AJ$1&amp;"|Output"),"I/O","IN"),IF(COUNTIF(Flows!$M$2:$M$1500,$A82&amp;"|"&amp;AJ$1&amp;"|Output"),"OUT",""))</f>
        <v/>
      </c>
      <c r="AK82" s="33" t="str">
        <f aca="false">IF(COUNTIF(Flows!$M$2:$M$1500,$A82&amp;"|"&amp;AK$1&amp;"|Input"),IF(COUNTIF(Flows!$M$2:$M$1500,$A82&amp;"|"&amp;AK$1&amp;"|Output"),"I/O","IN"),IF(COUNTIF(Flows!$M$2:$M$1500,$A82&amp;"|"&amp;AK$1&amp;"|Output"),"OUT",""))</f>
        <v/>
      </c>
      <c r="AL82" s="33" t="str">
        <f aca="false">IF(COUNTIF(Flows!$M$2:$M$1500,$A82&amp;"|"&amp;AL$1&amp;"|Input"),IF(COUNTIF(Flows!$M$2:$M$1500,$A82&amp;"|"&amp;AL$1&amp;"|Output"),"I/O","IN"),IF(COUNTIF(Flows!$M$2:$M$1500,$A82&amp;"|"&amp;AL$1&amp;"|Output"),"OUT",""))</f>
        <v/>
      </c>
      <c r="AM82" s="33" t="str">
        <f aca="false">IF(COUNTIF(Flows!$M$2:$M$1500,$A82&amp;"|"&amp;AM$1&amp;"|Input"),IF(COUNTIF(Flows!$M$2:$M$1500,$A82&amp;"|"&amp;AM$1&amp;"|Output"),"I/O","IN"),IF(COUNTIF(Flows!$M$2:$M$1500,$A82&amp;"|"&amp;AM$1&amp;"|Output"),"OUT",""))</f>
        <v/>
      </c>
      <c r="AN82" s="33" t="str">
        <f aca="false">IF(COUNTIF(Flows!$M$2:$M$1500,$A82&amp;"|"&amp;AN$1&amp;"|Input"),IF(COUNTIF(Flows!$M$2:$M$1500,$A82&amp;"|"&amp;AN$1&amp;"|Output"),"I/O","IN"),IF(COUNTIF(Flows!$M$2:$M$1500,$A82&amp;"|"&amp;AN$1&amp;"|Output"),"OUT",""))</f>
        <v/>
      </c>
      <c r="AO82" s="33" t="str">
        <f aca="false">IF(COUNTIF(Flows!$M$2:$M$1500,$A82&amp;"|"&amp;AO$1&amp;"|Input"),IF(COUNTIF(Flows!$M$2:$M$1500,$A82&amp;"|"&amp;AO$1&amp;"|Output"),"I/O","IN"),IF(COUNTIF(Flows!$M$2:$M$1500,$A82&amp;"|"&amp;AO$1&amp;"|Output"),"OUT",""))</f>
        <v/>
      </c>
      <c r="AP82" s="33" t="str">
        <f aca="false">IF(COUNTIF(Flows!$M$2:$M$1500,$A82&amp;"|"&amp;AP$1&amp;"|Input"),IF(COUNTIF(Flows!$M$2:$M$1500,$A82&amp;"|"&amp;AP$1&amp;"|Output"),"I/O","IN"),IF(COUNTIF(Flows!$M$2:$M$1500,$A82&amp;"|"&amp;AP$1&amp;"|Output"),"OUT",""))</f>
        <v/>
      </c>
      <c r="AQ82" s="33" t="str">
        <f aca="false">IF(COUNTIF(Flows!$M$2:$M$1500,$A82&amp;"|"&amp;AQ$1&amp;"|Input"),IF(COUNTIF(Flows!$M$2:$M$1500,$A82&amp;"|"&amp;AQ$1&amp;"|Output"),"I/O","IN"),IF(COUNTIF(Flows!$M$2:$M$1500,$A82&amp;"|"&amp;AQ$1&amp;"|Output"),"OUT",""))</f>
        <v/>
      </c>
      <c r="AR82" s="33" t="str">
        <f aca="false">IF(COUNTIF(Flows!$M$2:$M$1500,$A82&amp;"|"&amp;AR$1&amp;"|Input"),IF(COUNTIF(Flows!$M$2:$M$1500,$A82&amp;"|"&amp;AR$1&amp;"|Output"),"I/O","IN"),IF(COUNTIF(Flows!$M$2:$M$1500,$A82&amp;"|"&amp;AR$1&amp;"|Output"),"OUT",""))</f>
        <v/>
      </c>
      <c r="AS82" s="33" t="str">
        <f aca="false">IF(COUNTIF(Flows!$M$2:$M$1500,$A82&amp;"|"&amp;AS$1&amp;"|Input"),IF(COUNTIF(Flows!$M$2:$M$1500,$A82&amp;"|"&amp;AS$1&amp;"|Output"),"I/O","IN"),IF(COUNTIF(Flows!$M$2:$M$1500,$A82&amp;"|"&amp;AS$1&amp;"|Output"),"OUT",""))</f>
        <v/>
      </c>
      <c r="AT82" s="33" t="str">
        <f aca="false">IF(COUNTIF(Flows!$M$2:$M$1500,$A82&amp;"|"&amp;AT$1&amp;"|Input"),IF(COUNTIF(Flows!$M$2:$M$1500,$A82&amp;"|"&amp;AT$1&amp;"|Output"),"I/O","IN"),IF(COUNTIF(Flows!$M$2:$M$1500,$A82&amp;"|"&amp;AT$1&amp;"|Output"),"OUT",""))</f>
        <v/>
      </c>
      <c r="AU82" s="33" t="str">
        <f aca="false">IF(COUNTIF(Flows!$M$2:$M$1500,$A82&amp;"|"&amp;AU$1&amp;"|Input"),IF(COUNTIF(Flows!$M$2:$M$1500,$A82&amp;"|"&amp;AU$1&amp;"|Output"),"I/O","IN"),IF(COUNTIF(Flows!$M$2:$M$1500,$A82&amp;"|"&amp;AU$1&amp;"|Output"),"OUT",""))</f>
        <v/>
      </c>
      <c r="AV82" s="33" t="str">
        <f aca="false">IF(COUNTIF(Flows!$M$2:$M$1500,$A82&amp;"|"&amp;AV$1&amp;"|Input"),IF(COUNTIF(Flows!$M$2:$M$1500,$A82&amp;"|"&amp;AV$1&amp;"|Output"),"I/O","IN"),IF(COUNTIF(Flows!$M$2:$M$1500,$A82&amp;"|"&amp;AV$1&amp;"|Output"),"OUT",""))</f>
        <v/>
      </c>
      <c r="AW82" s="33" t="str">
        <f aca="false">IF(COUNTIF(Flows!$M$2:$M$1500,$A82&amp;"|"&amp;AW$1&amp;"|Input"),IF(COUNTIF(Flows!$M$2:$M$1500,$A82&amp;"|"&amp;AW$1&amp;"|Output"),"I/O","IN"),IF(COUNTIF(Flows!$M$2:$M$1500,$A82&amp;"|"&amp;AW$1&amp;"|Output"),"OUT",""))</f>
        <v/>
      </c>
      <c r="AX82" s="33" t="str">
        <f aca="false">IF(COUNTIF(Flows!$M$2:$M$1500,$A82&amp;"|"&amp;AX$1&amp;"|Input"),IF(COUNTIF(Flows!$M$2:$M$1500,$A82&amp;"|"&amp;AX$1&amp;"|Output"),"I/O","IN"),IF(COUNTIF(Flows!$M$2:$M$1500,$A82&amp;"|"&amp;AX$1&amp;"|Output"),"OUT",""))</f>
        <v/>
      </c>
      <c r="AY82" s="33" t="str">
        <f aca="false">IF(COUNTIF(Flows!$M$2:$M$1500,$A82&amp;"|"&amp;AY$1&amp;"|Input"),IF(COUNTIF(Flows!$M$2:$M$1500,$A82&amp;"|"&amp;AY$1&amp;"|Output"),"I/O","IN"),IF(COUNTIF(Flows!$M$2:$M$1500,$A82&amp;"|"&amp;AY$1&amp;"|Output"),"OUT",""))</f>
        <v/>
      </c>
      <c r="AZ82" s="33" t="str">
        <f aca="false">IF(COUNTIF(Flows!$M$2:$M$1500,$A82&amp;"|"&amp;AZ$1&amp;"|Input"),IF(COUNTIF(Flows!$M$2:$M$1500,$A82&amp;"|"&amp;AZ$1&amp;"|Output"),"I/O","IN"),IF(COUNTIF(Flows!$M$2:$M$1500,$A82&amp;"|"&amp;AZ$1&amp;"|Output"),"OUT",""))</f>
        <v/>
      </c>
      <c r="BA82" s="33" t="str">
        <f aca="false">IF(COUNTIF(Flows!$M$2:$M$1500,$A82&amp;"|"&amp;BA$1&amp;"|Input"),IF(COUNTIF(Flows!$M$2:$M$1500,$A82&amp;"|"&amp;BA$1&amp;"|Output"),"I/O","IN"),IF(COUNTIF(Flows!$M$2:$M$1500,$A82&amp;"|"&amp;BA$1&amp;"|Output"),"OUT",""))</f>
        <v/>
      </c>
      <c r="BB82" s="33" t="str">
        <f aca="false">IF(COUNTIF(Flows!$M$2:$M$1500,$A82&amp;"|"&amp;BB$1&amp;"|Input"),IF(COUNTIF(Flows!$M$2:$M$1500,$A82&amp;"|"&amp;BB$1&amp;"|Output"),"I/O","IN"),IF(COUNTIF(Flows!$M$2:$M$1500,$A82&amp;"|"&amp;BB$1&amp;"|Output"),"OUT",""))</f>
        <v/>
      </c>
      <c r="BC82" s="33" t="str">
        <f aca="false">IF(COUNTIF(Flows!$M$2:$M$1500,$A82&amp;"|"&amp;BC$1&amp;"|Input"),IF(COUNTIF(Flows!$M$2:$M$1500,$A82&amp;"|"&amp;BC$1&amp;"|Output"),"I/O","IN"),IF(COUNTIF(Flows!$M$2:$M$1500,$A82&amp;"|"&amp;BC$1&amp;"|Output"),"OUT",""))</f>
        <v/>
      </c>
      <c r="BD82" s="33" t="str">
        <f aca="false">IF(COUNTIF(Flows!$M$2:$M$1500,$A82&amp;"|"&amp;BD$1&amp;"|Input"),IF(COUNTIF(Flows!$M$2:$M$1500,$A82&amp;"|"&amp;BD$1&amp;"|Output"),"I/O","IN"),IF(COUNTIF(Flows!$M$2:$M$1500,$A82&amp;"|"&amp;BD$1&amp;"|Output"),"OUT",""))</f>
        <v/>
      </c>
      <c r="BE82" s="33" t="str">
        <f aca="false">IF(COUNTIF(Flows!$M$2:$M$1500,$A82&amp;"|"&amp;BE$1&amp;"|Input"),IF(COUNTIF(Flows!$M$2:$M$1500,$A82&amp;"|"&amp;BE$1&amp;"|Output"),"I/O","IN"),IF(COUNTIF(Flows!$M$2:$M$1500,$A82&amp;"|"&amp;BE$1&amp;"|Output"),"OUT",""))</f>
        <v/>
      </c>
      <c r="BF82" s="33" t="str">
        <f aca="false">IF(COUNTIF(Flows!$M$2:$M$1500,$A82&amp;"|"&amp;BF$1&amp;"|Input"),IF(COUNTIF(Flows!$M$2:$M$1500,$A82&amp;"|"&amp;BF$1&amp;"|Output"),"I/O","IN"),IF(COUNTIF(Flows!$M$2:$M$1500,$A82&amp;"|"&amp;BF$1&amp;"|Output"),"OUT",""))</f>
        <v/>
      </c>
      <c r="BG82" s="33" t="str">
        <f aca="false">IF(COUNTIF(Flows!$M$2:$M$1500,$A82&amp;"|"&amp;BG$1&amp;"|Input"),IF(COUNTIF(Flows!$M$2:$M$1500,$A82&amp;"|"&amp;BG$1&amp;"|Output"),"I/O","IN"),IF(COUNTIF(Flows!$M$2:$M$1500,$A82&amp;"|"&amp;BG$1&amp;"|Output"),"OUT",""))</f>
        <v/>
      </c>
      <c r="BH82" s="33" t="str">
        <f aca="false">IF(COUNTIF(Flows!$M$2:$M$1500,$A82&amp;"|"&amp;BH$1&amp;"|Input"),IF(COUNTIF(Flows!$M$2:$M$1500,$A82&amp;"|"&amp;BH$1&amp;"|Output"),"I/O","IN"),IF(COUNTIF(Flows!$M$2:$M$1500,$A82&amp;"|"&amp;BH$1&amp;"|Output"),"OUT",""))</f>
        <v/>
      </c>
      <c r="BI82" s="33" t="str">
        <f aca="false">IF(COUNTIF(Flows!$M$2:$M$1500,$A82&amp;"|"&amp;BI$1&amp;"|Input"),IF(COUNTIF(Flows!$M$2:$M$1500,$A82&amp;"|"&amp;BI$1&amp;"|Output"),"I/O","IN"),IF(COUNTIF(Flows!$M$2:$M$1500,$A82&amp;"|"&amp;BI$1&amp;"|Output"),"OUT",""))</f>
        <v/>
      </c>
      <c r="BJ82" s="33" t="str">
        <f aca="false">IF(COUNTIF(Flows!$M$2:$M$1500,$A82&amp;"|"&amp;BJ$1&amp;"|Input"),IF(COUNTIF(Flows!$M$2:$M$1500,$A82&amp;"|"&amp;BJ$1&amp;"|Output"),"I/O","IN"),IF(COUNTIF(Flows!$M$2:$M$1500,$A82&amp;"|"&amp;BJ$1&amp;"|Output"),"OUT",""))</f>
        <v/>
      </c>
      <c r="BK82" s="33" t="str">
        <f aca="false">IF(COUNTIF(Flows!$M$2:$M$1500,$A82&amp;"|"&amp;BK$1&amp;"|Input"),IF(COUNTIF(Flows!$M$2:$M$1500,$A82&amp;"|"&amp;BK$1&amp;"|Output"),"I/O","IN"),IF(COUNTIF(Flows!$M$2:$M$1500,$A82&amp;"|"&amp;BK$1&amp;"|Output"),"OUT",""))</f>
        <v/>
      </c>
    </row>
    <row r="83" customFormat="false" ht="15" hidden="false" customHeight="true" outlineLevel="0" collapsed="false">
      <c r="A83" s="6" t="str">
        <f aca="false">Systems!B83</f>
        <v>Cob House</v>
      </c>
      <c r="B83" s="33" t="str">
        <f aca="false">IF(COUNTIF(Flows!$M$2:$M$1500,$A83&amp;"|"&amp;B$1&amp;"|Input"),IF(COUNTIF(Flows!$M$2:$M$1500,$A83&amp;"|"&amp;B$1&amp;"|Output"),"I/O","IN"),IF(COUNTIF(Flows!$M$2:$M$1500,$A83&amp;"|"&amp;B$1&amp;"|Output"),"OUT",""))</f>
        <v/>
      </c>
      <c r="C83" s="33" t="str">
        <f aca="false">IF(COUNTIF(Flows!$M$2:$M$1500,$A83&amp;"|"&amp;C$1&amp;"|Input"),IF(COUNTIF(Flows!$M$2:$M$1500,$A83&amp;"|"&amp;C$1&amp;"|Output"),"I/O","IN"),IF(COUNTIF(Flows!$M$2:$M$1500,$A83&amp;"|"&amp;C$1&amp;"|Output"),"OUT",""))</f>
        <v/>
      </c>
      <c r="D83" s="33" t="str">
        <f aca="false">IF(COUNTIF(Flows!$M$2:$M$1500,$A83&amp;"|"&amp;D$1&amp;"|Input"),IF(COUNTIF(Flows!$M$2:$M$1500,$A83&amp;"|"&amp;D$1&amp;"|Output"),"I/O","IN"),IF(COUNTIF(Flows!$M$2:$M$1500,$A83&amp;"|"&amp;D$1&amp;"|Output"),"OUT",""))</f>
        <v/>
      </c>
      <c r="E83" s="33" t="str">
        <f aca="false">IF(COUNTIF(Flows!$M$2:$M$1500,$A83&amp;"|"&amp;E$1&amp;"|Input"),IF(COUNTIF(Flows!$M$2:$M$1500,$A83&amp;"|"&amp;E$1&amp;"|Output"),"I/O","IN"),IF(COUNTIF(Flows!$M$2:$M$1500,$A83&amp;"|"&amp;E$1&amp;"|Output"),"OUT",""))</f>
        <v/>
      </c>
      <c r="F83" s="33" t="str">
        <f aca="false">IF(COUNTIF(Flows!$M$2:$M$1500,$A83&amp;"|"&amp;F$1&amp;"|Input"),IF(COUNTIF(Flows!$M$2:$M$1500,$A83&amp;"|"&amp;F$1&amp;"|Output"),"I/O","IN"),IF(COUNTIF(Flows!$M$2:$M$1500,$A83&amp;"|"&amp;F$1&amp;"|Output"),"OUT",""))</f>
        <v/>
      </c>
      <c r="G83" s="33" t="str">
        <f aca="false">IF(COUNTIF(Flows!$M$2:$M$1500,$A83&amp;"|"&amp;G$1&amp;"|Input"),IF(COUNTIF(Flows!$M$2:$M$1500,$A83&amp;"|"&amp;G$1&amp;"|Output"),"I/O","IN"),IF(COUNTIF(Flows!$M$2:$M$1500,$A83&amp;"|"&amp;G$1&amp;"|Output"),"OUT",""))</f>
        <v/>
      </c>
      <c r="H83" s="33" t="str">
        <f aca="false">IF(COUNTIF(Flows!$M$2:$M$1500,$A83&amp;"|"&amp;H$1&amp;"|Input"),IF(COUNTIF(Flows!$M$2:$M$1500,$A83&amp;"|"&amp;H$1&amp;"|Output"),"I/O","IN"),IF(COUNTIF(Flows!$M$2:$M$1500,$A83&amp;"|"&amp;H$1&amp;"|Output"),"OUT",""))</f>
        <v/>
      </c>
      <c r="I83" s="33" t="str">
        <f aca="false">IF(COUNTIF(Flows!$M$2:$M$1500,$A83&amp;"|"&amp;I$1&amp;"|Input"),IF(COUNTIF(Flows!$M$2:$M$1500,$A83&amp;"|"&amp;I$1&amp;"|Output"),"I/O","IN"),IF(COUNTIF(Flows!$M$2:$M$1500,$A83&amp;"|"&amp;I$1&amp;"|Output"),"OUT",""))</f>
        <v/>
      </c>
      <c r="J83" s="33" t="str">
        <f aca="false">IF(COUNTIF(Flows!$M$2:$M$1500,$A83&amp;"|"&amp;J$1&amp;"|Input"),IF(COUNTIF(Flows!$M$2:$M$1500,$A83&amp;"|"&amp;J$1&amp;"|Output"),"I/O","IN"),IF(COUNTIF(Flows!$M$2:$M$1500,$A83&amp;"|"&amp;J$1&amp;"|Output"),"OUT",""))</f>
        <v/>
      </c>
      <c r="K83" s="33" t="str">
        <f aca="false">IF(COUNTIF(Flows!$M$2:$M$1500,$A83&amp;"|"&amp;K$1&amp;"|Input"),IF(COUNTIF(Flows!$M$2:$M$1500,$A83&amp;"|"&amp;K$1&amp;"|Output"),"I/O","IN"),IF(COUNTIF(Flows!$M$2:$M$1500,$A83&amp;"|"&amp;K$1&amp;"|Output"),"OUT",""))</f>
        <v/>
      </c>
      <c r="L83" s="33" t="str">
        <f aca="false">IF(COUNTIF(Flows!$M$2:$M$1500,$A83&amp;"|"&amp;L$1&amp;"|Input"),IF(COUNTIF(Flows!$M$2:$M$1500,$A83&amp;"|"&amp;L$1&amp;"|Output"),"I/O","IN"),IF(COUNTIF(Flows!$M$2:$M$1500,$A83&amp;"|"&amp;L$1&amp;"|Output"),"OUT",""))</f>
        <v/>
      </c>
      <c r="M83" s="33" t="str">
        <f aca="false">IF(COUNTIF(Flows!$M$2:$M$1500,$A83&amp;"|"&amp;M$1&amp;"|Input"),IF(COUNTIF(Flows!$M$2:$M$1500,$A83&amp;"|"&amp;M$1&amp;"|Output"),"I/O","IN"),IF(COUNTIF(Flows!$M$2:$M$1500,$A83&amp;"|"&amp;M$1&amp;"|Output"),"OUT",""))</f>
        <v/>
      </c>
      <c r="N83" s="33" t="str">
        <f aca="false">IF(COUNTIF(Flows!$M$2:$M$1500,$A83&amp;"|"&amp;N$1&amp;"|Input"),IF(COUNTIF(Flows!$M$2:$M$1500,$A83&amp;"|"&amp;N$1&amp;"|Output"),"I/O","IN"),IF(COUNTIF(Flows!$M$2:$M$1500,$A83&amp;"|"&amp;N$1&amp;"|Output"),"OUT",""))</f>
        <v/>
      </c>
      <c r="O83" s="33" t="str">
        <f aca="false">IF(COUNTIF(Flows!$M$2:$M$1500,$A83&amp;"|"&amp;O$1&amp;"|Input"),IF(COUNTIF(Flows!$M$2:$M$1500,$A83&amp;"|"&amp;O$1&amp;"|Output"),"I/O","IN"),IF(COUNTIF(Flows!$M$2:$M$1500,$A83&amp;"|"&amp;O$1&amp;"|Output"),"OUT",""))</f>
        <v/>
      </c>
      <c r="P83" s="33" t="str">
        <f aca="false">IF(COUNTIF(Flows!$M$2:$M$1500,$A83&amp;"|"&amp;P$1&amp;"|Input"),IF(COUNTIF(Flows!$M$2:$M$1500,$A83&amp;"|"&amp;P$1&amp;"|Output"),"I/O","IN"),IF(COUNTIF(Flows!$M$2:$M$1500,$A83&amp;"|"&amp;P$1&amp;"|Output"),"OUT",""))</f>
        <v/>
      </c>
      <c r="Q83" s="33" t="str">
        <f aca="false">IF(COUNTIF(Flows!$M$2:$M$1500,$A83&amp;"|"&amp;Q$1&amp;"|Input"),IF(COUNTIF(Flows!$M$2:$M$1500,$A83&amp;"|"&amp;Q$1&amp;"|Output"),"I/O","IN"),IF(COUNTIF(Flows!$M$2:$M$1500,$A83&amp;"|"&amp;Q$1&amp;"|Output"),"OUT",""))</f>
        <v>OUT</v>
      </c>
      <c r="R83" s="33" t="str">
        <f aca="false">IF(COUNTIF(Flows!$M$2:$M$1500,$A83&amp;"|"&amp;R$1&amp;"|Input"),IF(COUNTIF(Flows!$M$2:$M$1500,$A83&amp;"|"&amp;R$1&amp;"|Output"),"I/O","IN"),IF(COUNTIF(Flows!$M$2:$M$1500,$A83&amp;"|"&amp;R$1&amp;"|Output"),"OUT",""))</f>
        <v/>
      </c>
      <c r="S83" s="33" t="str">
        <f aca="false">IF(COUNTIF(Flows!$M$2:$M$1500,$A83&amp;"|"&amp;S$1&amp;"|Input"),IF(COUNTIF(Flows!$M$2:$M$1500,$A83&amp;"|"&amp;S$1&amp;"|Output"),"I/O","IN"),IF(COUNTIF(Flows!$M$2:$M$1500,$A83&amp;"|"&amp;S$1&amp;"|Output"),"OUT",""))</f>
        <v/>
      </c>
      <c r="T83" s="33" t="str">
        <f aca="false">IF(COUNTIF(Flows!$M$2:$M$1500,$A83&amp;"|"&amp;T$1&amp;"|Input"),IF(COUNTIF(Flows!$M$2:$M$1500,$A83&amp;"|"&amp;T$1&amp;"|Output"),"I/O","IN"),IF(COUNTIF(Flows!$M$2:$M$1500,$A83&amp;"|"&amp;T$1&amp;"|Output"),"OUT",""))</f>
        <v/>
      </c>
      <c r="U83" s="33" t="str">
        <f aca="false">IF(COUNTIF(Flows!$M$2:$M$1500,$A83&amp;"|"&amp;U$1&amp;"|Input"),IF(COUNTIF(Flows!$M$2:$M$1500,$A83&amp;"|"&amp;U$1&amp;"|Output"),"I/O","IN"),IF(COUNTIF(Flows!$M$2:$M$1500,$A83&amp;"|"&amp;U$1&amp;"|Output"),"OUT",""))</f>
        <v/>
      </c>
      <c r="V83" s="33" t="str">
        <f aca="false">IF(COUNTIF(Flows!$M$2:$M$1500,$A83&amp;"|"&amp;V$1&amp;"|Input"),IF(COUNTIF(Flows!$M$2:$M$1500,$A83&amp;"|"&amp;V$1&amp;"|Output"),"I/O","IN"),IF(COUNTIF(Flows!$M$2:$M$1500,$A83&amp;"|"&amp;V$1&amp;"|Output"),"OUT",""))</f>
        <v>IN</v>
      </c>
      <c r="W83" s="33" t="str">
        <f aca="false">IF(COUNTIF(Flows!$M$2:$M$1500,$A83&amp;"|"&amp;W$1&amp;"|Input"),IF(COUNTIF(Flows!$M$2:$M$1500,$A83&amp;"|"&amp;W$1&amp;"|Output"),"I/O","IN"),IF(COUNTIF(Flows!$M$2:$M$1500,$A83&amp;"|"&amp;W$1&amp;"|Output"),"OUT",""))</f>
        <v>IN</v>
      </c>
      <c r="X83" s="33" t="str">
        <f aca="false">IF(COUNTIF(Flows!$M$2:$M$1500,$A83&amp;"|"&amp;X$1&amp;"|Input"),IF(COUNTIF(Flows!$M$2:$M$1500,$A83&amp;"|"&amp;X$1&amp;"|Output"),"I/O","IN"),IF(COUNTIF(Flows!$M$2:$M$1500,$A83&amp;"|"&amp;X$1&amp;"|Output"),"OUT",""))</f>
        <v>IN</v>
      </c>
      <c r="Y83" s="33" t="str">
        <f aca="false">IF(COUNTIF(Flows!$M$2:$M$1500,$A83&amp;"|"&amp;Y$1&amp;"|Input"),IF(COUNTIF(Flows!$M$2:$M$1500,$A83&amp;"|"&amp;Y$1&amp;"|Output"),"I/O","IN"),IF(COUNTIF(Flows!$M$2:$M$1500,$A83&amp;"|"&amp;Y$1&amp;"|Output"),"OUT",""))</f>
        <v/>
      </c>
      <c r="Z83" s="33" t="str">
        <f aca="false">IF(COUNTIF(Flows!$M$2:$M$1500,$A83&amp;"|"&amp;Z$1&amp;"|Input"),IF(COUNTIF(Flows!$M$2:$M$1500,$A83&amp;"|"&amp;Z$1&amp;"|Output"),"I/O","IN"),IF(COUNTIF(Flows!$M$2:$M$1500,$A83&amp;"|"&amp;Z$1&amp;"|Output"),"OUT",""))</f>
        <v/>
      </c>
      <c r="AA83" s="33" t="str">
        <f aca="false">IF(COUNTIF(Flows!$M$2:$M$1500,$A83&amp;"|"&amp;AA$1&amp;"|Input"),IF(COUNTIF(Flows!$M$2:$M$1500,$A83&amp;"|"&amp;AA$1&amp;"|Output"),"I/O","IN"),IF(COUNTIF(Flows!$M$2:$M$1500,$A83&amp;"|"&amp;AA$1&amp;"|Output"),"OUT",""))</f>
        <v/>
      </c>
      <c r="AB83" s="33" t="str">
        <f aca="false">IF(COUNTIF(Flows!$M$2:$M$1500,$A83&amp;"|"&amp;AB$1&amp;"|Input"),IF(COUNTIF(Flows!$M$2:$M$1500,$A83&amp;"|"&amp;AB$1&amp;"|Output"),"I/O","IN"),IF(COUNTIF(Flows!$M$2:$M$1500,$A83&amp;"|"&amp;AB$1&amp;"|Output"),"OUT",""))</f>
        <v/>
      </c>
      <c r="AC83" s="33" t="str">
        <f aca="false">IF(COUNTIF(Flows!$M$2:$M$1500,$A83&amp;"|"&amp;AC$1&amp;"|Input"),IF(COUNTIF(Flows!$M$2:$M$1500,$A83&amp;"|"&amp;AC$1&amp;"|Output"),"I/O","IN"),IF(COUNTIF(Flows!$M$2:$M$1500,$A83&amp;"|"&amp;AC$1&amp;"|Output"),"OUT",""))</f>
        <v/>
      </c>
      <c r="AD83" s="33" t="str">
        <f aca="false">IF(COUNTIF(Flows!$M$2:$M$1500,$A83&amp;"|"&amp;AD$1&amp;"|Input"),IF(COUNTIF(Flows!$M$2:$M$1500,$A83&amp;"|"&amp;AD$1&amp;"|Output"),"I/O","IN"),IF(COUNTIF(Flows!$M$2:$M$1500,$A83&amp;"|"&amp;AD$1&amp;"|Output"),"OUT",""))</f>
        <v>OUT</v>
      </c>
      <c r="AE83" s="33" t="str">
        <f aca="false">IF(COUNTIF(Flows!$M$2:$M$1500,$A83&amp;"|"&amp;AE$1&amp;"|Input"),IF(COUNTIF(Flows!$M$2:$M$1500,$A83&amp;"|"&amp;AE$1&amp;"|Output"),"I/O","IN"),IF(COUNTIF(Flows!$M$2:$M$1500,$A83&amp;"|"&amp;AE$1&amp;"|Output"),"OUT",""))</f>
        <v/>
      </c>
      <c r="AF83" s="33" t="str">
        <f aca="false">IF(COUNTIF(Flows!$M$2:$M$1500,$A83&amp;"|"&amp;AF$1&amp;"|Input"),IF(COUNTIF(Flows!$M$2:$M$1500,$A83&amp;"|"&amp;AF$1&amp;"|Output"),"I/O","IN"),IF(COUNTIF(Flows!$M$2:$M$1500,$A83&amp;"|"&amp;AF$1&amp;"|Output"),"OUT",""))</f>
        <v/>
      </c>
      <c r="AG83" s="33" t="str">
        <f aca="false">IF(COUNTIF(Flows!$M$2:$M$1500,$A83&amp;"|"&amp;AG$1&amp;"|Input"),IF(COUNTIF(Flows!$M$2:$M$1500,$A83&amp;"|"&amp;AG$1&amp;"|Output"),"I/O","IN"),IF(COUNTIF(Flows!$M$2:$M$1500,$A83&amp;"|"&amp;AG$1&amp;"|Output"),"OUT",""))</f>
        <v/>
      </c>
      <c r="AH83" s="33" t="str">
        <f aca="false">IF(COUNTIF(Flows!$M$2:$M$1500,$A83&amp;"|"&amp;AH$1&amp;"|Input"),IF(COUNTIF(Flows!$M$2:$M$1500,$A83&amp;"|"&amp;AH$1&amp;"|Output"),"I/O","IN"),IF(COUNTIF(Flows!$M$2:$M$1500,$A83&amp;"|"&amp;AH$1&amp;"|Output"),"OUT",""))</f>
        <v/>
      </c>
      <c r="AI83" s="33" t="str">
        <f aca="false">IF(COUNTIF(Flows!$M$2:$M$1500,$A83&amp;"|"&amp;AI$1&amp;"|Input"),IF(COUNTIF(Flows!$M$2:$M$1500,$A83&amp;"|"&amp;AI$1&amp;"|Output"),"I/O","IN"),IF(COUNTIF(Flows!$M$2:$M$1500,$A83&amp;"|"&amp;AI$1&amp;"|Output"),"OUT",""))</f>
        <v/>
      </c>
      <c r="AJ83" s="33" t="str">
        <f aca="false">IF(COUNTIF(Flows!$M$2:$M$1500,$A83&amp;"|"&amp;AJ$1&amp;"|Input"),IF(COUNTIF(Flows!$M$2:$M$1500,$A83&amp;"|"&amp;AJ$1&amp;"|Output"),"I/O","IN"),IF(COUNTIF(Flows!$M$2:$M$1500,$A83&amp;"|"&amp;AJ$1&amp;"|Output"),"OUT",""))</f>
        <v/>
      </c>
      <c r="AK83" s="33" t="str">
        <f aca="false">IF(COUNTIF(Flows!$M$2:$M$1500,$A83&amp;"|"&amp;AK$1&amp;"|Input"),IF(COUNTIF(Flows!$M$2:$M$1500,$A83&amp;"|"&amp;AK$1&amp;"|Output"),"I/O","IN"),IF(COUNTIF(Flows!$M$2:$M$1500,$A83&amp;"|"&amp;AK$1&amp;"|Output"),"OUT",""))</f>
        <v/>
      </c>
      <c r="AL83" s="33" t="str">
        <f aca="false">IF(COUNTIF(Flows!$M$2:$M$1500,$A83&amp;"|"&amp;AL$1&amp;"|Input"),IF(COUNTIF(Flows!$M$2:$M$1500,$A83&amp;"|"&amp;AL$1&amp;"|Output"),"I/O","IN"),IF(COUNTIF(Flows!$M$2:$M$1500,$A83&amp;"|"&amp;AL$1&amp;"|Output"),"OUT",""))</f>
        <v/>
      </c>
      <c r="AM83" s="33" t="str">
        <f aca="false">IF(COUNTIF(Flows!$M$2:$M$1500,$A83&amp;"|"&amp;AM$1&amp;"|Input"),IF(COUNTIF(Flows!$M$2:$M$1500,$A83&amp;"|"&amp;AM$1&amp;"|Output"),"I/O","IN"),IF(COUNTIF(Flows!$M$2:$M$1500,$A83&amp;"|"&amp;AM$1&amp;"|Output"),"OUT",""))</f>
        <v/>
      </c>
      <c r="AN83" s="33" t="str">
        <f aca="false">IF(COUNTIF(Flows!$M$2:$M$1500,$A83&amp;"|"&amp;AN$1&amp;"|Input"),IF(COUNTIF(Flows!$M$2:$M$1500,$A83&amp;"|"&amp;AN$1&amp;"|Output"),"I/O","IN"),IF(COUNTIF(Flows!$M$2:$M$1500,$A83&amp;"|"&amp;AN$1&amp;"|Output"),"OUT",""))</f>
        <v/>
      </c>
      <c r="AO83" s="33" t="str">
        <f aca="false">IF(COUNTIF(Flows!$M$2:$M$1500,$A83&amp;"|"&amp;AO$1&amp;"|Input"),IF(COUNTIF(Flows!$M$2:$M$1500,$A83&amp;"|"&amp;AO$1&amp;"|Output"),"I/O","IN"),IF(COUNTIF(Flows!$M$2:$M$1500,$A83&amp;"|"&amp;AO$1&amp;"|Output"),"OUT",""))</f>
        <v/>
      </c>
      <c r="AP83" s="33" t="str">
        <f aca="false">IF(COUNTIF(Flows!$M$2:$M$1500,$A83&amp;"|"&amp;AP$1&amp;"|Input"),IF(COUNTIF(Flows!$M$2:$M$1500,$A83&amp;"|"&amp;AP$1&amp;"|Output"),"I/O","IN"),IF(COUNTIF(Flows!$M$2:$M$1500,$A83&amp;"|"&amp;AP$1&amp;"|Output"),"OUT",""))</f>
        <v/>
      </c>
      <c r="AQ83" s="33" t="str">
        <f aca="false">IF(COUNTIF(Flows!$M$2:$M$1500,$A83&amp;"|"&amp;AQ$1&amp;"|Input"),IF(COUNTIF(Flows!$M$2:$M$1500,$A83&amp;"|"&amp;AQ$1&amp;"|Output"),"I/O","IN"),IF(COUNTIF(Flows!$M$2:$M$1500,$A83&amp;"|"&amp;AQ$1&amp;"|Output"),"OUT",""))</f>
        <v/>
      </c>
      <c r="AR83" s="33" t="str">
        <f aca="false">IF(COUNTIF(Flows!$M$2:$M$1500,$A83&amp;"|"&amp;AR$1&amp;"|Input"),IF(COUNTIF(Flows!$M$2:$M$1500,$A83&amp;"|"&amp;AR$1&amp;"|Output"),"I/O","IN"),IF(COUNTIF(Flows!$M$2:$M$1500,$A83&amp;"|"&amp;AR$1&amp;"|Output"),"OUT",""))</f>
        <v/>
      </c>
      <c r="AS83" s="33" t="str">
        <f aca="false">IF(COUNTIF(Flows!$M$2:$M$1500,$A83&amp;"|"&amp;AS$1&amp;"|Input"),IF(COUNTIF(Flows!$M$2:$M$1500,$A83&amp;"|"&amp;AS$1&amp;"|Output"),"I/O","IN"),IF(COUNTIF(Flows!$M$2:$M$1500,$A83&amp;"|"&amp;AS$1&amp;"|Output"),"OUT",""))</f>
        <v/>
      </c>
      <c r="AT83" s="33" t="str">
        <f aca="false">IF(COUNTIF(Flows!$M$2:$M$1500,$A83&amp;"|"&amp;AT$1&amp;"|Input"),IF(COUNTIF(Flows!$M$2:$M$1500,$A83&amp;"|"&amp;AT$1&amp;"|Output"),"I/O","IN"),IF(COUNTIF(Flows!$M$2:$M$1500,$A83&amp;"|"&amp;AT$1&amp;"|Output"),"OUT",""))</f>
        <v/>
      </c>
      <c r="AU83" s="33" t="str">
        <f aca="false">IF(COUNTIF(Flows!$M$2:$M$1500,$A83&amp;"|"&amp;AU$1&amp;"|Input"),IF(COUNTIF(Flows!$M$2:$M$1500,$A83&amp;"|"&amp;AU$1&amp;"|Output"),"I/O","IN"),IF(COUNTIF(Flows!$M$2:$M$1500,$A83&amp;"|"&amp;AU$1&amp;"|Output"),"OUT",""))</f>
        <v/>
      </c>
      <c r="AV83" s="33" t="str">
        <f aca="false">IF(COUNTIF(Flows!$M$2:$M$1500,$A83&amp;"|"&amp;AV$1&amp;"|Input"),IF(COUNTIF(Flows!$M$2:$M$1500,$A83&amp;"|"&amp;AV$1&amp;"|Output"),"I/O","IN"),IF(COUNTIF(Flows!$M$2:$M$1500,$A83&amp;"|"&amp;AV$1&amp;"|Output"),"OUT",""))</f>
        <v/>
      </c>
      <c r="AW83" s="33" t="str">
        <f aca="false">IF(COUNTIF(Flows!$M$2:$M$1500,$A83&amp;"|"&amp;AW$1&amp;"|Input"),IF(COUNTIF(Flows!$M$2:$M$1500,$A83&amp;"|"&amp;AW$1&amp;"|Output"),"I/O","IN"),IF(COUNTIF(Flows!$M$2:$M$1500,$A83&amp;"|"&amp;AW$1&amp;"|Output"),"OUT",""))</f>
        <v/>
      </c>
      <c r="AX83" s="33" t="str">
        <f aca="false">IF(COUNTIF(Flows!$M$2:$M$1500,$A83&amp;"|"&amp;AX$1&amp;"|Input"),IF(COUNTIF(Flows!$M$2:$M$1500,$A83&amp;"|"&amp;AX$1&amp;"|Output"),"I/O","IN"),IF(COUNTIF(Flows!$M$2:$M$1500,$A83&amp;"|"&amp;AX$1&amp;"|Output"),"OUT",""))</f>
        <v/>
      </c>
      <c r="AY83" s="33" t="str">
        <f aca="false">IF(COUNTIF(Flows!$M$2:$M$1500,$A83&amp;"|"&amp;AY$1&amp;"|Input"),IF(COUNTIF(Flows!$M$2:$M$1500,$A83&amp;"|"&amp;AY$1&amp;"|Output"),"I/O","IN"),IF(COUNTIF(Flows!$M$2:$M$1500,$A83&amp;"|"&amp;AY$1&amp;"|Output"),"OUT",""))</f>
        <v/>
      </c>
      <c r="AZ83" s="33" t="str">
        <f aca="false">IF(COUNTIF(Flows!$M$2:$M$1500,$A83&amp;"|"&amp;AZ$1&amp;"|Input"),IF(COUNTIF(Flows!$M$2:$M$1500,$A83&amp;"|"&amp;AZ$1&amp;"|Output"),"I/O","IN"),IF(COUNTIF(Flows!$M$2:$M$1500,$A83&amp;"|"&amp;AZ$1&amp;"|Output"),"OUT",""))</f>
        <v/>
      </c>
      <c r="BA83" s="33" t="str">
        <f aca="false">IF(COUNTIF(Flows!$M$2:$M$1500,$A83&amp;"|"&amp;BA$1&amp;"|Input"),IF(COUNTIF(Flows!$M$2:$M$1500,$A83&amp;"|"&amp;BA$1&amp;"|Output"),"I/O","IN"),IF(COUNTIF(Flows!$M$2:$M$1500,$A83&amp;"|"&amp;BA$1&amp;"|Output"),"OUT",""))</f>
        <v/>
      </c>
      <c r="BB83" s="33" t="str">
        <f aca="false">IF(COUNTIF(Flows!$M$2:$M$1500,$A83&amp;"|"&amp;BB$1&amp;"|Input"),IF(COUNTIF(Flows!$M$2:$M$1500,$A83&amp;"|"&amp;BB$1&amp;"|Output"),"I/O","IN"),IF(COUNTIF(Flows!$M$2:$M$1500,$A83&amp;"|"&amp;BB$1&amp;"|Output"),"OUT",""))</f>
        <v/>
      </c>
      <c r="BC83" s="33" t="str">
        <f aca="false">IF(COUNTIF(Flows!$M$2:$M$1500,$A83&amp;"|"&amp;BC$1&amp;"|Input"),IF(COUNTIF(Flows!$M$2:$M$1500,$A83&amp;"|"&amp;BC$1&amp;"|Output"),"I/O","IN"),IF(COUNTIF(Flows!$M$2:$M$1500,$A83&amp;"|"&amp;BC$1&amp;"|Output"),"OUT",""))</f>
        <v/>
      </c>
      <c r="BD83" s="33" t="str">
        <f aca="false">IF(COUNTIF(Flows!$M$2:$M$1500,$A83&amp;"|"&amp;BD$1&amp;"|Input"),IF(COUNTIF(Flows!$M$2:$M$1500,$A83&amp;"|"&amp;BD$1&amp;"|Output"),"I/O","IN"),IF(COUNTIF(Flows!$M$2:$M$1500,$A83&amp;"|"&amp;BD$1&amp;"|Output"),"OUT",""))</f>
        <v>IN</v>
      </c>
      <c r="BE83" s="33" t="str">
        <f aca="false">IF(COUNTIF(Flows!$M$2:$M$1500,$A83&amp;"|"&amp;BE$1&amp;"|Input"),IF(COUNTIF(Flows!$M$2:$M$1500,$A83&amp;"|"&amp;BE$1&amp;"|Output"),"I/O","IN"),IF(COUNTIF(Flows!$M$2:$M$1500,$A83&amp;"|"&amp;BE$1&amp;"|Output"),"OUT",""))</f>
        <v/>
      </c>
      <c r="BF83" s="33" t="str">
        <f aca="false">IF(COUNTIF(Flows!$M$2:$M$1500,$A83&amp;"|"&amp;BF$1&amp;"|Input"),IF(COUNTIF(Flows!$M$2:$M$1500,$A83&amp;"|"&amp;BF$1&amp;"|Output"),"I/O","IN"),IF(COUNTIF(Flows!$M$2:$M$1500,$A83&amp;"|"&amp;BF$1&amp;"|Output"),"OUT",""))</f>
        <v/>
      </c>
      <c r="BG83" s="33" t="str">
        <f aca="false">IF(COUNTIF(Flows!$M$2:$M$1500,$A83&amp;"|"&amp;BG$1&amp;"|Input"),IF(COUNTIF(Flows!$M$2:$M$1500,$A83&amp;"|"&amp;BG$1&amp;"|Output"),"I/O","IN"),IF(COUNTIF(Flows!$M$2:$M$1500,$A83&amp;"|"&amp;BG$1&amp;"|Output"),"OUT",""))</f>
        <v/>
      </c>
      <c r="BH83" s="33" t="str">
        <f aca="false">IF(COUNTIF(Flows!$M$2:$M$1500,$A83&amp;"|"&amp;BH$1&amp;"|Input"),IF(COUNTIF(Flows!$M$2:$M$1500,$A83&amp;"|"&amp;BH$1&amp;"|Output"),"I/O","IN"),IF(COUNTIF(Flows!$M$2:$M$1500,$A83&amp;"|"&amp;BH$1&amp;"|Output"),"OUT",""))</f>
        <v/>
      </c>
      <c r="BI83" s="33" t="str">
        <f aca="false">IF(COUNTIF(Flows!$M$2:$M$1500,$A83&amp;"|"&amp;BI$1&amp;"|Input"),IF(COUNTIF(Flows!$M$2:$M$1500,$A83&amp;"|"&amp;BI$1&amp;"|Output"),"I/O","IN"),IF(COUNTIF(Flows!$M$2:$M$1500,$A83&amp;"|"&amp;BI$1&amp;"|Output"),"OUT",""))</f>
        <v/>
      </c>
      <c r="BJ83" s="33" t="str">
        <f aca="false">IF(COUNTIF(Flows!$M$2:$M$1500,$A83&amp;"|"&amp;BJ$1&amp;"|Input"),IF(COUNTIF(Flows!$M$2:$M$1500,$A83&amp;"|"&amp;BJ$1&amp;"|Output"),"I/O","IN"),IF(COUNTIF(Flows!$M$2:$M$1500,$A83&amp;"|"&amp;BJ$1&amp;"|Output"),"OUT",""))</f>
        <v/>
      </c>
      <c r="BK83" s="33" t="str">
        <f aca="false">IF(COUNTIF(Flows!$M$2:$M$1500,$A83&amp;"|"&amp;BK$1&amp;"|Input"),IF(COUNTIF(Flows!$M$2:$M$1500,$A83&amp;"|"&amp;BK$1&amp;"|Output"),"I/O","IN"),IF(COUNTIF(Flows!$M$2:$M$1500,$A83&amp;"|"&amp;BK$1&amp;"|Output"),"OUT",""))</f>
        <v/>
      </c>
    </row>
    <row r="84" customFormat="false" ht="15" hidden="false" customHeight="true" outlineLevel="0" collapsed="false">
      <c r="A84" s="6" t="str">
        <f aca="false">Systems!B84</f>
        <v>Straw Bale House</v>
      </c>
      <c r="B84" s="33" t="str">
        <f aca="false">IF(COUNTIF(Flows!$M$2:$M$1500,$A84&amp;"|"&amp;B$1&amp;"|Input"),IF(COUNTIF(Flows!$M$2:$M$1500,$A84&amp;"|"&amp;B$1&amp;"|Output"),"I/O","IN"),IF(COUNTIF(Flows!$M$2:$M$1500,$A84&amp;"|"&amp;B$1&amp;"|Output"),"OUT",""))</f>
        <v/>
      </c>
      <c r="C84" s="33" t="str">
        <f aca="false">IF(COUNTIF(Flows!$M$2:$M$1500,$A84&amp;"|"&amp;C$1&amp;"|Input"),IF(COUNTIF(Flows!$M$2:$M$1500,$A84&amp;"|"&amp;C$1&amp;"|Output"),"I/O","IN"),IF(COUNTIF(Flows!$M$2:$M$1500,$A84&amp;"|"&amp;C$1&amp;"|Output"),"OUT",""))</f>
        <v/>
      </c>
      <c r="D84" s="33" t="str">
        <f aca="false">IF(COUNTIF(Flows!$M$2:$M$1500,$A84&amp;"|"&amp;D$1&amp;"|Input"),IF(COUNTIF(Flows!$M$2:$M$1500,$A84&amp;"|"&amp;D$1&amp;"|Output"),"I/O","IN"),IF(COUNTIF(Flows!$M$2:$M$1500,$A84&amp;"|"&amp;D$1&amp;"|Output"),"OUT",""))</f>
        <v/>
      </c>
      <c r="E84" s="33" t="str">
        <f aca="false">IF(COUNTIF(Flows!$M$2:$M$1500,$A84&amp;"|"&amp;E$1&amp;"|Input"),IF(COUNTIF(Flows!$M$2:$M$1500,$A84&amp;"|"&amp;E$1&amp;"|Output"),"I/O","IN"),IF(COUNTIF(Flows!$M$2:$M$1500,$A84&amp;"|"&amp;E$1&amp;"|Output"),"OUT",""))</f>
        <v/>
      </c>
      <c r="F84" s="33" t="str">
        <f aca="false">IF(COUNTIF(Flows!$M$2:$M$1500,$A84&amp;"|"&amp;F$1&amp;"|Input"),IF(COUNTIF(Flows!$M$2:$M$1500,$A84&amp;"|"&amp;F$1&amp;"|Output"),"I/O","IN"),IF(COUNTIF(Flows!$M$2:$M$1500,$A84&amp;"|"&amp;F$1&amp;"|Output"),"OUT",""))</f>
        <v/>
      </c>
      <c r="G84" s="33" t="str">
        <f aca="false">IF(COUNTIF(Flows!$M$2:$M$1500,$A84&amp;"|"&amp;G$1&amp;"|Input"),IF(COUNTIF(Flows!$M$2:$M$1500,$A84&amp;"|"&amp;G$1&amp;"|Output"),"I/O","IN"),IF(COUNTIF(Flows!$M$2:$M$1500,$A84&amp;"|"&amp;G$1&amp;"|Output"),"OUT",""))</f>
        <v/>
      </c>
      <c r="H84" s="33" t="str">
        <f aca="false">IF(COUNTIF(Flows!$M$2:$M$1500,$A84&amp;"|"&amp;H$1&amp;"|Input"),IF(COUNTIF(Flows!$M$2:$M$1500,$A84&amp;"|"&amp;H$1&amp;"|Output"),"I/O","IN"),IF(COUNTIF(Flows!$M$2:$M$1500,$A84&amp;"|"&amp;H$1&amp;"|Output"),"OUT",""))</f>
        <v/>
      </c>
      <c r="I84" s="33" t="str">
        <f aca="false">IF(COUNTIF(Flows!$M$2:$M$1500,$A84&amp;"|"&amp;I$1&amp;"|Input"),IF(COUNTIF(Flows!$M$2:$M$1500,$A84&amp;"|"&amp;I$1&amp;"|Output"),"I/O","IN"),IF(COUNTIF(Flows!$M$2:$M$1500,$A84&amp;"|"&amp;I$1&amp;"|Output"),"OUT",""))</f>
        <v/>
      </c>
      <c r="J84" s="33" t="str">
        <f aca="false">IF(COUNTIF(Flows!$M$2:$M$1500,$A84&amp;"|"&amp;J$1&amp;"|Input"),IF(COUNTIF(Flows!$M$2:$M$1500,$A84&amp;"|"&amp;J$1&amp;"|Output"),"I/O","IN"),IF(COUNTIF(Flows!$M$2:$M$1500,$A84&amp;"|"&amp;J$1&amp;"|Output"),"OUT",""))</f>
        <v/>
      </c>
      <c r="K84" s="33" t="str">
        <f aca="false">IF(COUNTIF(Flows!$M$2:$M$1500,$A84&amp;"|"&amp;K$1&amp;"|Input"),IF(COUNTIF(Flows!$M$2:$M$1500,$A84&amp;"|"&amp;K$1&amp;"|Output"),"I/O","IN"),IF(COUNTIF(Flows!$M$2:$M$1500,$A84&amp;"|"&amp;K$1&amp;"|Output"),"OUT",""))</f>
        <v/>
      </c>
      <c r="L84" s="33" t="str">
        <f aca="false">IF(COUNTIF(Flows!$M$2:$M$1500,$A84&amp;"|"&amp;L$1&amp;"|Input"),IF(COUNTIF(Flows!$M$2:$M$1500,$A84&amp;"|"&amp;L$1&amp;"|Output"),"I/O","IN"),IF(COUNTIF(Flows!$M$2:$M$1500,$A84&amp;"|"&amp;L$1&amp;"|Output"),"OUT",""))</f>
        <v/>
      </c>
      <c r="M84" s="33" t="str">
        <f aca="false">IF(COUNTIF(Flows!$M$2:$M$1500,$A84&amp;"|"&amp;M$1&amp;"|Input"),IF(COUNTIF(Flows!$M$2:$M$1500,$A84&amp;"|"&amp;M$1&amp;"|Output"),"I/O","IN"),IF(COUNTIF(Flows!$M$2:$M$1500,$A84&amp;"|"&amp;M$1&amp;"|Output"),"OUT",""))</f>
        <v/>
      </c>
      <c r="N84" s="33" t="str">
        <f aca="false">IF(COUNTIF(Flows!$M$2:$M$1500,$A84&amp;"|"&amp;N$1&amp;"|Input"),IF(COUNTIF(Flows!$M$2:$M$1500,$A84&amp;"|"&amp;N$1&amp;"|Output"),"I/O","IN"),IF(COUNTIF(Flows!$M$2:$M$1500,$A84&amp;"|"&amp;N$1&amp;"|Output"),"OUT",""))</f>
        <v/>
      </c>
      <c r="O84" s="33" t="str">
        <f aca="false">IF(COUNTIF(Flows!$M$2:$M$1500,$A84&amp;"|"&amp;O$1&amp;"|Input"),IF(COUNTIF(Flows!$M$2:$M$1500,$A84&amp;"|"&amp;O$1&amp;"|Output"),"I/O","IN"),IF(COUNTIF(Flows!$M$2:$M$1500,$A84&amp;"|"&amp;O$1&amp;"|Output"),"OUT",""))</f>
        <v/>
      </c>
      <c r="P84" s="33" t="str">
        <f aca="false">IF(COUNTIF(Flows!$M$2:$M$1500,$A84&amp;"|"&amp;P$1&amp;"|Input"),IF(COUNTIF(Flows!$M$2:$M$1500,$A84&amp;"|"&amp;P$1&amp;"|Output"),"I/O","IN"),IF(COUNTIF(Flows!$M$2:$M$1500,$A84&amp;"|"&amp;P$1&amp;"|Output"),"OUT",""))</f>
        <v/>
      </c>
      <c r="Q84" s="33" t="str">
        <f aca="false">IF(COUNTIF(Flows!$M$2:$M$1500,$A84&amp;"|"&amp;Q$1&amp;"|Input"),IF(COUNTIF(Flows!$M$2:$M$1500,$A84&amp;"|"&amp;Q$1&amp;"|Output"),"I/O","IN"),IF(COUNTIF(Flows!$M$2:$M$1500,$A84&amp;"|"&amp;Q$1&amp;"|Output"),"OUT",""))</f>
        <v>OUT</v>
      </c>
      <c r="R84" s="33" t="str">
        <f aca="false">IF(COUNTIF(Flows!$M$2:$M$1500,$A84&amp;"|"&amp;R$1&amp;"|Input"),IF(COUNTIF(Flows!$M$2:$M$1500,$A84&amp;"|"&amp;R$1&amp;"|Output"),"I/O","IN"),IF(COUNTIF(Flows!$M$2:$M$1500,$A84&amp;"|"&amp;R$1&amp;"|Output"),"OUT",""))</f>
        <v/>
      </c>
      <c r="S84" s="33" t="str">
        <f aca="false">IF(COUNTIF(Flows!$M$2:$M$1500,$A84&amp;"|"&amp;S$1&amp;"|Input"),IF(COUNTIF(Flows!$M$2:$M$1500,$A84&amp;"|"&amp;S$1&amp;"|Output"),"I/O","IN"),IF(COUNTIF(Flows!$M$2:$M$1500,$A84&amp;"|"&amp;S$1&amp;"|Output"),"OUT",""))</f>
        <v/>
      </c>
      <c r="T84" s="33" t="str">
        <f aca="false">IF(COUNTIF(Flows!$M$2:$M$1500,$A84&amp;"|"&amp;T$1&amp;"|Input"),IF(COUNTIF(Flows!$M$2:$M$1500,$A84&amp;"|"&amp;T$1&amp;"|Output"),"I/O","IN"),IF(COUNTIF(Flows!$M$2:$M$1500,$A84&amp;"|"&amp;T$1&amp;"|Output"),"OUT",""))</f>
        <v/>
      </c>
      <c r="U84" s="33" t="str">
        <f aca="false">IF(COUNTIF(Flows!$M$2:$M$1500,$A84&amp;"|"&amp;U$1&amp;"|Input"),IF(COUNTIF(Flows!$M$2:$M$1500,$A84&amp;"|"&amp;U$1&amp;"|Output"),"I/O","IN"),IF(COUNTIF(Flows!$M$2:$M$1500,$A84&amp;"|"&amp;U$1&amp;"|Output"),"OUT",""))</f>
        <v/>
      </c>
      <c r="V84" s="33" t="str">
        <f aca="false">IF(COUNTIF(Flows!$M$2:$M$1500,$A84&amp;"|"&amp;V$1&amp;"|Input"),IF(COUNTIF(Flows!$M$2:$M$1500,$A84&amp;"|"&amp;V$1&amp;"|Output"),"I/O","IN"),IF(COUNTIF(Flows!$M$2:$M$1500,$A84&amp;"|"&amp;V$1&amp;"|Output"),"OUT",""))</f>
        <v>IN</v>
      </c>
      <c r="W84" s="33" t="str">
        <f aca="false">IF(COUNTIF(Flows!$M$2:$M$1500,$A84&amp;"|"&amp;W$1&amp;"|Input"),IF(COUNTIF(Flows!$M$2:$M$1500,$A84&amp;"|"&amp;W$1&amp;"|Output"),"I/O","IN"),IF(COUNTIF(Flows!$M$2:$M$1500,$A84&amp;"|"&amp;W$1&amp;"|Output"),"OUT",""))</f>
        <v>IN</v>
      </c>
      <c r="X84" s="33" t="str">
        <f aca="false">IF(COUNTIF(Flows!$M$2:$M$1500,$A84&amp;"|"&amp;X$1&amp;"|Input"),IF(COUNTIF(Flows!$M$2:$M$1500,$A84&amp;"|"&amp;X$1&amp;"|Output"),"I/O","IN"),IF(COUNTIF(Flows!$M$2:$M$1500,$A84&amp;"|"&amp;X$1&amp;"|Output"),"OUT",""))</f>
        <v>IN</v>
      </c>
      <c r="Y84" s="33" t="str">
        <f aca="false">IF(COUNTIF(Flows!$M$2:$M$1500,$A84&amp;"|"&amp;Y$1&amp;"|Input"),IF(COUNTIF(Flows!$M$2:$M$1500,$A84&amp;"|"&amp;Y$1&amp;"|Output"),"I/O","IN"),IF(COUNTIF(Flows!$M$2:$M$1500,$A84&amp;"|"&amp;Y$1&amp;"|Output"),"OUT",""))</f>
        <v/>
      </c>
      <c r="Z84" s="33" t="str">
        <f aca="false">IF(COUNTIF(Flows!$M$2:$M$1500,$A84&amp;"|"&amp;Z$1&amp;"|Input"),IF(COUNTIF(Flows!$M$2:$M$1500,$A84&amp;"|"&amp;Z$1&amp;"|Output"),"I/O","IN"),IF(COUNTIF(Flows!$M$2:$M$1500,$A84&amp;"|"&amp;Z$1&amp;"|Output"),"OUT",""))</f>
        <v/>
      </c>
      <c r="AA84" s="33" t="str">
        <f aca="false">IF(COUNTIF(Flows!$M$2:$M$1500,$A84&amp;"|"&amp;AA$1&amp;"|Input"),IF(COUNTIF(Flows!$M$2:$M$1500,$A84&amp;"|"&amp;AA$1&amp;"|Output"),"I/O","IN"),IF(COUNTIF(Flows!$M$2:$M$1500,$A84&amp;"|"&amp;AA$1&amp;"|Output"),"OUT",""))</f>
        <v/>
      </c>
      <c r="AB84" s="33" t="str">
        <f aca="false">IF(COUNTIF(Flows!$M$2:$M$1500,$A84&amp;"|"&amp;AB$1&amp;"|Input"),IF(COUNTIF(Flows!$M$2:$M$1500,$A84&amp;"|"&amp;AB$1&amp;"|Output"),"I/O","IN"),IF(COUNTIF(Flows!$M$2:$M$1500,$A84&amp;"|"&amp;AB$1&amp;"|Output"),"OUT",""))</f>
        <v/>
      </c>
      <c r="AC84" s="33" t="str">
        <f aca="false">IF(COUNTIF(Flows!$M$2:$M$1500,$A84&amp;"|"&amp;AC$1&amp;"|Input"),IF(COUNTIF(Flows!$M$2:$M$1500,$A84&amp;"|"&amp;AC$1&amp;"|Output"),"I/O","IN"),IF(COUNTIF(Flows!$M$2:$M$1500,$A84&amp;"|"&amp;AC$1&amp;"|Output"),"OUT",""))</f>
        <v/>
      </c>
      <c r="AD84" s="33" t="str">
        <f aca="false">IF(COUNTIF(Flows!$M$2:$M$1500,$A84&amp;"|"&amp;AD$1&amp;"|Input"),IF(COUNTIF(Flows!$M$2:$M$1500,$A84&amp;"|"&amp;AD$1&amp;"|Output"),"I/O","IN"),IF(COUNTIF(Flows!$M$2:$M$1500,$A84&amp;"|"&amp;AD$1&amp;"|Output"),"OUT",""))</f>
        <v>OUT</v>
      </c>
      <c r="AE84" s="33" t="str">
        <f aca="false">IF(COUNTIF(Flows!$M$2:$M$1500,$A84&amp;"|"&amp;AE$1&amp;"|Input"),IF(COUNTIF(Flows!$M$2:$M$1500,$A84&amp;"|"&amp;AE$1&amp;"|Output"),"I/O","IN"),IF(COUNTIF(Flows!$M$2:$M$1500,$A84&amp;"|"&amp;AE$1&amp;"|Output"),"OUT",""))</f>
        <v/>
      </c>
      <c r="AF84" s="33" t="str">
        <f aca="false">IF(COUNTIF(Flows!$M$2:$M$1500,$A84&amp;"|"&amp;AF$1&amp;"|Input"),IF(COUNTIF(Flows!$M$2:$M$1500,$A84&amp;"|"&amp;AF$1&amp;"|Output"),"I/O","IN"),IF(COUNTIF(Flows!$M$2:$M$1500,$A84&amp;"|"&amp;AF$1&amp;"|Output"),"OUT",""))</f>
        <v/>
      </c>
      <c r="AG84" s="33" t="str">
        <f aca="false">IF(COUNTIF(Flows!$M$2:$M$1500,$A84&amp;"|"&amp;AG$1&amp;"|Input"),IF(COUNTIF(Flows!$M$2:$M$1500,$A84&amp;"|"&amp;AG$1&amp;"|Output"),"I/O","IN"),IF(COUNTIF(Flows!$M$2:$M$1500,$A84&amp;"|"&amp;AG$1&amp;"|Output"),"OUT",""))</f>
        <v/>
      </c>
      <c r="AH84" s="33" t="str">
        <f aca="false">IF(COUNTIF(Flows!$M$2:$M$1500,$A84&amp;"|"&amp;AH$1&amp;"|Input"),IF(COUNTIF(Flows!$M$2:$M$1500,$A84&amp;"|"&amp;AH$1&amp;"|Output"),"I/O","IN"),IF(COUNTIF(Flows!$M$2:$M$1500,$A84&amp;"|"&amp;AH$1&amp;"|Output"),"OUT",""))</f>
        <v/>
      </c>
      <c r="AI84" s="33" t="str">
        <f aca="false">IF(COUNTIF(Flows!$M$2:$M$1500,$A84&amp;"|"&amp;AI$1&amp;"|Input"),IF(COUNTIF(Flows!$M$2:$M$1500,$A84&amp;"|"&amp;AI$1&amp;"|Output"),"I/O","IN"),IF(COUNTIF(Flows!$M$2:$M$1500,$A84&amp;"|"&amp;AI$1&amp;"|Output"),"OUT",""))</f>
        <v/>
      </c>
      <c r="AJ84" s="33" t="str">
        <f aca="false">IF(COUNTIF(Flows!$M$2:$M$1500,$A84&amp;"|"&amp;AJ$1&amp;"|Input"),IF(COUNTIF(Flows!$M$2:$M$1500,$A84&amp;"|"&amp;AJ$1&amp;"|Output"),"I/O","IN"),IF(COUNTIF(Flows!$M$2:$M$1500,$A84&amp;"|"&amp;AJ$1&amp;"|Output"),"OUT",""))</f>
        <v/>
      </c>
      <c r="AK84" s="33" t="str">
        <f aca="false">IF(COUNTIF(Flows!$M$2:$M$1500,$A84&amp;"|"&amp;AK$1&amp;"|Input"),IF(COUNTIF(Flows!$M$2:$M$1500,$A84&amp;"|"&amp;AK$1&amp;"|Output"),"I/O","IN"),IF(COUNTIF(Flows!$M$2:$M$1500,$A84&amp;"|"&amp;AK$1&amp;"|Output"),"OUT",""))</f>
        <v/>
      </c>
      <c r="AL84" s="33" t="str">
        <f aca="false">IF(COUNTIF(Flows!$M$2:$M$1500,$A84&amp;"|"&amp;AL$1&amp;"|Input"),IF(COUNTIF(Flows!$M$2:$M$1500,$A84&amp;"|"&amp;AL$1&amp;"|Output"),"I/O","IN"),IF(COUNTIF(Flows!$M$2:$M$1500,$A84&amp;"|"&amp;AL$1&amp;"|Output"),"OUT",""))</f>
        <v/>
      </c>
      <c r="AM84" s="33" t="str">
        <f aca="false">IF(COUNTIF(Flows!$M$2:$M$1500,$A84&amp;"|"&amp;AM$1&amp;"|Input"),IF(COUNTIF(Flows!$M$2:$M$1500,$A84&amp;"|"&amp;AM$1&amp;"|Output"),"I/O","IN"),IF(COUNTIF(Flows!$M$2:$M$1500,$A84&amp;"|"&amp;AM$1&amp;"|Output"),"OUT",""))</f>
        <v/>
      </c>
      <c r="AN84" s="33" t="str">
        <f aca="false">IF(COUNTIF(Flows!$M$2:$M$1500,$A84&amp;"|"&amp;AN$1&amp;"|Input"),IF(COUNTIF(Flows!$M$2:$M$1500,$A84&amp;"|"&amp;AN$1&amp;"|Output"),"I/O","IN"),IF(COUNTIF(Flows!$M$2:$M$1500,$A84&amp;"|"&amp;AN$1&amp;"|Output"),"OUT",""))</f>
        <v/>
      </c>
      <c r="AO84" s="33" t="str">
        <f aca="false">IF(COUNTIF(Flows!$M$2:$M$1500,$A84&amp;"|"&amp;AO$1&amp;"|Input"),IF(COUNTIF(Flows!$M$2:$M$1500,$A84&amp;"|"&amp;AO$1&amp;"|Output"),"I/O","IN"),IF(COUNTIF(Flows!$M$2:$M$1500,$A84&amp;"|"&amp;AO$1&amp;"|Output"),"OUT",""))</f>
        <v/>
      </c>
      <c r="AP84" s="33" t="str">
        <f aca="false">IF(COUNTIF(Flows!$M$2:$M$1500,$A84&amp;"|"&amp;AP$1&amp;"|Input"),IF(COUNTIF(Flows!$M$2:$M$1500,$A84&amp;"|"&amp;AP$1&amp;"|Output"),"I/O","IN"),IF(COUNTIF(Flows!$M$2:$M$1500,$A84&amp;"|"&amp;AP$1&amp;"|Output"),"OUT",""))</f>
        <v/>
      </c>
      <c r="AQ84" s="33" t="str">
        <f aca="false">IF(COUNTIF(Flows!$M$2:$M$1500,$A84&amp;"|"&amp;AQ$1&amp;"|Input"),IF(COUNTIF(Flows!$M$2:$M$1500,$A84&amp;"|"&amp;AQ$1&amp;"|Output"),"I/O","IN"),IF(COUNTIF(Flows!$M$2:$M$1500,$A84&amp;"|"&amp;AQ$1&amp;"|Output"),"OUT",""))</f>
        <v/>
      </c>
      <c r="AR84" s="33" t="str">
        <f aca="false">IF(COUNTIF(Flows!$M$2:$M$1500,$A84&amp;"|"&amp;AR$1&amp;"|Input"),IF(COUNTIF(Flows!$M$2:$M$1500,$A84&amp;"|"&amp;AR$1&amp;"|Output"),"I/O","IN"),IF(COUNTIF(Flows!$M$2:$M$1500,$A84&amp;"|"&amp;AR$1&amp;"|Output"),"OUT",""))</f>
        <v>IN</v>
      </c>
      <c r="AS84" s="33" t="str">
        <f aca="false">IF(COUNTIF(Flows!$M$2:$M$1500,$A84&amp;"|"&amp;AS$1&amp;"|Input"),IF(COUNTIF(Flows!$M$2:$M$1500,$A84&amp;"|"&amp;AS$1&amp;"|Output"),"I/O","IN"),IF(COUNTIF(Flows!$M$2:$M$1500,$A84&amp;"|"&amp;AS$1&amp;"|Output"),"OUT",""))</f>
        <v/>
      </c>
      <c r="AT84" s="33" t="str">
        <f aca="false">IF(COUNTIF(Flows!$M$2:$M$1500,$A84&amp;"|"&amp;AT$1&amp;"|Input"),IF(COUNTIF(Flows!$M$2:$M$1500,$A84&amp;"|"&amp;AT$1&amp;"|Output"),"I/O","IN"),IF(COUNTIF(Flows!$M$2:$M$1500,$A84&amp;"|"&amp;AT$1&amp;"|Output"),"OUT",""))</f>
        <v/>
      </c>
      <c r="AU84" s="33" t="str">
        <f aca="false">IF(COUNTIF(Flows!$M$2:$M$1500,$A84&amp;"|"&amp;AU$1&amp;"|Input"),IF(COUNTIF(Flows!$M$2:$M$1500,$A84&amp;"|"&amp;AU$1&amp;"|Output"),"I/O","IN"),IF(COUNTIF(Flows!$M$2:$M$1500,$A84&amp;"|"&amp;AU$1&amp;"|Output"),"OUT",""))</f>
        <v/>
      </c>
      <c r="AV84" s="33" t="str">
        <f aca="false">IF(COUNTIF(Flows!$M$2:$M$1500,$A84&amp;"|"&amp;AV$1&amp;"|Input"),IF(COUNTIF(Flows!$M$2:$M$1500,$A84&amp;"|"&amp;AV$1&amp;"|Output"),"I/O","IN"),IF(COUNTIF(Flows!$M$2:$M$1500,$A84&amp;"|"&amp;AV$1&amp;"|Output"),"OUT",""))</f>
        <v/>
      </c>
      <c r="AW84" s="33" t="str">
        <f aca="false">IF(COUNTIF(Flows!$M$2:$M$1500,$A84&amp;"|"&amp;AW$1&amp;"|Input"),IF(COUNTIF(Flows!$M$2:$M$1500,$A84&amp;"|"&amp;AW$1&amp;"|Output"),"I/O","IN"),IF(COUNTIF(Flows!$M$2:$M$1500,$A84&amp;"|"&amp;AW$1&amp;"|Output"),"OUT",""))</f>
        <v/>
      </c>
      <c r="AX84" s="33" t="str">
        <f aca="false">IF(COUNTIF(Flows!$M$2:$M$1500,$A84&amp;"|"&amp;AX$1&amp;"|Input"),IF(COUNTIF(Flows!$M$2:$M$1500,$A84&amp;"|"&amp;AX$1&amp;"|Output"),"I/O","IN"),IF(COUNTIF(Flows!$M$2:$M$1500,$A84&amp;"|"&amp;AX$1&amp;"|Output"),"OUT",""))</f>
        <v/>
      </c>
      <c r="AY84" s="33" t="str">
        <f aca="false">IF(COUNTIF(Flows!$M$2:$M$1500,$A84&amp;"|"&amp;AY$1&amp;"|Input"),IF(COUNTIF(Flows!$M$2:$M$1500,$A84&amp;"|"&amp;AY$1&amp;"|Output"),"I/O","IN"),IF(COUNTIF(Flows!$M$2:$M$1500,$A84&amp;"|"&amp;AY$1&amp;"|Output"),"OUT",""))</f>
        <v/>
      </c>
      <c r="AZ84" s="33" t="str">
        <f aca="false">IF(COUNTIF(Flows!$M$2:$M$1500,$A84&amp;"|"&amp;AZ$1&amp;"|Input"),IF(COUNTIF(Flows!$M$2:$M$1500,$A84&amp;"|"&amp;AZ$1&amp;"|Output"),"I/O","IN"),IF(COUNTIF(Flows!$M$2:$M$1500,$A84&amp;"|"&amp;AZ$1&amp;"|Output"),"OUT",""))</f>
        <v/>
      </c>
      <c r="BA84" s="33" t="str">
        <f aca="false">IF(COUNTIF(Flows!$M$2:$M$1500,$A84&amp;"|"&amp;BA$1&amp;"|Input"),IF(COUNTIF(Flows!$M$2:$M$1500,$A84&amp;"|"&amp;BA$1&amp;"|Output"),"I/O","IN"),IF(COUNTIF(Flows!$M$2:$M$1500,$A84&amp;"|"&amp;BA$1&amp;"|Output"),"OUT",""))</f>
        <v/>
      </c>
      <c r="BB84" s="33" t="str">
        <f aca="false">IF(COUNTIF(Flows!$M$2:$M$1500,$A84&amp;"|"&amp;BB$1&amp;"|Input"),IF(COUNTIF(Flows!$M$2:$M$1500,$A84&amp;"|"&amp;BB$1&amp;"|Output"),"I/O","IN"),IF(COUNTIF(Flows!$M$2:$M$1500,$A84&amp;"|"&amp;BB$1&amp;"|Output"),"OUT",""))</f>
        <v/>
      </c>
      <c r="BC84" s="33" t="str">
        <f aca="false">IF(COUNTIF(Flows!$M$2:$M$1500,$A84&amp;"|"&amp;BC$1&amp;"|Input"),IF(COUNTIF(Flows!$M$2:$M$1500,$A84&amp;"|"&amp;BC$1&amp;"|Output"),"I/O","IN"),IF(COUNTIF(Flows!$M$2:$M$1500,$A84&amp;"|"&amp;BC$1&amp;"|Output"),"OUT",""))</f>
        <v/>
      </c>
      <c r="BD84" s="33" t="str">
        <f aca="false">IF(COUNTIF(Flows!$M$2:$M$1500,$A84&amp;"|"&amp;BD$1&amp;"|Input"),IF(COUNTIF(Flows!$M$2:$M$1500,$A84&amp;"|"&amp;BD$1&amp;"|Output"),"I/O","IN"),IF(COUNTIF(Flows!$M$2:$M$1500,$A84&amp;"|"&amp;BD$1&amp;"|Output"),"OUT",""))</f>
        <v/>
      </c>
      <c r="BE84" s="33" t="str">
        <f aca="false">IF(COUNTIF(Flows!$M$2:$M$1500,$A84&amp;"|"&amp;BE$1&amp;"|Input"),IF(COUNTIF(Flows!$M$2:$M$1500,$A84&amp;"|"&amp;BE$1&amp;"|Output"),"I/O","IN"),IF(COUNTIF(Flows!$M$2:$M$1500,$A84&amp;"|"&amp;BE$1&amp;"|Output"),"OUT",""))</f>
        <v/>
      </c>
      <c r="BF84" s="33" t="str">
        <f aca="false">IF(COUNTIF(Flows!$M$2:$M$1500,$A84&amp;"|"&amp;BF$1&amp;"|Input"),IF(COUNTIF(Flows!$M$2:$M$1500,$A84&amp;"|"&amp;BF$1&amp;"|Output"),"I/O","IN"),IF(COUNTIF(Flows!$M$2:$M$1500,$A84&amp;"|"&amp;BF$1&amp;"|Output"),"OUT",""))</f>
        <v/>
      </c>
      <c r="BG84" s="33" t="str">
        <f aca="false">IF(COUNTIF(Flows!$M$2:$M$1500,$A84&amp;"|"&amp;BG$1&amp;"|Input"),IF(COUNTIF(Flows!$M$2:$M$1500,$A84&amp;"|"&amp;BG$1&amp;"|Output"),"I/O","IN"),IF(COUNTIF(Flows!$M$2:$M$1500,$A84&amp;"|"&amp;BG$1&amp;"|Output"),"OUT",""))</f>
        <v/>
      </c>
      <c r="BH84" s="33" t="str">
        <f aca="false">IF(COUNTIF(Flows!$M$2:$M$1500,$A84&amp;"|"&amp;BH$1&amp;"|Input"),IF(COUNTIF(Flows!$M$2:$M$1500,$A84&amp;"|"&amp;BH$1&amp;"|Output"),"I/O","IN"),IF(COUNTIF(Flows!$M$2:$M$1500,$A84&amp;"|"&amp;BH$1&amp;"|Output"),"OUT",""))</f>
        <v/>
      </c>
      <c r="BI84" s="33" t="str">
        <f aca="false">IF(COUNTIF(Flows!$M$2:$M$1500,$A84&amp;"|"&amp;BI$1&amp;"|Input"),IF(COUNTIF(Flows!$M$2:$M$1500,$A84&amp;"|"&amp;BI$1&amp;"|Output"),"I/O","IN"),IF(COUNTIF(Flows!$M$2:$M$1500,$A84&amp;"|"&amp;BI$1&amp;"|Output"),"OUT",""))</f>
        <v/>
      </c>
      <c r="BJ84" s="33" t="str">
        <f aca="false">IF(COUNTIF(Flows!$M$2:$M$1500,$A84&amp;"|"&amp;BJ$1&amp;"|Input"),IF(COUNTIF(Flows!$M$2:$M$1500,$A84&amp;"|"&amp;BJ$1&amp;"|Output"),"I/O","IN"),IF(COUNTIF(Flows!$M$2:$M$1500,$A84&amp;"|"&amp;BJ$1&amp;"|Output"),"OUT",""))</f>
        <v/>
      </c>
      <c r="BK84" s="33" t="str">
        <f aca="false">IF(COUNTIF(Flows!$M$2:$M$1500,$A84&amp;"|"&amp;BK$1&amp;"|Input"),IF(COUNTIF(Flows!$M$2:$M$1500,$A84&amp;"|"&amp;BK$1&amp;"|Output"),"I/O","IN"),IF(COUNTIF(Flows!$M$2:$M$1500,$A84&amp;"|"&amp;BK$1&amp;"|Output"),"OUT",""))</f>
        <v/>
      </c>
    </row>
    <row r="85" customFormat="false" ht="15" hidden="false" customHeight="true" outlineLevel="0" collapsed="false">
      <c r="A85" s="6" t="str">
        <f aca="false">Systems!B85</f>
        <v>Log Cabin Kit</v>
      </c>
      <c r="B85" s="33" t="str">
        <f aca="false">IF(COUNTIF(Flows!$M$2:$M$1500,$A85&amp;"|"&amp;B$1&amp;"|Input"),IF(COUNTIF(Flows!$M$2:$M$1500,$A85&amp;"|"&amp;B$1&amp;"|Output"),"I/O","IN"),IF(COUNTIF(Flows!$M$2:$M$1500,$A85&amp;"|"&amp;B$1&amp;"|Output"),"OUT",""))</f>
        <v/>
      </c>
      <c r="C85" s="33" t="str">
        <f aca="false">IF(COUNTIF(Flows!$M$2:$M$1500,$A85&amp;"|"&amp;C$1&amp;"|Input"),IF(COUNTIF(Flows!$M$2:$M$1500,$A85&amp;"|"&amp;C$1&amp;"|Output"),"I/O","IN"),IF(COUNTIF(Flows!$M$2:$M$1500,$A85&amp;"|"&amp;C$1&amp;"|Output"),"OUT",""))</f>
        <v/>
      </c>
      <c r="D85" s="33" t="str">
        <f aca="false">IF(COUNTIF(Flows!$M$2:$M$1500,$A85&amp;"|"&amp;D$1&amp;"|Input"),IF(COUNTIF(Flows!$M$2:$M$1500,$A85&amp;"|"&amp;D$1&amp;"|Output"),"I/O","IN"),IF(COUNTIF(Flows!$M$2:$M$1500,$A85&amp;"|"&amp;D$1&amp;"|Output"),"OUT",""))</f>
        <v/>
      </c>
      <c r="E85" s="33" t="str">
        <f aca="false">IF(COUNTIF(Flows!$M$2:$M$1500,$A85&amp;"|"&amp;E$1&amp;"|Input"),IF(COUNTIF(Flows!$M$2:$M$1500,$A85&amp;"|"&amp;E$1&amp;"|Output"),"I/O","IN"),IF(COUNTIF(Flows!$M$2:$M$1500,$A85&amp;"|"&amp;E$1&amp;"|Output"),"OUT",""))</f>
        <v/>
      </c>
      <c r="F85" s="33" t="str">
        <f aca="false">IF(COUNTIF(Flows!$M$2:$M$1500,$A85&amp;"|"&amp;F$1&amp;"|Input"),IF(COUNTIF(Flows!$M$2:$M$1500,$A85&amp;"|"&amp;F$1&amp;"|Output"),"I/O","IN"),IF(COUNTIF(Flows!$M$2:$M$1500,$A85&amp;"|"&amp;F$1&amp;"|Output"),"OUT",""))</f>
        <v/>
      </c>
      <c r="G85" s="33" t="str">
        <f aca="false">IF(COUNTIF(Flows!$M$2:$M$1500,$A85&amp;"|"&amp;G$1&amp;"|Input"),IF(COUNTIF(Flows!$M$2:$M$1500,$A85&amp;"|"&amp;G$1&amp;"|Output"),"I/O","IN"),IF(COUNTIF(Flows!$M$2:$M$1500,$A85&amp;"|"&amp;G$1&amp;"|Output"),"OUT",""))</f>
        <v/>
      </c>
      <c r="H85" s="33" t="str">
        <f aca="false">IF(COUNTIF(Flows!$M$2:$M$1500,$A85&amp;"|"&amp;H$1&amp;"|Input"),IF(COUNTIF(Flows!$M$2:$M$1500,$A85&amp;"|"&amp;H$1&amp;"|Output"),"I/O","IN"),IF(COUNTIF(Flows!$M$2:$M$1500,$A85&amp;"|"&amp;H$1&amp;"|Output"),"OUT",""))</f>
        <v/>
      </c>
      <c r="I85" s="33" t="str">
        <f aca="false">IF(COUNTIF(Flows!$M$2:$M$1500,$A85&amp;"|"&amp;I$1&amp;"|Input"),IF(COUNTIF(Flows!$M$2:$M$1500,$A85&amp;"|"&amp;I$1&amp;"|Output"),"I/O","IN"),IF(COUNTIF(Flows!$M$2:$M$1500,$A85&amp;"|"&amp;I$1&amp;"|Output"),"OUT",""))</f>
        <v/>
      </c>
      <c r="J85" s="33" t="str">
        <f aca="false">IF(COUNTIF(Flows!$M$2:$M$1500,$A85&amp;"|"&amp;J$1&amp;"|Input"),IF(COUNTIF(Flows!$M$2:$M$1500,$A85&amp;"|"&amp;J$1&amp;"|Output"),"I/O","IN"),IF(COUNTIF(Flows!$M$2:$M$1500,$A85&amp;"|"&amp;J$1&amp;"|Output"),"OUT",""))</f>
        <v/>
      </c>
      <c r="K85" s="33" t="str">
        <f aca="false">IF(COUNTIF(Flows!$M$2:$M$1500,$A85&amp;"|"&amp;K$1&amp;"|Input"),IF(COUNTIF(Flows!$M$2:$M$1500,$A85&amp;"|"&amp;K$1&amp;"|Output"),"I/O","IN"),IF(COUNTIF(Flows!$M$2:$M$1500,$A85&amp;"|"&amp;K$1&amp;"|Output"),"OUT",""))</f>
        <v/>
      </c>
      <c r="L85" s="33" t="str">
        <f aca="false">IF(COUNTIF(Flows!$M$2:$M$1500,$A85&amp;"|"&amp;L$1&amp;"|Input"),IF(COUNTIF(Flows!$M$2:$M$1500,$A85&amp;"|"&amp;L$1&amp;"|Output"),"I/O","IN"),IF(COUNTIF(Flows!$M$2:$M$1500,$A85&amp;"|"&amp;L$1&amp;"|Output"),"OUT",""))</f>
        <v/>
      </c>
      <c r="M85" s="33" t="str">
        <f aca="false">IF(COUNTIF(Flows!$M$2:$M$1500,$A85&amp;"|"&amp;M$1&amp;"|Input"),IF(COUNTIF(Flows!$M$2:$M$1500,$A85&amp;"|"&amp;M$1&amp;"|Output"),"I/O","IN"),IF(COUNTIF(Flows!$M$2:$M$1500,$A85&amp;"|"&amp;M$1&amp;"|Output"),"OUT",""))</f>
        <v/>
      </c>
      <c r="N85" s="33" t="str">
        <f aca="false">IF(COUNTIF(Flows!$M$2:$M$1500,$A85&amp;"|"&amp;N$1&amp;"|Input"),IF(COUNTIF(Flows!$M$2:$M$1500,$A85&amp;"|"&amp;N$1&amp;"|Output"),"I/O","IN"),IF(COUNTIF(Flows!$M$2:$M$1500,$A85&amp;"|"&amp;N$1&amp;"|Output"),"OUT",""))</f>
        <v/>
      </c>
      <c r="O85" s="33" t="str">
        <f aca="false">IF(COUNTIF(Flows!$M$2:$M$1500,$A85&amp;"|"&amp;O$1&amp;"|Input"),IF(COUNTIF(Flows!$M$2:$M$1500,$A85&amp;"|"&amp;O$1&amp;"|Output"),"I/O","IN"),IF(COUNTIF(Flows!$M$2:$M$1500,$A85&amp;"|"&amp;O$1&amp;"|Output"),"OUT",""))</f>
        <v/>
      </c>
      <c r="P85" s="33" t="str">
        <f aca="false">IF(COUNTIF(Flows!$M$2:$M$1500,$A85&amp;"|"&amp;P$1&amp;"|Input"),IF(COUNTIF(Flows!$M$2:$M$1500,$A85&amp;"|"&amp;P$1&amp;"|Output"),"I/O","IN"),IF(COUNTIF(Flows!$M$2:$M$1500,$A85&amp;"|"&amp;P$1&amp;"|Output"),"OUT",""))</f>
        <v/>
      </c>
      <c r="Q85" s="33" t="str">
        <f aca="false">IF(COUNTIF(Flows!$M$2:$M$1500,$A85&amp;"|"&amp;Q$1&amp;"|Input"),IF(COUNTIF(Flows!$M$2:$M$1500,$A85&amp;"|"&amp;Q$1&amp;"|Output"),"I/O","IN"),IF(COUNTIF(Flows!$M$2:$M$1500,$A85&amp;"|"&amp;Q$1&amp;"|Output"),"OUT",""))</f>
        <v>OUT</v>
      </c>
      <c r="R85" s="33" t="str">
        <f aca="false">IF(COUNTIF(Flows!$M$2:$M$1500,$A85&amp;"|"&amp;R$1&amp;"|Input"),IF(COUNTIF(Flows!$M$2:$M$1500,$A85&amp;"|"&amp;R$1&amp;"|Output"),"I/O","IN"),IF(COUNTIF(Flows!$M$2:$M$1500,$A85&amp;"|"&amp;R$1&amp;"|Output"),"OUT",""))</f>
        <v/>
      </c>
      <c r="S85" s="33" t="str">
        <f aca="false">IF(COUNTIF(Flows!$M$2:$M$1500,$A85&amp;"|"&amp;S$1&amp;"|Input"),IF(COUNTIF(Flows!$M$2:$M$1500,$A85&amp;"|"&amp;S$1&amp;"|Output"),"I/O","IN"),IF(COUNTIF(Flows!$M$2:$M$1500,$A85&amp;"|"&amp;S$1&amp;"|Output"),"OUT",""))</f>
        <v/>
      </c>
      <c r="T85" s="33" t="str">
        <f aca="false">IF(COUNTIF(Flows!$M$2:$M$1500,$A85&amp;"|"&amp;T$1&amp;"|Input"),IF(COUNTIF(Flows!$M$2:$M$1500,$A85&amp;"|"&amp;T$1&amp;"|Output"),"I/O","IN"),IF(COUNTIF(Flows!$M$2:$M$1500,$A85&amp;"|"&amp;T$1&amp;"|Output"),"OUT",""))</f>
        <v/>
      </c>
      <c r="U85" s="33" t="str">
        <f aca="false">IF(COUNTIF(Flows!$M$2:$M$1500,$A85&amp;"|"&amp;U$1&amp;"|Input"),IF(COUNTIF(Flows!$M$2:$M$1500,$A85&amp;"|"&amp;U$1&amp;"|Output"),"I/O","IN"),IF(COUNTIF(Flows!$M$2:$M$1500,$A85&amp;"|"&amp;U$1&amp;"|Output"),"OUT",""))</f>
        <v/>
      </c>
      <c r="V85" s="33" t="str">
        <f aca="false">IF(COUNTIF(Flows!$M$2:$M$1500,$A85&amp;"|"&amp;V$1&amp;"|Input"),IF(COUNTIF(Flows!$M$2:$M$1500,$A85&amp;"|"&amp;V$1&amp;"|Output"),"I/O","IN"),IF(COUNTIF(Flows!$M$2:$M$1500,$A85&amp;"|"&amp;V$1&amp;"|Output"),"OUT",""))</f>
        <v>IN</v>
      </c>
      <c r="W85" s="33" t="str">
        <f aca="false">IF(COUNTIF(Flows!$M$2:$M$1500,$A85&amp;"|"&amp;W$1&amp;"|Input"),IF(COUNTIF(Flows!$M$2:$M$1500,$A85&amp;"|"&amp;W$1&amp;"|Output"),"I/O","IN"),IF(COUNTIF(Flows!$M$2:$M$1500,$A85&amp;"|"&amp;W$1&amp;"|Output"),"OUT",""))</f>
        <v>IN</v>
      </c>
      <c r="X85" s="33" t="str">
        <f aca="false">IF(COUNTIF(Flows!$M$2:$M$1500,$A85&amp;"|"&amp;X$1&amp;"|Input"),IF(COUNTIF(Flows!$M$2:$M$1500,$A85&amp;"|"&amp;X$1&amp;"|Output"),"I/O","IN"),IF(COUNTIF(Flows!$M$2:$M$1500,$A85&amp;"|"&amp;X$1&amp;"|Output"),"OUT",""))</f>
        <v>IN</v>
      </c>
      <c r="Y85" s="33" t="str">
        <f aca="false">IF(COUNTIF(Flows!$M$2:$M$1500,$A85&amp;"|"&amp;Y$1&amp;"|Input"),IF(COUNTIF(Flows!$M$2:$M$1500,$A85&amp;"|"&amp;Y$1&amp;"|Output"),"I/O","IN"),IF(COUNTIF(Flows!$M$2:$M$1500,$A85&amp;"|"&amp;Y$1&amp;"|Output"),"OUT",""))</f>
        <v/>
      </c>
      <c r="Z85" s="33" t="str">
        <f aca="false">IF(COUNTIF(Flows!$M$2:$M$1500,$A85&amp;"|"&amp;Z$1&amp;"|Input"),IF(COUNTIF(Flows!$M$2:$M$1500,$A85&amp;"|"&amp;Z$1&amp;"|Output"),"I/O","IN"),IF(COUNTIF(Flows!$M$2:$M$1500,$A85&amp;"|"&amp;Z$1&amp;"|Output"),"OUT",""))</f>
        <v/>
      </c>
      <c r="AA85" s="33" t="str">
        <f aca="false">IF(COUNTIF(Flows!$M$2:$M$1500,$A85&amp;"|"&amp;AA$1&amp;"|Input"),IF(COUNTIF(Flows!$M$2:$M$1500,$A85&amp;"|"&amp;AA$1&amp;"|Output"),"I/O","IN"),IF(COUNTIF(Flows!$M$2:$M$1500,$A85&amp;"|"&amp;AA$1&amp;"|Output"),"OUT",""))</f>
        <v/>
      </c>
      <c r="AB85" s="33" t="str">
        <f aca="false">IF(COUNTIF(Flows!$M$2:$M$1500,$A85&amp;"|"&amp;AB$1&amp;"|Input"),IF(COUNTIF(Flows!$M$2:$M$1500,$A85&amp;"|"&amp;AB$1&amp;"|Output"),"I/O","IN"),IF(COUNTIF(Flows!$M$2:$M$1500,$A85&amp;"|"&amp;AB$1&amp;"|Output"),"OUT",""))</f>
        <v/>
      </c>
      <c r="AC85" s="33" t="str">
        <f aca="false">IF(COUNTIF(Flows!$M$2:$M$1500,$A85&amp;"|"&amp;AC$1&amp;"|Input"),IF(COUNTIF(Flows!$M$2:$M$1500,$A85&amp;"|"&amp;AC$1&amp;"|Output"),"I/O","IN"),IF(COUNTIF(Flows!$M$2:$M$1500,$A85&amp;"|"&amp;AC$1&amp;"|Output"),"OUT",""))</f>
        <v/>
      </c>
      <c r="AD85" s="33" t="str">
        <f aca="false">IF(COUNTIF(Flows!$M$2:$M$1500,$A85&amp;"|"&amp;AD$1&amp;"|Input"),IF(COUNTIF(Flows!$M$2:$M$1500,$A85&amp;"|"&amp;AD$1&amp;"|Output"),"I/O","IN"),IF(COUNTIF(Flows!$M$2:$M$1500,$A85&amp;"|"&amp;AD$1&amp;"|Output"),"OUT",""))</f>
        <v>OUT</v>
      </c>
      <c r="AE85" s="33" t="str">
        <f aca="false">IF(COUNTIF(Flows!$M$2:$M$1500,$A85&amp;"|"&amp;AE$1&amp;"|Input"),IF(COUNTIF(Flows!$M$2:$M$1500,$A85&amp;"|"&amp;AE$1&amp;"|Output"),"I/O","IN"),IF(COUNTIF(Flows!$M$2:$M$1500,$A85&amp;"|"&amp;AE$1&amp;"|Output"),"OUT",""))</f>
        <v/>
      </c>
      <c r="AF85" s="33" t="str">
        <f aca="false">IF(COUNTIF(Flows!$M$2:$M$1500,$A85&amp;"|"&amp;AF$1&amp;"|Input"),IF(COUNTIF(Flows!$M$2:$M$1500,$A85&amp;"|"&amp;AF$1&amp;"|Output"),"I/O","IN"),IF(COUNTIF(Flows!$M$2:$M$1500,$A85&amp;"|"&amp;AF$1&amp;"|Output"),"OUT",""))</f>
        <v/>
      </c>
      <c r="AG85" s="33" t="str">
        <f aca="false">IF(COUNTIF(Flows!$M$2:$M$1500,$A85&amp;"|"&amp;AG$1&amp;"|Input"),IF(COUNTIF(Flows!$M$2:$M$1500,$A85&amp;"|"&amp;AG$1&amp;"|Output"),"I/O","IN"),IF(COUNTIF(Flows!$M$2:$M$1500,$A85&amp;"|"&amp;AG$1&amp;"|Output"),"OUT",""))</f>
        <v/>
      </c>
      <c r="AH85" s="33" t="str">
        <f aca="false">IF(COUNTIF(Flows!$M$2:$M$1500,$A85&amp;"|"&amp;AH$1&amp;"|Input"),IF(COUNTIF(Flows!$M$2:$M$1500,$A85&amp;"|"&amp;AH$1&amp;"|Output"),"I/O","IN"),IF(COUNTIF(Flows!$M$2:$M$1500,$A85&amp;"|"&amp;AH$1&amp;"|Output"),"OUT",""))</f>
        <v/>
      </c>
      <c r="AI85" s="33" t="str">
        <f aca="false">IF(COUNTIF(Flows!$M$2:$M$1500,$A85&amp;"|"&amp;AI$1&amp;"|Input"),IF(COUNTIF(Flows!$M$2:$M$1500,$A85&amp;"|"&amp;AI$1&amp;"|Output"),"I/O","IN"),IF(COUNTIF(Flows!$M$2:$M$1500,$A85&amp;"|"&amp;AI$1&amp;"|Output"),"OUT",""))</f>
        <v/>
      </c>
      <c r="AJ85" s="33" t="str">
        <f aca="false">IF(COUNTIF(Flows!$M$2:$M$1500,$A85&amp;"|"&amp;AJ$1&amp;"|Input"),IF(COUNTIF(Flows!$M$2:$M$1500,$A85&amp;"|"&amp;AJ$1&amp;"|Output"),"I/O","IN"),IF(COUNTIF(Flows!$M$2:$M$1500,$A85&amp;"|"&amp;AJ$1&amp;"|Output"),"OUT",""))</f>
        <v/>
      </c>
      <c r="AK85" s="33" t="str">
        <f aca="false">IF(COUNTIF(Flows!$M$2:$M$1500,$A85&amp;"|"&amp;AK$1&amp;"|Input"),IF(COUNTIF(Flows!$M$2:$M$1500,$A85&amp;"|"&amp;AK$1&amp;"|Output"),"I/O","IN"),IF(COUNTIF(Flows!$M$2:$M$1500,$A85&amp;"|"&amp;AK$1&amp;"|Output"),"OUT",""))</f>
        <v/>
      </c>
      <c r="AL85" s="33" t="str">
        <f aca="false">IF(COUNTIF(Flows!$M$2:$M$1500,$A85&amp;"|"&amp;AL$1&amp;"|Input"),IF(COUNTIF(Flows!$M$2:$M$1500,$A85&amp;"|"&amp;AL$1&amp;"|Output"),"I/O","IN"),IF(COUNTIF(Flows!$M$2:$M$1500,$A85&amp;"|"&amp;AL$1&amp;"|Output"),"OUT",""))</f>
        <v/>
      </c>
      <c r="AM85" s="33" t="str">
        <f aca="false">IF(COUNTIF(Flows!$M$2:$M$1500,$A85&amp;"|"&amp;AM$1&amp;"|Input"),IF(COUNTIF(Flows!$M$2:$M$1500,$A85&amp;"|"&amp;AM$1&amp;"|Output"),"I/O","IN"),IF(COUNTIF(Flows!$M$2:$M$1500,$A85&amp;"|"&amp;AM$1&amp;"|Output"),"OUT",""))</f>
        <v/>
      </c>
      <c r="AN85" s="33" t="str">
        <f aca="false">IF(COUNTIF(Flows!$M$2:$M$1500,$A85&amp;"|"&amp;AN$1&amp;"|Input"),IF(COUNTIF(Flows!$M$2:$M$1500,$A85&amp;"|"&amp;AN$1&amp;"|Output"),"I/O","IN"),IF(COUNTIF(Flows!$M$2:$M$1500,$A85&amp;"|"&amp;AN$1&amp;"|Output"),"OUT",""))</f>
        <v/>
      </c>
      <c r="AO85" s="33" t="str">
        <f aca="false">IF(COUNTIF(Flows!$M$2:$M$1500,$A85&amp;"|"&amp;AO$1&amp;"|Input"),IF(COUNTIF(Flows!$M$2:$M$1500,$A85&amp;"|"&amp;AO$1&amp;"|Output"),"I/O","IN"),IF(COUNTIF(Flows!$M$2:$M$1500,$A85&amp;"|"&amp;AO$1&amp;"|Output"),"OUT",""))</f>
        <v/>
      </c>
      <c r="AP85" s="33" t="str">
        <f aca="false">IF(COUNTIF(Flows!$M$2:$M$1500,$A85&amp;"|"&amp;AP$1&amp;"|Input"),IF(COUNTIF(Flows!$M$2:$M$1500,$A85&amp;"|"&amp;AP$1&amp;"|Output"),"I/O","IN"),IF(COUNTIF(Flows!$M$2:$M$1500,$A85&amp;"|"&amp;AP$1&amp;"|Output"),"OUT",""))</f>
        <v/>
      </c>
      <c r="AQ85" s="33" t="str">
        <f aca="false">IF(COUNTIF(Flows!$M$2:$M$1500,$A85&amp;"|"&amp;AQ$1&amp;"|Input"),IF(COUNTIF(Flows!$M$2:$M$1500,$A85&amp;"|"&amp;AQ$1&amp;"|Output"),"I/O","IN"),IF(COUNTIF(Flows!$M$2:$M$1500,$A85&amp;"|"&amp;AQ$1&amp;"|Output"),"OUT",""))</f>
        <v/>
      </c>
      <c r="AR85" s="33" t="str">
        <f aca="false">IF(COUNTIF(Flows!$M$2:$M$1500,$A85&amp;"|"&amp;AR$1&amp;"|Input"),IF(COUNTIF(Flows!$M$2:$M$1500,$A85&amp;"|"&amp;AR$1&amp;"|Output"),"I/O","IN"),IF(COUNTIF(Flows!$M$2:$M$1500,$A85&amp;"|"&amp;AR$1&amp;"|Output"),"OUT",""))</f>
        <v/>
      </c>
      <c r="AS85" s="33" t="str">
        <f aca="false">IF(COUNTIF(Flows!$M$2:$M$1500,$A85&amp;"|"&amp;AS$1&amp;"|Input"),IF(COUNTIF(Flows!$M$2:$M$1500,$A85&amp;"|"&amp;AS$1&amp;"|Output"),"I/O","IN"),IF(COUNTIF(Flows!$M$2:$M$1500,$A85&amp;"|"&amp;AS$1&amp;"|Output"),"OUT",""))</f>
        <v/>
      </c>
      <c r="AT85" s="33" t="str">
        <f aca="false">IF(COUNTIF(Flows!$M$2:$M$1500,$A85&amp;"|"&amp;AT$1&amp;"|Input"),IF(COUNTIF(Flows!$M$2:$M$1500,$A85&amp;"|"&amp;AT$1&amp;"|Output"),"I/O","IN"),IF(COUNTIF(Flows!$M$2:$M$1500,$A85&amp;"|"&amp;AT$1&amp;"|Output"),"OUT",""))</f>
        <v/>
      </c>
      <c r="AU85" s="33" t="str">
        <f aca="false">IF(COUNTIF(Flows!$M$2:$M$1500,$A85&amp;"|"&amp;AU$1&amp;"|Input"),IF(COUNTIF(Flows!$M$2:$M$1500,$A85&amp;"|"&amp;AU$1&amp;"|Output"),"I/O","IN"),IF(COUNTIF(Flows!$M$2:$M$1500,$A85&amp;"|"&amp;AU$1&amp;"|Output"),"OUT",""))</f>
        <v/>
      </c>
      <c r="AV85" s="33" t="str">
        <f aca="false">IF(COUNTIF(Flows!$M$2:$M$1500,$A85&amp;"|"&amp;AV$1&amp;"|Input"),IF(COUNTIF(Flows!$M$2:$M$1500,$A85&amp;"|"&amp;AV$1&amp;"|Output"),"I/O","IN"),IF(COUNTIF(Flows!$M$2:$M$1500,$A85&amp;"|"&amp;AV$1&amp;"|Output"),"OUT",""))</f>
        <v/>
      </c>
      <c r="AW85" s="33" t="str">
        <f aca="false">IF(COUNTIF(Flows!$M$2:$M$1500,$A85&amp;"|"&amp;AW$1&amp;"|Input"),IF(COUNTIF(Flows!$M$2:$M$1500,$A85&amp;"|"&amp;AW$1&amp;"|Output"),"I/O","IN"),IF(COUNTIF(Flows!$M$2:$M$1500,$A85&amp;"|"&amp;AW$1&amp;"|Output"),"OUT",""))</f>
        <v/>
      </c>
      <c r="AX85" s="33" t="str">
        <f aca="false">IF(COUNTIF(Flows!$M$2:$M$1500,$A85&amp;"|"&amp;AX$1&amp;"|Input"),IF(COUNTIF(Flows!$M$2:$M$1500,$A85&amp;"|"&amp;AX$1&amp;"|Output"),"I/O","IN"),IF(COUNTIF(Flows!$M$2:$M$1500,$A85&amp;"|"&amp;AX$1&amp;"|Output"),"OUT",""))</f>
        <v/>
      </c>
      <c r="AY85" s="33" t="str">
        <f aca="false">IF(COUNTIF(Flows!$M$2:$M$1500,$A85&amp;"|"&amp;AY$1&amp;"|Input"),IF(COUNTIF(Flows!$M$2:$M$1500,$A85&amp;"|"&amp;AY$1&amp;"|Output"),"I/O","IN"),IF(COUNTIF(Flows!$M$2:$M$1500,$A85&amp;"|"&amp;AY$1&amp;"|Output"),"OUT",""))</f>
        <v/>
      </c>
      <c r="AZ85" s="33" t="str">
        <f aca="false">IF(COUNTIF(Flows!$M$2:$M$1500,$A85&amp;"|"&amp;AZ$1&amp;"|Input"),IF(COUNTIF(Flows!$M$2:$M$1500,$A85&amp;"|"&amp;AZ$1&amp;"|Output"),"I/O","IN"),IF(COUNTIF(Flows!$M$2:$M$1500,$A85&amp;"|"&amp;AZ$1&amp;"|Output"),"OUT",""))</f>
        <v/>
      </c>
      <c r="BA85" s="33" t="str">
        <f aca="false">IF(COUNTIF(Flows!$M$2:$M$1500,$A85&amp;"|"&amp;BA$1&amp;"|Input"),IF(COUNTIF(Flows!$M$2:$M$1500,$A85&amp;"|"&amp;BA$1&amp;"|Output"),"I/O","IN"),IF(COUNTIF(Flows!$M$2:$M$1500,$A85&amp;"|"&amp;BA$1&amp;"|Output"),"OUT",""))</f>
        <v/>
      </c>
      <c r="BB85" s="33" t="str">
        <f aca="false">IF(COUNTIF(Flows!$M$2:$M$1500,$A85&amp;"|"&amp;BB$1&amp;"|Input"),IF(COUNTIF(Flows!$M$2:$M$1500,$A85&amp;"|"&amp;BB$1&amp;"|Output"),"I/O","IN"),IF(COUNTIF(Flows!$M$2:$M$1500,$A85&amp;"|"&amp;BB$1&amp;"|Output"),"OUT",""))</f>
        <v/>
      </c>
      <c r="BC85" s="33" t="str">
        <f aca="false">IF(COUNTIF(Flows!$M$2:$M$1500,$A85&amp;"|"&amp;BC$1&amp;"|Input"),IF(COUNTIF(Flows!$M$2:$M$1500,$A85&amp;"|"&amp;BC$1&amp;"|Output"),"I/O","IN"),IF(COUNTIF(Flows!$M$2:$M$1500,$A85&amp;"|"&amp;BC$1&amp;"|Output"),"OUT",""))</f>
        <v/>
      </c>
      <c r="BD85" s="33" t="str">
        <f aca="false">IF(COUNTIF(Flows!$M$2:$M$1500,$A85&amp;"|"&amp;BD$1&amp;"|Input"),IF(COUNTIF(Flows!$M$2:$M$1500,$A85&amp;"|"&amp;BD$1&amp;"|Output"),"I/O","IN"),IF(COUNTIF(Flows!$M$2:$M$1500,$A85&amp;"|"&amp;BD$1&amp;"|Output"),"OUT",""))</f>
        <v/>
      </c>
      <c r="BE85" s="33" t="str">
        <f aca="false">IF(COUNTIF(Flows!$M$2:$M$1500,$A85&amp;"|"&amp;BE$1&amp;"|Input"),IF(COUNTIF(Flows!$M$2:$M$1500,$A85&amp;"|"&amp;BE$1&amp;"|Output"),"I/O","IN"),IF(COUNTIF(Flows!$M$2:$M$1500,$A85&amp;"|"&amp;BE$1&amp;"|Output"),"OUT",""))</f>
        <v/>
      </c>
      <c r="BF85" s="33" t="str">
        <f aca="false">IF(COUNTIF(Flows!$M$2:$M$1500,$A85&amp;"|"&amp;BF$1&amp;"|Input"),IF(COUNTIF(Flows!$M$2:$M$1500,$A85&amp;"|"&amp;BF$1&amp;"|Output"),"I/O","IN"),IF(COUNTIF(Flows!$M$2:$M$1500,$A85&amp;"|"&amp;BF$1&amp;"|Output"),"OUT",""))</f>
        <v/>
      </c>
      <c r="BG85" s="33" t="str">
        <f aca="false">IF(COUNTIF(Flows!$M$2:$M$1500,$A85&amp;"|"&amp;BG$1&amp;"|Input"),IF(COUNTIF(Flows!$M$2:$M$1500,$A85&amp;"|"&amp;BG$1&amp;"|Output"),"I/O","IN"),IF(COUNTIF(Flows!$M$2:$M$1500,$A85&amp;"|"&amp;BG$1&amp;"|Output"),"OUT",""))</f>
        <v/>
      </c>
      <c r="BH85" s="33" t="str">
        <f aca="false">IF(COUNTIF(Flows!$M$2:$M$1500,$A85&amp;"|"&amp;BH$1&amp;"|Input"),IF(COUNTIF(Flows!$M$2:$M$1500,$A85&amp;"|"&amp;BH$1&amp;"|Output"),"I/O","IN"),IF(COUNTIF(Flows!$M$2:$M$1500,$A85&amp;"|"&amp;BH$1&amp;"|Output"),"OUT",""))</f>
        <v/>
      </c>
      <c r="BI85" s="33" t="str">
        <f aca="false">IF(COUNTIF(Flows!$M$2:$M$1500,$A85&amp;"|"&amp;BI$1&amp;"|Input"),IF(COUNTIF(Flows!$M$2:$M$1500,$A85&amp;"|"&amp;BI$1&amp;"|Output"),"I/O","IN"),IF(COUNTIF(Flows!$M$2:$M$1500,$A85&amp;"|"&amp;BI$1&amp;"|Output"),"OUT",""))</f>
        <v/>
      </c>
      <c r="BJ85" s="33" t="str">
        <f aca="false">IF(COUNTIF(Flows!$M$2:$M$1500,$A85&amp;"|"&amp;BJ$1&amp;"|Input"),IF(COUNTIF(Flows!$M$2:$M$1500,$A85&amp;"|"&amp;BJ$1&amp;"|Output"),"I/O","IN"),IF(COUNTIF(Flows!$M$2:$M$1500,$A85&amp;"|"&amp;BJ$1&amp;"|Output"),"OUT",""))</f>
        <v/>
      </c>
      <c r="BK85" s="33" t="str">
        <f aca="false">IF(COUNTIF(Flows!$M$2:$M$1500,$A85&amp;"|"&amp;BK$1&amp;"|Input"),IF(COUNTIF(Flows!$M$2:$M$1500,$A85&amp;"|"&amp;BK$1&amp;"|Output"),"I/O","IN"),IF(COUNTIF(Flows!$M$2:$M$1500,$A85&amp;"|"&amp;BK$1&amp;"|Output"),"OUT",""))</f>
        <v/>
      </c>
    </row>
    <row r="86" customFormat="false" ht="15" hidden="false" customHeight="true" outlineLevel="0" collapsed="false">
      <c r="A86" s="6" t="str">
        <f aca="false">Systems!B86</f>
        <v>Shipping Container Home</v>
      </c>
      <c r="B86" s="33" t="str">
        <f aca="false">IF(COUNTIF(Flows!$M$2:$M$1500,$A86&amp;"|"&amp;B$1&amp;"|Input"),IF(COUNTIF(Flows!$M$2:$M$1500,$A86&amp;"|"&amp;B$1&amp;"|Output"),"I/O","IN"),IF(COUNTIF(Flows!$M$2:$M$1500,$A86&amp;"|"&amp;B$1&amp;"|Output"),"OUT",""))</f>
        <v/>
      </c>
      <c r="C86" s="33" t="str">
        <f aca="false">IF(COUNTIF(Flows!$M$2:$M$1500,$A86&amp;"|"&amp;C$1&amp;"|Input"),IF(COUNTIF(Flows!$M$2:$M$1500,$A86&amp;"|"&amp;C$1&amp;"|Output"),"I/O","IN"),IF(COUNTIF(Flows!$M$2:$M$1500,$A86&amp;"|"&amp;C$1&amp;"|Output"),"OUT",""))</f>
        <v/>
      </c>
      <c r="D86" s="33" t="str">
        <f aca="false">IF(COUNTIF(Flows!$M$2:$M$1500,$A86&amp;"|"&amp;D$1&amp;"|Input"),IF(COUNTIF(Flows!$M$2:$M$1500,$A86&amp;"|"&amp;D$1&amp;"|Output"),"I/O","IN"),IF(COUNTIF(Flows!$M$2:$M$1500,$A86&amp;"|"&amp;D$1&amp;"|Output"),"OUT",""))</f>
        <v/>
      </c>
      <c r="E86" s="33" t="str">
        <f aca="false">IF(COUNTIF(Flows!$M$2:$M$1500,$A86&amp;"|"&amp;E$1&amp;"|Input"),IF(COUNTIF(Flows!$M$2:$M$1500,$A86&amp;"|"&amp;E$1&amp;"|Output"),"I/O","IN"),IF(COUNTIF(Flows!$M$2:$M$1500,$A86&amp;"|"&amp;E$1&amp;"|Output"),"OUT",""))</f>
        <v/>
      </c>
      <c r="F86" s="33" t="str">
        <f aca="false">IF(COUNTIF(Flows!$M$2:$M$1500,$A86&amp;"|"&amp;F$1&amp;"|Input"),IF(COUNTIF(Flows!$M$2:$M$1500,$A86&amp;"|"&amp;F$1&amp;"|Output"),"I/O","IN"),IF(COUNTIF(Flows!$M$2:$M$1500,$A86&amp;"|"&amp;F$1&amp;"|Output"),"OUT",""))</f>
        <v/>
      </c>
      <c r="G86" s="33" t="str">
        <f aca="false">IF(COUNTIF(Flows!$M$2:$M$1500,$A86&amp;"|"&amp;G$1&amp;"|Input"),IF(COUNTIF(Flows!$M$2:$M$1500,$A86&amp;"|"&amp;G$1&amp;"|Output"),"I/O","IN"),IF(COUNTIF(Flows!$M$2:$M$1500,$A86&amp;"|"&amp;G$1&amp;"|Output"),"OUT",""))</f>
        <v/>
      </c>
      <c r="H86" s="33" t="str">
        <f aca="false">IF(COUNTIF(Flows!$M$2:$M$1500,$A86&amp;"|"&amp;H$1&amp;"|Input"),IF(COUNTIF(Flows!$M$2:$M$1500,$A86&amp;"|"&amp;H$1&amp;"|Output"),"I/O","IN"),IF(COUNTIF(Flows!$M$2:$M$1500,$A86&amp;"|"&amp;H$1&amp;"|Output"),"OUT",""))</f>
        <v/>
      </c>
      <c r="I86" s="33" t="str">
        <f aca="false">IF(COUNTIF(Flows!$M$2:$M$1500,$A86&amp;"|"&amp;I$1&amp;"|Input"),IF(COUNTIF(Flows!$M$2:$M$1500,$A86&amp;"|"&amp;I$1&amp;"|Output"),"I/O","IN"),IF(COUNTIF(Flows!$M$2:$M$1500,$A86&amp;"|"&amp;I$1&amp;"|Output"),"OUT",""))</f>
        <v/>
      </c>
      <c r="J86" s="33" t="str">
        <f aca="false">IF(COUNTIF(Flows!$M$2:$M$1500,$A86&amp;"|"&amp;J$1&amp;"|Input"),IF(COUNTIF(Flows!$M$2:$M$1500,$A86&amp;"|"&amp;J$1&amp;"|Output"),"I/O","IN"),IF(COUNTIF(Flows!$M$2:$M$1500,$A86&amp;"|"&amp;J$1&amp;"|Output"),"OUT",""))</f>
        <v/>
      </c>
      <c r="K86" s="33" t="str">
        <f aca="false">IF(COUNTIF(Flows!$M$2:$M$1500,$A86&amp;"|"&amp;K$1&amp;"|Input"),IF(COUNTIF(Flows!$M$2:$M$1500,$A86&amp;"|"&amp;K$1&amp;"|Output"),"I/O","IN"),IF(COUNTIF(Flows!$M$2:$M$1500,$A86&amp;"|"&amp;K$1&amp;"|Output"),"OUT",""))</f>
        <v/>
      </c>
      <c r="L86" s="33" t="str">
        <f aca="false">IF(COUNTIF(Flows!$M$2:$M$1500,$A86&amp;"|"&amp;L$1&amp;"|Input"),IF(COUNTIF(Flows!$M$2:$M$1500,$A86&amp;"|"&amp;L$1&amp;"|Output"),"I/O","IN"),IF(COUNTIF(Flows!$M$2:$M$1500,$A86&amp;"|"&amp;L$1&amp;"|Output"),"OUT",""))</f>
        <v/>
      </c>
      <c r="M86" s="33" t="str">
        <f aca="false">IF(COUNTIF(Flows!$M$2:$M$1500,$A86&amp;"|"&amp;M$1&amp;"|Input"),IF(COUNTIF(Flows!$M$2:$M$1500,$A86&amp;"|"&amp;M$1&amp;"|Output"),"I/O","IN"),IF(COUNTIF(Flows!$M$2:$M$1500,$A86&amp;"|"&amp;M$1&amp;"|Output"),"OUT",""))</f>
        <v/>
      </c>
      <c r="N86" s="33" t="str">
        <f aca="false">IF(COUNTIF(Flows!$M$2:$M$1500,$A86&amp;"|"&amp;N$1&amp;"|Input"),IF(COUNTIF(Flows!$M$2:$M$1500,$A86&amp;"|"&amp;N$1&amp;"|Output"),"I/O","IN"),IF(COUNTIF(Flows!$M$2:$M$1500,$A86&amp;"|"&amp;N$1&amp;"|Output"),"OUT",""))</f>
        <v/>
      </c>
      <c r="O86" s="33" t="str">
        <f aca="false">IF(COUNTIF(Flows!$M$2:$M$1500,$A86&amp;"|"&amp;O$1&amp;"|Input"),IF(COUNTIF(Flows!$M$2:$M$1500,$A86&amp;"|"&amp;O$1&amp;"|Output"),"I/O","IN"),IF(COUNTIF(Flows!$M$2:$M$1500,$A86&amp;"|"&amp;O$1&amp;"|Output"),"OUT",""))</f>
        <v/>
      </c>
      <c r="P86" s="33" t="str">
        <f aca="false">IF(COUNTIF(Flows!$M$2:$M$1500,$A86&amp;"|"&amp;P$1&amp;"|Input"),IF(COUNTIF(Flows!$M$2:$M$1500,$A86&amp;"|"&amp;P$1&amp;"|Output"),"I/O","IN"),IF(COUNTIF(Flows!$M$2:$M$1500,$A86&amp;"|"&amp;P$1&amp;"|Output"),"OUT",""))</f>
        <v/>
      </c>
      <c r="Q86" s="33" t="str">
        <f aca="false">IF(COUNTIF(Flows!$M$2:$M$1500,$A86&amp;"|"&amp;Q$1&amp;"|Input"),IF(COUNTIF(Flows!$M$2:$M$1500,$A86&amp;"|"&amp;Q$1&amp;"|Output"),"I/O","IN"),IF(COUNTIF(Flows!$M$2:$M$1500,$A86&amp;"|"&amp;Q$1&amp;"|Output"),"OUT",""))</f>
        <v>OUT</v>
      </c>
      <c r="R86" s="33" t="str">
        <f aca="false">IF(COUNTIF(Flows!$M$2:$M$1500,$A86&amp;"|"&amp;R$1&amp;"|Input"),IF(COUNTIF(Flows!$M$2:$M$1500,$A86&amp;"|"&amp;R$1&amp;"|Output"),"I/O","IN"),IF(COUNTIF(Flows!$M$2:$M$1500,$A86&amp;"|"&amp;R$1&amp;"|Output"),"OUT",""))</f>
        <v/>
      </c>
      <c r="S86" s="33" t="str">
        <f aca="false">IF(COUNTIF(Flows!$M$2:$M$1500,$A86&amp;"|"&amp;S$1&amp;"|Input"),IF(COUNTIF(Flows!$M$2:$M$1500,$A86&amp;"|"&amp;S$1&amp;"|Output"),"I/O","IN"),IF(COUNTIF(Flows!$M$2:$M$1500,$A86&amp;"|"&amp;S$1&amp;"|Output"),"OUT",""))</f>
        <v/>
      </c>
      <c r="T86" s="33" t="str">
        <f aca="false">IF(COUNTIF(Flows!$M$2:$M$1500,$A86&amp;"|"&amp;T$1&amp;"|Input"),IF(COUNTIF(Flows!$M$2:$M$1500,$A86&amp;"|"&amp;T$1&amp;"|Output"),"I/O","IN"),IF(COUNTIF(Flows!$M$2:$M$1500,$A86&amp;"|"&amp;T$1&amp;"|Output"),"OUT",""))</f>
        <v/>
      </c>
      <c r="U86" s="33" t="str">
        <f aca="false">IF(COUNTIF(Flows!$M$2:$M$1500,$A86&amp;"|"&amp;U$1&amp;"|Input"),IF(COUNTIF(Flows!$M$2:$M$1500,$A86&amp;"|"&amp;U$1&amp;"|Output"),"I/O","IN"),IF(COUNTIF(Flows!$M$2:$M$1500,$A86&amp;"|"&amp;U$1&amp;"|Output"),"OUT",""))</f>
        <v/>
      </c>
      <c r="V86" s="33" t="str">
        <f aca="false">IF(COUNTIF(Flows!$M$2:$M$1500,$A86&amp;"|"&amp;V$1&amp;"|Input"),IF(COUNTIF(Flows!$M$2:$M$1500,$A86&amp;"|"&amp;V$1&amp;"|Output"),"I/O","IN"),IF(COUNTIF(Flows!$M$2:$M$1500,$A86&amp;"|"&amp;V$1&amp;"|Output"),"OUT",""))</f>
        <v>IN</v>
      </c>
      <c r="W86" s="33" t="str">
        <f aca="false">IF(COUNTIF(Flows!$M$2:$M$1500,$A86&amp;"|"&amp;W$1&amp;"|Input"),IF(COUNTIF(Flows!$M$2:$M$1500,$A86&amp;"|"&amp;W$1&amp;"|Output"),"I/O","IN"),IF(COUNTIF(Flows!$M$2:$M$1500,$A86&amp;"|"&amp;W$1&amp;"|Output"),"OUT",""))</f>
        <v>IN</v>
      </c>
      <c r="X86" s="33" t="str">
        <f aca="false">IF(COUNTIF(Flows!$M$2:$M$1500,$A86&amp;"|"&amp;X$1&amp;"|Input"),IF(COUNTIF(Flows!$M$2:$M$1500,$A86&amp;"|"&amp;X$1&amp;"|Output"),"I/O","IN"),IF(COUNTIF(Flows!$M$2:$M$1500,$A86&amp;"|"&amp;X$1&amp;"|Output"),"OUT",""))</f>
        <v>IN</v>
      </c>
      <c r="Y86" s="33" t="str">
        <f aca="false">IF(COUNTIF(Flows!$M$2:$M$1500,$A86&amp;"|"&amp;Y$1&amp;"|Input"),IF(COUNTIF(Flows!$M$2:$M$1500,$A86&amp;"|"&amp;Y$1&amp;"|Output"),"I/O","IN"),IF(COUNTIF(Flows!$M$2:$M$1500,$A86&amp;"|"&amp;Y$1&amp;"|Output"),"OUT",""))</f>
        <v/>
      </c>
      <c r="Z86" s="33" t="str">
        <f aca="false">IF(COUNTIF(Flows!$M$2:$M$1500,$A86&amp;"|"&amp;Z$1&amp;"|Input"),IF(COUNTIF(Flows!$M$2:$M$1500,$A86&amp;"|"&amp;Z$1&amp;"|Output"),"I/O","IN"),IF(COUNTIF(Flows!$M$2:$M$1500,$A86&amp;"|"&amp;Z$1&amp;"|Output"),"OUT",""))</f>
        <v/>
      </c>
      <c r="AA86" s="33" t="str">
        <f aca="false">IF(COUNTIF(Flows!$M$2:$M$1500,$A86&amp;"|"&amp;AA$1&amp;"|Input"),IF(COUNTIF(Flows!$M$2:$M$1500,$A86&amp;"|"&amp;AA$1&amp;"|Output"),"I/O","IN"),IF(COUNTIF(Flows!$M$2:$M$1500,$A86&amp;"|"&amp;AA$1&amp;"|Output"),"OUT",""))</f>
        <v/>
      </c>
      <c r="AB86" s="33" t="str">
        <f aca="false">IF(COUNTIF(Flows!$M$2:$M$1500,$A86&amp;"|"&amp;AB$1&amp;"|Input"),IF(COUNTIF(Flows!$M$2:$M$1500,$A86&amp;"|"&amp;AB$1&amp;"|Output"),"I/O","IN"),IF(COUNTIF(Flows!$M$2:$M$1500,$A86&amp;"|"&amp;AB$1&amp;"|Output"),"OUT",""))</f>
        <v/>
      </c>
      <c r="AC86" s="33" t="str">
        <f aca="false">IF(COUNTIF(Flows!$M$2:$M$1500,$A86&amp;"|"&amp;AC$1&amp;"|Input"),IF(COUNTIF(Flows!$M$2:$M$1500,$A86&amp;"|"&amp;AC$1&amp;"|Output"),"I/O","IN"),IF(COUNTIF(Flows!$M$2:$M$1500,$A86&amp;"|"&amp;AC$1&amp;"|Output"),"OUT",""))</f>
        <v/>
      </c>
      <c r="AD86" s="33" t="str">
        <f aca="false">IF(COUNTIF(Flows!$M$2:$M$1500,$A86&amp;"|"&amp;AD$1&amp;"|Input"),IF(COUNTIF(Flows!$M$2:$M$1500,$A86&amp;"|"&amp;AD$1&amp;"|Output"),"I/O","IN"),IF(COUNTIF(Flows!$M$2:$M$1500,$A86&amp;"|"&amp;AD$1&amp;"|Output"),"OUT",""))</f>
        <v>OUT</v>
      </c>
      <c r="AE86" s="33" t="str">
        <f aca="false">IF(COUNTIF(Flows!$M$2:$M$1500,$A86&amp;"|"&amp;AE$1&amp;"|Input"),IF(COUNTIF(Flows!$M$2:$M$1500,$A86&amp;"|"&amp;AE$1&amp;"|Output"),"I/O","IN"),IF(COUNTIF(Flows!$M$2:$M$1500,$A86&amp;"|"&amp;AE$1&amp;"|Output"),"OUT",""))</f>
        <v/>
      </c>
      <c r="AF86" s="33" t="str">
        <f aca="false">IF(COUNTIF(Flows!$M$2:$M$1500,$A86&amp;"|"&amp;AF$1&amp;"|Input"),IF(COUNTIF(Flows!$M$2:$M$1500,$A86&amp;"|"&amp;AF$1&amp;"|Output"),"I/O","IN"),IF(COUNTIF(Flows!$M$2:$M$1500,$A86&amp;"|"&amp;AF$1&amp;"|Output"),"OUT",""))</f>
        <v/>
      </c>
      <c r="AG86" s="33" t="str">
        <f aca="false">IF(COUNTIF(Flows!$M$2:$M$1500,$A86&amp;"|"&amp;AG$1&amp;"|Input"),IF(COUNTIF(Flows!$M$2:$M$1500,$A86&amp;"|"&amp;AG$1&amp;"|Output"),"I/O","IN"),IF(COUNTIF(Flows!$M$2:$M$1500,$A86&amp;"|"&amp;AG$1&amp;"|Output"),"OUT",""))</f>
        <v/>
      </c>
      <c r="AH86" s="33" t="str">
        <f aca="false">IF(COUNTIF(Flows!$M$2:$M$1500,$A86&amp;"|"&amp;AH$1&amp;"|Input"),IF(COUNTIF(Flows!$M$2:$M$1500,$A86&amp;"|"&amp;AH$1&amp;"|Output"),"I/O","IN"),IF(COUNTIF(Flows!$M$2:$M$1500,$A86&amp;"|"&amp;AH$1&amp;"|Output"),"OUT",""))</f>
        <v/>
      </c>
      <c r="AI86" s="33" t="str">
        <f aca="false">IF(COUNTIF(Flows!$M$2:$M$1500,$A86&amp;"|"&amp;AI$1&amp;"|Input"),IF(COUNTIF(Flows!$M$2:$M$1500,$A86&amp;"|"&amp;AI$1&amp;"|Output"),"I/O","IN"),IF(COUNTIF(Flows!$M$2:$M$1500,$A86&amp;"|"&amp;AI$1&amp;"|Output"),"OUT",""))</f>
        <v/>
      </c>
      <c r="AJ86" s="33" t="str">
        <f aca="false">IF(COUNTIF(Flows!$M$2:$M$1500,$A86&amp;"|"&amp;AJ$1&amp;"|Input"),IF(COUNTIF(Flows!$M$2:$M$1500,$A86&amp;"|"&amp;AJ$1&amp;"|Output"),"I/O","IN"),IF(COUNTIF(Flows!$M$2:$M$1500,$A86&amp;"|"&amp;AJ$1&amp;"|Output"),"OUT",""))</f>
        <v/>
      </c>
      <c r="AK86" s="33" t="str">
        <f aca="false">IF(COUNTIF(Flows!$M$2:$M$1500,$A86&amp;"|"&amp;AK$1&amp;"|Input"),IF(COUNTIF(Flows!$M$2:$M$1500,$A86&amp;"|"&amp;AK$1&amp;"|Output"),"I/O","IN"),IF(COUNTIF(Flows!$M$2:$M$1500,$A86&amp;"|"&amp;AK$1&amp;"|Output"),"OUT",""))</f>
        <v/>
      </c>
      <c r="AL86" s="33" t="str">
        <f aca="false">IF(COUNTIF(Flows!$M$2:$M$1500,$A86&amp;"|"&amp;AL$1&amp;"|Input"),IF(COUNTIF(Flows!$M$2:$M$1500,$A86&amp;"|"&amp;AL$1&amp;"|Output"),"I/O","IN"),IF(COUNTIF(Flows!$M$2:$M$1500,$A86&amp;"|"&amp;AL$1&amp;"|Output"),"OUT",""))</f>
        <v/>
      </c>
      <c r="AM86" s="33" t="str">
        <f aca="false">IF(COUNTIF(Flows!$M$2:$M$1500,$A86&amp;"|"&amp;AM$1&amp;"|Input"),IF(COUNTIF(Flows!$M$2:$M$1500,$A86&amp;"|"&amp;AM$1&amp;"|Output"),"I/O","IN"),IF(COUNTIF(Flows!$M$2:$M$1500,$A86&amp;"|"&amp;AM$1&amp;"|Output"),"OUT",""))</f>
        <v/>
      </c>
      <c r="AN86" s="33" t="str">
        <f aca="false">IF(COUNTIF(Flows!$M$2:$M$1500,$A86&amp;"|"&amp;AN$1&amp;"|Input"),IF(COUNTIF(Flows!$M$2:$M$1500,$A86&amp;"|"&amp;AN$1&amp;"|Output"),"I/O","IN"),IF(COUNTIF(Flows!$M$2:$M$1500,$A86&amp;"|"&amp;AN$1&amp;"|Output"),"OUT",""))</f>
        <v/>
      </c>
      <c r="AO86" s="33" t="str">
        <f aca="false">IF(COUNTIF(Flows!$M$2:$M$1500,$A86&amp;"|"&amp;AO$1&amp;"|Input"),IF(COUNTIF(Flows!$M$2:$M$1500,$A86&amp;"|"&amp;AO$1&amp;"|Output"),"I/O","IN"),IF(COUNTIF(Flows!$M$2:$M$1500,$A86&amp;"|"&amp;AO$1&amp;"|Output"),"OUT",""))</f>
        <v/>
      </c>
      <c r="AP86" s="33" t="str">
        <f aca="false">IF(COUNTIF(Flows!$M$2:$M$1500,$A86&amp;"|"&amp;AP$1&amp;"|Input"),IF(COUNTIF(Flows!$M$2:$M$1500,$A86&amp;"|"&amp;AP$1&amp;"|Output"),"I/O","IN"),IF(COUNTIF(Flows!$M$2:$M$1500,$A86&amp;"|"&amp;AP$1&amp;"|Output"),"OUT",""))</f>
        <v/>
      </c>
      <c r="AQ86" s="33" t="str">
        <f aca="false">IF(COUNTIF(Flows!$M$2:$M$1500,$A86&amp;"|"&amp;AQ$1&amp;"|Input"),IF(COUNTIF(Flows!$M$2:$M$1500,$A86&amp;"|"&amp;AQ$1&amp;"|Output"),"I/O","IN"),IF(COUNTIF(Flows!$M$2:$M$1500,$A86&amp;"|"&amp;AQ$1&amp;"|Output"),"OUT",""))</f>
        <v/>
      </c>
      <c r="AR86" s="33" t="str">
        <f aca="false">IF(COUNTIF(Flows!$M$2:$M$1500,$A86&amp;"|"&amp;AR$1&amp;"|Input"),IF(COUNTIF(Flows!$M$2:$M$1500,$A86&amp;"|"&amp;AR$1&amp;"|Output"),"I/O","IN"),IF(COUNTIF(Flows!$M$2:$M$1500,$A86&amp;"|"&amp;AR$1&amp;"|Output"),"OUT",""))</f>
        <v/>
      </c>
      <c r="AS86" s="33" t="str">
        <f aca="false">IF(COUNTIF(Flows!$M$2:$M$1500,$A86&amp;"|"&amp;AS$1&amp;"|Input"),IF(COUNTIF(Flows!$M$2:$M$1500,$A86&amp;"|"&amp;AS$1&amp;"|Output"),"I/O","IN"),IF(COUNTIF(Flows!$M$2:$M$1500,$A86&amp;"|"&amp;AS$1&amp;"|Output"),"OUT",""))</f>
        <v/>
      </c>
      <c r="AT86" s="33" t="str">
        <f aca="false">IF(COUNTIF(Flows!$M$2:$M$1500,$A86&amp;"|"&amp;AT$1&amp;"|Input"),IF(COUNTIF(Flows!$M$2:$M$1500,$A86&amp;"|"&amp;AT$1&amp;"|Output"),"I/O","IN"),IF(COUNTIF(Flows!$M$2:$M$1500,$A86&amp;"|"&amp;AT$1&amp;"|Output"),"OUT",""))</f>
        <v/>
      </c>
      <c r="AU86" s="33" t="str">
        <f aca="false">IF(COUNTIF(Flows!$M$2:$M$1500,$A86&amp;"|"&amp;AU$1&amp;"|Input"),IF(COUNTIF(Flows!$M$2:$M$1500,$A86&amp;"|"&amp;AU$1&amp;"|Output"),"I/O","IN"),IF(COUNTIF(Flows!$M$2:$M$1500,$A86&amp;"|"&amp;AU$1&amp;"|Output"),"OUT",""))</f>
        <v/>
      </c>
      <c r="AV86" s="33" t="str">
        <f aca="false">IF(COUNTIF(Flows!$M$2:$M$1500,$A86&amp;"|"&amp;AV$1&amp;"|Input"),IF(COUNTIF(Flows!$M$2:$M$1500,$A86&amp;"|"&amp;AV$1&amp;"|Output"),"I/O","IN"),IF(COUNTIF(Flows!$M$2:$M$1500,$A86&amp;"|"&amp;AV$1&amp;"|Output"),"OUT",""))</f>
        <v/>
      </c>
      <c r="AW86" s="33" t="str">
        <f aca="false">IF(COUNTIF(Flows!$M$2:$M$1500,$A86&amp;"|"&amp;AW$1&amp;"|Input"),IF(COUNTIF(Flows!$M$2:$M$1500,$A86&amp;"|"&amp;AW$1&amp;"|Output"),"I/O","IN"),IF(COUNTIF(Flows!$M$2:$M$1500,$A86&amp;"|"&amp;AW$1&amp;"|Output"),"OUT",""))</f>
        <v/>
      </c>
      <c r="AX86" s="33" t="str">
        <f aca="false">IF(COUNTIF(Flows!$M$2:$M$1500,$A86&amp;"|"&amp;AX$1&amp;"|Input"),IF(COUNTIF(Flows!$M$2:$M$1500,$A86&amp;"|"&amp;AX$1&amp;"|Output"),"I/O","IN"),IF(COUNTIF(Flows!$M$2:$M$1500,$A86&amp;"|"&amp;AX$1&amp;"|Output"),"OUT",""))</f>
        <v/>
      </c>
      <c r="AY86" s="33" t="str">
        <f aca="false">IF(COUNTIF(Flows!$M$2:$M$1500,$A86&amp;"|"&amp;AY$1&amp;"|Input"),IF(COUNTIF(Flows!$M$2:$M$1500,$A86&amp;"|"&amp;AY$1&amp;"|Output"),"I/O","IN"),IF(COUNTIF(Flows!$M$2:$M$1500,$A86&amp;"|"&amp;AY$1&amp;"|Output"),"OUT",""))</f>
        <v/>
      </c>
      <c r="AZ86" s="33" t="str">
        <f aca="false">IF(COUNTIF(Flows!$M$2:$M$1500,$A86&amp;"|"&amp;AZ$1&amp;"|Input"),IF(COUNTIF(Flows!$M$2:$M$1500,$A86&amp;"|"&amp;AZ$1&amp;"|Output"),"I/O","IN"),IF(COUNTIF(Flows!$M$2:$M$1500,$A86&amp;"|"&amp;AZ$1&amp;"|Output"),"OUT",""))</f>
        <v/>
      </c>
      <c r="BA86" s="33" t="str">
        <f aca="false">IF(COUNTIF(Flows!$M$2:$M$1500,$A86&amp;"|"&amp;BA$1&amp;"|Input"),IF(COUNTIF(Flows!$M$2:$M$1500,$A86&amp;"|"&amp;BA$1&amp;"|Output"),"I/O","IN"),IF(COUNTIF(Flows!$M$2:$M$1500,$A86&amp;"|"&amp;BA$1&amp;"|Output"),"OUT",""))</f>
        <v/>
      </c>
      <c r="BB86" s="33" t="str">
        <f aca="false">IF(COUNTIF(Flows!$M$2:$M$1500,$A86&amp;"|"&amp;BB$1&amp;"|Input"),IF(COUNTIF(Flows!$M$2:$M$1500,$A86&amp;"|"&amp;BB$1&amp;"|Output"),"I/O","IN"),IF(COUNTIF(Flows!$M$2:$M$1500,$A86&amp;"|"&amp;BB$1&amp;"|Output"),"OUT",""))</f>
        <v/>
      </c>
      <c r="BC86" s="33" t="str">
        <f aca="false">IF(COUNTIF(Flows!$M$2:$M$1500,$A86&amp;"|"&amp;BC$1&amp;"|Input"),IF(COUNTIF(Flows!$M$2:$M$1500,$A86&amp;"|"&amp;BC$1&amp;"|Output"),"I/O","IN"),IF(COUNTIF(Flows!$M$2:$M$1500,$A86&amp;"|"&amp;BC$1&amp;"|Output"),"OUT",""))</f>
        <v/>
      </c>
      <c r="BD86" s="33" t="str">
        <f aca="false">IF(COUNTIF(Flows!$M$2:$M$1500,$A86&amp;"|"&amp;BD$1&amp;"|Input"),IF(COUNTIF(Flows!$M$2:$M$1500,$A86&amp;"|"&amp;BD$1&amp;"|Output"),"I/O","IN"),IF(COUNTIF(Flows!$M$2:$M$1500,$A86&amp;"|"&amp;BD$1&amp;"|Output"),"OUT",""))</f>
        <v/>
      </c>
      <c r="BE86" s="33" t="str">
        <f aca="false">IF(COUNTIF(Flows!$M$2:$M$1500,$A86&amp;"|"&amp;BE$1&amp;"|Input"),IF(COUNTIF(Flows!$M$2:$M$1500,$A86&amp;"|"&amp;BE$1&amp;"|Output"),"I/O","IN"),IF(COUNTIF(Flows!$M$2:$M$1500,$A86&amp;"|"&amp;BE$1&amp;"|Output"),"OUT",""))</f>
        <v/>
      </c>
      <c r="BF86" s="33" t="str">
        <f aca="false">IF(COUNTIF(Flows!$M$2:$M$1500,$A86&amp;"|"&amp;BF$1&amp;"|Input"),IF(COUNTIF(Flows!$M$2:$M$1500,$A86&amp;"|"&amp;BF$1&amp;"|Output"),"I/O","IN"),IF(COUNTIF(Flows!$M$2:$M$1500,$A86&amp;"|"&amp;BF$1&amp;"|Output"),"OUT",""))</f>
        <v/>
      </c>
      <c r="BG86" s="33" t="str">
        <f aca="false">IF(COUNTIF(Flows!$M$2:$M$1500,$A86&amp;"|"&amp;BG$1&amp;"|Input"),IF(COUNTIF(Flows!$M$2:$M$1500,$A86&amp;"|"&amp;BG$1&amp;"|Output"),"I/O","IN"),IF(COUNTIF(Flows!$M$2:$M$1500,$A86&amp;"|"&amp;BG$1&amp;"|Output"),"OUT",""))</f>
        <v/>
      </c>
      <c r="BH86" s="33" t="str">
        <f aca="false">IF(COUNTIF(Flows!$M$2:$M$1500,$A86&amp;"|"&amp;BH$1&amp;"|Input"),IF(COUNTIF(Flows!$M$2:$M$1500,$A86&amp;"|"&amp;BH$1&amp;"|Output"),"I/O","IN"),IF(COUNTIF(Flows!$M$2:$M$1500,$A86&amp;"|"&amp;BH$1&amp;"|Output"),"OUT",""))</f>
        <v/>
      </c>
      <c r="BI86" s="33" t="str">
        <f aca="false">IF(COUNTIF(Flows!$M$2:$M$1500,$A86&amp;"|"&amp;BI$1&amp;"|Input"),IF(COUNTIF(Flows!$M$2:$M$1500,$A86&amp;"|"&amp;BI$1&amp;"|Output"),"I/O","IN"),IF(COUNTIF(Flows!$M$2:$M$1500,$A86&amp;"|"&amp;BI$1&amp;"|Output"),"OUT",""))</f>
        <v/>
      </c>
      <c r="BJ86" s="33" t="str">
        <f aca="false">IF(COUNTIF(Flows!$M$2:$M$1500,$A86&amp;"|"&amp;BJ$1&amp;"|Input"),IF(COUNTIF(Flows!$M$2:$M$1500,$A86&amp;"|"&amp;BJ$1&amp;"|Output"),"I/O","IN"),IF(COUNTIF(Flows!$M$2:$M$1500,$A86&amp;"|"&amp;BJ$1&amp;"|Output"),"OUT",""))</f>
        <v/>
      </c>
      <c r="BK86" s="33" t="str">
        <f aca="false">IF(COUNTIF(Flows!$M$2:$M$1500,$A86&amp;"|"&amp;BK$1&amp;"|Input"),IF(COUNTIF(Flows!$M$2:$M$1500,$A86&amp;"|"&amp;BK$1&amp;"|Output"),"I/O","IN"),IF(COUNTIF(Flows!$M$2:$M$1500,$A86&amp;"|"&amp;BK$1&amp;"|Output"),"OUT",""))</f>
        <v/>
      </c>
    </row>
    <row r="87" customFormat="false" ht="15" hidden="false" customHeight="true" outlineLevel="0" collapsed="false">
      <c r="A87" s="6" t="str">
        <f aca="false">Systems!B87</f>
        <v>Geodesic Dome</v>
      </c>
      <c r="B87" s="33" t="str">
        <f aca="false">IF(COUNTIF(Flows!$M$2:$M$1500,$A87&amp;"|"&amp;B$1&amp;"|Input"),IF(COUNTIF(Flows!$M$2:$M$1500,$A87&amp;"|"&amp;B$1&amp;"|Output"),"I/O","IN"),IF(COUNTIF(Flows!$M$2:$M$1500,$A87&amp;"|"&amp;B$1&amp;"|Output"),"OUT",""))</f>
        <v/>
      </c>
      <c r="C87" s="33" t="str">
        <f aca="false">IF(COUNTIF(Flows!$M$2:$M$1500,$A87&amp;"|"&amp;C$1&amp;"|Input"),IF(COUNTIF(Flows!$M$2:$M$1500,$A87&amp;"|"&amp;C$1&amp;"|Output"),"I/O","IN"),IF(COUNTIF(Flows!$M$2:$M$1500,$A87&amp;"|"&amp;C$1&amp;"|Output"),"OUT",""))</f>
        <v/>
      </c>
      <c r="D87" s="33" t="str">
        <f aca="false">IF(COUNTIF(Flows!$M$2:$M$1500,$A87&amp;"|"&amp;D$1&amp;"|Input"),IF(COUNTIF(Flows!$M$2:$M$1500,$A87&amp;"|"&amp;D$1&amp;"|Output"),"I/O","IN"),IF(COUNTIF(Flows!$M$2:$M$1500,$A87&amp;"|"&amp;D$1&amp;"|Output"),"OUT",""))</f>
        <v/>
      </c>
      <c r="E87" s="33" t="str">
        <f aca="false">IF(COUNTIF(Flows!$M$2:$M$1500,$A87&amp;"|"&amp;E$1&amp;"|Input"),IF(COUNTIF(Flows!$M$2:$M$1500,$A87&amp;"|"&amp;E$1&amp;"|Output"),"I/O","IN"),IF(COUNTIF(Flows!$M$2:$M$1500,$A87&amp;"|"&amp;E$1&amp;"|Output"),"OUT",""))</f>
        <v/>
      </c>
      <c r="F87" s="33" t="str">
        <f aca="false">IF(COUNTIF(Flows!$M$2:$M$1500,$A87&amp;"|"&amp;F$1&amp;"|Input"),IF(COUNTIF(Flows!$M$2:$M$1500,$A87&amp;"|"&amp;F$1&amp;"|Output"),"I/O","IN"),IF(COUNTIF(Flows!$M$2:$M$1500,$A87&amp;"|"&amp;F$1&amp;"|Output"),"OUT",""))</f>
        <v/>
      </c>
      <c r="G87" s="33" t="str">
        <f aca="false">IF(COUNTIF(Flows!$M$2:$M$1500,$A87&amp;"|"&amp;G$1&amp;"|Input"),IF(COUNTIF(Flows!$M$2:$M$1500,$A87&amp;"|"&amp;G$1&amp;"|Output"),"I/O","IN"),IF(COUNTIF(Flows!$M$2:$M$1500,$A87&amp;"|"&amp;G$1&amp;"|Output"),"OUT",""))</f>
        <v/>
      </c>
      <c r="H87" s="33" t="str">
        <f aca="false">IF(COUNTIF(Flows!$M$2:$M$1500,$A87&amp;"|"&amp;H$1&amp;"|Input"),IF(COUNTIF(Flows!$M$2:$M$1500,$A87&amp;"|"&amp;H$1&amp;"|Output"),"I/O","IN"),IF(COUNTIF(Flows!$M$2:$M$1500,$A87&amp;"|"&amp;H$1&amp;"|Output"),"OUT",""))</f>
        <v/>
      </c>
      <c r="I87" s="33" t="str">
        <f aca="false">IF(COUNTIF(Flows!$M$2:$M$1500,$A87&amp;"|"&amp;I$1&amp;"|Input"),IF(COUNTIF(Flows!$M$2:$M$1500,$A87&amp;"|"&amp;I$1&amp;"|Output"),"I/O","IN"),IF(COUNTIF(Flows!$M$2:$M$1500,$A87&amp;"|"&amp;I$1&amp;"|Output"),"OUT",""))</f>
        <v/>
      </c>
      <c r="J87" s="33" t="str">
        <f aca="false">IF(COUNTIF(Flows!$M$2:$M$1500,$A87&amp;"|"&amp;J$1&amp;"|Input"),IF(COUNTIF(Flows!$M$2:$M$1500,$A87&amp;"|"&amp;J$1&amp;"|Output"),"I/O","IN"),IF(COUNTIF(Flows!$M$2:$M$1500,$A87&amp;"|"&amp;J$1&amp;"|Output"),"OUT",""))</f>
        <v/>
      </c>
      <c r="K87" s="33" t="str">
        <f aca="false">IF(COUNTIF(Flows!$M$2:$M$1500,$A87&amp;"|"&amp;K$1&amp;"|Input"),IF(COUNTIF(Flows!$M$2:$M$1500,$A87&amp;"|"&amp;K$1&amp;"|Output"),"I/O","IN"),IF(COUNTIF(Flows!$M$2:$M$1500,$A87&amp;"|"&amp;K$1&amp;"|Output"),"OUT",""))</f>
        <v/>
      </c>
      <c r="L87" s="33" t="str">
        <f aca="false">IF(COUNTIF(Flows!$M$2:$M$1500,$A87&amp;"|"&amp;L$1&amp;"|Input"),IF(COUNTIF(Flows!$M$2:$M$1500,$A87&amp;"|"&amp;L$1&amp;"|Output"),"I/O","IN"),IF(COUNTIF(Flows!$M$2:$M$1500,$A87&amp;"|"&amp;L$1&amp;"|Output"),"OUT",""))</f>
        <v/>
      </c>
      <c r="M87" s="33" t="str">
        <f aca="false">IF(COUNTIF(Flows!$M$2:$M$1500,$A87&amp;"|"&amp;M$1&amp;"|Input"),IF(COUNTIF(Flows!$M$2:$M$1500,$A87&amp;"|"&amp;M$1&amp;"|Output"),"I/O","IN"),IF(COUNTIF(Flows!$M$2:$M$1500,$A87&amp;"|"&amp;M$1&amp;"|Output"),"OUT",""))</f>
        <v/>
      </c>
      <c r="N87" s="33" t="str">
        <f aca="false">IF(COUNTIF(Flows!$M$2:$M$1500,$A87&amp;"|"&amp;N$1&amp;"|Input"),IF(COUNTIF(Flows!$M$2:$M$1500,$A87&amp;"|"&amp;N$1&amp;"|Output"),"I/O","IN"),IF(COUNTIF(Flows!$M$2:$M$1500,$A87&amp;"|"&amp;N$1&amp;"|Output"),"OUT",""))</f>
        <v/>
      </c>
      <c r="O87" s="33" t="str">
        <f aca="false">IF(COUNTIF(Flows!$M$2:$M$1500,$A87&amp;"|"&amp;O$1&amp;"|Input"),IF(COUNTIF(Flows!$M$2:$M$1500,$A87&amp;"|"&amp;O$1&amp;"|Output"),"I/O","IN"),IF(COUNTIF(Flows!$M$2:$M$1500,$A87&amp;"|"&amp;O$1&amp;"|Output"),"OUT",""))</f>
        <v/>
      </c>
      <c r="P87" s="33" t="str">
        <f aca="false">IF(COUNTIF(Flows!$M$2:$M$1500,$A87&amp;"|"&amp;P$1&amp;"|Input"),IF(COUNTIF(Flows!$M$2:$M$1500,$A87&amp;"|"&amp;P$1&amp;"|Output"),"I/O","IN"),IF(COUNTIF(Flows!$M$2:$M$1500,$A87&amp;"|"&amp;P$1&amp;"|Output"),"OUT",""))</f>
        <v/>
      </c>
      <c r="Q87" s="33" t="str">
        <f aca="false">IF(COUNTIF(Flows!$M$2:$M$1500,$A87&amp;"|"&amp;Q$1&amp;"|Input"),IF(COUNTIF(Flows!$M$2:$M$1500,$A87&amp;"|"&amp;Q$1&amp;"|Output"),"I/O","IN"),IF(COUNTIF(Flows!$M$2:$M$1500,$A87&amp;"|"&amp;Q$1&amp;"|Output"),"OUT",""))</f>
        <v>OUT</v>
      </c>
      <c r="R87" s="33" t="str">
        <f aca="false">IF(COUNTIF(Flows!$M$2:$M$1500,$A87&amp;"|"&amp;R$1&amp;"|Input"),IF(COUNTIF(Flows!$M$2:$M$1500,$A87&amp;"|"&amp;R$1&amp;"|Output"),"I/O","IN"),IF(COUNTIF(Flows!$M$2:$M$1500,$A87&amp;"|"&amp;R$1&amp;"|Output"),"OUT",""))</f>
        <v/>
      </c>
      <c r="S87" s="33" t="str">
        <f aca="false">IF(COUNTIF(Flows!$M$2:$M$1500,$A87&amp;"|"&amp;S$1&amp;"|Input"),IF(COUNTIF(Flows!$M$2:$M$1500,$A87&amp;"|"&amp;S$1&amp;"|Output"),"I/O","IN"),IF(COUNTIF(Flows!$M$2:$M$1500,$A87&amp;"|"&amp;S$1&amp;"|Output"),"OUT",""))</f>
        <v/>
      </c>
      <c r="T87" s="33" t="str">
        <f aca="false">IF(COUNTIF(Flows!$M$2:$M$1500,$A87&amp;"|"&amp;T$1&amp;"|Input"),IF(COUNTIF(Flows!$M$2:$M$1500,$A87&amp;"|"&amp;T$1&amp;"|Output"),"I/O","IN"),IF(COUNTIF(Flows!$M$2:$M$1500,$A87&amp;"|"&amp;T$1&amp;"|Output"),"OUT",""))</f>
        <v/>
      </c>
      <c r="U87" s="33" t="str">
        <f aca="false">IF(COUNTIF(Flows!$M$2:$M$1500,$A87&amp;"|"&amp;U$1&amp;"|Input"),IF(COUNTIF(Flows!$M$2:$M$1500,$A87&amp;"|"&amp;U$1&amp;"|Output"),"I/O","IN"),IF(COUNTIF(Flows!$M$2:$M$1500,$A87&amp;"|"&amp;U$1&amp;"|Output"),"OUT",""))</f>
        <v/>
      </c>
      <c r="V87" s="33" t="str">
        <f aca="false">IF(COUNTIF(Flows!$M$2:$M$1500,$A87&amp;"|"&amp;V$1&amp;"|Input"),IF(COUNTIF(Flows!$M$2:$M$1500,$A87&amp;"|"&amp;V$1&amp;"|Output"),"I/O","IN"),IF(COUNTIF(Flows!$M$2:$M$1500,$A87&amp;"|"&amp;V$1&amp;"|Output"),"OUT",""))</f>
        <v>IN</v>
      </c>
      <c r="W87" s="33" t="str">
        <f aca="false">IF(COUNTIF(Flows!$M$2:$M$1500,$A87&amp;"|"&amp;W$1&amp;"|Input"),IF(COUNTIF(Flows!$M$2:$M$1500,$A87&amp;"|"&amp;W$1&amp;"|Output"),"I/O","IN"),IF(COUNTIF(Flows!$M$2:$M$1500,$A87&amp;"|"&amp;W$1&amp;"|Output"),"OUT",""))</f>
        <v>IN</v>
      </c>
      <c r="X87" s="33" t="str">
        <f aca="false">IF(COUNTIF(Flows!$M$2:$M$1500,$A87&amp;"|"&amp;X$1&amp;"|Input"),IF(COUNTIF(Flows!$M$2:$M$1500,$A87&amp;"|"&amp;X$1&amp;"|Output"),"I/O","IN"),IF(COUNTIF(Flows!$M$2:$M$1500,$A87&amp;"|"&amp;X$1&amp;"|Output"),"OUT",""))</f>
        <v>IN</v>
      </c>
      <c r="Y87" s="33" t="str">
        <f aca="false">IF(COUNTIF(Flows!$M$2:$M$1500,$A87&amp;"|"&amp;Y$1&amp;"|Input"),IF(COUNTIF(Flows!$M$2:$M$1500,$A87&amp;"|"&amp;Y$1&amp;"|Output"),"I/O","IN"),IF(COUNTIF(Flows!$M$2:$M$1500,$A87&amp;"|"&amp;Y$1&amp;"|Output"),"OUT",""))</f>
        <v/>
      </c>
      <c r="Z87" s="33" t="str">
        <f aca="false">IF(COUNTIF(Flows!$M$2:$M$1500,$A87&amp;"|"&amp;Z$1&amp;"|Input"),IF(COUNTIF(Flows!$M$2:$M$1500,$A87&amp;"|"&amp;Z$1&amp;"|Output"),"I/O","IN"),IF(COUNTIF(Flows!$M$2:$M$1500,$A87&amp;"|"&amp;Z$1&amp;"|Output"),"OUT",""))</f>
        <v/>
      </c>
      <c r="AA87" s="33" t="str">
        <f aca="false">IF(COUNTIF(Flows!$M$2:$M$1500,$A87&amp;"|"&amp;AA$1&amp;"|Input"),IF(COUNTIF(Flows!$M$2:$M$1500,$A87&amp;"|"&amp;AA$1&amp;"|Output"),"I/O","IN"),IF(COUNTIF(Flows!$M$2:$M$1500,$A87&amp;"|"&amp;AA$1&amp;"|Output"),"OUT",""))</f>
        <v/>
      </c>
      <c r="AB87" s="33" t="str">
        <f aca="false">IF(COUNTIF(Flows!$M$2:$M$1500,$A87&amp;"|"&amp;AB$1&amp;"|Input"),IF(COUNTIF(Flows!$M$2:$M$1500,$A87&amp;"|"&amp;AB$1&amp;"|Output"),"I/O","IN"),IF(COUNTIF(Flows!$M$2:$M$1500,$A87&amp;"|"&amp;AB$1&amp;"|Output"),"OUT",""))</f>
        <v/>
      </c>
      <c r="AC87" s="33" t="str">
        <f aca="false">IF(COUNTIF(Flows!$M$2:$M$1500,$A87&amp;"|"&amp;AC$1&amp;"|Input"),IF(COUNTIF(Flows!$M$2:$M$1500,$A87&amp;"|"&amp;AC$1&amp;"|Output"),"I/O","IN"),IF(COUNTIF(Flows!$M$2:$M$1500,$A87&amp;"|"&amp;AC$1&amp;"|Output"),"OUT",""))</f>
        <v/>
      </c>
      <c r="AD87" s="33" t="str">
        <f aca="false">IF(COUNTIF(Flows!$M$2:$M$1500,$A87&amp;"|"&amp;AD$1&amp;"|Input"),IF(COUNTIF(Flows!$M$2:$M$1500,$A87&amp;"|"&amp;AD$1&amp;"|Output"),"I/O","IN"),IF(COUNTIF(Flows!$M$2:$M$1500,$A87&amp;"|"&amp;AD$1&amp;"|Output"),"OUT",""))</f>
        <v>OUT</v>
      </c>
      <c r="AE87" s="33" t="str">
        <f aca="false">IF(COUNTIF(Flows!$M$2:$M$1500,$A87&amp;"|"&amp;AE$1&amp;"|Input"),IF(COUNTIF(Flows!$M$2:$M$1500,$A87&amp;"|"&amp;AE$1&amp;"|Output"),"I/O","IN"),IF(COUNTIF(Flows!$M$2:$M$1500,$A87&amp;"|"&amp;AE$1&amp;"|Output"),"OUT",""))</f>
        <v/>
      </c>
      <c r="AF87" s="33" t="str">
        <f aca="false">IF(COUNTIF(Flows!$M$2:$M$1500,$A87&amp;"|"&amp;AF$1&amp;"|Input"),IF(COUNTIF(Flows!$M$2:$M$1500,$A87&amp;"|"&amp;AF$1&amp;"|Output"),"I/O","IN"),IF(COUNTIF(Flows!$M$2:$M$1500,$A87&amp;"|"&amp;AF$1&amp;"|Output"),"OUT",""))</f>
        <v/>
      </c>
      <c r="AG87" s="33" t="str">
        <f aca="false">IF(COUNTIF(Flows!$M$2:$M$1500,$A87&amp;"|"&amp;AG$1&amp;"|Input"),IF(COUNTIF(Flows!$M$2:$M$1500,$A87&amp;"|"&amp;AG$1&amp;"|Output"),"I/O","IN"),IF(COUNTIF(Flows!$M$2:$M$1500,$A87&amp;"|"&amp;AG$1&amp;"|Output"),"OUT",""))</f>
        <v/>
      </c>
      <c r="AH87" s="33" t="str">
        <f aca="false">IF(COUNTIF(Flows!$M$2:$M$1500,$A87&amp;"|"&amp;AH$1&amp;"|Input"),IF(COUNTIF(Flows!$M$2:$M$1500,$A87&amp;"|"&amp;AH$1&amp;"|Output"),"I/O","IN"),IF(COUNTIF(Flows!$M$2:$M$1500,$A87&amp;"|"&amp;AH$1&amp;"|Output"),"OUT",""))</f>
        <v/>
      </c>
      <c r="AI87" s="33" t="str">
        <f aca="false">IF(COUNTIF(Flows!$M$2:$M$1500,$A87&amp;"|"&amp;AI$1&amp;"|Input"),IF(COUNTIF(Flows!$M$2:$M$1500,$A87&amp;"|"&amp;AI$1&amp;"|Output"),"I/O","IN"),IF(COUNTIF(Flows!$M$2:$M$1500,$A87&amp;"|"&amp;AI$1&amp;"|Output"),"OUT",""))</f>
        <v/>
      </c>
      <c r="AJ87" s="33" t="str">
        <f aca="false">IF(COUNTIF(Flows!$M$2:$M$1500,$A87&amp;"|"&amp;AJ$1&amp;"|Input"),IF(COUNTIF(Flows!$M$2:$M$1500,$A87&amp;"|"&amp;AJ$1&amp;"|Output"),"I/O","IN"),IF(COUNTIF(Flows!$M$2:$M$1500,$A87&amp;"|"&amp;AJ$1&amp;"|Output"),"OUT",""))</f>
        <v/>
      </c>
      <c r="AK87" s="33" t="str">
        <f aca="false">IF(COUNTIF(Flows!$M$2:$M$1500,$A87&amp;"|"&amp;AK$1&amp;"|Input"),IF(COUNTIF(Flows!$M$2:$M$1500,$A87&amp;"|"&amp;AK$1&amp;"|Output"),"I/O","IN"),IF(COUNTIF(Flows!$M$2:$M$1500,$A87&amp;"|"&amp;AK$1&amp;"|Output"),"OUT",""))</f>
        <v/>
      </c>
      <c r="AL87" s="33" t="str">
        <f aca="false">IF(COUNTIF(Flows!$M$2:$M$1500,$A87&amp;"|"&amp;AL$1&amp;"|Input"),IF(COUNTIF(Flows!$M$2:$M$1500,$A87&amp;"|"&amp;AL$1&amp;"|Output"),"I/O","IN"),IF(COUNTIF(Flows!$M$2:$M$1500,$A87&amp;"|"&amp;AL$1&amp;"|Output"),"OUT",""))</f>
        <v/>
      </c>
      <c r="AM87" s="33" t="str">
        <f aca="false">IF(COUNTIF(Flows!$M$2:$M$1500,$A87&amp;"|"&amp;AM$1&amp;"|Input"),IF(COUNTIF(Flows!$M$2:$M$1500,$A87&amp;"|"&amp;AM$1&amp;"|Output"),"I/O","IN"),IF(COUNTIF(Flows!$M$2:$M$1500,$A87&amp;"|"&amp;AM$1&amp;"|Output"),"OUT",""))</f>
        <v/>
      </c>
      <c r="AN87" s="33" t="str">
        <f aca="false">IF(COUNTIF(Flows!$M$2:$M$1500,$A87&amp;"|"&amp;AN$1&amp;"|Input"),IF(COUNTIF(Flows!$M$2:$M$1500,$A87&amp;"|"&amp;AN$1&amp;"|Output"),"I/O","IN"),IF(COUNTIF(Flows!$M$2:$M$1500,$A87&amp;"|"&amp;AN$1&amp;"|Output"),"OUT",""))</f>
        <v/>
      </c>
      <c r="AO87" s="33" t="str">
        <f aca="false">IF(COUNTIF(Flows!$M$2:$M$1500,$A87&amp;"|"&amp;AO$1&amp;"|Input"),IF(COUNTIF(Flows!$M$2:$M$1500,$A87&amp;"|"&amp;AO$1&amp;"|Output"),"I/O","IN"),IF(COUNTIF(Flows!$M$2:$M$1500,$A87&amp;"|"&amp;AO$1&amp;"|Output"),"OUT",""))</f>
        <v/>
      </c>
      <c r="AP87" s="33" t="str">
        <f aca="false">IF(COUNTIF(Flows!$M$2:$M$1500,$A87&amp;"|"&amp;AP$1&amp;"|Input"),IF(COUNTIF(Flows!$M$2:$M$1500,$A87&amp;"|"&amp;AP$1&amp;"|Output"),"I/O","IN"),IF(COUNTIF(Flows!$M$2:$M$1500,$A87&amp;"|"&amp;AP$1&amp;"|Output"),"OUT",""))</f>
        <v/>
      </c>
      <c r="AQ87" s="33" t="str">
        <f aca="false">IF(COUNTIF(Flows!$M$2:$M$1500,$A87&amp;"|"&amp;AQ$1&amp;"|Input"),IF(COUNTIF(Flows!$M$2:$M$1500,$A87&amp;"|"&amp;AQ$1&amp;"|Output"),"I/O","IN"),IF(COUNTIF(Flows!$M$2:$M$1500,$A87&amp;"|"&amp;AQ$1&amp;"|Output"),"OUT",""))</f>
        <v/>
      </c>
      <c r="AR87" s="33" t="str">
        <f aca="false">IF(COUNTIF(Flows!$M$2:$M$1500,$A87&amp;"|"&amp;AR$1&amp;"|Input"),IF(COUNTIF(Flows!$M$2:$M$1500,$A87&amp;"|"&amp;AR$1&amp;"|Output"),"I/O","IN"),IF(COUNTIF(Flows!$M$2:$M$1500,$A87&amp;"|"&amp;AR$1&amp;"|Output"),"OUT",""))</f>
        <v/>
      </c>
      <c r="AS87" s="33" t="str">
        <f aca="false">IF(COUNTIF(Flows!$M$2:$M$1500,$A87&amp;"|"&amp;AS$1&amp;"|Input"),IF(COUNTIF(Flows!$M$2:$M$1500,$A87&amp;"|"&amp;AS$1&amp;"|Output"),"I/O","IN"),IF(COUNTIF(Flows!$M$2:$M$1500,$A87&amp;"|"&amp;AS$1&amp;"|Output"),"OUT",""))</f>
        <v/>
      </c>
      <c r="AT87" s="33" t="str">
        <f aca="false">IF(COUNTIF(Flows!$M$2:$M$1500,$A87&amp;"|"&amp;AT$1&amp;"|Input"),IF(COUNTIF(Flows!$M$2:$M$1500,$A87&amp;"|"&amp;AT$1&amp;"|Output"),"I/O","IN"),IF(COUNTIF(Flows!$M$2:$M$1500,$A87&amp;"|"&amp;AT$1&amp;"|Output"),"OUT",""))</f>
        <v/>
      </c>
      <c r="AU87" s="33" t="str">
        <f aca="false">IF(COUNTIF(Flows!$M$2:$M$1500,$A87&amp;"|"&amp;AU$1&amp;"|Input"),IF(COUNTIF(Flows!$M$2:$M$1500,$A87&amp;"|"&amp;AU$1&amp;"|Output"),"I/O","IN"),IF(COUNTIF(Flows!$M$2:$M$1500,$A87&amp;"|"&amp;AU$1&amp;"|Output"),"OUT",""))</f>
        <v/>
      </c>
      <c r="AV87" s="33" t="str">
        <f aca="false">IF(COUNTIF(Flows!$M$2:$M$1500,$A87&amp;"|"&amp;AV$1&amp;"|Input"),IF(COUNTIF(Flows!$M$2:$M$1500,$A87&amp;"|"&amp;AV$1&amp;"|Output"),"I/O","IN"),IF(COUNTIF(Flows!$M$2:$M$1500,$A87&amp;"|"&amp;AV$1&amp;"|Output"),"OUT",""))</f>
        <v/>
      </c>
      <c r="AW87" s="33" t="str">
        <f aca="false">IF(COUNTIF(Flows!$M$2:$M$1500,$A87&amp;"|"&amp;AW$1&amp;"|Input"),IF(COUNTIF(Flows!$M$2:$M$1500,$A87&amp;"|"&amp;AW$1&amp;"|Output"),"I/O","IN"),IF(COUNTIF(Flows!$M$2:$M$1500,$A87&amp;"|"&amp;AW$1&amp;"|Output"),"OUT",""))</f>
        <v/>
      </c>
      <c r="AX87" s="33" t="str">
        <f aca="false">IF(COUNTIF(Flows!$M$2:$M$1500,$A87&amp;"|"&amp;AX$1&amp;"|Input"),IF(COUNTIF(Flows!$M$2:$M$1500,$A87&amp;"|"&amp;AX$1&amp;"|Output"),"I/O","IN"),IF(COUNTIF(Flows!$M$2:$M$1500,$A87&amp;"|"&amp;AX$1&amp;"|Output"),"OUT",""))</f>
        <v/>
      </c>
      <c r="AY87" s="33" t="str">
        <f aca="false">IF(COUNTIF(Flows!$M$2:$M$1500,$A87&amp;"|"&amp;AY$1&amp;"|Input"),IF(COUNTIF(Flows!$M$2:$M$1500,$A87&amp;"|"&amp;AY$1&amp;"|Output"),"I/O","IN"),IF(COUNTIF(Flows!$M$2:$M$1500,$A87&amp;"|"&amp;AY$1&amp;"|Output"),"OUT",""))</f>
        <v/>
      </c>
      <c r="AZ87" s="33" t="str">
        <f aca="false">IF(COUNTIF(Flows!$M$2:$M$1500,$A87&amp;"|"&amp;AZ$1&amp;"|Input"),IF(COUNTIF(Flows!$M$2:$M$1500,$A87&amp;"|"&amp;AZ$1&amp;"|Output"),"I/O","IN"),IF(COUNTIF(Flows!$M$2:$M$1500,$A87&amp;"|"&amp;AZ$1&amp;"|Output"),"OUT",""))</f>
        <v/>
      </c>
      <c r="BA87" s="33" t="str">
        <f aca="false">IF(COUNTIF(Flows!$M$2:$M$1500,$A87&amp;"|"&amp;BA$1&amp;"|Input"),IF(COUNTIF(Flows!$M$2:$M$1500,$A87&amp;"|"&amp;BA$1&amp;"|Output"),"I/O","IN"),IF(COUNTIF(Flows!$M$2:$M$1500,$A87&amp;"|"&amp;BA$1&amp;"|Output"),"OUT",""))</f>
        <v/>
      </c>
      <c r="BB87" s="33" t="str">
        <f aca="false">IF(COUNTIF(Flows!$M$2:$M$1500,$A87&amp;"|"&amp;BB$1&amp;"|Input"),IF(COUNTIF(Flows!$M$2:$M$1500,$A87&amp;"|"&amp;BB$1&amp;"|Output"),"I/O","IN"),IF(COUNTIF(Flows!$M$2:$M$1500,$A87&amp;"|"&amp;BB$1&amp;"|Output"),"OUT",""))</f>
        <v/>
      </c>
      <c r="BC87" s="33" t="str">
        <f aca="false">IF(COUNTIF(Flows!$M$2:$M$1500,$A87&amp;"|"&amp;BC$1&amp;"|Input"),IF(COUNTIF(Flows!$M$2:$M$1500,$A87&amp;"|"&amp;BC$1&amp;"|Output"),"I/O","IN"),IF(COUNTIF(Flows!$M$2:$M$1500,$A87&amp;"|"&amp;BC$1&amp;"|Output"),"OUT",""))</f>
        <v/>
      </c>
      <c r="BD87" s="33" t="str">
        <f aca="false">IF(COUNTIF(Flows!$M$2:$M$1500,$A87&amp;"|"&amp;BD$1&amp;"|Input"),IF(COUNTIF(Flows!$M$2:$M$1500,$A87&amp;"|"&amp;BD$1&amp;"|Output"),"I/O","IN"),IF(COUNTIF(Flows!$M$2:$M$1500,$A87&amp;"|"&amp;BD$1&amp;"|Output"),"OUT",""))</f>
        <v/>
      </c>
      <c r="BE87" s="33" t="str">
        <f aca="false">IF(COUNTIF(Flows!$M$2:$M$1500,$A87&amp;"|"&amp;BE$1&amp;"|Input"),IF(COUNTIF(Flows!$M$2:$M$1500,$A87&amp;"|"&amp;BE$1&amp;"|Output"),"I/O","IN"),IF(COUNTIF(Flows!$M$2:$M$1500,$A87&amp;"|"&amp;BE$1&amp;"|Output"),"OUT",""))</f>
        <v/>
      </c>
      <c r="BF87" s="33" t="str">
        <f aca="false">IF(COUNTIF(Flows!$M$2:$M$1500,$A87&amp;"|"&amp;BF$1&amp;"|Input"),IF(COUNTIF(Flows!$M$2:$M$1500,$A87&amp;"|"&amp;BF$1&amp;"|Output"),"I/O","IN"),IF(COUNTIF(Flows!$M$2:$M$1500,$A87&amp;"|"&amp;BF$1&amp;"|Output"),"OUT",""))</f>
        <v/>
      </c>
      <c r="BG87" s="33" t="str">
        <f aca="false">IF(COUNTIF(Flows!$M$2:$M$1500,$A87&amp;"|"&amp;BG$1&amp;"|Input"),IF(COUNTIF(Flows!$M$2:$M$1500,$A87&amp;"|"&amp;BG$1&amp;"|Output"),"I/O","IN"),IF(COUNTIF(Flows!$M$2:$M$1500,$A87&amp;"|"&amp;BG$1&amp;"|Output"),"OUT",""))</f>
        <v/>
      </c>
      <c r="BH87" s="33" t="str">
        <f aca="false">IF(COUNTIF(Flows!$M$2:$M$1500,$A87&amp;"|"&amp;BH$1&amp;"|Input"),IF(COUNTIF(Flows!$M$2:$M$1500,$A87&amp;"|"&amp;BH$1&amp;"|Output"),"I/O","IN"),IF(COUNTIF(Flows!$M$2:$M$1500,$A87&amp;"|"&amp;BH$1&amp;"|Output"),"OUT",""))</f>
        <v/>
      </c>
      <c r="BI87" s="33" t="str">
        <f aca="false">IF(COUNTIF(Flows!$M$2:$M$1500,$A87&amp;"|"&amp;BI$1&amp;"|Input"),IF(COUNTIF(Flows!$M$2:$M$1500,$A87&amp;"|"&amp;BI$1&amp;"|Output"),"I/O","IN"),IF(COUNTIF(Flows!$M$2:$M$1500,$A87&amp;"|"&amp;BI$1&amp;"|Output"),"OUT",""))</f>
        <v/>
      </c>
      <c r="BJ87" s="33" t="str">
        <f aca="false">IF(COUNTIF(Flows!$M$2:$M$1500,$A87&amp;"|"&amp;BJ$1&amp;"|Input"),IF(COUNTIF(Flows!$M$2:$M$1500,$A87&amp;"|"&amp;BJ$1&amp;"|Output"),"I/O","IN"),IF(COUNTIF(Flows!$M$2:$M$1500,$A87&amp;"|"&amp;BJ$1&amp;"|Output"),"OUT",""))</f>
        <v/>
      </c>
      <c r="BK87" s="33" t="str">
        <f aca="false">IF(COUNTIF(Flows!$M$2:$M$1500,$A87&amp;"|"&amp;BK$1&amp;"|Input"),IF(COUNTIF(Flows!$M$2:$M$1500,$A87&amp;"|"&amp;BK$1&amp;"|Output"),"I/O","IN"),IF(COUNTIF(Flows!$M$2:$M$1500,$A87&amp;"|"&amp;BK$1&amp;"|Output"),"OUT",""))</f>
        <v/>
      </c>
    </row>
    <row r="88" customFormat="false" ht="15" hidden="false" customHeight="true" outlineLevel="0" collapsed="false">
      <c r="A88" s="6" t="str">
        <f aca="false">Systems!B88</f>
        <v>Canvas Wall Tent + Stove Jack</v>
      </c>
      <c r="B88" s="33" t="str">
        <f aca="false">IF(COUNTIF(Flows!$M$2:$M$1500,$A88&amp;"|"&amp;B$1&amp;"|Input"),IF(COUNTIF(Flows!$M$2:$M$1500,$A88&amp;"|"&amp;B$1&amp;"|Output"),"I/O","IN"),IF(COUNTIF(Flows!$M$2:$M$1500,$A88&amp;"|"&amp;B$1&amp;"|Output"),"OUT",""))</f>
        <v/>
      </c>
      <c r="C88" s="33" t="str">
        <f aca="false">IF(COUNTIF(Flows!$M$2:$M$1500,$A88&amp;"|"&amp;C$1&amp;"|Input"),IF(COUNTIF(Flows!$M$2:$M$1500,$A88&amp;"|"&amp;C$1&amp;"|Output"),"I/O","IN"),IF(COUNTIF(Flows!$M$2:$M$1500,$A88&amp;"|"&amp;C$1&amp;"|Output"),"OUT",""))</f>
        <v/>
      </c>
      <c r="D88" s="33" t="str">
        <f aca="false">IF(COUNTIF(Flows!$M$2:$M$1500,$A88&amp;"|"&amp;D$1&amp;"|Input"),IF(COUNTIF(Flows!$M$2:$M$1500,$A88&amp;"|"&amp;D$1&amp;"|Output"),"I/O","IN"),IF(COUNTIF(Flows!$M$2:$M$1500,$A88&amp;"|"&amp;D$1&amp;"|Output"),"OUT",""))</f>
        <v/>
      </c>
      <c r="E88" s="33" t="str">
        <f aca="false">IF(COUNTIF(Flows!$M$2:$M$1500,$A88&amp;"|"&amp;E$1&amp;"|Input"),IF(COUNTIF(Flows!$M$2:$M$1500,$A88&amp;"|"&amp;E$1&amp;"|Output"),"I/O","IN"),IF(COUNTIF(Flows!$M$2:$M$1500,$A88&amp;"|"&amp;E$1&amp;"|Output"),"OUT",""))</f>
        <v/>
      </c>
      <c r="F88" s="33" t="str">
        <f aca="false">IF(COUNTIF(Flows!$M$2:$M$1500,$A88&amp;"|"&amp;F$1&amp;"|Input"),IF(COUNTIF(Flows!$M$2:$M$1500,$A88&amp;"|"&amp;F$1&amp;"|Output"),"I/O","IN"),IF(COUNTIF(Flows!$M$2:$M$1500,$A88&amp;"|"&amp;F$1&amp;"|Output"),"OUT",""))</f>
        <v/>
      </c>
      <c r="G88" s="33" t="str">
        <f aca="false">IF(COUNTIF(Flows!$M$2:$M$1500,$A88&amp;"|"&amp;G$1&amp;"|Input"),IF(COUNTIF(Flows!$M$2:$M$1500,$A88&amp;"|"&amp;G$1&amp;"|Output"),"I/O","IN"),IF(COUNTIF(Flows!$M$2:$M$1500,$A88&amp;"|"&amp;G$1&amp;"|Output"),"OUT",""))</f>
        <v/>
      </c>
      <c r="H88" s="33" t="str">
        <f aca="false">IF(COUNTIF(Flows!$M$2:$M$1500,$A88&amp;"|"&amp;H$1&amp;"|Input"),IF(COUNTIF(Flows!$M$2:$M$1500,$A88&amp;"|"&amp;H$1&amp;"|Output"),"I/O","IN"),IF(COUNTIF(Flows!$M$2:$M$1500,$A88&amp;"|"&amp;H$1&amp;"|Output"),"OUT",""))</f>
        <v/>
      </c>
      <c r="I88" s="33" t="str">
        <f aca="false">IF(COUNTIF(Flows!$M$2:$M$1500,$A88&amp;"|"&amp;I$1&amp;"|Input"),IF(COUNTIF(Flows!$M$2:$M$1500,$A88&amp;"|"&amp;I$1&amp;"|Output"),"I/O","IN"),IF(COUNTIF(Flows!$M$2:$M$1500,$A88&amp;"|"&amp;I$1&amp;"|Output"),"OUT",""))</f>
        <v/>
      </c>
      <c r="J88" s="33" t="str">
        <f aca="false">IF(COUNTIF(Flows!$M$2:$M$1500,$A88&amp;"|"&amp;J$1&amp;"|Input"),IF(COUNTIF(Flows!$M$2:$M$1500,$A88&amp;"|"&amp;J$1&amp;"|Output"),"I/O","IN"),IF(COUNTIF(Flows!$M$2:$M$1500,$A88&amp;"|"&amp;J$1&amp;"|Output"),"OUT",""))</f>
        <v/>
      </c>
      <c r="K88" s="33" t="str">
        <f aca="false">IF(COUNTIF(Flows!$M$2:$M$1500,$A88&amp;"|"&amp;K$1&amp;"|Input"),IF(COUNTIF(Flows!$M$2:$M$1500,$A88&amp;"|"&amp;K$1&amp;"|Output"),"I/O","IN"),IF(COUNTIF(Flows!$M$2:$M$1500,$A88&amp;"|"&amp;K$1&amp;"|Output"),"OUT",""))</f>
        <v/>
      </c>
      <c r="L88" s="33" t="str">
        <f aca="false">IF(COUNTIF(Flows!$M$2:$M$1500,$A88&amp;"|"&amp;L$1&amp;"|Input"),IF(COUNTIF(Flows!$M$2:$M$1500,$A88&amp;"|"&amp;L$1&amp;"|Output"),"I/O","IN"),IF(COUNTIF(Flows!$M$2:$M$1500,$A88&amp;"|"&amp;L$1&amp;"|Output"),"OUT",""))</f>
        <v/>
      </c>
      <c r="M88" s="33" t="str">
        <f aca="false">IF(COUNTIF(Flows!$M$2:$M$1500,$A88&amp;"|"&amp;M$1&amp;"|Input"),IF(COUNTIF(Flows!$M$2:$M$1500,$A88&amp;"|"&amp;M$1&amp;"|Output"),"I/O","IN"),IF(COUNTIF(Flows!$M$2:$M$1500,$A88&amp;"|"&amp;M$1&amp;"|Output"),"OUT",""))</f>
        <v/>
      </c>
      <c r="N88" s="33" t="str">
        <f aca="false">IF(COUNTIF(Flows!$M$2:$M$1500,$A88&amp;"|"&amp;N$1&amp;"|Input"),IF(COUNTIF(Flows!$M$2:$M$1500,$A88&amp;"|"&amp;N$1&amp;"|Output"),"I/O","IN"),IF(COUNTIF(Flows!$M$2:$M$1500,$A88&amp;"|"&amp;N$1&amp;"|Output"),"OUT",""))</f>
        <v/>
      </c>
      <c r="O88" s="33" t="str">
        <f aca="false">IF(COUNTIF(Flows!$M$2:$M$1500,$A88&amp;"|"&amp;O$1&amp;"|Input"),IF(COUNTIF(Flows!$M$2:$M$1500,$A88&amp;"|"&amp;O$1&amp;"|Output"),"I/O","IN"),IF(COUNTIF(Flows!$M$2:$M$1500,$A88&amp;"|"&amp;O$1&amp;"|Output"),"OUT",""))</f>
        <v/>
      </c>
      <c r="P88" s="33" t="str">
        <f aca="false">IF(COUNTIF(Flows!$M$2:$M$1500,$A88&amp;"|"&amp;P$1&amp;"|Input"),IF(COUNTIF(Flows!$M$2:$M$1500,$A88&amp;"|"&amp;P$1&amp;"|Output"),"I/O","IN"),IF(COUNTIF(Flows!$M$2:$M$1500,$A88&amp;"|"&amp;P$1&amp;"|Output"),"OUT",""))</f>
        <v/>
      </c>
      <c r="Q88" s="33" t="str">
        <f aca="false">IF(COUNTIF(Flows!$M$2:$M$1500,$A88&amp;"|"&amp;Q$1&amp;"|Input"),IF(COUNTIF(Flows!$M$2:$M$1500,$A88&amp;"|"&amp;Q$1&amp;"|Output"),"I/O","IN"),IF(COUNTIF(Flows!$M$2:$M$1500,$A88&amp;"|"&amp;Q$1&amp;"|Output"),"OUT",""))</f>
        <v>OUT</v>
      </c>
      <c r="R88" s="33" t="str">
        <f aca="false">IF(COUNTIF(Flows!$M$2:$M$1500,$A88&amp;"|"&amp;R$1&amp;"|Input"),IF(COUNTIF(Flows!$M$2:$M$1500,$A88&amp;"|"&amp;R$1&amp;"|Output"),"I/O","IN"),IF(COUNTIF(Flows!$M$2:$M$1500,$A88&amp;"|"&amp;R$1&amp;"|Output"),"OUT",""))</f>
        <v/>
      </c>
      <c r="S88" s="33" t="str">
        <f aca="false">IF(COUNTIF(Flows!$M$2:$M$1500,$A88&amp;"|"&amp;S$1&amp;"|Input"),IF(COUNTIF(Flows!$M$2:$M$1500,$A88&amp;"|"&amp;S$1&amp;"|Output"),"I/O","IN"),IF(COUNTIF(Flows!$M$2:$M$1500,$A88&amp;"|"&amp;S$1&amp;"|Output"),"OUT",""))</f>
        <v/>
      </c>
      <c r="T88" s="33" t="str">
        <f aca="false">IF(COUNTIF(Flows!$M$2:$M$1500,$A88&amp;"|"&amp;T$1&amp;"|Input"),IF(COUNTIF(Flows!$M$2:$M$1500,$A88&amp;"|"&amp;T$1&amp;"|Output"),"I/O","IN"),IF(COUNTIF(Flows!$M$2:$M$1500,$A88&amp;"|"&amp;T$1&amp;"|Output"),"OUT",""))</f>
        <v/>
      </c>
      <c r="U88" s="33" t="str">
        <f aca="false">IF(COUNTIF(Flows!$M$2:$M$1500,$A88&amp;"|"&amp;U$1&amp;"|Input"),IF(COUNTIF(Flows!$M$2:$M$1500,$A88&amp;"|"&amp;U$1&amp;"|Output"),"I/O","IN"),IF(COUNTIF(Flows!$M$2:$M$1500,$A88&amp;"|"&amp;U$1&amp;"|Output"),"OUT",""))</f>
        <v/>
      </c>
      <c r="V88" s="33" t="str">
        <f aca="false">IF(COUNTIF(Flows!$M$2:$M$1500,$A88&amp;"|"&amp;V$1&amp;"|Input"),IF(COUNTIF(Flows!$M$2:$M$1500,$A88&amp;"|"&amp;V$1&amp;"|Output"),"I/O","IN"),IF(COUNTIF(Flows!$M$2:$M$1500,$A88&amp;"|"&amp;V$1&amp;"|Output"),"OUT",""))</f>
        <v>IN</v>
      </c>
      <c r="W88" s="33" t="str">
        <f aca="false">IF(COUNTIF(Flows!$M$2:$M$1500,$A88&amp;"|"&amp;W$1&amp;"|Input"),IF(COUNTIF(Flows!$M$2:$M$1500,$A88&amp;"|"&amp;W$1&amp;"|Output"),"I/O","IN"),IF(COUNTIF(Flows!$M$2:$M$1500,$A88&amp;"|"&amp;W$1&amp;"|Output"),"OUT",""))</f>
        <v>IN</v>
      </c>
      <c r="X88" s="33" t="str">
        <f aca="false">IF(COUNTIF(Flows!$M$2:$M$1500,$A88&amp;"|"&amp;X$1&amp;"|Input"),IF(COUNTIF(Flows!$M$2:$M$1500,$A88&amp;"|"&amp;X$1&amp;"|Output"),"I/O","IN"),IF(COUNTIF(Flows!$M$2:$M$1500,$A88&amp;"|"&amp;X$1&amp;"|Output"),"OUT",""))</f>
        <v>IN</v>
      </c>
      <c r="Y88" s="33" t="str">
        <f aca="false">IF(COUNTIF(Flows!$M$2:$M$1500,$A88&amp;"|"&amp;Y$1&amp;"|Input"),IF(COUNTIF(Flows!$M$2:$M$1500,$A88&amp;"|"&amp;Y$1&amp;"|Output"),"I/O","IN"),IF(COUNTIF(Flows!$M$2:$M$1500,$A88&amp;"|"&amp;Y$1&amp;"|Output"),"OUT",""))</f>
        <v/>
      </c>
      <c r="Z88" s="33" t="str">
        <f aca="false">IF(COUNTIF(Flows!$M$2:$M$1500,$A88&amp;"|"&amp;Z$1&amp;"|Input"),IF(COUNTIF(Flows!$M$2:$M$1500,$A88&amp;"|"&amp;Z$1&amp;"|Output"),"I/O","IN"),IF(COUNTIF(Flows!$M$2:$M$1500,$A88&amp;"|"&amp;Z$1&amp;"|Output"),"OUT",""))</f>
        <v/>
      </c>
      <c r="AA88" s="33" t="str">
        <f aca="false">IF(COUNTIF(Flows!$M$2:$M$1500,$A88&amp;"|"&amp;AA$1&amp;"|Input"),IF(COUNTIF(Flows!$M$2:$M$1500,$A88&amp;"|"&amp;AA$1&amp;"|Output"),"I/O","IN"),IF(COUNTIF(Flows!$M$2:$M$1500,$A88&amp;"|"&amp;AA$1&amp;"|Output"),"OUT",""))</f>
        <v/>
      </c>
      <c r="AB88" s="33" t="str">
        <f aca="false">IF(COUNTIF(Flows!$M$2:$M$1500,$A88&amp;"|"&amp;AB$1&amp;"|Input"),IF(COUNTIF(Flows!$M$2:$M$1500,$A88&amp;"|"&amp;AB$1&amp;"|Output"),"I/O","IN"),IF(COUNTIF(Flows!$M$2:$M$1500,$A88&amp;"|"&amp;AB$1&amp;"|Output"),"OUT",""))</f>
        <v/>
      </c>
      <c r="AC88" s="33" t="str">
        <f aca="false">IF(COUNTIF(Flows!$M$2:$M$1500,$A88&amp;"|"&amp;AC$1&amp;"|Input"),IF(COUNTIF(Flows!$M$2:$M$1500,$A88&amp;"|"&amp;AC$1&amp;"|Output"),"I/O","IN"),IF(COUNTIF(Flows!$M$2:$M$1500,$A88&amp;"|"&amp;AC$1&amp;"|Output"),"OUT",""))</f>
        <v/>
      </c>
      <c r="AD88" s="33" t="str">
        <f aca="false">IF(COUNTIF(Flows!$M$2:$M$1500,$A88&amp;"|"&amp;AD$1&amp;"|Input"),IF(COUNTIF(Flows!$M$2:$M$1500,$A88&amp;"|"&amp;AD$1&amp;"|Output"),"I/O","IN"),IF(COUNTIF(Flows!$M$2:$M$1500,$A88&amp;"|"&amp;AD$1&amp;"|Output"),"OUT",""))</f>
        <v/>
      </c>
      <c r="AE88" s="33" t="str">
        <f aca="false">IF(COUNTIF(Flows!$M$2:$M$1500,$A88&amp;"|"&amp;AE$1&amp;"|Input"),IF(COUNTIF(Flows!$M$2:$M$1500,$A88&amp;"|"&amp;AE$1&amp;"|Output"),"I/O","IN"),IF(COUNTIF(Flows!$M$2:$M$1500,$A88&amp;"|"&amp;AE$1&amp;"|Output"),"OUT",""))</f>
        <v/>
      </c>
      <c r="AF88" s="33" t="str">
        <f aca="false">IF(COUNTIF(Flows!$M$2:$M$1500,$A88&amp;"|"&amp;AF$1&amp;"|Input"),IF(COUNTIF(Flows!$M$2:$M$1500,$A88&amp;"|"&amp;AF$1&amp;"|Output"),"I/O","IN"),IF(COUNTIF(Flows!$M$2:$M$1500,$A88&amp;"|"&amp;AF$1&amp;"|Output"),"OUT",""))</f>
        <v/>
      </c>
      <c r="AG88" s="33" t="str">
        <f aca="false">IF(COUNTIF(Flows!$M$2:$M$1500,$A88&amp;"|"&amp;AG$1&amp;"|Input"),IF(COUNTIF(Flows!$M$2:$M$1500,$A88&amp;"|"&amp;AG$1&amp;"|Output"),"I/O","IN"),IF(COUNTIF(Flows!$M$2:$M$1500,$A88&amp;"|"&amp;AG$1&amp;"|Output"),"OUT",""))</f>
        <v/>
      </c>
      <c r="AH88" s="33" t="str">
        <f aca="false">IF(COUNTIF(Flows!$M$2:$M$1500,$A88&amp;"|"&amp;AH$1&amp;"|Input"),IF(COUNTIF(Flows!$M$2:$M$1500,$A88&amp;"|"&amp;AH$1&amp;"|Output"),"I/O","IN"),IF(COUNTIF(Flows!$M$2:$M$1500,$A88&amp;"|"&amp;AH$1&amp;"|Output"),"OUT",""))</f>
        <v/>
      </c>
      <c r="AI88" s="33" t="str">
        <f aca="false">IF(COUNTIF(Flows!$M$2:$M$1500,$A88&amp;"|"&amp;AI$1&amp;"|Input"),IF(COUNTIF(Flows!$M$2:$M$1500,$A88&amp;"|"&amp;AI$1&amp;"|Output"),"I/O","IN"),IF(COUNTIF(Flows!$M$2:$M$1500,$A88&amp;"|"&amp;AI$1&amp;"|Output"),"OUT",""))</f>
        <v/>
      </c>
      <c r="AJ88" s="33" t="str">
        <f aca="false">IF(COUNTIF(Flows!$M$2:$M$1500,$A88&amp;"|"&amp;AJ$1&amp;"|Input"),IF(COUNTIF(Flows!$M$2:$M$1500,$A88&amp;"|"&amp;AJ$1&amp;"|Output"),"I/O","IN"),IF(COUNTIF(Flows!$M$2:$M$1500,$A88&amp;"|"&amp;AJ$1&amp;"|Output"),"OUT",""))</f>
        <v/>
      </c>
      <c r="AK88" s="33" t="str">
        <f aca="false">IF(COUNTIF(Flows!$M$2:$M$1500,$A88&amp;"|"&amp;AK$1&amp;"|Input"),IF(COUNTIF(Flows!$M$2:$M$1500,$A88&amp;"|"&amp;AK$1&amp;"|Output"),"I/O","IN"),IF(COUNTIF(Flows!$M$2:$M$1500,$A88&amp;"|"&amp;AK$1&amp;"|Output"),"OUT",""))</f>
        <v/>
      </c>
      <c r="AL88" s="33" t="str">
        <f aca="false">IF(COUNTIF(Flows!$M$2:$M$1500,$A88&amp;"|"&amp;AL$1&amp;"|Input"),IF(COUNTIF(Flows!$M$2:$M$1500,$A88&amp;"|"&amp;AL$1&amp;"|Output"),"I/O","IN"),IF(COUNTIF(Flows!$M$2:$M$1500,$A88&amp;"|"&amp;AL$1&amp;"|Output"),"OUT",""))</f>
        <v/>
      </c>
      <c r="AM88" s="33" t="str">
        <f aca="false">IF(COUNTIF(Flows!$M$2:$M$1500,$A88&amp;"|"&amp;AM$1&amp;"|Input"),IF(COUNTIF(Flows!$M$2:$M$1500,$A88&amp;"|"&amp;AM$1&amp;"|Output"),"I/O","IN"),IF(COUNTIF(Flows!$M$2:$M$1500,$A88&amp;"|"&amp;AM$1&amp;"|Output"),"OUT",""))</f>
        <v/>
      </c>
      <c r="AN88" s="33" t="str">
        <f aca="false">IF(COUNTIF(Flows!$M$2:$M$1500,$A88&amp;"|"&amp;AN$1&amp;"|Input"),IF(COUNTIF(Flows!$M$2:$M$1500,$A88&amp;"|"&amp;AN$1&amp;"|Output"),"I/O","IN"),IF(COUNTIF(Flows!$M$2:$M$1500,$A88&amp;"|"&amp;AN$1&amp;"|Output"),"OUT",""))</f>
        <v/>
      </c>
      <c r="AO88" s="33" t="str">
        <f aca="false">IF(COUNTIF(Flows!$M$2:$M$1500,$A88&amp;"|"&amp;AO$1&amp;"|Input"),IF(COUNTIF(Flows!$M$2:$M$1500,$A88&amp;"|"&amp;AO$1&amp;"|Output"),"I/O","IN"),IF(COUNTIF(Flows!$M$2:$M$1500,$A88&amp;"|"&amp;AO$1&amp;"|Output"),"OUT",""))</f>
        <v/>
      </c>
      <c r="AP88" s="33" t="str">
        <f aca="false">IF(COUNTIF(Flows!$M$2:$M$1500,$A88&amp;"|"&amp;AP$1&amp;"|Input"),IF(COUNTIF(Flows!$M$2:$M$1500,$A88&amp;"|"&amp;AP$1&amp;"|Output"),"I/O","IN"),IF(COUNTIF(Flows!$M$2:$M$1500,$A88&amp;"|"&amp;AP$1&amp;"|Output"),"OUT",""))</f>
        <v/>
      </c>
      <c r="AQ88" s="33" t="str">
        <f aca="false">IF(COUNTIF(Flows!$M$2:$M$1500,$A88&amp;"|"&amp;AQ$1&amp;"|Input"),IF(COUNTIF(Flows!$M$2:$M$1500,$A88&amp;"|"&amp;AQ$1&amp;"|Output"),"I/O","IN"),IF(COUNTIF(Flows!$M$2:$M$1500,$A88&amp;"|"&amp;AQ$1&amp;"|Output"),"OUT",""))</f>
        <v/>
      </c>
      <c r="AR88" s="33" t="str">
        <f aca="false">IF(COUNTIF(Flows!$M$2:$M$1500,$A88&amp;"|"&amp;AR$1&amp;"|Input"),IF(COUNTIF(Flows!$M$2:$M$1500,$A88&amp;"|"&amp;AR$1&amp;"|Output"),"I/O","IN"),IF(COUNTIF(Flows!$M$2:$M$1500,$A88&amp;"|"&amp;AR$1&amp;"|Output"),"OUT",""))</f>
        <v/>
      </c>
      <c r="AS88" s="33" t="str">
        <f aca="false">IF(COUNTIF(Flows!$M$2:$M$1500,$A88&amp;"|"&amp;AS$1&amp;"|Input"),IF(COUNTIF(Flows!$M$2:$M$1500,$A88&amp;"|"&amp;AS$1&amp;"|Output"),"I/O","IN"),IF(COUNTIF(Flows!$M$2:$M$1500,$A88&amp;"|"&amp;AS$1&amp;"|Output"),"OUT",""))</f>
        <v/>
      </c>
      <c r="AT88" s="33" t="str">
        <f aca="false">IF(COUNTIF(Flows!$M$2:$M$1500,$A88&amp;"|"&amp;AT$1&amp;"|Input"),IF(COUNTIF(Flows!$M$2:$M$1500,$A88&amp;"|"&amp;AT$1&amp;"|Output"),"I/O","IN"),IF(COUNTIF(Flows!$M$2:$M$1500,$A88&amp;"|"&amp;AT$1&amp;"|Output"),"OUT",""))</f>
        <v/>
      </c>
      <c r="AU88" s="33" t="str">
        <f aca="false">IF(COUNTIF(Flows!$M$2:$M$1500,$A88&amp;"|"&amp;AU$1&amp;"|Input"),IF(COUNTIF(Flows!$M$2:$M$1500,$A88&amp;"|"&amp;AU$1&amp;"|Output"),"I/O","IN"),IF(COUNTIF(Flows!$M$2:$M$1500,$A88&amp;"|"&amp;AU$1&amp;"|Output"),"OUT",""))</f>
        <v/>
      </c>
      <c r="AV88" s="33" t="str">
        <f aca="false">IF(COUNTIF(Flows!$M$2:$M$1500,$A88&amp;"|"&amp;AV$1&amp;"|Input"),IF(COUNTIF(Flows!$M$2:$M$1500,$A88&amp;"|"&amp;AV$1&amp;"|Output"),"I/O","IN"),IF(COUNTIF(Flows!$M$2:$M$1500,$A88&amp;"|"&amp;AV$1&amp;"|Output"),"OUT",""))</f>
        <v/>
      </c>
      <c r="AW88" s="33" t="str">
        <f aca="false">IF(COUNTIF(Flows!$M$2:$M$1500,$A88&amp;"|"&amp;AW$1&amp;"|Input"),IF(COUNTIF(Flows!$M$2:$M$1500,$A88&amp;"|"&amp;AW$1&amp;"|Output"),"I/O","IN"),IF(COUNTIF(Flows!$M$2:$M$1500,$A88&amp;"|"&amp;AW$1&amp;"|Output"),"OUT",""))</f>
        <v/>
      </c>
      <c r="AX88" s="33" t="str">
        <f aca="false">IF(COUNTIF(Flows!$M$2:$M$1500,$A88&amp;"|"&amp;AX$1&amp;"|Input"),IF(COUNTIF(Flows!$M$2:$M$1500,$A88&amp;"|"&amp;AX$1&amp;"|Output"),"I/O","IN"),IF(COUNTIF(Flows!$M$2:$M$1500,$A88&amp;"|"&amp;AX$1&amp;"|Output"),"OUT",""))</f>
        <v/>
      </c>
      <c r="AY88" s="33" t="str">
        <f aca="false">IF(COUNTIF(Flows!$M$2:$M$1500,$A88&amp;"|"&amp;AY$1&amp;"|Input"),IF(COUNTIF(Flows!$M$2:$M$1500,$A88&amp;"|"&amp;AY$1&amp;"|Output"),"I/O","IN"),IF(COUNTIF(Flows!$M$2:$M$1500,$A88&amp;"|"&amp;AY$1&amp;"|Output"),"OUT",""))</f>
        <v/>
      </c>
      <c r="AZ88" s="33" t="str">
        <f aca="false">IF(COUNTIF(Flows!$M$2:$M$1500,$A88&amp;"|"&amp;AZ$1&amp;"|Input"),IF(COUNTIF(Flows!$M$2:$M$1500,$A88&amp;"|"&amp;AZ$1&amp;"|Output"),"I/O","IN"),IF(COUNTIF(Flows!$M$2:$M$1500,$A88&amp;"|"&amp;AZ$1&amp;"|Output"),"OUT",""))</f>
        <v/>
      </c>
      <c r="BA88" s="33" t="str">
        <f aca="false">IF(COUNTIF(Flows!$M$2:$M$1500,$A88&amp;"|"&amp;BA$1&amp;"|Input"),IF(COUNTIF(Flows!$M$2:$M$1500,$A88&amp;"|"&amp;BA$1&amp;"|Output"),"I/O","IN"),IF(COUNTIF(Flows!$M$2:$M$1500,$A88&amp;"|"&amp;BA$1&amp;"|Output"),"OUT",""))</f>
        <v/>
      </c>
      <c r="BB88" s="33" t="str">
        <f aca="false">IF(COUNTIF(Flows!$M$2:$M$1500,$A88&amp;"|"&amp;BB$1&amp;"|Input"),IF(COUNTIF(Flows!$M$2:$M$1500,$A88&amp;"|"&amp;BB$1&amp;"|Output"),"I/O","IN"),IF(COUNTIF(Flows!$M$2:$M$1500,$A88&amp;"|"&amp;BB$1&amp;"|Output"),"OUT",""))</f>
        <v/>
      </c>
      <c r="BC88" s="33" t="str">
        <f aca="false">IF(COUNTIF(Flows!$M$2:$M$1500,$A88&amp;"|"&amp;BC$1&amp;"|Input"),IF(COUNTIF(Flows!$M$2:$M$1500,$A88&amp;"|"&amp;BC$1&amp;"|Output"),"I/O","IN"),IF(COUNTIF(Flows!$M$2:$M$1500,$A88&amp;"|"&amp;BC$1&amp;"|Output"),"OUT",""))</f>
        <v/>
      </c>
      <c r="BD88" s="33" t="str">
        <f aca="false">IF(COUNTIF(Flows!$M$2:$M$1500,$A88&amp;"|"&amp;BD$1&amp;"|Input"),IF(COUNTIF(Flows!$M$2:$M$1500,$A88&amp;"|"&amp;BD$1&amp;"|Output"),"I/O","IN"),IF(COUNTIF(Flows!$M$2:$M$1500,$A88&amp;"|"&amp;BD$1&amp;"|Output"),"OUT",""))</f>
        <v/>
      </c>
      <c r="BE88" s="33" t="str">
        <f aca="false">IF(COUNTIF(Flows!$M$2:$M$1500,$A88&amp;"|"&amp;BE$1&amp;"|Input"),IF(COUNTIF(Flows!$M$2:$M$1500,$A88&amp;"|"&amp;BE$1&amp;"|Output"),"I/O","IN"),IF(COUNTIF(Flows!$M$2:$M$1500,$A88&amp;"|"&amp;BE$1&amp;"|Output"),"OUT",""))</f>
        <v/>
      </c>
      <c r="BF88" s="33" t="str">
        <f aca="false">IF(COUNTIF(Flows!$M$2:$M$1500,$A88&amp;"|"&amp;BF$1&amp;"|Input"),IF(COUNTIF(Flows!$M$2:$M$1500,$A88&amp;"|"&amp;BF$1&amp;"|Output"),"I/O","IN"),IF(COUNTIF(Flows!$M$2:$M$1500,$A88&amp;"|"&amp;BF$1&amp;"|Output"),"OUT",""))</f>
        <v/>
      </c>
      <c r="BG88" s="33" t="str">
        <f aca="false">IF(COUNTIF(Flows!$M$2:$M$1500,$A88&amp;"|"&amp;BG$1&amp;"|Input"),IF(COUNTIF(Flows!$M$2:$M$1500,$A88&amp;"|"&amp;BG$1&amp;"|Output"),"I/O","IN"),IF(COUNTIF(Flows!$M$2:$M$1500,$A88&amp;"|"&amp;BG$1&amp;"|Output"),"OUT",""))</f>
        <v/>
      </c>
      <c r="BH88" s="33" t="str">
        <f aca="false">IF(COUNTIF(Flows!$M$2:$M$1500,$A88&amp;"|"&amp;BH$1&amp;"|Input"),IF(COUNTIF(Flows!$M$2:$M$1500,$A88&amp;"|"&amp;BH$1&amp;"|Output"),"I/O","IN"),IF(COUNTIF(Flows!$M$2:$M$1500,$A88&amp;"|"&amp;BH$1&amp;"|Output"),"OUT",""))</f>
        <v/>
      </c>
      <c r="BI88" s="33" t="str">
        <f aca="false">IF(COUNTIF(Flows!$M$2:$M$1500,$A88&amp;"|"&amp;BI$1&amp;"|Input"),IF(COUNTIF(Flows!$M$2:$M$1500,$A88&amp;"|"&amp;BI$1&amp;"|Output"),"I/O","IN"),IF(COUNTIF(Flows!$M$2:$M$1500,$A88&amp;"|"&amp;BI$1&amp;"|Output"),"OUT",""))</f>
        <v/>
      </c>
      <c r="BJ88" s="33" t="str">
        <f aca="false">IF(COUNTIF(Flows!$M$2:$M$1500,$A88&amp;"|"&amp;BJ$1&amp;"|Input"),IF(COUNTIF(Flows!$M$2:$M$1500,$A88&amp;"|"&amp;BJ$1&amp;"|Output"),"I/O","IN"),IF(COUNTIF(Flows!$M$2:$M$1500,$A88&amp;"|"&amp;BJ$1&amp;"|Output"),"OUT",""))</f>
        <v/>
      </c>
      <c r="BK88" s="33" t="str">
        <f aca="false">IF(COUNTIF(Flows!$M$2:$M$1500,$A88&amp;"|"&amp;BK$1&amp;"|Input"),IF(COUNTIF(Flows!$M$2:$M$1500,$A88&amp;"|"&amp;BK$1&amp;"|Output"),"I/O","IN"),IF(COUNTIF(Flows!$M$2:$M$1500,$A88&amp;"|"&amp;BK$1&amp;"|Output"),"OUT",""))</f>
        <v/>
      </c>
    </row>
    <row r="89" customFormat="false" ht="15" hidden="false" customHeight="true" outlineLevel="0" collapsed="false">
      <c r="A89" s="6" t="str">
        <f aca="false">Systems!B89</f>
        <v>Earthbag Dome</v>
      </c>
      <c r="B89" s="33" t="str">
        <f aca="false">IF(COUNTIF(Flows!$M$2:$M$1500,$A89&amp;"|"&amp;B$1&amp;"|Input"),IF(COUNTIF(Flows!$M$2:$M$1500,$A89&amp;"|"&amp;B$1&amp;"|Output"),"I/O","IN"),IF(COUNTIF(Flows!$M$2:$M$1500,$A89&amp;"|"&amp;B$1&amp;"|Output"),"OUT",""))</f>
        <v/>
      </c>
      <c r="C89" s="33" t="str">
        <f aca="false">IF(COUNTIF(Flows!$M$2:$M$1500,$A89&amp;"|"&amp;C$1&amp;"|Input"),IF(COUNTIF(Flows!$M$2:$M$1500,$A89&amp;"|"&amp;C$1&amp;"|Output"),"I/O","IN"),IF(COUNTIF(Flows!$M$2:$M$1500,$A89&amp;"|"&amp;C$1&amp;"|Output"),"OUT",""))</f>
        <v/>
      </c>
      <c r="D89" s="33" t="str">
        <f aca="false">IF(COUNTIF(Flows!$M$2:$M$1500,$A89&amp;"|"&amp;D$1&amp;"|Input"),IF(COUNTIF(Flows!$M$2:$M$1500,$A89&amp;"|"&amp;D$1&amp;"|Output"),"I/O","IN"),IF(COUNTIF(Flows!$M$2:$M$1500,$A89&amp;"|"&amp;D$1&amp;"|Output"),"OUT",""))</f>
        <v/>
      </c>
      <c r="E89" s="33" t="str">
        <f aca="false">IF(COUNTIF(Flows!$M$2:$M$1500,$A89&amp;"|"&amp;E$1&amp;"|Input"),IF(COUNTIF(Flows!$M$2:$M$1500,$A89&amp;"|"&amp;E$1&amp;"|Output"),"I/O","IN"),IF(COUNTIF(Flows!$M$2:$M$1500,$A89&amp;"|"&amp;E$1&amp;"|Output"),"OUT",""))</f>
        <v/>
      </c>
      <c r="F89" s="33" t="str">
        <f aca="false">IF(COUNTIF(Flows!$M$2:$M$1500,$A89&amp;"|"&amp;F$1&amp;"|Input"),IF(COUNTIF(Flows!$M$2:$M$1500,$A89&amp;"|"&amp;F$1&amp;"|Output"),"I/O","IN"),IF(COUNTIF(Flows!$M$2:$M$1500,$A89&amp;"|"&amp;F$1&amp;"|Output"),"OUT",""))</f>
        <v/>
      </c>
      <c r="G89" s="33" t="str">
        <f aca="false">IF(COUNTIF(Flows!$M$2:$M$1500,$A89&amp;"|"&amp;G$1&amp;"|Input"),IF(COUNTIF(Flows!$M$2:$M$1500,$A89&amp;"|"&amp;G$1&amp;"|Output"),"I/O","IN"),IF(COUNTIF(Flows!$M$2:$M$1500,$A89&amp;"|"&amp;G$1&amp;"|Output"),"OUT",""))</f>
        <v/>
      </c>
      <c r="H89" s="33" t="str">
        <f aca="false">IF(COUNTIF(Flows!$M$2:$M$1500,$A89&amp;"|"&amp;H$1&amp;"|Input"),IF(COUNTIF(Flows!$M$2:$M$1500,$A89&amp;"|"&amp;H$1&amp;"|Output"),"I/O","IN"),IF(COUNTIF(Flows!$M$2:$M$1500,$A89&amp;"|"&amp;H$1&amp;"|Output"),"OUT",""))</f>
        <v/>
      </c>
      <c r="I89" s="33" t="str">
        <f aca="false">IF(COUNTIF(Flows!$M$2:$M$1500,$A89&amp;"|"&amp;I$1&amp;"|Input"),IF(COUNTIF(Flows!$M$2:$M$1500,$A89&amp;"|"&amp;I$1&amp;"|Output"),"I/O","IN"),IF(COUNTIF(Flows!$M$2:$M$1500,$A89&amp;"|"&amp;I$1&amp;"|Output"),"OUT",""))</f>
        <v/>
      </c>
      <c r="J89" s="33" t="str">
        <f aca="false">IF(COUNTIF(Flows!$M$2:$M$1500,$A89&amp;"|"&amp;J$1&amp;"|Input"),IF(COUNTIF(Flows!$M$2:$M$1500,$A89&amp;"|"&amp;J$1&amp;"|Output"),"I/O","IN"),IF(COUNTIF(Flows!$M$2:$M$1500,$A89&amp;"|"&amp;J$1&amp;"|Output"),"OUT",""))</f>
        <v/>
      </c>
      <c r="K89" s="33" t="str">
        <f aca="false">IF(COUNTIF(Flows!$M$2:$M$1500,$A89&amp;"|"&amp;K$1&amp;"|Input"),IF(COUNTIF(Flows!$M$2:$M$1500,$A89&amp;"|"&amp;K$1&amp;"|Output"),"I/O","IN"),IF(COUNTIF(Flows!$M$2:$M$1500,$A89&amp;"|"&amp;K$1&amp;"|Output"),"OUT",""))</f>
        <v/>
      </c>
      <c r="L89" s="33" t="str">
        <f aca="false">IF(COUNTIF(Flows!$M$2:$M$1500,$A89&amp;"|"&amp;L$1&amp;"|Input"),IF(COUNTIF(Flows!$M$2:$M$1500,$A89&amp;"|"&amp;L$1&amp;"|Output"),"I/O","IN"),IF(COUNTIF(Flows!$M$2:$M$1500,$A89&amp;"|"&amp;L$1&amp;"|Output"),"OUT",""))</f>
        <v/>
      </c>
      <c r="M89" s="33" t="str">
        <f aca="false">IF(COUNTIF(Flows!$M$2:$M$1500,$A89&amp;"|"&amp;M$1&amp;"|Input"),IF(COUNTIF(Flows!$M$2:$M$1500,$A89&amp;"|"&amp;M$1&amp;"|Output"),"I/O","IN"),IF(COUNTIF(Flows!$M$2:$M$1500,$A89&amp;"|"&amp;M$1&amp;"|Output"),"OUT",""))</f>
        <v/>
      </c>
      <c r="N89" s="33" t="str">
        <f aca="false">IF(COUNTIF(Flows!$M$2:$M$1500,$A89&amp;"|"&amp;N$1&amp;"|Input"),IF(COUNTIF(Flows!$M$2:$M$1500,$A89&amp;"|"&amp;N$1&amp;"|Output"),"I/O","IN"),IF(COUNTIF(Flows!$M$2:$M$1500,$A89&amp;"|"&amp;N$1&amp;"|Output"),"OUT",""))</f>
        <v/>
      </c>
      <c r="O89" s="33" t="str">
        <f aca="false">IF(COUNTIF(Flows!$M$2:$M$1500,$A89&amp;"|"&amp;O$1&amp;"|Input"),IF(COUNTIF(Flows!$M$2:$M$1500,$A89&amp;"|"&amp;O$1&amp;"|Output"),"I/O","IN"),IF(COUNTIF(Flows!$M$2:$M$1500,$A89&amp;"|"&amp;O$1&amp;"|Output"),"OUT",""))</f>
        <v/>
      </c>
      <c r="P89" s="33" t="str">
        <f aca="false">IF(COUNTIF(Flows!$M$2:$M$1500,$A89&amp;"|"&amp;P$1&amp;"|Input"),IF(COUNTIF(Flows!$M$2:$M$1500,$A89&amp;"|"&amp;P$1&amp;"|Output"),"I/O","IN"),IF(COUNTIF(Flows!$M$2:$M$1500,$A89&amp;"|"&amp;P$1&amp;"|Output"),"OUT",""))</f>
        <v/>
      </c>
      <c r="Q89" s="33" t="str">
        <f aca="false">IF(COUNTIF(Flows!$M$2:$M$1500,$A89&amp;"|"&amp;Q$1&amp;"|Input"),IF(COUNTIF(Flows!$M$2:$M$1500,$A89&amp;"|"&amp;Q$1&amp;"|Output"),"I/O","IN"),IF(COUNTIF(Flows!$M$2:$M$1500,$A89&amp;"|"&amp;Q$1&amp;"|Output"),"OUT",""))</f>
        <v>OUT</v>
      </c>
      <c r="R89" s="33" t="str">
        <f aca="false">IF(COUNTIF(Flows!$M$2:$M$1500,$A89&amp;"|"&amp;R$1&amp;"|Input"),IF(COUNTIF(Flows!$M$2:$M$1500,$A89&amp;"|"&amp;R$1&amp;"|Output"),"I/O","IN"),IF(COUNTIF(Flows!$M$2:$M$1500,$A89&amp;"|"&amp;R$1&amp;"|Output"),"OUT",""))</f>
        <v/>
      </c>
      <c r="S89" s="33" t="str">
        <f aca="false">IF(COUNTIF(Flows!$M$2:$M$1500,$A89&amp;"|"&amp;S$1&amp;"|Input"),IF(COUNTIF(Flows!$M$2:$M$1500,$A89&amp;"|"&amp;S$1&amp;"|Output"),"I/O","IN"),IF(COUNTIF(Flows!$M$2:$M$1500,$A89&amp;"|"&amp;S$1&amp;"|Output"),"OUT",""))</f>
        <v/>
      </c>
      <c r="T89" s="33" t="str">
        <f aca="false">IF(COUNTIF(Flows!$M$2:$M$1500,$A89&amp;"|"&amp;T$1&amp;"|Input"),IF(COUNTIF(Flows!$M$2:$M$1500,$A89&amp;"|"&amp;T$1&amp;"|Output"),"I/O","IN"),IF(COUNTIF(Flows!$M$2:$M$1500,$A89&amp;"|"&amp;T$1&amp;"|Output"),"OUT",""))</f>
        <v/>
      </c>
      <c r="U89" s="33" t="str">
        <f aca="false">IF(COUNTIF(Flows!$M$2:$M$1500,$A89&amp;"|"&amp;U$1&amp;"|Input"),IF(COUNTIF(Flows!$M$2:$M$1500,$A89&amp;"|"&amp;U$1&amp;"|Output"),"I/O","IN"),IF(COUNTIF(Flows!$M$2:$M$1500,$A89&amp;"|"&amp;U$1&amp;"|Output"),"OUT",""))</f>
        <v/>
      </c>
      <c r="V89" s="33" t="str">
        <f aca="false">IF(COUNTIF(Flows!$M$2:$M$1500,$A89&amp;"|"&amp;V$1&amp;"|Input"),IF(COUNTIF(Flows!$M$2:$M$1500,$A89&amp;"|"&amp;V$1&amp;"|Output"),"I/O","IN"),IF(COUNTIF(Flows!$M$2:$M$1500,$A89&amp;"|"&amp;V$1&amp;"|Output"),"OUT",""))</f>
        <v>IN</v>
      </c>
      <c r="W89" s="33" t="str">
        <f aca="false">IF(COUNTIF(Flows!$M$2:$M$1500,$A89&amp;"|"&amp;W$1&amp;"|Input"),IF(COUNTIF(Flows!$M$2:$M$1500,$A89&amp;"|"&amp;W$1&amp;"|Output"),"I/O","IN"),IF(COUNTIF(Flows!$M$2:$M$1500,$A89&amp;"|"&amp;W$1&amp;"|Output"),"OUT",""))</f>
        <v>IN</v>
      </c>
      <c r="X89" s="33" t="str">
        <f aca="false">IF(COUNTIF(Flows!$M$2:$M$1500,$A89&amp;"|"&amp;X$1&amp;"|Input"),IF(COUNTIF(Flows!$M$2:$M$1500,$A89&amp;"|"&amp;X$1&amp;"|Output"),"I/O","IN"),IF(COUNTIF(Flows!$M$2:$M$1500,$A89&amp;"|"&amp;X$1&amp;"|Output"),"OUT",""))</f>
        <v>IN</v>
      </c>
      <c r="Y89" s="33" t="str">
        <f aca="false">IF(COUNTIF(Flows!$M$2:$M$1500,$A89&amp;"|"&amp;Y$1&amp;"|Input"),IF(COUNTIF(Flows!$M$2:$M$1500,$A89&amp;"|"&amp;Y$1&amp;"|Output"),"I/O","IN"),IF(COUNTIF(Flows!$M$2:$M$1500,$A89&amp;"|"&amp;Y$1&amp;"|Output"),"OUT",""))</f>
        <v/>
      </c>
      <c r="Z89" s="33" t="str">
        <f aca="false">IF(COUNTIF(Flows!$M$2:$M$1500,$A89&amp;"|"&amp;Z$1&amp;"|Input"),IF(COUNTIF(Flows!$M$2:$M$1500,$A89&amp;"|"&amp;Z$1&amp;"|Output"),"I/O","IN"),IF(COUNTIF(Flows!$M$2:$M$1500,$A89&amp;"|"&amp;Z$1&amp;"|Output"),"OUT",""))</f>
        <v/>
      </c>
      <c r="AA89" s="33" t="str">
        <f aca="false">IF(COUNTIF(Flows!$M$2:$M$1500,$A89&amp;"|"&amp;AA$1&amp;"|Input"),IF(COUNTIF(Flows!$M$2:$M$1500,$A89&amp;"|"&amp;AA$1&amp;"|Output"),"I/O","IN"),IF(COUNTIF(Flows!$M$2:$M$1500,$A89&amp;"|"&amp;AA$1&amp;"|Output"),"OUT",""))</f>
        <v/>
      </c>
      <c r="AB89" s="33" t="str">
        <f aca="false">IF(COUNTIF(Flows!$M$2:$M$1500,$A89&amp;"|"&amp;AB$1&amp;"|Input"),IF(COUNTIF(Flows!$M$2:$M$1500,$A89&amp;"|"&amp;AB$1&amp;"|Output"),"I/O","IN"),IF(COUNTIF(Flows!$M$2:$M$1500,$A89&amp;"|"&amp;AB$1&amp;"|Output"),"OUT",""))</f>
        <v/>
      </c>
      <c r="AC89" s="33" t="str">
        <f aca="false">IF(COUNTIF(Flows!$M$2:$M$1500,$A89&amp;"|"&amp;AC$1&amp;"|Input"),IF(COUNTIF(Flows!$M$2:$M$1500,$A89&amp;"|"&amp;AC$1&amp;"|Output"),"I/O","IN"),IF(COUNTIF(Flows!$M$2:$M$1500,$A89&amp;"|"&amp;AC$1&amp;"|Output"),"OUT",""))</f>
        <v/>
      </c>
      <c r="AD89" s="33" t="str">
        <f aca="false">IF(COUNTIF(Flows!$M$2:$M$1500,$A89&amp;"|"&amp;AD$1&amp;"|Input"),IF(COUNTIF(Flows!$M$2:$M$1500,$A89&amp;"|"&amp;AD$1&amp;"|Output"),"I/O","IN"),IF(COUNTIF(Flows!$M$2:$M$1500,$A89&amp;"|"&amp;AD$1&amp;"|Output"),"OUT",""))</f>
        <v>OUT</v>
      </c>
      <c r="AE89" s="33" t="str">
        <f aca="false">IF(COUNTIF(Flows!$M$2:$M$1500,$A89&amp;"|"&amp;AE$1&amp;"|Input"),IF(COUNTIF(Flows!$M$2:$M$1500,$A89&amp;"|"&amp;AE$1&amp;"|Output"),"I/O","IN"),IF(COUNTIF(Flows!$M$2:$M$1500,$A89&amp;"|"&amp;AE$1&amp;"|Output"),"OUT",""))</f>
        <v/>
      </c>
      <c r="AF89" s="33" t="str">
        <f aca="false">IF(COUNTIF(Flows!$M$2:$M$1500,$A89&amp;"|"&amp;AF$1&amp;"|Input"),IF(COUNTIF(Flows!$M$2:$M$1500,$A89&amp;"|"&amp;AF$1&amp;"|Output"),"I/O","IN"),IF(COUNTIF(Flows!$M$2:$M$1500,$A89&amp;"|"&amp;AF$1&amp;"|Output"),"OUT",""))</f>
        <v/>
      </c>
      <c r="AG89" s="33" t="str">
        <f aca="false">IF(COUNTIF(Flows!$M$2:$M$1500,$A89&amp;"|"&amp;AG$1&amp;"|Input"),IF(COUNTIF(Flows!$M$2:$M$1500,$A89&amp;"|"&amp;AG$1&amp;"|Output"),"I/O","IN"),IF(COUNTIF(Flows!$M$2:$M$1500,$A89&amp;"|"&amp;AG$1&amp;"|Output"),"OUT",""))</f>
        <v/>
      </c>
      <c r="AH89" s="33" t="str">
        <f aca="false">IF(COUNTIF(Flows!$M$2:$M$1500,$A89&amp;"|"&amp;AH$1&amp;"|Input"),IF(COUNTIF(Flows!$M$2:$M$1500,$A89&amp;"|"&amp;AH$1&amp;"|Output"),"I/O","IN"),IF(COUNTIF(Flows!$M$2:$M$1500,$A89&amp;"|"&amp;AH$1&amp;"|Output"),"OUT",""))</f>
        <v/>
      </c>
      <c r="AI89" s="33" t="str">
        <f aca="false">IF(COUNTIF(Flows!$M$2:$M$1500,$A89&amp;"|"&amp;AI$1&amp;"|Input"),IF(COUNTIF(Flows!$M$2:$M$1500,$A89&amp;"|"&amp;AI$1&amp;"|Output"),"I/O","IN"),IF(COUNTIF(Flows!$M$2:$M$1500,$A89&amp;"|"&amp;AI$1&amp;"|Output"),"OUT",""))</f>
        <v/>
      </c>
      <c r="AJ89" s="33" t="str">
        <f aca="false">IF(COUNTIF(Flows!$M$2:$M$1500,$A89&amp;"|"&amp;AJ$1&amp;"|Input"),IF(COUNTIF(Flows!$M$2:$M$1500,$A89&amp;"|"&amp;AJ$1&amp;"|Output"),"I/O","IN"),IF(COUNTIF(Flows!$M$2:$M$1500,$A89&amp;"|"&amp;AJ$1&amp;"|Output"),"OUT",""))</f>
        <v/>
      </c>
      <c r="AK89" s="33" t="str">
        <f aca="false">IF(COUNTIF(Flows!$M$2:$M$1500,$A89&amp;"|"&amp;AK$1&amp;"|Input"),IF(COUNTIF(Flows!$M$2:$M$1500,$A89&amp;"|"&amp;AK$1&amp;"|Output"),"I/O","IN"),IF(COUNTIF(Flows!$M$2:$M$1500,$A89&amp;"|"&amp;AK$1&amp;"|Output"),"OUT",""))</f>
        <v/>
      </c>
      <c r="AL89" s="33" t="str">
        <f aca="false">IF(COUNTIF(Flows!$M$2:$M$1500,$A89&amp;"|"&amp;AL$1&amp;"|Input"),IF(COUNTIF(Flows!$M$2:$M$1500,$A89&amp;"|"&amp;AL$1&amp;"|Output"),"I/O","IN"),IF(COUNTIF(Flows!$M$2:$M$1500,$A89&amp;"|"&amp;AL$1&amp;"|Output"),"OUT",""))</f>
        <v/>
      </c>
      <c r="AM89" s="33" t="str">
        <f aca="false">IF(COUNTIF(Flows!$M$2:$M$1500,$A89&amp;"|"&amp;AM$1&amp;"|Input"),IF(COUNTIF(Flows!$M$2:$M$1500,$A89&amp;"|"&amp;AM$1&amp;"|Output"),"I/O","IN"),IF(COUNTIF(Flows!$M$2:$M$1500,$A89&amp;"|"&amp;AM$1&amp;"|Output"),"OUT",""))</f>
        <v/>
      </c>
      <c r="AN89" s="33" t="str">
        <f aca="false">IF(COUNTIF(Flows!$M$2:$M$1500,$A89&amp;"|"&amp;AN$1&amp;"|Input"),IF(COUNTIF(Flows!$M$2:$M$1500,$A89&amp;"|"&amp;AN$1&amp;"|Output"),"I/O","IN"),IF(COUNTIF(Flows!$M$2:$M$1500,$A89&amp;"|"&amp;AN$1&amp;"|Output"),"OUT",""))</f>
        <v/>
      </c>
      <c r="AO89" s="33" t="str">
        <f aca="false">IF(COUNTIF(Flows!$M$2:$M$1500,$A89&amp;"|"&amp;AO$1&amp;"|Input"),IF(COUNTIF(Flows!$M$2:$M$1500,$A89&amp;"|"&amp;AO$1&amp;"|Output"),"I/O","IN"),IF(COUNTIF(Flows!$M$2:$M$1500,$A89&amp;"|"&amp;AO$1&amp;"|Output"),"OUT",""))</f>
        <v/>
      </c>
      <c r="AP89" s="33" t="str">
        <f aca="false">IF(COUNTIF(Flows!$M$2:$M$1500,$A89&amp;"|"&amp;AP$1&amp;"|Input"),IF(COUNTIF(Flows!$M$2:$M$1500,$A89&amp;"|"&amp;AP$1&amp;"|Output"),"I/O","IN"),IF(COUNTIF(Flows!$M$2:$M$1500,$A89&amp;"|"&amp;AP$1&amp;"|Output"),"OUT",""))</f>
        <v/>
      </c>
      <c r="AQ89" s="33" t="str">
        <f aca="false">IF(COUNTIF(Flows!$M$2:$M$1500,$A89&amp;"|"&amp;AQ$1&amp;"|Input"),IF(COUNTIF(Flows!$M$2:$M$1500,$A89&amp;"|"&amp;AQ$1&amp;"|Output"),"I/O","IN"),IF(COUNTIF(Flows!$M$2:$M$1500,$A89&amp;"|"&amp;AQ$1&amp;"|Output"),"OUT",""))</f>
        <v/>
      </c>
      <c r="AR89" s="33" t="str">
        <f aca="false">IF(COUNTIF(Flows!$M$2:$M$1500,$A89&amp;"|"&amp;AR$1&amp;"|Input"),IF(COUNTIF(Flows!$M$2:$M$1500,$A89&amp;"|"&amp;AR$1&amp;"|Output"),"I/O","IN"),IF(COUNTIF(Flows!$M$2:$M$1500,$A89&amp;"|"&amp;AR$1&amp;"|Output"),"OUT",""))</f>
        <v/>
      </c>
      <c r="AS89" s="33" t="str">
        <f aca="false">IF(COUNTIF(Flows!$M$2:$M$1500,$A89&amp;"|"&amp;AS$1&amp;"|Input"),IF(COUNTIF(Flows!$M$2:$M$1500,$A89&amp;"|"&amp;AS$1&amp;"|Output"),"I/O","IN"),IF(COUNTIF(Flows!$M$2:$M$1500,$A89&amp;"|"&amp;AS$1&amp;"|Output"),"OUT",""))</f>
        <v/>
      </c>
      <c r="AT89" s="33" t="str">
        <f aca="false">IF(COUNTIF(Flows!$M$2:$M$1500,$A89&amp;"|"&amp;AT$1&amp;"|Input"),IF(COUNTIF(Flows!$M$2:$M$1500,$A89&amp;"|"&amp;AT$1&amp;"|Output"),"I/O","IN"),IF(COUNTIF(Flows!$M$2:$M$1500,$A89&amp;"|"&amp;AT$1&amp;"|Output"),"OUT",""))</f>
        <v/>
      </c>
      <c r="AU89" s="33" t="str">
        <f aca="false">IF(COUNTIF(Flows!$M$2:$M$1500,$A89&amp;"|"&amp;AU$1&amp;"|Input"),IF(COUNTIF(Flows!$M$2:$M$1500,$A89&amp;"|"&amp;AU$1&amp;"|Output"),"I/O","IN"),IF(COUNTIF(Flows!$M$2:$M$1500,$A89&amp;"|"&amp;AU$1&amp;"|Output"),"OUT",""))</f>
        <v/>
      </c>
      <c r="AV89" s="33" t="str">
        <f aca="false">IF(COUNTIF(Flows!$M$2:$M$1500,$A89&amp;"|"&amp;AV$1&amp;"|Input"),IF(COUNTIF(Flows!$M$2:$M$1500,$A89&amp;"|"&amp;AV$1&amp;"|Output"),"I/O","IN"),IF(COUNTIF(Flows!$M$2:$M$1500,$A89&amp;"|"&amp;AV$1&amp;"|Output"),"OUT",""))</f>
        <v/>
      </c>
      <c r="AW89" s="33" t="str">
        <f aca="false">IF(COUNTIF(Flows!$M$2:$M$1500,$A89&amp;"|"&amp;AW$1&amp;"|Input"),IF(COUNTIF(Flows!$M$2:$M$1500,$A89&amp;"|"&amp;AW$1&amp;"|Output"),"I/O","IN"),IF(COUNTIF(Flows!$M$2:$M$1500,$A89&amp;"|"&amp;AW$1&amp;"|Output"),"OUT",""))</f>
        <v/>
      </c>
      <c r="AX89" s="33" t="str">
        <f aca="false">IF(COUNTIF(Flows!$M$2:$M$1500,$A89&amp;"|"&amp;AX$1&amp;"|Input"),IF(COUNTIF(Flows!$M$2:$M$1500,$A89&amp;"|"&amp;AX$1&amp;"|Output"),"I/O","IN"),IF(COUNTIF(Flows!$M$2:$M$1500,$A89&amp;"|"&amp;AX$1&amp;"|Output"),"OUT",""))</f>
        <v/>
      </c>
      <c r="AY89" s="33" t="str">
        <f aca="false">IF(COUNTIF(Flows!$M$2:$M$1500,$A89&amp;"|"&amp;AY$1&amp;"|Input"),IF(COUNTIF(Flows!$M$2:$M$1500,$A89&amp;"|"&amp;AY$1&amp;"|Output"),"I/O","IN"),IF(COUNTIF(Flows!$M$2:$M$1500,$A89&amp;"|"&amp;AY$1&amp;"|Output"),"OUT",""))</f>
        <v/>
      </c>
      <c r="AZ89" s="33" t="str">
        <f aca="false">IF(COUNTIF(Flows!$M$2:$M$1500,$A89&amp;"|"&amp;AZ$1&amp;"|Input"),IF(COUNTIF(Flows!$M$2:$M$1500,$A89&amp;"|"&amp;AZ$1&amp;"|Output"),"I/O","IN"),IF(COUNTIF(Flows!$M$2:$M$1500,$A89&amp;"|"&amp;AZ$1&amp;"|Output"),"OUT",""))</f>
        <v/>
      </c>
      <c r="BA89" s="33" t="str">
        <f aca="false">IF(COUNTIF(Flows!$M$2:$M$1500,$A89&amp;"|"&amp;BA$1&amp;"|Input"),IF(COUNTIF(Flows!$M$2:$M$1500,$A89&amp;"|"&amp;BA$1&amp;"|Output"),"I/O","IN"),IF(COUNTIF(Flows!$M$2:$M$1500,$A89&amp;"|"&amp;BA$1&amp;"|Output"),"OUT",""))</f>
        <v/>
      </c>
      <c r="BB89" s="33" t="str">
        <f aca="false">IF(COUNTIF(Flows!$M$2:$M$1500,$A89&amp;"|"&amp;BB$1&amp;"|Input"),IF(COUNTIF(Flows!$M$2:$M$1500,$A89&amp;"|"&amp;BB$1&amp;"|Output"),"I/O","IN"),IF(COUNTIF(Flows!$M$2:$M$1500,$A89&amp;"|"&amp;BB$1&amp;"|Output"),"OUT",""))</f>
        <v/>
      </c>
      <c r="BC89" s="33" t="str">
        <f aca="false">IF(COUNTIF(Flows!$M$2:$M$1500,$A89&amp;"|"&amp;BC$1&amp;"|Input"),IF(COUNTIF(Flows!$M$2:$M$1500,$A89&amp;"|"&amp;BC$1&amp;"|Output"),"I/O","IN"),IF(COUNTIF(Flows!$M$2:$M$1500,$A89&amp;"|"&amp;BC$1&amp;"|Output"),"OUT",""))</f>
        <v/>
      </c>
      <c r="BD89" s="33" t="str">
        <f aca="false">IF(COUNTIF(Flows!$M$2:$M$1500,$A89&amp;"|"&amp;BD$1&amp;"|Input"),IF(COUNTIF(Flows!$M$2:$M$1500,$A89&amp;"|"&amp;BD$1&amp;"|Output"),"I/O","IN"),IF(COUNTIF(Flows!$M$2:$M$1500,$A89&amp;"|"&amp;BD$1&amp;"|Output"),"OUT",""))</f>
        <v>IN</v>
      </c>
      <c r="BE89" s="33" t="str">
        <f aca="false">IF(COUNTIF(Flows!$M$2:$M$1500,$A89&amp;"|"&amp;BE$1&amp;"|Input"),IF(COUNTIF(Flows!$M$2:$M$1500,$A89&amp;"|"&amp;BE$1&amp;"|Output"),"I/O","IN"),IF(COUNTIF(Flows!$M$2:$M$1500,$A89&amp;"|"&amp;BE$1&amp;"|Output"),"OUT",""))</f>
        <v/>
      </c>
      <c r="BF89" s="33" t="str">
        <f aca="false">IF(COUNTIF(Flows!$M$2:$M$1500,$A89&amp;"|"&amp;BF$1&amp;"|Input"),IF(COUNTIF(Flows!$M$2:$M$1500,$A89&amp;"|"&amp;BF$1&amp;"|Output"),"I/O","IN"),IF(COUNTIF(Flows!$M$2:$M$1500,$A89&amp;"|"&amp;BF$1&amp;"|Output"),"OUT",""))</f>
        <v/>
      </c>
      <c r="BG89" s="33" t="str">
        <f aca="false">IF(COUNTIF(Flows!$M$2:$M$1500,$A89&amp;"|"&amp;BG$1&amp;"|Input"),IF(COUNTIF(Flows!$M$2:$M$1500,$A89&amp;"|"&amp;BG$1&amp;"|Output"),"I/O","IN"),IF(COUNTIF(Flows!$M$2:$M$1500,$A89&amp;"|"&amp;BG$1&amp;"|Output"),"OUT",""))</f>
        <v/>
      </c>
      <c r="BH89" s="33" t="str">
        <f aca="false">IF(COUNTIF(Flows!$M$2:$M$1500,$A89&amp;"|"&amp;BH$1&amp;"|Input"),IF(COUNTIF(Flows!$M$2:$M$1500,$A89&amp;"|"&amp;BH$1&amp;"|Output"),"I/O","IN"),IF(COUNTIF(Flows!$M$2:$M$1500,$A89&amp;"|"&amp;BH$1&amp;"|Output"),"OUT",""))</f>
        <v/>
      </c>
      <c r="BI89" s="33" t="str">
        <f aca="false">IF(COUNTIF(Flows!$M$2:$M$1500,$A89&amp;"|"&amp;BI$1&amp;"|Input"),IF(COUNTIF(Flows!$M$2:$M$1500,$A89&amp;"|"&amp;BI$1&amp;"|Output"),"I/O","IN"),IF(COUNTIF(Flows!$M$2:$M$1500,$A89&amp;"|"&amp;BI$1&amp;"|Output"),"OUT",""))</f>
        <v/>
      </c>
      <c r="BJ89" s="33" t="str">
        <f aca="false">IF(COUNTIF(Flows!$M$2:$M$1500,$A89&amp;"|"&amp;BJ$1&amp;"|Input"),IF(COUNTIF(Flows!$M$2:$M$1500,$A89&amp;"|"&amp;BJ$1&amp;"|Output"),"I/O","IN"),IF(COUNTIF(Flows!$M$2:$M$1500,$A89&amp;"|"&amp;BJ$1&amp;"|Output"),"OUT",""))</f>
        <v/>
      </c>
      <c r="BK89" s="33" t="str">
        <f aca="false">IF(COUNTIF(Flows!$M$2:$M$1500,$A89&amp;"|"&amp;BK$1&amp;"|Input"),IF(COUNTIF(Flows!$M$2:$M$1500,$A89&amp;"|"&amp;BK$1&amp;"|Output"),"I/O","IN"),IF(COUNTIF(Flows!$M$2:$M$1500,$A89&amp;"|"&amp;BK$1&amp;"|Output"),"OUT",""))</f>
        <v/>
      </c>
    </row>
    <row r="90" customFormat="false" ht="15" hidden="false" customHeight="true" outlineLevel="0" collapsed="false">
      <c r="A90" s="6" t="str">
        <f aca="false">Systems!B90</f>
        <v>Hammock + Tarp Camp</v>
      </c>
      <c r="B90" s="33" t="str">
        <f aca="false">IF(COUNTIF(Flows!$M$2:$M$1500,$A90&amp;"|"&amp;B$1&amp;"|Input"),IF(COUNTIF(Flows!$M$2:$M$1500,$A90&amp;"|"&amp;B$1&amp;"|Output"),"I/O","IN"),IF(COUNTIF(Flows!$M$2:$M$1500,$A90&amp;"|"&amp;B$1&amp;"|Output"),"OUT",""))</f>
        <v/>
      </c>
      <c r="C90" s="33" t="str">
        <f aca="false">IF(COUNTIF(Flows!$M$2:$M$1500,$A90&amp;"|"&amp;C$1&amp;"|Input"),IF(COUNTIF(Flows!$M$2:$M$1500,$A90&amp;"|"&amp;C$1&amp;"|Output"),"I/O","IN"),IF(COUNTIF(Flows!$M$2:$M$1500,$A90&amp;"|"&amp;C$1&amp;"|Output"),"OUT",""))</f>
        <v/>
      </c>
      <c r="D90" s="33" t="str">
        <f aca="false">IF(COUNTIF(Flows!$M$2:$M$1500,$A90&amp;"|"&amp;D$1&amp;"|Input"),IF(COUNTIF(Flows!$M$2:$M$1500,$A90&amp;"|"&amp;D$1&amp;"|Output"),"I/O","IN"),IF(COUNTIF(Flows!$M$2:$M$1500,$A90&amp;"|"&amp;D$1&amp;"|Output"),"OUT",""))</f>
        <v/>
      </c>
      <c r="E90" s="33" t="str">
        <f aca="false">IF(COUNTIF(Flows!$M$2:$M$1500,$A90&amp;"|"&amp;E$1&amp;"|Input"),IF(COUNTIF(Flows!$M$2:$M$1500,$A90&amp;"|"&amp;E$1&amp;"|Output"),"I/O","IN"),IF(COUNTIF(Flows!$M$2:$M$1500,$A90&amp;"|"&amp;E$1&amp;"|Output"),"OUT",""))</f>
        <v/>
      </c>
      <c r="F90" s="33" t="str">
        <f aca="false">IF(COUNTIF(Flows!$M$2:$M$1500,$A90&amp;"|"&amp;F$1&amp;"|Input"),IF(COUNTIF(Flows!$M$2:$M$1500,$A90&amp;"|"&amp;F$1&amp;"|Output"),"I/O","IN"),IF(COUNTIF(Flows!$M$2:$M$1500,$A90&amp;"|"&amp;F$1&amp;"|Output"),"OUT",""))</f>
        <v/>
      </c>
      <c r="G90" s="33" t="str">
        <f aca="false">IF(COUNTIF(Flows!$M$2:$M$1500,$A90&amp;"|"&amp;G$1&amp;"|Input"),IF(COUNTIF(Flows!$M$2:$M$1500,$A90&amp;"|"&amp;G$1&amp;"|Output"),"I/O","IN"),IF(COUNTIF(Flows!$M$2:$M$1500,$A90&amp;"|"&amp;G$1&amp;"|Output"),"OUT",""))</f>
        <v/>
      </c>
      <c r="H90" s="33" t="str">
        <f aca="false">IF(COUNTIF(Flows!$M$2:$M$1500,$A90&amp;"|"&amp;H$1&amp;"|Input"),IF(COUNTIF(Flows!$M$2:$M$1500,$A90&amp;"|"&amp;H$1&amp;"|Output"),"I/O","IN"),IF(COUNTIF(Flows!$M$2:$M$1500,$A90&amp;"|"&amp;H$1&amp;"|Output"),"OUT",""))</f>
        <v/>
      </c>
      <c r="I90" s="33" t="str">
        <f aca="false">IF(COUNTIF(Flows!$M$2:$M$1500,$A90&amp;"|"&amp;I$1&amp;"|Input"),IF(COUNTIF(Flows!$M$2:$M$1500,$A90&amp;"|"&amp;I$1&amp;"|Output"),"I/O","IN"),IF(COUNTIF(Flows!$M$2:$M$1500,$A90&amp;"|"&amp;I$1&amp;"|Output"),"OUT",""))</f>
        <v/>
      </c>
      <c r="J90" s="33" t="str">
        <f aca="false">IF(COUNTIF(Flows!$M$2:$M$1500,$A90&amp;"|"&amp;J$1&amp;"|Input"),IF(COUNTIF(Flows!$M$2:$M$1500,$A90&amp;"|"&amp;J$1&amp;"|Output"),"I/O","IN"),IF(COUNTIF(Flows!$M$2:$M$1500,$A90&amp;"|"&amp;J$1&amp;"|Output"),"OUT",""))</f>
        <v/>
      </c>
      <c r="K90" s="33" t="str">
        <f aca="false">IF(COUNTIF(Flows!$M$2:$M$1500,$A90&amp;"|"&amp;K$1&amp;"|Input"),IF(COUNTIF(Flows!$M$2:$M$1500,$A90&amp;"|"&amp;K$1&amp;"|Output"),"I/O","IN"),IF(COUNTIF(Flows!$M$2:$M$1500,$A90&amp;"|"&amp;K$1&amp;"|Output"),"OUT",""))</f>
        <v/>
      </c>
      <c r="L90" s="33" t="str">
        <f aca="false">IF(COUNTIF(Flows!$M$2:$M$1500,$A90&amp;"|"&amp;L$1&amp;"|Input"),IF(COUNTIF(Flows!$M$2:$M$1500,$A90&amp;"|"&amp;L$1&amp;"|Output"),"I/O","IN"),IF(COUNTIF(Flows!$M$2:$M$1500,$A90&amp;"|"&amp;L$1&amp;"|Output"),"OUT",""))</f>
        <v/>
      </c>
      <c r="M90" s="33" t="str">
        <f aca="false">IF(COUNTIF(Flows!$M$2:$M$1500,$A90&amp;"|"&amp;M$1&amp;"|Input"),IF(COUNTIF(Flows!$M$2:$M$1500,$A90&amp;"|"&amp;M$1&amp;"|Output"),"I/O","IN"),IF(COUNTIF(Flows!$M$2:$M$1500,$A90&amp;"|"&amp;M$1&amp;"|Output"),"OUT",""))</f>
        <v/>
      </c>
      <c r="N90" s="33" t="str">
        <f aca="false">IF(COUNTIF(Flows!$M$2:$M$1500,$A90&amp;"|"&amp;N$1&amp;"|Input"),IF(COUNTIF(Flows!$M$2:$M$1500,$A90&amp;"|"&amp;N$1&amp;"|Output"),"I/O","IN"),IF(COUNTIF(Flows!$M$2:$M$1500,$A90&amp;"|"&amp;N$1&amp;"|Output"),"OUT",""))</f>
        <v/>
      </c>
      <c r="O90" s="33" t="str">
        <f aca="false">IF(COUNTIF(Flows!$M$2:$M$1500,$A90&amp;"|"&amp;O$1&amp;"|Input"),IF(COUNTIF(Flows!$M$2:$M$1500,$A90&amp;"|"&amp;O$1&amp;"|Output"),"I/O","IN"),IF(COUNTIF(Flows!$M$2:$M$1500,$A90&amp;"|"&amp;O$1&amp;"|Output"),"OUT",""))</f>
        <v/>
      </c>
      <c r="P90" s="33" t="str">
        <f aca="false">IF(COUNTIF(Flows!$M$2:$M$1500,$A90&amp;"|"&amp;P$1&amp;"|Input"),IF(COUNTIF(Flows!$M$2:$M$1500,$A90&amp;"|"&amp;P$1&amp;"|Output"),"I/O","IN"),IF(COUNTIF(Flows!$M$2:$M$1500,$A90&amp;"|"&amp;P$1&amp;"|Output"),"OUT",""))</f>
        <v/>
      </c>
      <c r="Q90" s="33" t="str">
        <f aca="false">IF(COUNTIF(Flows!$M$2:$M$1500,$A90&amp;"|"&amp;Q$1&amp;"|Input"),IF(COUNTIF(Flows!$M$2:$M$1500,$A90&amp;"|"&amp;Q$1&amp;"|Output"),"I/O","IN"),IF(COUNTIF(Flows!$M$2:$M$1500,$A90&amp;"|"&amp;Q$1&amp;"|Output"),"OUT",""))</f>
        <v>OUT</v>
      </c>
      <c r="R90" s="33" t="str">
        <f aca="false">IF(COUNTIF(Flows!$M$2:$M$1500,$A90&amp;"|"&amp;R$1&amp;"|Input"),IF(COUNTIF(Flows!$M$2:$M$1500,$A90&amp;"|"&amp;R$1&amp;"|Output"),"I/O","IN"),IF(COUNTIF(Flows!$M$2:$M$1500,$A90&amp;"|"&amp;R$1&amp;"|Output"),"OUT",""))</f>
        <v/>
      </c>
      <c r="S90" s="33" t="str">
        <f aca="false">IF(COUNTIF(Flows!$M$2:$M$1500,$A90&amp;"|"&amp;S$1&amp;"|Input"),IF(COUNTIF(Flows!$M$2:$M$1500,$A90&amp;"|"&amp;S$1&amp;"|Output"),"I/O","IN"),IF(COUNTIF(Flows!$M$2:$M$1500,$A90&amp;"|"&amp;S$1&amp;"|Output"),"OUT",""))</f>
        <v/>
      </c>
      <c r="T90" s="33" t="str">
        <f aca="false">IF(COUNTIF(Flows!$M$2:$M$1500,$A90&amp;"|"&amp;T$1&amp;"|Input"),IF(COUNTIF(Flows!$M$2:$M$1500,$A90&amp;"|"&amp;T$1&amp;"|Output"),"I/O","IN"),IF(COUNTIF(Flows!$M$2:$M$1500,$A90&amp;"|"&amp;T$1&amp;"|Output"),"OUT",""))</f>
        <v/>
      </c>
      <c r="U90" s="33" t="str">
        <f aca="false">IF(COUNTIF(Flows!$M$2:$M$1500,$A90&amp;"|"&amp;U$1&amp;"|Input"),IF(COUNTIF(Flows!$M$2:$M$1500,$A90&amp;"|"&amp;U$1&amp;"|Output"),"I/O","IN"),IF(COUNTIF(Flows!$M$2:$M$1500,$A90&amp;"|"&amp;U$1&amp;"|Output"),"OUT",""))</f>
        <v/>
      </c>
      <c r="V90" s="33" t="str">
        <f aca="false">IF(COUNTIF(Flows!$M$2:$M$1500,$A90&amp;"|"&amp;V$1&amp;"|Input"),IF(COUNTIF(Flows!$M$2:$M$1500,$A90&amp;"|"&amp;V$1&amp;"|Output"),"I/O","IN"),IF(COUNTIF(Flows!$M$2:$M$1500,$A90&amp;"|"&amp;V$1&amp;"|Output"),"OUT",""))</f>
        <v>IN</v>
      </c>
      <c r="W90" s="33" t="str">
        <f aca="false">IF(COUNTIF(Flows!$M$2:$M$1500,$A90&amp;"|"&amp;W$1&amp;"|Input"),IF(COUNTIF(Flows!$M$2:$M$1500,$A90&amp;"|"&amp;W$1&amp;"|Output"),"I/O","IN"),IF(COUNTIF(Flows!$M$2:$M$1500,$A90&amp;"|"&amp;W$1&amp;"|Output"),"OUT",""))</f>
        <v>IN</v>
      </c>
      <c r="X90" s="33" t="str">
        <f aca="false">IF(COUNTIF(Flows!$M$2:$M$1500,$A90&amp;"|"&amp;X$1&amp;"|Input"),IF(COUNTIF(Flows!$M$2:$M$1500,$A90&amp;"|"&amp;X$1&amp;"|Output"),"I/O","IN"),IF(COUNTIF(Flows!$M$2:$M$1500,$A90&amp;"|"&amp;X$1&amp;"|Output"),"OUT",""))</f>
        <v>IN</v>
      </c>
      <c r="Y90" s="33" t="str">
        <f aca="false">IF(COUNTIF(Flows!$M$2:$M$1500,$A90&amp;"|"&amp;Y$1&amp;"|Input"),IF(COUNTIF(Flows!$M$2:$M$1500,$A90&amp;"|"&amp;Y$1&amp;"|Output"),"I/O","IN"),IF(COUNTIF(Flows!$M$2:$M$1500,$A90&amp;"|"&amp;Y$1&amp;"|Output"),"OUT",""))</f>
        <v/>
      </c>
      <c r="Z90" s="33" t="str">
        <f aca="false">IF(COUNTIF(Flows!$M$2:$M$1500,$A90&amp;"|"&amp;Z$1&amp;"|Input"),IF(COUNTIF(Flows!$M$2:$M$1500,$A90&amp;"|"&amp;Z$1&amp;"|Output"),"I/O","IN"),IF(COUNTIF(Flows!$M$2:$M$1500,$A90&amp;"|"&amp;Z$1&amp;"|Output"),"OUT",""))</f>
        <v/>
      </c>
      <c r="AA90" s="33" t="str">
        <f aca="false">IF(COUNTIF(Flows!$M$2:$M$1500,$A90&amp;"|"&amp;AA$1&amp;"|Input"),IF(COUNTIF(Flows!$M$2:$M$1500,$A90&amp;"|"&amp;AA$1&amp;"|Output"),"I/O","IN"),IF(COUNTIF(Flows!$M$2:$M$1500,$A90&amp;"|"&amp;AA$1&amp;"|Output"),"OUT",""))</f>
        <v/>
      </c>
      <c r="AB90" s="33" t="str">
        <f aca="false">IF(COUNTIF(Flows!$M$2:$M$1500,$A90&amp;"|"&amp;AB$1&amp;"|Input"),IF(COUNTIF(Flows!$M$2:$M$1500,$A90&amp;"|"&amp;AB$1&amp;"|Output"),"I/O","IN"),IF(COUNTIF(Flows!$M$2:$M$1500,$A90&amp;"|"&amp;AB$1&amp;"|Output"),"OUT",""))</f>
        <v/>
      </c>
      <c r="AC90" s="33" t="str">
        <f aca="false">IF(COUNTIF(Flows!$M$2:$M$1500,$A90&amp;"|"&amp;AC$1&amp;"|Input"),IF(COUNTIF(Flows!$M$2:$M$1500,$A90&amp;"|"&amp;AC$1&amp;"|Output"),"I/O","IN"),IF(COUNTIF(Flows!$M$2:$M$1500,$A90&amp;"|"&amp;AC$1&amp;"|Output"),"OUT",""))</f>
        <v/>
      </c>
      <c r="AD90" s="33" t="str">
        <f aca="false">IF(COUNTIF(Flows!$M$2:$M$1500,$A90&amp;"|"&amp;AD$1&amp;"|Input"),IF(COUNTIF(Flows!$M$2:$M$1500,$A90&amp;"|"&amp;AD$1&amp;"|Output"),"I/O","IN"),IF(COUNTIF(Flows!$M$2:$M$1500,$A90&amp;"|"&amp;AD$1&amp;"|Output"),"OUT",""))</f>
        <v/>
      </c>
      <c r="AE90" s="33" t="str">
        <f aca="false">IF(COUNTIF(Flows!$M$2:$M$1500,$A90&amp;"|"&amp;AE$1&amp;"|Input"),IF(COUNTIF(Flows!$M$2:$M$1500,$A90&amp;"|"&amp;AE$1&amp;"|Output"),"I/O","IN"),IF(COUNTIF(Flows!$M$2:$M$1500,$A90&amp;"|"&amp;AE$1&amp;"|Output"),"OUT",""))</f>
        <v/>
      </c>
      <c r="AF90" s="33" t="str">
        <f aca="false">IF(COUNTIF(Flows!$M$2:$M$1500,$A90&amp;"|"&amp;AF$1&amp;"|Input"),IF(COUNTIF(Flows!$M$2:$M$1500,$A90&amp;"|"&amp;AF$1&amp;"|Output"),"I/O","IN"),IF(COUNTIF(Flows!$M$2:$M$1500,$A90&amp;"|"&amp;AF$1&amp;"|Output"),"OUT",""))</f>
        <v/>
      </c>
      <c r="AG90" s="33" t="str">
        <f aca="false">IF(COUNTIF(Flows!$M$2:$M$1500,$A90&amp;"|"&amp;AG$1&amp;"|Input"),IF(COUNTIF(Flows!$M$2:$M$1500,$A90&amp;"|"&amp;AG$1&amp;"|Output"),"I/O","IN"),IF(COUNTIF(Flows!$M$2:$M$1500,$A90&amp;"|"&amp;AG$1&amp;"|Output"),"OUT",""))</f>
        <v/>
      </c>
      <c r="AH90" s="33" t="str">
        <f aca="false">IF(COUNTIF(Flows!$M$2:$M$1500,$A90&amp;"|"&amp;AH$1&amp;"|Input"),IF(COUNTIF(Flows!$M$2:$M$1500,$A90&amp;"|"&amp;AH$1&amp;"|Output"),"I/O","IN"),IF(COUNTIF(Flows!$M$2:$M$1500,$A90&amp;"|"&amp;AH$1&amp;"|Output"),"OUT",""))</f>
        <v/>
      </c>
      <c r="AI90" s="33" t="str">
        <f aca="false">IF(COUNTIF(Flows!$M$2:$M$1500,$A90&amp;"|"&amp;AI$1&amp;"|Input"),IF(COUNTIF(Flows!$M$2:$M$1500,$A90&amp;"|"&amp;AI$1&amp;"|Output"),"I/O","IN"),IF(COUNTIF(Flows!$M$2:$M$1500,$A90&amp;"|"&amp;AI$1&amp;"|Output"),"OUT",""))</f>
        <v/>
      </c>
      <c r="AJ90" s="33" t="str">
        <f aca="false">IF(COUNTIF(Flows!$M$2:$M$1500,$A90&amp;"|"&amp;AJ$1&amp;"|Input"),IF(COUNTIF(Flows!$M$2:$M$1500,$A90&amp;"|"&amp;AJ$1&amp;"|Output"),"I/O","IN"),IF(COUNTIF(Flows!$M$2:$M$1500,$A90&amp;"|"&amp;AJ$1&amp;"|Output"),"OUT",""))</f>
        <v/>
      </c>
      <c r="AK90" s="33" t="str">
        <f aca="false">IF(COUNTIF(Flows!$M$2:$M$1500,$A90&amp;"|"&amp;AK$1&amp;"|Input"),IF(COUNTIF(Flows!$M$2:$M$1500,$A90&amp;"|"&amp;AK$1&amp;"|Output"),"I/O","IN"),IF(COUNTIF(Flows!$M$2:$M$1500,$A90&amp;"|"&amp;AK$1&amp;"|Output"),"OUT",""))</f>
        <v/>
      </c>
      <c r="AL90" s="33" t="str">
        <f aca="false">IF(COUNTIF(Flows!$M$2:$M$1500,$A90&amp;"|"&amp;AL$1&amp;"|Input"),IF(COUNTIF(Flows!$M$2:$M$1500,$A90&amp;"|"&amp;AL$1&amp;"|Output"),"I/O","IN"),IF(COUNTIF(Flows!$M$2:$M$1500,$A90&amp;"|"&amp;AL$1&amp;"|Output"),"OUT",""))</f>
        <v/>
      </c>
      <c r="AM90" s="33" t="str">
        <f aca="false">IF(COUNTIF(Flows!$M$2:$M$1500,$A90&amp;"|"&amp;AM$1&amp;"|Input"),IF(COUNTIF(Flows!$M$2:$M$1500,$A90&amp;"|"&amp;AM$1&amp;"|Output"),"I/O","IN"),IF(COUNTIF(Flows!$M$2:$M$1500,$A90&amp;"|"&amp;AM$1&amp;"|Output"),"OUT",""))</f>
        <v/>
      </c>
      <c r="AN90" s="33" t="str">
        <f aca="false">IF(COUNTIF(Flows!$M$2:$M$1500,$A90&amp;"|"&amp;AN$1&amp;"|Input"),IF(COUNTIF(Flows!$M$2:$M$1500,$A90&amp;"|"&amp;AN$1&amp;"|Output"),"I/O","IN"),IF(COUNTIF(Flows!$M$2:$M$1500,$A90&amp;"|"&amp;AN$1&amp;"|Output"),"OUT",""))</f>
        <v/>
      </c>
      <c r="AO90" s="33" t="str">
        <f aca="false">IF(COUNTIF(Flows!$M$2:$M$1500,$A90&amp;"|"&amp;AO$1&amp;"|Input"),IF(COUNTIF(Flows!$M$2:$M$1500,$A90&amp;"|"&amp;AO$1&amp;"|Output"),"I/O","IN"),IF(COUNTIF(Flows!$M$2:$M$1500,$A90&amp;"|"&amp;AO$1&amp;"|Output"),"OUT",""))</f>
        <v/>
      </c>
      <c r="AP90" s="33" t="str">
        <f aca="false">IF(COUNTIF(Flows!$M$2:$M$1500,$A90&amp;"|"&amp;AP$1&amp;"|Input"),IF(COUNTIF(Flows!$M$2:$M$1500,$A90&amp;"|"&amp;AP$1&amp;"|Output"),"I/O","IN"),IF(COUNTIF(Flows!$M$2:$M$1500,$A90&amp;"|"&amp;AP$1&amp;"|Output"),"OUT",""))</f>
        <v/>
      </c>
      <c r="AQ90" s="33" t="str">
        <f aca="false">IF(COUNTIF(Flows!$M$2:$M$1500,$A90&amp;"|"&amp;AQ$1&amp;"|Input"),IF(COUNTIF(Flows!$M$2:$M$1500,$A90&amp;"|"&amp;AQ$1&amp;"|Output"),"I/O","IN"),IF(COUNTIF(Flows!$M$2:$M$1500,$A90&amp;"|"&amp;AQ$1&amp;"|Output"),"OUT",""))</f>
        <v/>
      </c>
      <c r="AR90" s="33" t="str">
        <f aca="false">IF(COUNTIF(Flows!$M$2:$M$1500,$A90&amp;"|"&amp;AR$1&amp;"|Input"),IF(COUNTIF(Flows!$M$2:$M$1500,$A90&amp;"|"&amp;AR$1&amp;"|Output"),"I/O","IN"),IF(COUNTIF(Flows!$M$2:$M$1500,$A90&amp;"|"&amp;AR$1&amp;"|Output"),"OUT",""))</f>
        <v/>
      </c>
      <c r="AS90" s="33" t="str">
        <f aca="false">IF(COUNTIF(Flows!$M$2:$M$1500,$A90&amp;"|"&amp;AS$1&amp;"|Input"),IF(COUNTIF(Flows!$M$2:$M$1500,$A90&amp;"|"&amp;AS$1&amp;"|Output"),"I/O","IN"),IF(COUNTIF(Flows!$M$2:$M$1500,$A90&amp;"|"&amp;AS$1&amp;"|Output"),"OUT",""))</f>
        <v/>
      </c>
      <c r="AT90" s="33" t="str">
        <f aca="false">IF(COUNTIF(Flows!$M$2:$M$1500,$A90&amp;"|"&amp;AT$1&amp;"|Input"),IF(COUNTIF(Flows!$M$2:$M$1500,$A90&amp;"|"&amp;AT$1&amp;"|Output"),"I/O","IN"),IF(COUNTIF(Flows!$M$2:$M$1500,$A90&amp;"|"&amp;AT$1&amp;"|Output"),"OUT",""))</f>
        <v/>
      </c>
      <c r="AU90" s="33" t="str">
        <f aca="false">IF(COUNTIF(Flows!$M$2:$M$1500,$A90&amp;"|"&amp;AU$1&amp;"|Input"),IF(COUNTIF(Flows!$M$2:$M$1500,$A90&amp;"|"&amp;AU$1&amp;"|Output"),"I/O","IN"),IF(COUNTIF(Flows!$M$2:$M$1500,$A90&amp;"|"&amp;AU$1&amp;"|Output"),"OUT",""))</f>
        <v/>
      </c>
      <c r="AV90" s="33" t="str">
        <f aca="false">IF(COUNTIF(Flows!$M$2:$M$1500,$A90&amp;"|"&amp;AV$1&amp;"|Input"),IF(COUNTIF(Flows!$M$2:$M$1500,$A90&amp;"|"&amp;AV$1&amp;"|Output"),"I/O","IN"),IF(COUNTIF(Flows!$M$2:$M$1500,$A90&amp;"|"&amp;AV$1&amp;"|Output"),"OUT",""))</f>
        <v/>
      </c>
      <c r="AW90" s="33" t="str">
        <f aca="false">IF(COUNTIF(Flows!$M$2:$M$1500,$A90&amp;"|"&amp;AW$1&amp;"|Input"),IF(COUNTIF(Flows!$M$2:$M$1500,$A90&amp;"|"&amp;AW$1&amp;"|Output"),"I/O","IN"),IF(COUNTIF(Flows!$M$2:$M$1500,$A90&amp;"|"&amp;AW$1&amp;"|Output"),"OUT",""))</f>
        <v/>
      </c>
      <c r="AX90" s="33" t="str">
        <f aca="false">IF(COUNTIF(Flows!$M$2:$M$1500,$A90&amp;"|"&amp;AX$1&amp;"|Input"),IF(COUNTIF(Flows!$M$2:$M$1500,$A90&amp;"|"&amp;AX$1&amp;"|Output"),"I/O","IN"),IF(COUNTIF(Flows!$M$2:$M$1500,$A90&amp;"|"&amp;AX$1&amp;"|Output"),"OUT",""))</f>
        <v/>
      </c>
      <c r="AY90" s="33" t="str">
        <f aca="false">IF(COUNTIF(Flows!$M$2:$M$1500,$A90&amp;"|"&amp;AY$1&amp;"|Input"),IF(COUNTIF(Flows!$M$2:$M$1500,$A90&amp;"|"&amp;AY$1&amp;"|Output"),"I/O","IN"),IF(COUNTIF(Flows!$M$2:$M$1500,$A90&amp;"|"&amp;AY$1&amp;"|Output"),"OUT",""))</f>
        <v/>
      </c>
      <c r="AZ90" s="33" t="str">
        <f aca="false">IF(COUNTIF(Flows!$M$2:$M$1500,$A90&amp;"|"&amp;AZ$1&amp;"|Input"),IF(COUNTIF(Flows!$M$2:$M$1500,$A90&amp;"|"&amp;AZ$1&amp;"|Output"),"I/O","IN"),IF(COUNTIF(Flows!$M$2:$M$1500,$A90&amp;"|"&amp;AZ$1&amp;"|Output"),"OUT",""))</f>
        <v/>
      </c>
      <c r="BA90" s="33" t="str">
        <f aca="false">IF(COUNTIF(Flows!$M$2:$M$1500,$A90&amp;"|"&amp;BA$1&amp;"|Input"),IF(COUNTIF(Flows!$M$2:$M$1500,$A90&amp;"|"&amp;BA$1&amp;"|Output"),"I/O","IN"),IF(COUNTIF(Flows!$M$2:$M$1500,$A90&amp;"|"&amp;BA$1&amp;"|Output"),"OUT",""))</f>
        <v/>
      </c>
      <c r="BB90" s="33" t="str">
        <f aca="false">IF(COUNTIF(Flows!$M$2:$M$1500,$A90&amp;"|"&amp;BB$1&amp;"|Input"),IF(COUNTIF(Flows!$M$2:$M$1500,$A90&amp;"|"&amp;BB$1&amp;"|Output"),"I/O","IN"),IF(COUNTIF(Flows!$M$2:$M$1500,$A90&amp;"|"&amp;BB$1&amp;"|Output"),"OUT",""))</f>
        <v/>
      </c>
      <c r="BC90" s="33" t="str">
        <f aca="false">IF(COUNTIF(Flows!$M$2:$M$1500,$A90&amp;"|"&amp;BC$1&amp;"|Input"),IF(COUNTIF(Flows!$M$2:$M$1500,$A90&amp;"|"&amp;BC$1&amp;"|Output"),"I/O","IN"),IF(COUNTIF(Flows!$M$2:$M$1500,$A90&amp;"|"&amp;BC$1&amp;"|Output"),"OUT",""))</f>
        <v/>
      </c>
      <c r="BD90" s="33" t="str">
        <f aca="false">IF(COUNTIF(Flows!$M$2:$M$1500,$A90&amp;"|"&amp;BD$1&amp;"|Input"),IF(COUNTIF(Flows!$M$2:$M$1500,$A90&amp;"|"&amp;BD$1&amp;"|Output"),"I/O","IN"),IF(COUNTIF(Flows!$M$2:$M$1500,$A90&amp;"|"&amp;BD$1&amp;"|Output"),"OUT",""))</f>
        <v/>
      </c>
      <c r="BE90" s="33" t="str">
        <f aca="false">IF(COUNTIF(Flows!$M$2:$M$1500,$A90&amp;"|"&amp;BE$1&amp;"|Input"),IF(COUNTIF(Flows!$M$2:$M$1500,$A90&amp;"|"&amp;BE$1&amp;"|Output"),"I/O","IN"),IF(COUNTIF(Flows!$M$2:$M$1500,$A90&amp;"|"&amp;BE$1&amp;"|Output"),"OUT",""))</f>
        <v/>
      </c>
      <c r="BF90" s="33" t="str">
        <f aca="false">IF(COUNTIF(Flows!$M$2:$M$1500,$A90&amp;"|"&amp;BF$1&amp;"|Input"),IF(COUNTIF(Flows!$M$2:$M$1500,$A90&amp;"|"&amp;BF$1&amp;"|Output"),"I/O","IN"),IF(COUNTIF(Flows!$M$2:$M$1500,$A90&amp;"|"&amp;BF$1&amp;"|Output"),"OUT",""))</f>
        <v/>
      </c>
      <c r="BG90" s="33" t="str">
        <f aca="false">IF(COUNTIF(Flows!$M$2:$M$1500,$A90&amp;"|"&amp;BG$1&amp;"|Input"),IF(COUNTIF(Flows!$M$2:$M$1500,$A90&amp;"|"&amp;BG$1&amp;"|Output"),"I/O","IN"),IF(COUNTIF(Flows!$M$2:$M$1500,$A90&amp;"|"&amp;BG$1&amp;"|Output"),"OUT",""))</f>
        <v/>
      </c>
      <c r="BH90" s="33" t="str">
        <f aca="false">IF(COUNTIF(Flows!$M$2:$M$1500,$A90&amp;"|"&amp;BH$1&amp;"|Input"),IF(COUNTIF(Flows!$M$2:$M$1500,$A90&amp;"|"&amp;BH$1&amp;"|Output"),"I/O","IN"),IF(COUNTIF(Flows!$M$2:$M$1500,$A90&amp;"|"&amp;BH$1&amp;"|Output"),"OUT",""))</f>
        <v/>
      </c>
      <c r="BI90" s="33" t="str">
        <f aca="false">IF(COUNTIF(Flows!$M$2:$M$1500,$A90&amp;"|"&amp;BI$1&amp;"|Input"),IF(COUNTIF(Flows!$M$2:$M$1500,$A90&amp;"|"&amp;BI$1&amp;"|Output"),"I/O","IN"),IF(COUNTIF(Flows!$M$2:$M$1500,$A90&amp;"|"&amp;BI$1&amp;"|Output"),"OUT",""))</f>
        <v/>
      </c>
      <c r="BJ90" s="33" t="str">
        <f aca="false">IF(COUNTIF(Flows!$M$2:$M$1500,$A90&amp;"|"&amp;BJ$1&amp;"|Input"),IF(COUNTIF(Flows!$M$2:$M$1500,$A90&amp;"|"&amp;BJ$1&amp;"|Output"),"I/O","IN"),IF(COUNTIF(Flows!$M$2:$M$1500,$A90&amp;"|"&amp;BJ$1&amp;"|Output"),"OUT",""))</f>
        <v/>
      </c>
      <c r="BK90" s="33" t="str">
        <f aca="false">IF(COUNTIF(Flows!$M$2:$M$1500,$A90&amp;"|"&amp;BK$1&amp;"|Input"),IF(COUNTIF(Flows!$M$2:$M$1500,$A90&amp;"|"&amp;BK$1&amp;"|Output"),"I/O","IN"),IF(COUNTIF(Flows!$M$2:$M$1500,$A90&amp;"|"&amp;BK$1&amp;"|Output"),"OUT",""))</f>
        <v/>
      </c>
    </row>
    <row r="91" customFormat="false" ht="15" hidden="false" customHeight="true" outlineLevel="0" collapsed="false">
      <c r="A91" s="6" t="str">
        <f aca="false">Systems!B91</f>
        <v>Passive House (Certified)</v>
      </c>
      <c r="B91" s="33" t="str">
        <f aca="false">IF(COUNTIF(Flows!$M$2:$M$1500,$A91&amp;"|"&amp;B$1&amp;"|Input"),IF(COUNTIF(Flows!$M$2:$M$1500,$A91&amp;"|"&amp;B$1&amp;"|Output"),"I/O","IN"),IF(COUNTIF(Flows!$M$2:$M$1500,$A91&amp;"|"&amp;B$1&amp;"|Output"),"OUT",""))</f>
        <v/>
      </c>
      <c r="C91" s="33" t="str">
        <f aca="false">IF(COUNTIF(Flows!$M$2:$M$1500,$A91&amp;"|"&amp;C$1&amp;"|Input"),IF(COUNTIF(Flows!$M$2:$M$1500,$A91&amp;"|"&amp;C$1&amp;"|Output"),"I/O","IN"),IF(COUNTIF(Flows!$M$2:$M$1500,$A91&amp;"|"&amp;C$1&amp;"|Output"),"OUT",""))</f>
        <v/>
      </c>
      <c r="D91" s="33" t="str">
        <f aca="false">IF(COUNTIF(Flows!$M$2:$M$1500,$A91&amp;"|"&amp;D$1&amp;"|Input"),IF(COUNTIF(Flows!$M$2:$M$1500,$A91&amp;"|"&amp;D$1&amp;"|Output"),"I/O","IN"),IF(COUNTIF(Flows!$M$2:$M$1500,$A91&amp;"|"&amp;D$1&amp;"|Output"),"OUT",""))</f>
        <v/>
      </c>
      <c r="E91" s="33" t="str">
        <f aca="false">IF(COUNTIF(Flows!$M$2:$M$1500,$A91&amp;"|"&amp;E$1&amp;"|Input"),IF(COUNTIF(Flows!$M$2:$M$1500,$A91&amp;"|"&amp;E$1&amp;"|Output"),"I/O","IN"),IF(COUNTIF(Flows!$M$2:$M$1500,$A91&amp;"|"&amp;E$1&amp;"|Output"),"OUT",""))</f>
        <v/>
      </c>
      <c r="F91" s="33" t="str">
        <f aca="false">IF(COUNTIF(Flows!$M$2:$M$1500,$A91&amp;"|"&amp;F$1&amp;"|Input"),IF(COUNTIF(Flows!$M$2:$M$1500,$A91&amp;"|"&amp;F$1&amp;"|Output"),"I/O","IN"),IF(COUNTIF(Flows!$M$2:$M$1500,$A91&amp;"|"&amp;F$1&amp;"|Output"),"OUT",""))</f>
        <v/>
      </c>
      <c r="G91" s="33" t="str">
        <f aca="false">IF(COUNTIF(Flows!$M$2:$M$1500,$A91&amp;"|"&amp;G$1&amp;"|Input"),IF(COUNTIF(Flows!$M$2:$M$1500,$A91&amp;"|"&amp;G$1&amp;"|Output"),"I/O","IN"),IF(COUNTIF(Flows!$M$2:$M$1500,$A91&amp;"|"&amp;G$1&amp;"|Output"),"OUT",""))</f>
        <v/>
      </c>
      <c r="H91" s="33" t="str">
        <f aca="false">IF(COUNTIF(Flows!$M$2:$M$1500,$A91&amp;"|"&amp;H$1&amp;"|Input"),IF(COUNTIF(Flows!$M$2:$M$1500,$A91&amp;"|"&amp;H$1&amp;"|Output"),"I/O","IN"),IF(COUNTIF(Flows!$M$2:$M$1500,$A91&amp;"|"&amp;H$1&amp;"|Output"),"OUT",""))</f>
        <v/>
      </c>
      <c r="I91" s="33" t="str">
        <f aca="false">IF(COUNTIF(Flows!$M$2:$M$1500,$A91&amp;"|"&amp;I$1&amp;"|Input"),IF(COUNTIF(Flows!$M$2:$M$1500,$A91&amp;"|"&amp;I$1&amp;"|Output"),"I/O","IN"),IF(COUNTIF(Flows!$M$2:$M$1500,$A91&amp;"|"&amp;I$1&amp;"|Output"),"OUT",""))</f>
        <v/>
      </c>
      <c r="J91" s="33" t="str">
        <f aca="false">IF(COUNTIF(Flows!$M$2:$M$1500,$A91&amp;"|"&amp;J$1&amp;"|Input"),IF(COUNTIF(Flows!$M$2:$M$1500,$A91&amp;"|"&amp;J$1&amp;"|Output"),"I/O","IN"),IF(COUNTIF(Flows!$M$2:$M$1500,$A91&amp;"|"&amp;J$1&amp;"|Output"),"OUT",""))</f>
        <v/>
      </c>
      <c r="K91" s="33" t="str">
        <f aca="false">IF(COUNTIF(Flows!$M$2:$M$1500,$A91&amp;"|"&amp;K$1&amp;"|Input"),IF(COUNTIF(Flows!$M$2:$M$1500,$A91&amp;"|"&amp;K$1&amp;"|Output"),"I/O","IN"),IF(COUNTIF(Flows!$M$2:$M$1500,$A91&amp;"|"&amp;K$1&amp;"|Output"),"OUT",""))</f>
        <v/>
      </c>
      <c r="L91" s="33" t="str">
        <f aca="false">IF(COUNTIF(Flows!$M$2:$M$1500,$A91&amp;"|"&amp;L$1&amp;"|Input"),IF(COUNTIF(Flows!$M$2:$M$1500,$A91&amp;"|"&amp;L$1&amp;"|Output"),"I/O","IN"),IF(COUNTIF(Flows!$M$2:$M$1500,$A91&amp;"|"&amp;L$1&amp;"|Output"),"OUT",""))</f>
        <v/>
      </c>
      <c r="M91" s="33" t="str">
        <f aca="false">IF(COUNTIF(Flows!$M$2:$M$1500,$A91&amp;"|"&amp;M$1&amp;"|Input"),IF(COUNTIF(Flows!$M$2:$M$1500,$A91&amp;"|"&amp;M$1&amp;"|Output"),"I/O","IN"),IF(COUNTIF(Flows!$M$2:$M$1500,$A91&amp;"|"&amp;M$1&amp;"|Output"),"OUT",""))</f>
        <v/>
      </c>
      <c r="N91" s="33" t="str">
        <f aca="false">IF(COUNTIF(Flows!$M$2:$M$1500,$A91&amp;"|"&amp;N$1&amp;"|Input"),IF(COUNTIF(Flows!$M$2:$M$1500,$A91&amp;"|"&amp;N$1&amp;"|Output"),"I/O","IN"),IF(COUNTIF(Flows!$M$2:$M$1500,$A91&amp;"|"&amp;N$1&amp;"|Output"),"OUT",""))</f>
        <v/>
      </c>
      <c r="O91" s="33" t="str">
        <f aca="false">IF(COUNTIF(Flows!$M$2:$M$1500,$A91&amp;"|"&amp;O$1&amp;"|Input"),IF(COUNTIF(Flows!$M$2:$M$1500,$A91&amp;"|"&amp;O$1&amp;"|Output"),"I/O","IN"),IF(COUNTIF(Flows!$M$2:$M$1500,$A91&amp;"|"&amp;O$1&amp;"|Output"),"OUT",""))</f>
        <v/>
      </c>
      <c r="P91" s="33" t="str">
        <f aca="false">IF(COUNTIF(Flows!$M$2:$M$1500,$A91&amp;"|"&amp;P$1&amp;"|Input"),IF(COUNTIF(Flows!$M$2:$M$1500,$A91&amp;"|"&amp;P$1&amp;"|Output"),"I/O","IN"),IF(COUNTIF(Flows!$M$2:$M$1500,$A91&amp;"|"&amp;P$1&amp;"|Output"),"OUT",""))</f>
        <v/>
      </c>
      <c r="Q91" s="33" t="str">
        <f aca="false">IF(COUNTIF(Flows!$M$2:$M$1500,$A91&amp;"|"&amp;Q$1&amp;"|Input"),IF(COUNTIF(Flows!$M$2:$M$1500,$A91&amp;"|"&amp;Q$1&amp;"|Output"),"I/O","IN"),IF(COUNTIF(Flows!$M$2:$M$1500,$A91&amp;"|"&amp;Q$1&amp;"|Output"),"OUT",""))</f>
        <v>OUT</v>
      </c>
      <c r="R91" s="33" t="str">
        <f aca="false">IF(COUNTIF(Flows!$M$2:$M$1500,$A91&amp;"|"&amp;R$1&amp;"|Input"),IF(COUNTIF(Flows!$M$2:$M$1500,$A91&amp;"|"&amp;R$1&amp;"|Output"),"I/O","IN"),IF(COUNTIF(Flows!$M$2:$M$1500,$A91&amp;"|"&amp;R$1&amp;"|Output"),"OUT",""))</f>
        <v/>
      </c>
      <c r="S91" s="33" t="str">
        <f aca="false">IF(COUNTIF(Flows!$M$2:$M$1500,$A91&amp;"|"&amp;S$1&amp;"|Input"),IF(COUNTIF(Flows!$M$2:$M$1500,$A91&amp;"|"&amp;S$1&amp;"|Output"),"I/O","IN"),IF(COUNTIF(Flows!$M$2:$M$1500,$A91&amp;"|"&amp;S$1&amp;"|Output"),"OUT",""))</f>
        <v/>
      </c>
      <c r="T91" s="33" t="str">
        <f aca="false">IF(COUNTIF(Flows!$M$2:$M$1500,$A91&amp;"|"&amp;T$1&amp;"|Input"),IF(COUNTIF(Flows!$M$2:$M$1500,$A91&amp;"|"&amp;T$1&amp;"|Output"),"I/O","IN"),IF(COUNTIF(Flows!$M$2:$M$1500,$A91&amp;"|"&amp;T$1&amp;"|Output"),"OUT",""))</f>
        <v/>
      </c>
      <c r="U91" s="33" t="str">
        <f aca="false">IF(COUNTIF(Flows!$M$2:$M$1500,$A91&amp;"|"&amp;U$1&amp;"|Input"),IF(COUNTIF(Flows!$M$2:$M$1500,$A91&amp;"|"&amp;U$1&amp;"|Output"),"I/O","IN"),IF(COUNTIF(Flows!$M$2:$M$1500,$A91&amp;"|"&amp;U$1&amp;"|Output"),"OUT",""))</f>
        <v/>
      </c>
      <c r="V91" s="33" t="str">
        <f aca="false">IF(COUNTIF(Flows!$M$2:$M$1500,$A91&amp;"|"&amp;V$1&amp;"|Input"),IF(COUNTIF(Flows!$M$2:$M$1500,$A91&amp;"|"&amp;V$1&amp;"|Output"),"I/O","IN"),IF(COUNTIF(Flows!$M$2:$M$1500,$A91&amp;"|"&amp;V$1&amp;"|Output"),"OUT",""))</f>
        <v>IN</v>
      </c>
      <c r="W91" s="33" t="str">
        <f aca="false">IF(COUNTIF(Flows!$M$2:$M$1500,$A91&amp;"|"&amp;W$1&amp;"|Input"),IF(COUNTIF(Flows!$M$2:$M$1500,$A91&amp;"|"&amp;W$1&amp;"|Output"),"I/O","IN"),IF(COUNTIF(Flows!$M$2:$M$1500,$A91&amp;"|"&amp;W$1&amp;"|Output"),"OUT",""))</f>
        <v>IN</v>
      </c>
      <c r="X91" s="33" t="str">
        <f aca="false">IF(COUNTIF(Flows!$M$2:$M$1500,$A91&amp;"|"&amp;X$1&amp;"|Input"),IF(COUNTIF(Flows!$M$2:$M$1500,$A91&amp;"|"&amp;X$1&amp;"|Output"),"I/O","IN"),IF(COUNTIF(Flows!$M$2:$M$1500,$A91&amp;"|"&amp;X$1&amp;"|Output"),"OUT",""))</f>
        <v>IN</v>
      </c>
      <c r="Y91" s="33" t="str">
        <f aca="false">IF(COUNTIF(Flows!$M$2:$M$1500,$A91&amp;"|"&amp;Y$1&amp;"|Input"),IF(COUNTIF(Flows!$M$2:$M$1500,$A91&amp;"|"&amp;Y$1&amp;"|Output"),"I/O","IN"),IF(COUNTIF(Flows!$M$2:$M$1500,$A91&amp;"|"&amp;Y$1&amp;"|Output"),"OUT",""))</f>
        <v>IN</v>
      </c>
      <c r="Z91" s="33" t="str">
        <f aca="false">IF(COUNTIF(Flows!$M$2:$M$1500,$A91&amp;"|"&amp;Z$1&amp;"|Input"),IF(COUNTIF(Flows!$M$2:$M$1500,$A91&amp;"|"&amp;Z$1&amp;"|Output"),"I/O","IN"),IF(COUNTIF(Flows!$M$2:$M$1500,$A91&amp;"|"&amp;Z$1&amp;"|Output"),"OUT",""))</f>
        <v/>
      </c>
      <c r="AA91" s="33" t="str">
        <f aca="false">IF(COUNTIF(Flows!$M$2:$M$1500,$A91&amp;"|"&amp;AA$1&amp;"|Input"),IF(COUNTIF(Flows!$M$2:$M$1500,$A91&amp;"|"&amp;AA$1&amp;"|Output"),"I/O","IN"),IF(COUNTIF(Flows!$M$2:$M$1500,$A91&amp;"|"&amp;AA$1&amp;"|Output"),"OUT",""))</f>
        <v/>
      </c>
      <c r="AB91" s="33" t="str">
        <f aca="false">IF(COUNTIF(Flows!$M$2:$M$1500,$A91&amp;"|"&amp;AB$1&amp;"|Input"),IF(COUNTIF(Flows!$M$2:$M$1500,$A91&amp;"|"&amp;AB$1&amp;"|Output"),"I/O","IN"),IF(COUNTIF(Flows!$M$2:$M$1500,$A91&amp;"|"&amp;AB$1&amp;"|Output"),"OUT",""))</f>
        <v/>
      </c>
      <c r="AC91" s="33" t="str">
        <f aca="false">IF(COUNTIF(Flows!$M$2:$M$1500,$A91&amp;"|"&amp;AC$1&amp;"|Input"),IF(COUNTIF(Flows!$M$2:$M$1500,$A91&amp;"|"&amp;AC$1&amp;"|Output"),"I/O","IN"),IF(COUNTIF(Flows!$M$2:$M$1500,$A91&amp;"|"&amp;AC$1&amp;"|Output"),"OUT",""))</f>
        <v/>
      </c>
      <c r="AD91" s="33" t="str">
        <f aca="false">IF(COUNTIF(Flows!$M$2:$M$1500,$A91&amp;"|"&amp;AD$1&amp;"|Input"),IF(COUNTIF(Flows!$M$2:$M$1500,$A91&amp;"|"&amp;AD$1&amp;"|Output"),"I/O","IN"),IF(COUNTIF(Flows!$M$2:$M$1500,$A91&amp;"|"&amp;AD$1&amp;"|Output"),"OUT",""))</f>
        <v>OUT</v>
      </c>
      <c r="AE91" s="33" t="str">
        <f aca="false">IF(COUNTIF(Flows!$M$2:$M$1500,$A91&amp;"|"&amp;AE$1&amp;"|Input"),IF(COUNTIF(Flows!$M$2:$M$1500,$A91&amp;"|"&amp;AE$1&amp;"|Output"),"I/O","IN"),IF(COUNTIF(Flows!$M$2:$M$1500,$A91&amp;"|"&amp;AE$1&amp;"|Output"),"OUT",""))</f>
        <v/>
      </c>
      <c r="AF91" s="33" t="str">
        <f aca="false">IF(COUNTIF(Flows!$M$2:$M$1500,$A91&amp;"|"&amp;AF$1&amp;"|Input"),IF(COUNTIF(Flows!$M$2:$M$1500,$A91&amp;"|"&amp;AF$1&amp;"|Output"),"I/O","IN"),IF(COUNTIF(Flows!$M$2:$M$1500,$A91&amp;"|"&amp;AF$1&amp;"|Output"),"OUT",""))</f>
        <v/>
      </c>
      <c r="AG91" s="33" t="str">
        <f aca="false">IF(COUNTIF(Flows!$M$2:$M$1500,$A91&amp;"|"&amp;AG$1&amp;"|Input"),IF(COUNTIF(Flows!$M$2:$M$1500,$A91&amp;"|"&amp;AG$1&amp;"|Output"),"I/O","IN"),IF(COUNTIF(Flows!$M$2:$M$1500,$A91&amp;"|"&amp;AG$1&amp;"|Output"),"OUT",""))</f>
        <v/>
      </c>
      <c r="AH91" s="33" t="str">
        <f aca="false">IF(COUNTIF(Flows!$M$2:$M$1500,$A91&amp;"|"&amp;AH$1&amp;"|Input"),IF(COUNTIF(Flows!$M$2:$M$1500,$A91&amp;"|"&amp;AH$1&amp;"|Output"),"I/O","IN"),IF(COUNTIF(Flows!$M$2:$M$1500,$A91&amp;"|"&amp;AH$1&amp;"|Output"),"OUT",""))</f>
        <v/>
      </c>
      <c r="AI91" s="33" t="str">
        <f aca="false">IF(COUNTIF(Flows!$M$2:$M$1500,$A91&amp;"|"&amp;AI$1&amp;"|Input"),IF(COUNTIF(Flows!$M$2:$M$1500,$A91&amp;"|"&amp;AI$1&amp;"|Output"),"I/O","IN"),IF(COUNTIF(Flows!$M$2:$M$1500,$A91&amp;"|"&amp;AI$1&amp;"|Output"),"OUT",""))</f>
        <v/>
      </c>
      <c r="AJ91" s="33" t="str">
        <f aca="false">IF(COUNTIF(Flows!$M$2:$M$1500,$A91&amp;"|"&amp;AJ$1&amp;"|Input"),IF(COUNTIF(Flows!$M$2:$M$1500,$A91&amp;"|"&amp;AJ$1&amp;"|Output"),"I/O","IN"),IF(COUNTIF(Flows!$M$2:$M$1500,$A91&amp;"|"&amp;AJ$1&amp;"|Output"),"OUT",""))</f>
        <v/>
      </c>
      <c r="AK91" s="33" t="str">
        <f aca="false">IF(COUNTIF(Flows!$M$2:$M$1500,$A91&amp;"|"&amp;AK$1&amp;"|Input"),IF(COUNTIF(Flows!$M$2:$M$1500,$A91&amp;"|"&amp;AK$1&amp;"|Output"),"I/O","IN"),IF(COUNTIF(Flows!$M$2:$M$1500,$A91&amp;"|"&amp;AK$1&amp;"|Output"),"OUT",""))</f>
        <v/>
      </c>
      <c r="AL91" s="33" t="str">
        <f aca="false">IF(COUNTIF(Flows!$M$2:$M$1500,$A91&amp;"|"&amp;AL$1&amp;"|Input"),IF(COUNTIF(Flows!$M$2:$M$1500,$A91&amp;"|"&amp;AL$1&amp;"|Output"),"I/O","IN"),IF(COUNTIF(Flows!$M$2:$M$1500,$A91&amp;"|"&amp;AL$1&amp;"|Output"),"OUT",""))</f>
        <v/>
      </c>
      <c r="AM91" s="33" t="str">
        <f aca="false">IF(COUNTIF(Flows!$M$2:$M$1500,$A91&amp;"|"&amp;AM$1&amp;"|Input"),IF(COUNTIF(Flows!$M$2:$M$1500,$A91&amp;"|"&amp;AM$1&amp;"|Output"),"I/O","IN"),IF(COUNTIF(Flows!$M$2:$M$1500,$A91&amp;"|"&amp;AM$1&amp;"|Output"),"OUT",""))</f>
        <v/>
      </c>
      <c r="AN91" s="33" t="str">
        <f aca="false">IF(COUNTIF(Flows!$M$2:$M$1500,$A91&amp;"|"&amp;AN$1&amp;"|Input"),IF(COUNTIF(Flows!$M$2:$M$1500,$A91&amp;"|"&amp;AN$1&amp;"|Output"),"I/O","IN"),IF(COUNTIF(Flows!$M$2:$M$1500,$A91&amp;"|"&amp;AN$1&amp;"|Output"),"OUT",""))</f>
        <v/>
      </c>
      <c r="AO91" s="33" t="str">
        <f aca="false">IF(COUNTIF(Flows!$M$2:$M$1500,$A91&amp;"|"&amp;AO$1&amp;"|Input"),IF(COUNTIF(Flows!$M$2:$M$1500,$A91&amp;"|"&amp;AO$1&amp;"|Output"),"I/O","IN"),IF(COUNTIF(Flows!$M$2:$M$1500,$A91&amp;"|"&amp;AO$1&amp;"|Output"),"OUT",""))</f>
        <v/>
      </c>
      <c r="AP91" s="33" t="str">
        <f aca="false">IF(COUNTIF(Flows!$M$2:$M$1500,$A91&amp;"|"&amp;AP$1&amp;"|Input"),IF(COUNTIF(Flows!$M$2:$M$1500,$A91&amp;"|"&amp;AP$1&amp;"|Output"),"I/O","IN"),IF(COUNTIF(Flows!$M$2:$M$1500,$A91&amp;"|"&amp;AP$1&amp;"|Output"),"OUT",""))</f>
        <v/>
      </c>
      <c r="AQ91" s="33" t="str">
        <f aca="false">IF(COUNTIF(Flows!$M$2:$M$1500,$A91&amp;"|"&amp;AQ$1&amp;"|Input"),IF(COUNTIF(Flows!$M$2:$M$1500,$A91&amp;"|"&amp;AQ$1&amp;"|Output"),"I/O","IN"),IF(COUNTIF(Flows!$M$2:$M$1500,$A91&amp;"|"&amp;AQ$1&amp;"|Output"),"OUT",""))</f>
        <v/>
      </c>
      <c r="AR91" s="33" t="str">
        <f aca="false">IF(COUNTIF(Flows!$M$2:$M$1500,$A91&amp;"|"&amp;AR$1&amp;"|Input"),IF(COUNTIF(Flows!$M$2:$M$1500,$A91&amp;"|"&amp;AR$1&amp;"|Output"),"I/O","IN"),IF(COUNTIF(Flows!$M$2:$M$1500,$A91&amp;"|"&amp;AR$1&amp;"|Output"),"OUT",""))</f>
        <v/>
      </c>
      <c r="AS91" s="33" t="str">
        <f aca="false">IF(COUNTIF(Flows!$M$2:$M$1500,$A91&amp;"|"&amp;AS$1&amp;"|Input"),IF(COUNTIF(Flows!$M$2:$M$1500,$A91&amp;"|"&amp;AS$1&amp;"|Output"),"I/O","IN"),IF(COUNTIF(Flows!$M$2:$M$1500,$A91&amp;"|"&amp;AS$1&amp;"|Output"),"OUT",""))</f>
        <v/>
      </c>
      <c r="AT91" s="33" t="str">
        <f aca="false">IF(COUNTIF(Flows!$M$2:$M$1500,$A91&amp;"|"&amp;AT$1&amp;"|Input"),IF(COUNTIF(Flows!$M$2:$M$1500,$A91&amp;"|"&amp;AT$1&amp;"|Output"),"I/O","IN"),IF(COUNTIF(Flows!$M$2:$M$1500,$A91&amp;"|"&amp;AT$1&amp;"|Output"),"OUT",""))</f>
        <v/>
      </c>
      <c r="AU91" s="33" t="str">
        <f aca="false">IF(COUNTIF(Flows!$M$2:$M$1500,$A91&amp;"|"&amp;AU$1&amp;"|Input"),IF(COUNTIF(Flows!$M$2:$M$1500,$A91&amp;"|"&amp;AU$1&amp;"|Output"),"I/O","IN"),IF(COUNTIF(Flows!$M$2:$M$1500,$A91&amp;"|"&amp;AU$1&amp;"|Output"),"OUT",""))</f>
        <v/>
      </c>
      <c r="AV91" s="33" t="str">
        <f aca="false">IF(COUNTIF(Flows!$M$2:$M$1500,$A91&amp;"|"&amp;AV$1&amp;"|Input"),IF(COUNTIF(Flows!$M$2:$M$1500,$A91&amp;"|"&amp;AV$1&amp;"|Output"),"I/O","IN"),IF(COUNTIF(Flows!$M$2:$M$1500,$A91&amp;"|"&amp;AV$1&amp;"|Output"),"OUT",""))</f>
        <v/>
      </c>
      <c r="AW91" s="33" t="str">
        <f aca="false">IF(COUNTIF(Flows!$M$2:$M$1500,$A91&amp;"|"&amp;AW$1&amp;"|Input"),IF(COUNTIF(Flows!$M$2:$M$1500,$A91&amp;"|"&amp;AW$1&amp;"|Output"),"I/O","IN"),IF(COUNTIF(Flows!$M$2:$M$1500,$A91&amp;"|"&amp;AW$1&amp;"|Output"),"OUT",""))</f>
        <v/>
      </c>
      <c r="AX91" s="33" t="str">
        <f aca="false">IF(COUNTIF(Flows!$M$2:$M$1500,$A91&amp;"|"&amp;AX$1&amp;"|Input"),IF(COUNTIF(Flows!$M$2:$M$1500,$A91&amp;"|"&amp;AX$1&amp;"|Output"),"I/O","IN"),IF(COUNTIF(Flows!$M$2:$M$1500,$A91&amp;"|"&amp;AX$1&amp;"|Output"),"OUT",""))</f>
        <v/>
      </c>
      <c r="AY91" s="33" t="str">
        <f aca="false">IF(COUNTIF(Flows!$M$2:$M$1500,$A91&amp;"|"&amp;AY$1&amp;"|Input"),IF(COUNTIF(Flows!$M$2:$M$1500,$A91&amp;"|"&amp;AY$1&amp;"|Output"),"I/O","IN"),IF(COUNTIF(Flows!$M$2:$M$1500,$A91&amp;"|"&amp;AY$1&amp;"|Output"),"OUT",""))</f>
        <v/>
      </c>
      <c r="AZ91" s="33" t="str">
        <f aca="false">IF(COUNTIF(Flows!$M$2:$M$1500,$A91&amp;"|"&amp;AZ$1&amp;"|Input"),IF(COUNTIF(Flows!$M$2:$M$1500,$A91&amp;"|"&amp;AZ$1&amp;"|Output"),"I/O","IN"),IF(COUNTIF(Flows!$M$2:$M$1500,$A91&amp;"|"&amp;AZ$1&amp;"|Output"),"OUT",""))</f>
        <v/>
      </c>
      <c r="BA91" s="33" t="str">
        <f aca="false">IF(COUNTIF(Flows!$M$2:$M$1500,$A91&amp;"|"&amp;BA$1&amp;"|Input"),IF(COUNTIF(Flows!$M$2:$M$1500,$A91&amp;"|"&amp;BA$1&amp;"|Output"),"I/O","IN"),IF(COUNTIF(Flows!$M$2:$M$1500,$A91&amp;"|"&amp;BA$1&amp;"|Output"),"OUT",""))</f>
        <v/>
      </c>
      <c r="BB91" s="33" t="str">
        <f aca="false">IF(COUNTIF(Flows!$M$2:$M$1500,$A91&amp;"|"&amp;BB$1&amp;"|Input"),IF(COUNTIF(Flows!$M$2:$M$1500,$A91&amp;"|"&amp;BB$1&amp;"|Output"),"I/O","IN"),IF(COUNTIF(Flows!$M$2:$M$1500,$A91&amp;"|"&amp;BB$1&amp;"|Output"),"OUT",""))</f>
        <v/>
      </c>
      <c r="BC91" s="33" t="str">
        <f aca="false">IF(COUNTIF(Flows!$M$2:$M$1500,$A91&amp;"|"&amp;BC$1&amp;"|Input"),IF(COUNTIF(Flows!$M$2:$M$1500,$A91&amp;"|"&amp;BC$1&amp;"|Output"),"I/O","IN"),IF(COUNTIF(Flows!$M$2:$M$1500,$A91&amp;"|"&amp;BC$1&amp;"|Output"),"OUT",""))</f>
        <v/>
      </c>
      <c r="BD91" s="33" t="str">
        <f aca="false">IF(COUNTIF(Flows!$M$2:$M$1500,$A91&amp;"|"&amp;BD$1&amp;"|Input"),IF(COUNTIF(Flows!$M$2:$M$1500,$A91&amp;"|"&amp;BD$1&amp;"|Output"),"I/O","IN"),IF(COUNTIF(Flows!$M$2:$M$1500,$A91&amp;"|"&amp;BD$1&amp;"|Output"),"OUT",""))</f>
        <v/>
      </c>
      <c r="BE91" s="33" t="str">
        <f aca="false">IF(COUNTIF(Flows!$M$2:$M$1500,$A91&amp;"|"&amp;BE$1&amp;"|Input"),IF(COUNTIF(Flows!$M$2:$M$1500,$A91&amp;"|"&amp;BE$1&amp;"|Output"),"I/O","IN"),IF(COUNTIF(Flows!$M$2:$M$1500,$A91&amp;"|"&amp;BE$1&amp;"|Output"),"OUT",""))</f>
        <v/>
      </c>
      <c r="BF91" s="33" t="str">
        <f aca="false">IF(COUNTIF(Flows!$M$2:$M$1500,$A91&amp;"|"&amp;BF$1&amp;"|Input"),IF(COUNTIF(Flows!$M$2:$M$1500,$A91&amp;"|"&amp;BF$1&amp;"|Output"),"I/O","IN"),IF(COUNTIF(Flows!$M$2:$M$1500,$A91&amp;"|"&amp;BF$1&amp;"|Output"),"OUT",""))</f>
        <v/>
      </c>
      <c r="BG91" s="33" t="str">
        <f aca="false">IF(COUNTIF(Flows!$M$2:$M$1500,$A91&amp;"|"&amp;BG$1&amp;"|Input"),IF(COUNTIF(Flows!$M$2:$M$1500,$A91&amp;"|"&amp;BG$1&amp;"|Output"),"I/O","IN"),IF(COUNTIF(Flows!$M$2:$M$1500,$A91&amp;"|"&amp;BG$1&amp;"|Output"),"OUT",""))</f>
        <v/>
      </c>
      <c r="BH91" s="33" t="str">
        <f aca="false">IF(COUNTIF(Flows!$M$2:$M$1500,$A91&amp;"|"&amp;BH$1&amp;"|Input"),IF(COUNTIF(Flows!$M$2:$M$1500,$A91&amp;"|"&amp;BH$1&amp;"|Output"),"I/O","IN"),IF(COUNTIF(Flows!$M$2:$M$1500,$A91&amp;"|"&amp;BH$1&amp;"|Output"),"OUT",""))</f>
        <v/>
      </c>
      <c r="BI91" s="33" t="str">
        <f aca="false">IF(COUNTIF(Flows!$M$2:$M$1500,$A91&amp;"|"&amp;BI$1&amp;"|Input"),IF(COUNTIF(Flows!$M$2:$M$1500,$A91&amp;"|"&amp;BI$1&amp;"|Output"),"I/O","IN"),IF(COUNTIF(Flows!$M$2:$M$1500,$A91&amp;"|"&amp;BI$1&amp;"|Output"),"OUT",""))</f>
        <v/>
      </c>
      <c r="BJ91" s="33" t="str">
        <f aca="false">IF(COUNTIF(Flows!$M$2:$M$1500,$A91&amp;"|"&amp;BJ$1&amp;"|Input"),IF(COUNTIF(Flows!$M$2:$M$1500,$A91&amp;"|"&amp;BJ$1&amp;"|Output"),"I/O","IN"),IF(COUNTIF(Flows!$M$2:$M$1500,$A91&amp;"|"&amp;BJ$1&amp;"|Output"),"OUT",""))</f>
        <v/>
      </c>
      <c r="BK91" s="33" t="str">
        <f aca="false">IF(COUNTIF(Flows!$M$2:$M$1500,$A91&amp;"|"&amp;BK$1&amp;"|Input"),IF(COUNTIF(Flows!$M$2:$M$1500,$A91&amp;"|"&amp;BK$1&amp;"|Output"),"I/O","IN"),IF(COUNTIF(Flows!$M$2:$M$1500,$A91&amp;"|"&amp;BK$1&amp;"|Output"),"OUT",""))</f>
        <v/>
      </c>
    </row>
    <row r="92" customFormat="false" ht="15" hidden="false" customHeight="true" outlineLevel="0" collapsed="false">
      <c r="A92" s="6" t="str">
        <f aca="false">Systems!B92</f>
        <v>Treehouse</v>
      </c>
      <c r="B92" s="33" t="str">
        <f aca="false">IF(COUNTIF(Flows!$M$2:$M$1500,$A92&amp;"|"&amp;B$1&amp;"|Input"),IF(COUNTIF(Flows!$M$2:$M$1500,$A92&amp;"|"&amp;B$1&amp;"|Output"),"I/O","IN"),IF(COUNTIF(Flows!$M$2:$M$1500,$A92&amp;"|"&amp;B$1&amp;"|Output"),"OUT",""))</f>
        <v/>
      </c>
      <c r="C92" s="33" t="str">
        <f aca="false">IF(COUNTIF(Flows!$M$2:$M$1500,$A92&amp;"|"&amp;C$1&amp;"|Input"),IF(COUNTIF(Flows!$M$2:$M$1500,$A92&amp;"|"&amp;C$1&amp;"|Output"),"I/O","IN"),IF(COUNTIF(Flows!$M$2:$M$1500,$A92&amp;"|"&amp;C$1&amp;"|Output"),"OUT",""))</f>
        <v/>
      </c>
      <c r="D92" s="33" t="str">
        <f aca="false">IF(COUNTIF(Flows!$M$2:$M$1500,$A92&amp;"|"&amp;D$1&amp;"|Input"),IF(COUNTIF(Flows!$M$2:$M$1500,$A92&amp;"|"&amp;D$1&amp;"|Output"),"I/O","IN"),IF(COUNTIF(Flows!$M$2:$M$1500,$A92&amp;"|"&amp;D$1&amp;"|Output"),"OUT",""))</f>
        <v/>
      </c>
      <c r="E92" s="33" t="str">
        <f aca="false">IF(COUNTIF(Flows!$M$2:$M$1500,$A92&amp;"|"&amp;E$1&amp;"|Input"),IF(COUNTIF(Flows!$M$2:$M$1500,$A92&amp;"|"&amp;E$1&amp;"|Output"),"I/O","IN"),IF(COUNTIF(Flows!$M$2:$M$1500,$A92&amp;"|"&amp;E$1&amp;"|Output"),"OUT",""))</f>
        <v/>
      </c>
      <c r="F92" s="33" t="str">
        <f aca="false">IF(COUNTIF(Flows!$M$2:$M$1500,$A92&amp;"|"&amp;F$1&amp;"|Input"),IF(COUNTIF(Flows!$M$2:$M$1500,$A92&amp;"|"&amp;F$1&amp;"|Output"),"I/O","IN"),IF(COUNTIF(Flows!$M$2:$M$1500,$A92&amp;"|"&amp;F$1&amp;"|Output"),"OUT",""))</f>
        <v/>
      </c>
      <c r="G92" s="33" t="str">
        <f aca="false">IF(COUNTIF(Flows!$M$2:$M$1500,$A92&amp;"|"&amp;G$1&amp;"|Input"),IF(COUNTIF(Flows!$M$2:$M$1500,$A92&amp;"|"&amp;G$1&amp;"|Output"),"I/O","IN"),IF(COUNTIF(Flows!$M$2:$M$1500,$A92&amp;"|"&amp;G$1&amp;"|Output"),"OUT",""))</f>
        <v/>
      </c>
      <c r="H92" s="33" t="str">
        <f aca="false">IF(COUNTIF(Flows!$M$2:$M$1500,$A92&amp;"|"&amp;H$1&amp;"|Input"),IF(COUNTIF(Flows!$M$2:$M$1500,$A92&amp;"|"&amp;H$1&amp;"|Output"),"I/O","IN"),IF(COUNTIF(Flows!$M$2:$M$1500,$A92&amp;"|"&amp;H$1&amp;"|Output"),"OUT",""))</f>
        <v/>
      </c>
      <c r="I92" s="33" t="str">
        <f aca="false">IF(COUNTIF(Flows!$M$2:$M$1500,$A92&amp;"|"&amp;I$1&amp;"|Input"),IF(COUNTIF(Flows!$M$2:$M$1500,$A92&amp;"|"&amp;I$1&amp;"|Output"),"I/O","IN"),IF(COUNTIF(Flows!$M$2:$M$1500,$A92&amp;"|"&amp;I$1&amp;"|Output"),"OUT",""))</f>
        <v/>
      </c>
      <c r="J92" s="33" t="str">
        <f aca="false">IF(COUNTIF(Flows!$M$2:$M$1500,$A92&amp;"|"&amp;J$1&amp;"|Input"),IF(COUNTIF(Flows!$M$2:$M$1500,$A92&amp;"|"&amp;J$1&amp;"|Output"),"I/O","IN"),IF(COUNTIF(Flows!$M$2:$M$1500,$A92&amp;"|"&amp;J$1&amp;"|Output"),"OUT",""))</f>
        <v/>
      </c>
      <c r="K92" s="33" t="str">
        <f aca="false">IF(COUNTIF(Flows!$M$2:$M$1500,$A92&amp;"|"&amp;K$1&amp;"|Input"),IF(COUNTIF(Flows!$M$2:$M$1500,$A92&amp;"|"&amp;K$1&amp;"|Output"),"I/O","IN"),IF(COUNTIF(Flows!$M$2:$M$1500,$A92&amp;"|"&amp;K$1&amp;"|Output"),"OUT",""))</f>
        <v/>
      </c>
      <c r="L92" s="33" t="str">
        <f aca="false">IF(COUNTIF(Flows!$M$2:$M$1500,$A92&amp;"|"&amp;L$1&amp;"|Input"),IF(COUNTIF(Flows!$M$2:$M$1500,$A92&amp;"|"&amp;L$1&amp;"|Output"),"I/O","IN"),IF(COUNTIF(Flows!$M$2:$M$1500,$A92&amp;"|"&amp;L$1&amp;"|Output"),"OUT",""))</f>
        <v/>
      </c>
      <c r="M92" s="33" t="str">
        <f aca="false">IF(COUNTIF(Flows!$M$2:$M$1500,$A92&amp;"|"&amp;M$1&amp;"|Input"),IF(COUNTIF(Flows!$M$2:$M$1500,$A92&amp;"|"&amp;M$1&amp;"|Output"),"I/O","IN"),IF(COUNTIF(Flows!$M$2:$M$1500,$A92&amp;"|"&amp;M$1&amp;"|Output"),"OUT",""))</f>
        <v/>
      </c>
      <c r="N92" s="33" t="str">
        <f aca="false">IF(COUNTIF(Flows!$M$2:$M$1500,$A92&amp;"|"&amp;N$1&amp;"|Input"),IF(COUNTIF(Flows!$M$2:$M$1500,$A92&amp;"|"&amp;N$1&amp;"|Output"),"I/O","IN"),IF(COUNTIF(Flows!$M$2:$M$1500,$A92&amp;"|"&amp;N$1&amp;"|Output"),"OUT",""))</f>
        <v/>
      </c>
      <c r="O92" s="33" t="str">
        <f aca="false">IF(COUNTIF(Flows!$M$2:$M$1500,$A92&amp;"|"&amp;O$1&amp;"|Input"),IF(COUNTIF(Flows!$M$2:$M$1500,$A92&amp;"|"&amp;O$1&amp;"|Output"),"I/O","IN"),IF(COUNTIF(Flows!$M$2:$M$1500,$A92&amp;"|"&amp;O$1&amp;"|Output"),"OUT",""))</f>
        <v/>
      </c>
      <c r="P92" s="33" t="str">
        <f aca="false">IF(COUNTIF(Flows!$M$2:$M$1500,$A92&amp;"|"&amp;P$1&amp;"|Input"),IF(COUNTIF(Flows!$M$2:$M$1500,$A92&amp;"|"&amp;P$1&amp;"|Output"),"I/O","IN"),IF(COUNTIF(Flows!$M$2:$M$1500,$A92&amp;"|"&amp;P$1&amp;"|Output"),"OUT",""))</f>
        <v/>
      </c>
      <c r="Q92" s="33" t="str">
        <f aca="false">IF(COUNTIF(Flows!$M$2:$M$1500,$A92&amp;"|"&amp;Q$1&amp;"|Input"),IF(COUNTIF(Flows!$M$2:$M$1500,$A92&amp;"|"&amp;Q$1&amp;"|Output"),"I/O","IN"),IF(COUNTIF(Flows!$M$2:$M$1500,$A92&amp;"|"&amp;Q$1&amp;"|Output"),"OUT",""))</f>
        <v>OUT</v>
      </c>
      <c r="R92" s="33" t="str">
        <f aca="false">IF(COUNTIF(Flows!$M$2:$M$1500,$A92&amp;"|"&amp;R$1&amp;"|Input"),IF(COUNTIF(Flows!$M$2:$M$1500,$A92&amp;"|"&amp;R$1&amp;"|Output"),"I/O","IN"),IF(COUNTIF(Flows!$M$2:$M$1500,$A92&amp;"|"&amp;R$1&amp;"|Output"),"OUT",""))</f>
        <v/>
      </c>
      <c r="S92" s="33" t="str">
        <f aca="false">IF(COUNTIF(Flows!$M$2:$M$1500,$A92&amp;"|"&amp;S$1&amp;"|Input"),IF(COUNTIF(Flows!$M$2:$M$1500,$A92&amp;"|"&amp;S$1&amp;"|Output"),"I/O","IN"),IF(COUNTIF(Flows!$M$2:$M$1500,$A92&amp;"|"&amp;S$1&amp;"|Output"),"OUT",""))</f>
        <v/>
      </c>
      <c r="T92" s="33" t="str">
        <f aca="false">IF(COUNTIF(Flows!$M$2:$M$1500,$A92&amp;"|"&amp;T$1&amp;"|Input"),IF(COUNTIF(Flows!$M$2:$M$1500,$A92&amp;"|"&amp;T$1&amp;"|Output"),"I/O","IN"),IF(COUNTIF(Flows!$M$2:$M$1500,$A92&amp;"|"&amp;T$1&amp;"|Output"),"OUT",""))</f>
        <v/>
      </c>
      <c r="U92" s="33" t="str">
        <f aca="false">IF(COUNTIF(Flows!$M$2:$M$1500,$A92&amp;"|"&amp;U$1&amp;"|Input"),IF(COUNTIF(Flows!$M$2:$M$1500,$A92&amp;"|"&amp;U$1&amp;"|Output"),"I/O","IN"),IF(COUNTIF(Flows!$M$2:$M$1500,$A92&amp;"|"&amp;U$1&amp;"|Output"),"OUT",""))</f>
        <v/>
      </c>
      <c r="V92" s="33" t="str">
        <f aca="false">IF(COUNTIF(Flows!$M$2:$M$1500,$A92&amp;"|"&amp;V$1&amp;"|Input"),IF(COUNTIF(Flows!$M$2:$M$1500,$A92&amp;"|"&amp;V$1&amp;"|Output"),"I/O","IN"),IF(COUNTIF(Flows!$M$2:$M$1500,$A92&amp;"|"&amp;V$1&amp;"|Output"),"OUT",""))</f>
        <v>IN</v>
      </c>
      <c r="W92" s="33" t="str">
        <f aca="false">IF(COUNTIF(Flows!$M$2:$M$1500,$A92&amp;"|"&amp;W$1&amp;"|Input"),IF(COUNTIF(Flows!$M$2:$M$1500,$A92&amp;"|"&amp;W$1&amp;"|Output"),"I/O","IN"),IF(COUNTIF(Flows!$M$2:$M$1500,$A92&amp;"|"&amp;W$1&amp;"|Output"),"OUT",""))</f>
        <v>IN</v>
      </c>
      <c r="X92" s="33" t="str">
        <f aca="false">IF(COUNTIF(Flows!$M$2:$M$1500,$A92&amp;"|"&amp;X$1&amp;"|Input"),IF(COUNTIF(Flows!$M$2:$M$1500,$A92&amp;"|"&amp;X$1&amp;"|Output"),"I/O","IN"),IF(COUNTIF(Flows!$M$2:$M$1500,$A92&amp;"|"&amp;X$1&amp;"|Output"),"OUT",""))</f>
        <v>IN</v>
      </c>
      <c r="Y92" s="33" t="str">
        <f aca="false">IF(COUNTIF(Flows!$M$2:$M$1500,$A92&amp;"|"&amp;Y$1&amp;"|Input"),IF(COUNTIF(Flows!$M$2:$M$1500,$A92&amp;"|"&amp;Y$1&amp;"|Output"),"I/O","IN"),IF(COUNTIF(Flows!$M$2:$M$1500,$A92&amp;"|"&amp;Y$1&amp;"|Output"),"OUT",""))</f>
        <v/>
      </c>
      <c r="Z92" s="33" t="str">
        <f aca="false">IF(COUNTIF(Flows!$M$2:$M$1500,$A92&amp;"|"&amp;Z$1&amp;"|Input"),IF(COUNTIF(Flows!$M$2:$M$1500,$A92&amp;"|"&amp;Z$1&amp;"|Output"),"I/O","IN"),IF(COUNTIF(Flows!$M$2:$M$1500,$A92&amp;"|"&amp;Z$1&amp;"|Output"),"OUT",""))</f>
        <v/>
      </c>
      <c r="AA92" s="33" t="str">
        <f aca="false">IF(COUNTIF(Flows!$M$2:$M$1500,$A92&amp;"|"&amp;AA$1&amp;"|Input"),IF(COUNTIF(Flows!$M$2:$M$1500,$A92&amp;"|"&amp;AA$1&amp;"|Output"),"I/O","IN"),IF(COUNTIF(Flows!$M$2:$M$1500,$A92&amp;"|"&amp;AA$1&amp;"|Output"),"OUT",""))</f>
        <v/>
      </c>
      <c r="AB92" s="33" t="str">
        <f aca="false">IF(COUNTIF(Flows!$M$2:$M$1500,$A92&amp;"|"&amp;AB$1&amp;"|Input"),IF(COUNTIF(Flows!$M$2:$M$1500,$A92&amp;"|"&amp;AB$1&amp;"|Output"),"I/O","IN"),IF(COUNTIF(Flows!$M$2:$M$1500,$A92&amp;"|"&amp;AB$1&amp;"|Output"),"OUT",""))</f>
        <v/>
      </c>
      <c r="AC92" s="33" t="str">
        <f aca="false">IF(COUNTIF(Flows!$M$2:$M$1500,$A92&amp;"|"&amp;AC$1&amp;"|Input"),IF(COUNTIF(Flows!$M$2:$M$1500,$A92&amp;"|"&amp;AC$1&amp;"|Output"),"I/O","IN"),IF(COUNTIF(Flows!$M$2:$M$1500,$A92&amp;"|"&amp;AC$1&amp;"|Output"),"OUT",""))</f>
        <v/>
      </c>
      <c r="AD92" s="33" t="str">
        <f aca="false">IF(COUNTIF(Flows!$M$2:$M$1500,$A92&amp;"|"&amp;AD$1&amp;"|Input"),IF(COUNTIF(Flows!$M$2:$M$1500,$A92&amp;"|"&amp;AD$1&amp;"|Output"),"I/O","IN"),IF(COUNTIF(Flows!$M$2:$M$1500,$A92&amp;"|"&amp;AD$1&amp;"|Output"),"OUT",""))</f>
        <v>OUT</v>
      </c>
      <c r="AE92" s="33" t="str">
        <f aca="false">IF(COUNTIF(Flows!$M$2:$M$1500,$A92&amp;"|"&amp;AE$1&amp;"|Input"),IF(COUNTIF(Flows!$M$2:$M$1500,$A92&amp;"|"&amp;AE$1&amp;"|Output"),"I/O","IN"),IF(COUNTIF(Flows!$M$2:$M$1500,$A92&amp;"|"&amp;AE$1&amp;"|Output"),"OUT",""))</f>
        <v/>
      </c>
      <c r="AF92" s="33" t="str">
        <f aca="false">IF(COUNTIF(Flows!$M$2:$M$1500,$A92&amp;"|"&amp;AF$1&amp;"|Input"),IF(COUNTIF(Flows!$M$2:$M$1500,$A92&amp;"|"&amp;AF$1&amp;"|Output"),"I/O","IN"),IF(COUNTIF(Flows!$M$2:$M$1500,$A92&amp;"|"&amp;AF$1&amp;"|Output"),"OUT",""))</f>
        <v/>
      </c>
      <c r="AG92" s="33" t="str">
        <f aca="false">IF(COUNTIF(Flows!$M$2:$M$1500,$A92&amp;"|"&amp;AG$1&amp;"|Input"),IF(COUNTIF(Flows!$M$2:$M$1500,$A92&amp;"|"&amp;AG$1&amp;"|Output"),"I/O","IN"),IF(COUNTIF(Flows!$M$2:$M$1500,$A92&amp;"|"&amp;AG$1&amp;"|Output"),"OUT",""))</f>
        <v/>
      </c>
      <c r="AH92" s="33" t="str">
        <f aca="false">IF(COUNTIF(Flows!$M$2:$M$1500,$A92&amp;"|"&amp;AH$1&amp;"|Input"),IF(COUNTIF(Flows!$M$2:$M$1500,$A92&amp;"|"&amp;AH$1&amp;"|Output"),"I/O","IN"),IF(COUNTIF(Flows!$M$2:$M$1500,$A92&amp;"|"&amp;AH$1&amp;"|Output"),"OUT",""))</f>
        <v/>
      </c>
      <c r="AI92" s="33" t="str">
        <f aca="false">IF(COUNTIF(Flows!$M$2:$M$1500,$A92&amp;"|"&amp;AI$1&amp;"|Input"),IF(COUNTIF(Flows!$M$2:$M$1500,$A92&amp;"|"&amp;AI$1&amp;"|Output"),"I/O","IN"),IF(COUNTIF(Flows!$M$2:$M$1500,$A92&amp;"|"&amp;AI$1&amp;"|Output"),"OUT",""))</f>
        <v/>
      </c>
      <c r="AJ92" s="33" t="str">
        <f aca="false">IF(COUNTIF(Flows!$M$2:$M$1500,$A92&amp;"|"&amp;AJ$1&amp;"|Input"),IF(COUNTIF(Flows!$M$2:$M$1500,$A92&amp;"|"&amp;AJ$1&amp;"|Output"),"I/O","IN"),IF(COUNTIF(Flows!$M$2:$M$1500,$A92&amp;"|"&amp;AJ$1&amp;"|Output"),"OUT",""))</f>
        <v/>
      </c>
      <c r="AK92" s="33" t="str">
        <f aca="false">IF(COUNTIF(Flows!$M$2:$M$1500,$A92&amp;"|"&amp;AK$1&amp;"|Input"),IF(COUNTIF(Flows!$M$2:$M$1500,$A92&amp;"|"&amp;AK$1&amp;"|Output"),"I/O","IN"),IF(COUNTIF(Flows!$M$2:$M$1500,$A92&amp;"|"&amp;AK$1&amp;"|Output"),"OUT",""))</f>
        <v/>
      </c>
      <c r="AL92" s="33" t="str">
        <f aca="false">IF(COUNTIF(Flows!$M$2:$M$1500,$A92&amp;"|"&amp;AL$1&amp;"|Input"),IF(COUNTIF(Flows!$M$2:$M$1500,$A92&amp;"|"&amp;AL$1&amp;"|Output"),"I/O","IN"),IF(COUNTIF(Flows!$M$2:$M$1500,$A92&amp;"|"&amp;AL$1&amp;"|Output"),"OUT",""))</f>
        <v/>
      </c>
      <c r="AM92" s="33" t="str">
        <f aca="false">IF(COUNTIF(Flows!$M$2:$M$1500,$A92&amp;"|"&amp;AM$1&amp;"|Input"),IF(COUNTIF(Flows!$M$2:$M$1500,$A92&amp;"|"&amp;AM$1&amp;"|Output"),"I/O","IN"),IF(COUNTIF(Flows!$M$2:$M$1500,$A92&amp;"|"&amp;AM$1&amp;"|Output"),"OUT",""))</f>
        <v/>
      </c>
      <c r="AN92" s="33" t="str">
        <f aca="false">IF(COUNTIF(Flows!$M$2:$M$1500,$A92&amp;"|"&amp;AN$1&amp;"|Input"),IF(COUNTIF(Flows!$M$2:$M$1500,$A92&amp;"|"&amp;AN$1&amp;"|Output"),"I/O","IN"),IF(COUNTIF(Flows!$M$2:$M$1500,$A92&amp;"|"&amp;AN$1&amp;"|Output"),"OUT",""))</f>
        <v/>
      </c>
      <c r="AO92" s="33" t="str">
        <f aca="false">IF(COUNTIF(Flows!$M$2:$M$1500,$A92&amp;"|"&amp;AO$1&amp;"|Input"),IF(COUNTIF(Flows!$M$2:$M$1500,$A92&amp;"|"&amp;AO$1&amp;"|Output"),"I/O","IN"),IF(COUNTIF(Flows!$M$2:$M$1500,$A92&amp;"|"&amp;AO$1&amp;"|Output"),"OUT",""))</f>
        <v/>
      </c>
      <c r="AP92" s="33" t="str">
        <f aca="false">IF(COUNTIF(Flows!$M$2:$M$1500,$A92&amp;"|"&amp;AP$1&amp;"|Input"),IF(COUNTIF(Flows!$M$2:$M$1500,$A92&amp;"|"&amp;AP$1&amp;"|Output"),"I/O","IN"),IF(COUNTIF(Flows!$M$2:$M$1500,$A92&amp;"|"&amp;AP$1&amp;"|Output"),"OUT",""))</f>
        <v/>
      </c>
      <c r="AQ92" s="33" t="str">
        <f aca="false">IF(COUNTIF(Flows!$M$2:$M$1500,$A92&amp;"|"&amp;AQ$1&amp;"|Input"),IF(COUNTIF(Flows!$M$2:$M$1500,$A92&amp;"|"&amp;AQ$1&amp;"|Output"),"I/O","IN"),IF(COUNTIF(Flows!$M$2:$M$1500,$A92&amp;"|"&amp;AQ$1&amp;"|Output"),"OUT",""))</f>
        <v/>
      </c>
      <c r="AR92" s="33" t="str">
        <f aca="false">IF(COUNTIF(Flows!$M$2:$M$1500,$A92&amp;"|"&amp;AR$1&amp;"|Input"),IF(COUNTIF(Flows!$M$2:$M$1500,$A92&amp;"|"&amp;AR$1&amp;"|Output"),"I/O","IN"),IF(COUNTIF(Flows!$M$2:$M$1500,$A92&amp;"|"&amp;AR$1&amp;"|Output"),"OUT",""))</f>
        <v/>
      </c>
      <c r="AS92" s="33" t="str">
        <f aca="false">IF(COUNTIF(Flows!$M$2:$M$1500,$A92&amp;"|"&amp;AS$1&amp;"|Input"),IF(COUNTIF(Flows!$M$2:$M$1500,$A92&amp;"|"&amp;AS$1&amp;"|Output"),"I/O","IN"),IF(COUNTIF(Flows!$M$2:$M$1500,$A92&amp;"|"&amp;AS$1&amp;"|Output"),"OUT",""))</f>
        <v/>
      </c>
      <c r="AT92" s="33" t="str">
        <f aca="false">IF(COUNTIF(Flows!$M$2:$M$1500,$A92&amp;"|"&amp;AT$1&amp;"|Input"),IF(COUNTIF(Flows!$M$2:$M$1500,$A92&amp;"|"&amp;AT$1&amp;"|Output"),"I/O","IN"),IF(COUNTIF(Flows!$M$2:$M$1500,$A92&amp;"|"&amp;AT$1&amp;"|Output"),"OUT",""))</f>
        <v/>
      </c>
      <c r="AU92" s="33" t="str">
        <f aca="false">IF(COUNTIF(Flows!$M$2:$M$1500,$A92&amp;"|"&amp;AU$1&amp;"|Input"),IF(COUNTIF(Flows!$M$2:$M$1500,$A92&amp;"|"&amp;AU$1&amp;"|Output"),"I/O","IN"),IF(COUNTIF(Flows!$M$2:$M$1500,$A92&amp;"|"&amp;AU$1&amp;"|Output"),"OUT",""))</f>
        <v/>
      </c>
      <c r="AV92" s="33" t="str">
        <f aca="false">IF(COUNTIF(Flows!$M$2:$M$1500,$A92&amp;"|"&amp;AV$1&amp;"|Input"),IF(COUNTIF(Flows!$M$2:$M$1500,$A92&amp;"|"&amp;AV$1&amp;"|Output"),"I/O","IN"),IF(COUNTIF(Flows!$M$2:$M$1500,$A92&amp;"|"&amp;AV$1&amp;"|Output"),"OUT",""))</f>
        <v/>
      </c>
      <c r="AW92" s="33" t="str">
        <f aca="false">IF(COUNTIF(Flows!$M$2:$M$1500,$A92&amp;"|"&amp;AW$1&amp;"|Input"),IF(COUNTIF(Flows!$M$2:$M$1500,$A92&amp;"|"&amp;AW$1&amp;"|Output"),"I/O","IN"),IF(COUNTIF(Flows!$M$2:$M$1500,$A92&amp;"|"&amp;AW$1&amp;"|Output"),"OUT",""))</f>
        <v/>
      </c>
      <c r="AX92" s="33" t="str">
        <f aca="false">IF(COUNTIF(Flows!$M$2:$M$1500,$A92&amp;"|"&amp;AX$1&amp;"|Input"),IF(COUNTIF(Flows!$M$2:$M$1500,$A92&amp;"|"&amp;AX$1&amp;"|Output"),"I/O","IN"),IF(COUNTIF(Flows!$M$2:$M$1500,$A92&amp;"|"&amp;AX$1&amp;"|Output"),"OUT",""))</f>
        <v/>
      </c>
      <c r="AY92" s="33" t="str">
        <f aca="false">IF(COUNTIF(Flows!$M$2:$M$1500,$A92&amp;"|"&amp;AY$1&amp;"|Input"),IF(COUNTIF(Flows!$M$2:$M$1500,$A92&amp;"|"&amp;AY$1&amp;"|Output"),"I/O","IN"),IF(COUNTIF(Flows!$M$2:$M$1500,$A92&amp;"|"&amp;AY$1&amp;"|Output"),"OUT",""))</f>
        <v/>
      </c>
      <c r="AZ92" s="33" t="str">
        <f aca="false">IF(COUNTIF(Flows!$M$2:$M$1500,$A92&amp;"|"&amp;AZ$1&amp;"|Input"),IF(COUNTIF(Flows!$M$2:$M$1500,$A92&amp;"|"&amp;AZ$1&amp;"|Output"),"I/O","IN"),IF(COUNTIF(Flows!$M$2:$M$1500,$A92&amp;"|"&amp;AZ$1&amp;"|Output"),"OUT",""))</f>
        <v/>
      </c>
      <c r="BA92" s="33" t="str">
        <f aca="false">IF(COUNTIF(Flows!$M$2:$M$1500,$A92&amp;"|"&amp;BA$1&amp;"|Input"),IF(COUNTIF(Flows!$M$2:$M$1500,$A92&amp;"|"&amp;BA$1&amp;"|Output"),"I/O","IN"),IF(COUNTIF(Flows!$M$2:$M$1500,$A92&amp;"|"&amp;BA$1&amp;"|Output"),"OUT",""))</f>
        <v/>
      </c>
      <c r="BB92" s="33" t="str">
        <f aca="false">IF(COUNTIF(Flows!$M$2:$M$1500,$A92&amp;"|"&amp;BB$1&amp;"|Input"),IF(COUNTIF(Flows!$M$2:$M$1500,$A92&amp;"|"&amp;BB$1&amp;"|Output"),"I/O","IN"),IF(COUNTIF(Flows!$M$2:$M$1500,$A92&amp;"|"&amp;BB$1&amp;"|Output"),"OUT",""))</f>
        <v/>
      </c>
      <c r="BC92" s="33" t="str">
        <f aca="false">IF(COUNTIF(Flows!$M$2:$M$1500,$A92&amp;"|"&amp;BC$1&amp;"|Input"),IF(COUNTIF(Flows!$M$2:$M$1500,$A92&amp;"|"&amp;BC$1&amp;"|Output"),"I/O","IN"),IF(COUNTIF(Flows!$M$2:$M$1500,$A92&amp;"|"&amp;BC$1&amp;"|Output"),"OUT",""))</f>
        <v/>
      </c>
      <c r="BD92" s="33" t="str">
        <f aca="false">IF(COUNTIF(Flows!$M$2:$M$1500,$A92&amp;"|"&amp;BD$1&amp;"|Input"),IF(COUNTIF(Flows!$M$2:$M$1500,$A92&amp;"|"&amp;BD$1&amp;"|Output"),"I/O","IN"),IF(COUNTIF(Flows!$M$2:$M$1500,$A92&amp;"|"&amp;BD$1&amp;"|Output"),"OUT",""))</f>
        <v/>
      </c>
      <c r="BE92" s="33" t="str">
        <f aca="false">IF(COUNTIF(Flows!$M$2:$M$1500,$A92&amp;"|"&amp;BE$1&amp;"|Input"),IF(COUNTIF(Flows!$M$2:$M$1500,$A92&amp;"|"&amp;BE$1&amp;"|Output"),"I/O","IN"),IF(COUNTIF(Flows!$M$2:$M$1500,$A92&amp;"|"&amp;BE$1&amp;"|Output"),"OUT",""))</f>
        <v/>
      </c>
      <c r="BF92" s="33" t="str">
        <f aca="false">IF(COUNTIF(Flows!$M$2:$M$1500,$A92&amp;"|"&amp;BF$1&amp;"|Input"),IF(COUNTIF(Flows!$M$2:$M$1500,$A92&amp;"|"&amp;BF$1&amp;"|Output"),"I/O","IN"),IF(COUNTIF(Flows!$M$2:$M$1500,$A92&amp;"|"&amp;BF$1&amp;"|Output"),"OUT",""))</f>
        <v/>
      </c>
      <c r="BG92" s="33" t="str">
        <f aca="false">IF(COUNTIF(Flows!$M$2:$M$1500,$A92&amp;"|"&amp;BG$1&amp;"|Input"),IF(COUNTIF(Flows!$M$2:$M$1500,$A92&amp;"|"&amp;BG$1&amp;"|Output"),"I/O","IN"),IF(COUNTIF(Flows!$M$2:$M$1500,$A92&amp;"|"&amp;BG$1&amp;"|Output"),"OUT",""))</f>
        <v/>
      </c>
      <c r="BH92" s="33" t="str">
        <f aca="false">IF(COUNTIF(Flows!$M$2:$M$1500,$A92&amp;"|"&amp;BH$1&amp;"|Input"),IF(COUNTIF(Flows!$M$2:$M$1500,$A92&amp;"|"&amp;BH$1&amp;"|Output"),"I/O","IN"),IF(COUNTIF(Flows!$M$2:$M$1500,$A92&amp;"|"&amp;BH$1&amp;"|Output"),"OUT",""))</f>
        <v/>
      </c>
      <c r="BI92" s="33" t="str">
        <f aca="false">IF(COUNTIF(Flows!$M$2:$M$1500,$A92&amp;"|"&amp;BI$1&amp;"|Input"),IF(COUNTIF(Flows!$M$2:$M$1500,$A92&amp;"|"&amp;BI$1&amp;"|Output"),"I/O","IN"),IF(COUNTIF(Flows!$M$2:$M$1500,$A92&amp;"|"&amp;BI$1&amp;"|Output"),"OUT",""))</f>
        <v/>
      </c>
      <c r="BJ92" s="33" t="str">
        <f aca="false">IF(COUNTIF(Flows!$M$2:$M$1500,$A92&amp;"|"&amp;BJ$1&amp;"|Input"),IF(COUNTIF(Flows!$M$2:$M$1500,$A92&amp;"|"&amp;BJ$1&amp;"|Output"),"I/O","IN"),IF(COUNTIF(Flows!$M$2:$M$1500,$A92&amp;"|"&amp;BJ$1&amp;"|Output"),"OUT",""))</f>
        <v/>
      </c>
      <c r="BK92" s="33" t="str">
        <f aca="false">IF(COUNTIF(Flows!$M$2:$M$1500,$A92&amp;"|"&amp;BK$1&amp;"|Input"),IF(COUNTIF(Flows!$M$2:$M$1500,$A92&amp;"|"&amp;BK$1&amp;"|Output"),"I/O","IN"),IF(COUNTIF(Flows!$M$2:$M$1500,$A92&amp;"|"&amp;BK$1&amp;"|Output"),"OUT",""))</f>
        <v>OUT</v>
      </c>
    </row>
    <row r="93" customFormat="false" ht="15" hidden="false" customHeight="true" outlineLevel="0" collapsed="false">
      <c r="A93" s="6" t="str">
        <f aca="false">Systems!B93</f>
        <v>LiFePO4 Battery Bank (10 kWh)</v>
      </c>
      <c r="B93" s="33" t="str">
        <f aca="false">IF(COUNTIF(Flows!$M$2:$M$1500,$A93&amp;"|"&amp;B$1&amp;"|Input"),IF(COUNTIF(Flows!$M$2:$M$1500,$A93&amp;"|"&amp;B$1&amp;"|Output"),"I/O","IN"),IF(COUNTIF(Flows!$M$2:$M$1500,$A93&amp;"|"&amp;B$1&amp;"|Output"),"OUT",""))</f>
        <v/>
      </c>
      <c r="C93" s="33" t="str">
        <f aca="false">IF(COUNTIF(Flows!$M$2:$M$1500,$A93&amp;"|"&amp;C$1&amp;"|Input"),IF(COUNTIF(Flows!$M$2:$M$1500,$A93&amp;"|"&amp;C$1&amp;"|Output"),"I/O","IN"),IF(COUNTIF(Flows!$M$2:$M$1500,$A93&amp;"|"&amp;C$1&amp;"|Output"),"OUT",""))</f>
        <v/>
      </c>
      <c r="D93" s="33" t="str">
        <f aca="false">IF(COUNTIF(Flows!$M$2:$M$1500,$A93&amp;"|"&amp;D$1&amp;"|Input"),IF(COUNTIF(Flows!$M$2:$M$1500,$A93&amp;"|"&amp;D$1&amp;"|Output"),"I/O","IN"),IF(COUNTIF(Flows!$M$2:$M$1500,$A93&amp;"|"&amp;D$1&amp;"|Output"),"OUT",""))</f>
        <v/>
      </c>
      <c r="E93" s="33" t="str">
        <f aca="false">IF(COUNTIF(Flows!$M$2:$M$1500,$A93&amp;"|"&amp;E$1&amp;"|Input"),IF(COUNTIF(Flows!$M$2:$M$1500,$A93&amp;"|"&amp;E$1&amp;"|Output"),"I/O","IN"),IF(COUNTIF(Flows!$M$2:$M$1500,$A93&amp;"|"&amp;E$1&amp;"|Output"),"OUT",""))</f>
        <v/>
      </c>
      <c r="F93" s="33" t="str">
        <f aca="false">IF(COUNTIF(Flows!$M$2:$M$1500,$A93&amp;"|"&amp;F$1&amp;"|Input"),IF(COUNTIF(Flows!$M$2:$M$1500,$A93&amp;"|"&amp;F$1&amp;"|Output"),"I/O","IN"),IF(COUNTIF(Flows!$M$2:$M$1500,$A93&amp;"|"&amp;F$1&amp;"|Output"),"OUT",""))</f>
        <v/>
      </c>
      <c r="G93" s="33" t="str">
        <f aca="false">IF(COUNTIF(Flows!$M$2:$M$1500,$A93&amp;"|"&amp;G$1&amp;"|Input"),IF(COUNTIF(Flows!$M$2:$M$1500,$A93&amp;"|"&amp;G$1&amp;"|Output"),"I/O","IN"),IF(COUNTIF(Flows!$M$2:$M$1500,$A93&amp;"|"&amp;G$1&amp;"|Output"),"OUT",""))</f>
        <v/>
      </c>
      <c r="H93" s="33" t="str">
        <f aca="false">IF(COUNTIF(Flows!$M$2:$M$1500,$A93&amp;"|"&amp;H$1&amp;"|Input"),IF(COUNTIF(Flows!$M$2:$M$1500,$A93&amp;"|"&amp;H$1&amp;"|Output"),"I/O","IN"),IF(COUNTIF(Flows!$M$2:$M$1500,$A93&amp;"|"&amp;H$1&amp;"|Output"),"OUT",""))</f>
        <v/>
      </c>
      <c r="I93" s="33" t="str">
        <f aca="false">IF(COUNTIF(Flows!$M$2:$M$1500,$A93&amp;"|"&amp;I$1&amp;"|Input"),IF(COUNTIF(Flows!$M$2:$M$1500,$A93&amp;"|"&amp;I$1&amp;"|Output"),"I/O","IN"),IF(COUNTIF(Flows!$M$2:$M$1500,$A93&amp;"|"&amp;I$1&amp;"|Output"),"OUT",""))</f>
        <v/>
      </c>
      <c r="J93" s="33" t="str">
        <f aca="false">IF(COUNTIF(Flows!$M$2:$M$1500,$A93&amp;"|"&amp;J$1&amp;"|Input"),IF(COUNTIF(Flows!$M$2:$M$1500,$A93&amp;"|"&amp;J$1&amp;"|Output"),"I/O","IN"),IF(COUNTIF(Flows!$M$2:$M$1500,$A93&amp;"|"&amp;J$1&amp;"|Output"),"OUT",""))</f>
        <v/>
      </c>
      <c r="K93" s="33" t="str">
        <f aca="false">IF(COUNTIF(Flows!$M$2:$M$1500,$A93&amp;"|"&amp;K$1&amp;"|Input"),IF(COUNTIF(Flows!$M$2:$M$1500,$A93&amp;"|"&amp;K$1&amp;"|Output"),"I/O","IN"),IF(COUNTIF(Flows!$M$2:$M$1500,$A93&amp;"|"&amp;K$1&amp;"|Output"),"OUT",""))</f>
        <v/>
      </c>
      <c r="L93" s="33" t="str">
        <f aca="false">IF(COUNTIF(Flows!$M$2:$M$1500,$A93&amp;"|"&amp;L$1&amp;"|Input"),IF(COUNTIF(Flows!$M$2:$M$1500,$A93&amp;"|"&amp;L$1&amp;"|Output"),"I/O","IN"),IF(COUNTIF(Flows!$M$2:$M$1500,$A93&amp;"|"&amp;L$1&amp;"|Output"),"OUT",""))</f>
        <v/>
      </c>
      <c r="M93" s="33" t="str">
        <f aca="false">IF(COUNTIF(Flows!$M$2:$M$1500,$A93&amp;"|"&amp;M$1&amp;"|Input"),IF(COUNTIF(Flows!$M$2:$M$1500,$A93&amp;"|"&amp;M$1&amp;"|Output"),"I/O","IN"),IF(COUNTIF(Flows!$M$2:$M$1500,$A93&amp;"|"&amp;M$1&amp;"|Output"),"OUT",""))</f>
        <v/>
      </c>
      <c r="N93" s="33" t="str">
        <f aca="false">IF(COUNTIF(Flows!$M$2:$M$1500,$A93&amp;"|"&amp;N$1&amp;"|Input"),IF(COUNTIF(Flows!$M$2:$M$1500,$A93&amp;"|"&amp;N$1&amp;"|Output"),"I/O","IN"),IF(COUNTIF(Flows!$M$2:$M$1500,$A93&amp;"|"&amp;N$1&amp;"|Output"),"OUT",""))</f>
        <v/>
      </c>
      <c r="O93" s="33" t="str">
        <f aca="false">IF(COUNTIF(Flows!$M$2:$M$1500,$A93&amp;"|"&amp;O$1&amp;"|Input"),IF(COUNTIF(Flows!$M$2:$M$1500,$A93&amp;"|"&amp;O$1&amp;"|Output"),"I/O","IN"),IF(COUNTIF(Flows!$M$2:$M$1500,$A93&amp;"|"&amp;O$1&amp;"|Output"),"OUT",""))</f>
        <v/>
      </c>
      <c r="P93" s="33" t="str">
        <f aca="false">IF(COUNTIF(Flows!$M$2:$M$1500,$A93&amp;"|"&amp;P$1&amp;"|Input"),IF(COUNTIF(Flows!$M$2:$M$1500,$A93&amp;"|"&amp;P$1&amp;"|Output"),"I/O","IN"),IF(COUNTIF(Flows!$M$2:$M$1500,$A93&amp;"|"&amp;P$1&amp;"|Output"),"OUT",""))</f>
        <v/>
      </c>
      <c r="Q93" s="33" t="str">
        <f aca="false">IF(COUNTIF(Flows!$M$2:$M$1500,$A93&amp;"|"&amp;Q$1&amp;"|Input"),IF(COUNTIF(Flows!$M$2:$M$1500,$A93&amp;"|"&amp;Q$1&amp;"|Output"),"I/O","IN"),IF(COUNTIF(Flows!$M$2:$M$1500,$A93&amp;"|"&amp;Q$1&amp;"|Output"),"OUT",""))</f>
        <v/>
      </c>
      <c r="R93" s="33" t="str">
        <f aca="false">IF(COUNTIF(Flows!$M$2:$M$1500,$A93&amp;"|"&amp;R$1&amp;"|Input"),IF(COUNTIF(Flows!$M$2:$M$1500,$A93&amp;"|"&amp;R$1&amp;"|Output"),"I/O","IN"),IF(COUNTIF(Flows!$M$2:$M$1500,$A93&amp;"|"&amp;R$1&amp;"|Output"),"OUT",""))</f>
        <v/>
      </c>
      <c r="S93" s="33" t="str">
        <f aca="false">IF(COUNTIF(Flows!$M$2:$M$1500,$A93&amp;"|"&amp;S$1&amp;"|Input"),IF(COUNTIF(Flows!$M$2:$M$1500,$A93&amp;"|"&amp;S$1&amp;"|Output"),"I/O","IN"),IF(COUNTIF(Flows!$M$2:$M$1500,$A93&amp;"|"&amp;S$1&amp;"|Output"),"OUT",""))</f>
        <v>I/O</v>
      </c>
      <c r="T93" s="33" t="str">
        <f aca="false">IF(COUNTIF(Flows!$M$2:$M$1500,$A93&amp;"|"&amp;T$1&amp;"|Input"),IF(COUNTIF(Flows!$M$2:$M$1500,$A93&amp;"|"&amp;T$1&amp;"|Output"),"I/O","IN"),IF(COUNTIF(Flows!$M$2:$M$1500,$A93&amp;"|"&amp;T$1&amp;"|Output"),"OUT",""))</f>
        <v/>
      </c>
      <c r="U93" s="33" t="str">
        <f aca="false">IF(COUNTIF(Flows!$M$2:$M$1500,$A93&amp;"|"&amp;U$1&amp;"|Input"),IF(COUNTIF(Flows!$M$2:$M$1500,$A93&amp;"|"&amp;U$1&amp;"|Output"),"I/O","IN"),IF(COUNTIF(Flows!$M$2:$M$1500,$A93&amp;"|"&amp;U$1&amp;"|Output"),"OUT",""))</f>
        <v/>
      </c>
      <c r="V93" s="33" t="str">
        <f aca="false">IF(COUNTIF(Flows!$M$2:$M$1500,$A93&amp;"|"&amp;V$1&amp;"|Input"),IF(COUNTIF(Flows!$M$2:$M$1500,$A93&amp;"|"&amp;V$1&amp;"|Output"),"I/O","IN"),IF(COUNTIF(Flows!$M$2:$M$1500,$A93&amp;"|"&amp;V$1&amp;"|Output"),"OUT",""))</f>
        <v/>
      </c>
      <c r="W93" s="33" t="str">
        <f aca="false">IF(COUNTIF(Flows!$M$2:$M$1500,$A93&amp;"|"&amp;W$1&amp;"|Input"),IF(COUNTIF(Flows!$M$2:$M$1500,$A93&amp;"|"&amp;W$1&amp;"|Output"),"I/O","IN"),IF(COUNTIF(Flows!$M$2:$M$1500,$A93&amp;"|"&amp;W$1&amp;"|Output"),"OUT",""))</f>
        <v/>
      </c>
      <c r="X93" s="33" t="str">
        <f aca="false">IF(COUNTIF(Flows!$M$2:$M$1500,$A93&amp;"|"&amp;X$1&amp;"|Input"),IF(COUNTIF(Flows!$M$2:$M$1500,$A93&amp;"|"&amp;X$1&amp;"|Output"),"I/O","IN"),IF(COUNTIF(Flows!$M$2:$M$1500,$A93&amp;"|"&amp;X$1&amp;"|Output"),"OUT",""))</f>
        <v>IN</v>
      </c>
      <c r="Y93" s="33" t="str">
        <f aca="false">IF(COUNTIF(Flows!$M$2:$M$1500,$A93&amp;"|"&amp;Y$1&amp;"|Input"),IF(COUNTIF(Flows!$M$2:$M$1500,$A93&amp;"|"&amp;Y$1&amp;"|Output"),"I/O","IN"),IF(COUNTIF(Flows!$M$2:$M$1500,$A93&amp;"|"&amp;Y$1&amp;"|Output"),"OUT",""))</f>
        <v/>
      </c>
      <c r="Z93" s="33" t="str">
        <f aca="false">IF(COUNTIF(Flows!$M$2:$M$1500,$A93&amp;"|"&amp;Z$1&amp;"|Input"),IF(COUNTIF(Flows!$M$2:$M$1500,$A93&amp;"|"&amp;Z$1&amp;"|Output"),"I/O","IN"),IF(COUNTIF(Flows!$M$2:$M$1500,$A93&amp;"|"&amp;Z$1&amp;"|Output"),"OUT",""))</f>
        <v/>
      </c>
      <c r="AA93" s="33" t="str">
        <f aca="false">IF(COUNTIF(Flows!$M$2:$M$1500,$A93&amp;"|"&amp;AA$1&amp;"|Input"),IF(COUNTIF(Flows!$M$2:$M$1500,$A93&amp;"|"&amp;AA$1&amp;"|Output"),"I/O","IN"),IF(COUNTIF(Flows!$M$2:$M$1500,$A93&amp;"|"&amp;AA$1&amp;"|Output"),"OUT",""))</f>
        <v/>
      </c>
      <c r="AB93" s="33" t="str">
        <f aca="false">IF(COUNTIF(Flows!$M$2:$M$1500,$A93&amp;"|"&amp;AB$1&amp;"|Input"),IF(COUNTIF(Flows!$M$2:$M$1500,$A93&amp;"|"&amp;AB$1&amp;"|Output"),"I/O","IN"),IF(COUNTIF(Flows!$M$2:$M$1500,$A93&amp;"|"&amp;AB$1&amp;"|Output"),"OUT",""))</f>
        <v/>
      </c>
      <c r="AC93" s="33" t="str">
        <f aca="false">IF(COUNTIF(Flows!$M$2:$M$1500,$A93&amp;"|"&amp;AC$1&amp;"|Input"),IF(COUNTIF(Flows!$M$2:$M$1500,$A93&amp;"|"&amp;AC$1&amp;"|Output"),"I/O","IN"),IF(COUNTIF(Flows!$M$2:$M$1500,$A93&amp;"|"&amp;AC$1&amp;"|Output"),"OUT",""))</f>
        <v/>
      </c>
      <c r="AD93" s="33" t="str">
        <f aca="false">IF(COUNTIF(Flows!$M$2:$M$1500,$A93&amp;"|"&amp;AD$1&amp;"|Input"),IF(COUNTIF(Flows!$M$2:$M$1500,$A93&amp;"|"&amp;AD$1&amp;"|Output"),"I/O","IN"),IF(COUNTIF(Flows!$M$2:$M$1500,$A93&amp;"|"&amp;AD$1&amp;"|Output"),"OUT",""))</f>
        <v/>
      </c>
      <c r="AE93" s="33" t="str">
        <f aca="false">IF(COUNTIF(Flows!$M$2:$M$1500,$A93&amp;"|"&amp;AE$1&amp;"|Input"),IF(COUNTIF(Flows!$M$2:$M$1500,$A93&amp;"|"&amp;AE$1&amp;"|Output"),"I/O","IN"),IF(COUNTIF(Flows!$M$2:$M$1500,$A93&amp;"|"&amp;AE$1&amp;"|Output"),"OUT",""))</f>
        <v/>
      </c>
      <c r="AF93" s="33" t="str">
        <f aca="false">IF(COUNTIF(Flows!$M$2:$M$1500,$A93&amp;"|"&amp;AF$1&amp;"|Input"),IF(COUNTIF(Flows!$M$2:$M$1500,$A93&amp;"|"&amp;AF$1&amp;"|Output"),"I/O","IN"),IF(COUNTIF(Flows!$M$2:$M$1500,$A93&amp;"|"&amp;AF$1&amp;"|Output"),"OUT",""))</f>
        <v>OUT</v>
      </c>
      <c r="AG93" s="33" t="str">
        <f aca="false">IF(COUNTIF(Flows!$M$2:$M$1500,$A93&amp;"|"&amp;AG$1&amp;"|Input"),IF(COUNTIF(Flows!$M$2:$M$1500,$A93&amp;"|"&amp;AG$1&amp;"|Output"),"I/O","IN"),IF(COUNTIF(Flows!$M$2:$M$1500,$A93&amp;"|"&amp;AG$1&amp;"|Output"),"OUT",""))</f>
        <v/>
      </c>
      <c r="AH93" s="33" t="str">
        <f aca="false">IF(COUNTIF(Flows!$M$2:$M$1500,$A93&amp;"|"&amp;AH$1&amp;"|Input"),IF(COUNTIF(Flows!$M$2:$M$1500,$A93&amp;"|"&amp;AH$1&amp;"|Output"),"I/O","IN"),IF(COUNTIF(Flows!$M$2:$M$1500,$A93&amp;"|"&amp;AH$1&amp;"|Output"),"OUT",""))</f>
        <v/>
      </c>
      <c r="AI93" s="33" t="str">
        <f aca="false">IF(COUNTIF(Flows!$M$2:$M$1500,$A93&amp;"|"&amp;AI$1&amp;"|Input"),IF(COUNTIF(Flows!$M$2:$M$1500,$A93&amp;"|"&amp;AI$1&amp;"|Output"),"I/O","IN"),IF(COUNTIF(Flows!$M$2:$M$1500,$A93&amp;"|"&amp;AI$1&amp;"|Output"),"OUT",""))</f>
        <v/>
      </c>
      <c r="AJ93" s="33" t="str">
        <f aca="false">IF(COUNTIF(Flows!$M$2:$M$1500,$A93&amp;"|"&amp;AJ$1&amp;"|Input"),IF(COUNTIF(Flows!$M$2:$M$1500,$A93&amp;"|"&amp;AJ$1&amp;"|Output"),"I/O","IN"),IF(COUNTIF(Flows!$M$2:$M$1500,$A93&amp;"|"&amp;AJ$1&amp;"|Output"),"OUT",""))</f>
        <v/>
      </c>
      <c r="AK93" s="33" t="str">
        <f aca="false">IF(COUNTIF(Flows!$M$2:$M$1500,$A93&amp;"|"&amp;AK$1&amp;"|Input"),IF(COUNTIF(Flows!$M$2:$M$1500,$A93&amp;"|"&amp;AK$1&amp;"|Output"),"I/O","IN"),IF(COUNTIF(Flows!$M$2:$M$1500,$A93&amp;"|"&amp;AK$1&amp;"|Output"),"OUT",""))</f>
        <v/>
      </c>
      <c r="AL93" s="33" t="str">
        <f aca="false">IF(COUNTIF(Flows!$M$2:$M$1500,$A93&amp;"|"&amp;AL$1&amp;"|Input"),IF(COUNTIF(Flows!$M$2:$M$1500,$A93&amp;"|"&amp;AL$1&amp;"|Output"),"I/O","IN"),IF(COUNTIF(Flows!$M$2:$M$1500,$A93&amp;"|"&amp;AL$1&amp;"|Output"),"OUT",""))</f>
        <v/>
      </c>
      <c r="AM93" s="33" t="str">
        <f aca="false">IF(COUNTIF(Flows!$M$2:$M$1500,$A93&amp;"|"&amp;AM$1&amp;"|Input"),IF(COUNTIF(Flows!$M$2:$M$1500,$A93&amp;"|"&amp;AM$1&amp;"|Output"),"I/O","IN"),IF(COUNTIF(Flows!$M$2:$M$1500,$A93&amp;"|"&amp;AM$1&amp;"|Output"),"OUT",""))</f>
        <v/>
      </c>
      <c r="AN93" s="33" t="str">
        <f aca="false">IF(COUNTIF(Flows!$M$2:$M$1500,$A93&amp;"|"&amp;AN$1&amp;"|Input"),IF(COUNTIF(Flows!$M$2:$M$1500,$A93&amp;"|"&amp;AN$1&amp;"|Output"),"I/O","IN"),IF(COUNTIF(Flows!$M$2:$M$1500,$A93&amp;"|"&amp;AN$1&amp;"|Output"),"OUT",""))</f>
        <v/>
      </c>
      <c r="AO93" s="33" t="str">
        <f aca="false">IF(COUNTIF(Flows!$M$2:$M$1500,$A93&amp;"|"&amp;AO$1&amp;"|Input"),IF(COUNTIF(Flows!$M$2:$M$1500,$A93&amp;"|"&amp;AO$1&amp;"|Output"),"I/O","IN"),IF(COUNTIF(Flows!$M$2:$M$1500,$A93&amp;"|"&amp;AO$1&amp;"|Output"),"OUT",""))</f>
        <v/>
      </c>
      <c r="AP93" s="33" t="str">
        <f aca="false">IF(COUNTIF(Flows!$M$2:$M$1500,$A93&amp;"|"&amp;AP$1&amp;"|Input"),IF(COUNTIF(Flows!$M$2:$M$1500,$A93&amp;"|"&amp;AP$1&amp;"|Output"),"I/O","IN"),IF(COUNTIF(Flows!$M$2:$M$1500,$A93&amp;"|"&amp;AP$1&amp;"|Output"),"OUT",""))</f>
        <v/>
      </c>
      <c r="AQ93" s="33" t="str">
        <f aca="false">IF(COUNTIF(Flows!$M$2:$M$1500,$A93&amp;"|"&amp;AQ$1&amp;"|Input"),IF(COUNTIF(Flows!$M$2:$M$1500,$A93&amp;"|"&amp;AQ$1&amp;"|Output"),"I/O","IN"),IF(COUNTIF(Flows!$M$2:$M$1500,$A93&amp;"|"&amp;AQ$1&amp;"|Output"),"OUT",""))</f>
        <v/>
      </c>
      <c r="AR93" s="33" t="str">
        <f aca="false">IF(COUNTIF(Flows!$M$2:$M$1500,$A93&amp;"|"&amp;AR$1&amp;"|Input"),IF(COUNTIF(Flows!$M$2:$M$1500,$A93&amp;"|"&amp;AR$1&amp;"|Output"),"I/O","IN"),IF(COUNTIF(Flows!$M$2:$M$1500,$A93&amp;"|"&amp;AR$1&amp;"|Output"),"OUT",""))</f>
        <v/>
      </c>
      <c r="AS93" s="33" t="str">
        <f aca="false">IF(COUNTIF(Flows!$M$2:$M$1500,$A93&amp;"|"&amp;AS$1&amp;"|Input"),IF(COUNTIF(Flows!$M$2:$M$1500,$A93&amp;"|"&amp;AS$1&amp;"|Output"),"I/O","IN"),IF(COUNTIF(Flows!$M$2:$M$1500,$A93&amp;"|"&amp;AS$1&amp;"|Output"),"OUT",""))</f>
        <v/>
      </c>
      <c r="AT93" s="33" t="str">
        <f aca="false">IF(COUNTIF(Flows!$M$2:$M$1500,$A93&amp;"|"&amp;AT$1&amp;"|Input"),IF(COUNTIF(Flows!$M$2:$M$1500,$A93&amp;"|"&amp;AT$1&amp;"|Output"),"I/O","IN"),IF(COUNTIF(Flows!$M$2:$M$1500,$A93&amp;"|"&amp;AT$1&amp;"|Output"),"OUT",""))</f>
        <v/>
      </c>
      <c r="AU93" s="33" t="str">
        <f aca="false">IF(COUNTIF(Flows!$M$2:$M$1500,$A93&amp;"|"&amp;AU$1&amp;"|Input"),IF(COUNTIF(Flows!$M$2:$M$1500,$A93&amp;"|"&amp;AU$1&amp;"|Output"),"I/O","IN"),IF(COUNTIF(Flows!$M$2:$M$1500,$A93&amp;"|"&amp;AU$1&amp;"|Output"),"OUT",""))</f>
        <v/>
      </c>
      <c r="AV93" s="33" t="str">
        <f aca="false">IF(COUNTIF(Flows!$M$2:$M$1500,$A93&amp;"|"&amp;AV$1&amp;"|Input"),IF(COUNTIF(Flows!$M$2:$M$1500,$A93&amp;"|"&amp;AV$1&amp;"|Output"),"I/O","IN"),IF(COUNTIF(Flows!$M$2:$M$1500,$A93&amp;"|"&amp;AV$1&amp;"|Output"),"OUT",""))</f>
        <v/>
      </c>
      <c r="AW93" s="33" t="str">
        <f aca="false">IF(COUNTIF(Flows!$M$2:$M$1500,$A93&amp;"|"&amp;AW$1&amp;"|Input"),IF(COUNTIF(Flows!$M$2:$M$1500,$A93&amp;"|"&amp;AW$1&amp;"|Output"),"I/O","IN"),IF(COUNTIF(Flows!$M$2:$M$1500,$A93&amp;"|"&amp;AW$1&amp;"|Output"),"OUT",""))</f>
        <v/>
      </c>
      <c r="AX93" s="33" t="str">
        <f aca="false">IF(COUNTIF(Flows!$M$2:$M$1500,$A93&amp;"|"&amp;AX$1&amp;"|Input"),IF(COUNTIF(Flows!$M$2:$M$1500,$A93&amp;"|"&amp;AX$1&amp;"|Output"),"I/O","IN"),IF(COUNTIF(Flows!$M$2:$M$1500,$A93&amp;"|"&amp;AX$1&amp;"|Output"),"OUT",""))</f>
        <v/>
      </c>
      <c r="AY93" s="33" t="str">
        <f aca="false">IF(COUNTIF(Flows!$M$2:$M$1500,$A93&amp;"|"&amp;AY$1&amp;"|Input"),IF(COUNTIF(Flows!$M$2:$M$1500,$A93&amp;"|"&amp;AY$1&amp;"|Output"),"I/O","IN"),IF(COUNTIF(Flows!$M$2:$M$1500,$A93&amp;"|"&amp;AY$1&amp;"|Output"),"OUT",""))</f>
        <v/>
      </c>
      <c r="AZ93" s="33" t="str">
        <f aca="false">IF(COUNTIF(Flows!$M$2:$M$1500,$A93&amp;"|"&amp;AZ$1&amp;"|Input"),IF(COUNTIF(Flows!$M$2:$M$1500,$A93&amp;"|"&amp;AZ$1&amp;"|Output"),"I/O","IN"),IF(COUNTIF(Flows!$M$2:$M$1500,$A93&amp;"|"&amp;AZ$1&amp;"|Output"),"OUT",""))</f>
        <v/>
      </c>
      <c r="BA93" s="33" t="str">
        <f aca="false">IF(COUNTIF(Flows!$M$2:$M$1500,$A93&amp;"|"&amp;BA$1&amp;"|Input"),IF(COUNTIF(Flows!$M$2:$M$1500,$A93&amp;"|"&amp;BA$1&amp;"|Output"),"I/O","IN"),IF(COUNTIF(Flows!$M$2:$M$1500,$A93&amp;"|"&amp;BA$1&amp;"|Output"),"OUT",""))</f>
        <v/>
      </c>
      <c r="BB93" s="33" t="str">
        <f aca="false">IF(COUNTIF(Flows!$M$2:$M$1500,$A93&amp;"|"&amp;BB$1&amp;"|Input"),IF(COUNTIF(Flows!$M$2:$M$1500,$A93&amp;"|"&amp;BB$1&amp;"|Output"),"I/O","IN"),IF(COUNTIF(Flows!$M$2:$M$1500,$A93&amp;"|"&amp;BB$1&amp;"|Output"),"OUT",""))</f>
        <v/>
      </c>
      <c r="BC93" s="33" t="str">
        <f aca="false">IF(COUNTIF(Flows!$M$2:$M$1500,$A93&amp;"|"&amp;BC$1&amp;"|Input"),IF(COUNTIF(Flows!$M$2:$M$1500,$A93&amp;"|"&amp;BC$1&amp;"|Output"),"I/O","IN"),IF(COUNTIF(Flows!$M$2:$M$1500,$A93&amp;"|"&amp;BC$1&amp;"|Output"),"OUT",""))</f>
        <v/>
      </c>
      <c r="BD93" s="33" t="str">
        <f aca="false">IF(COUNTIF(Flows!$M$2:$M$1500,$A93&amp;"|"&amp;BD$1&amp;"|Input"),IF(COUNTIF(Flows!$M$2:$M$1500,$A93&amp;"|"&amp;BD$1&amp;"|Output"),"I/O","IN"),IF(COUNTIF(Flows!$M$2:$M$1500,$A93&amp;"|"&amp;BD$1&amp;"|Output"),"OUT",""))</f>
        <v/>
      </c>
      <c r="BE93" s="33" t="str">
        <f aca="false">IF(COUNTIF(Flows!$M$2:$M$1500,$A93&amp;"|"&amp;BE$1&amp;"|Input"),IF(COUNTIF(Flows!$M$2:$M$1500,$A93&amp;"|"&amp;BE$1&amp;"|Output"),"I/O","IN"),IF(COUNTIF(Flows!$M$2:$M$1500,$A93&amp;"|"&amp;BE$1&amp;"|Output"),"OUT",""))</f>
        <v/>
      </c>
      <c r="BF93" s="33" t="str">
        <f aca="false">IF(COUNTIF(Flows!$M$2:$M$1500,$A93&amp;"|"&amp;BF$1&amp;"|Input"),IF(COUNTIF(Flows!$M$2:$M$1500,$A93&amp;"|"&amp;BF$1&amp;"|Output"),"I/O","IN"),IF(COUNTIF(Flows!$M$2:$M$1500,$A93&amp;"|"&amp;BF$1&amp;"|Output"),"OUT",""))</f>
        <v/>
      </c>
      <c r="BG93" s="33" t="str">
        <f aca="false">IF(COUNTIF(Flows!$M$2:$M$1500,$A93&amp;"|"&amp;BG$1&amp;"|Input"),IF(COUNTIF(Flows!$M$2:$M$1500,$A93&amp;"|"&amp;BG$1&amp;"|Output"),"I/O","IN"),IF(COUNTIF(Flows!$M$2:$M$1500,$A93&amp;"|"&amp;BG$1&amp;"|Output"),"OUT",""))</f>
        <v/>
      </c>
      <c r="BH93" s="33" t="str">
        <f aca="false">IF(COUNTIF(Flows!$M$2:$M$1500,$A93&amp;"|"&amp;BH$1&amp;"|Input"),IF(COUNTIF(Flows!$M$2:$M$1500,$A93&amp;"|"&amp;BH$1&amp;"|Output"),"I/O","IN"),IF(COUNTIF(Flows!$M$2:$M$1500,$A93&amp;"|"&amp;BH$1&amp;"|Output"),"OUT",""))</f>
        <v/>
      </c>
      <c r="BI93" s="33" t="str">
        <f aca="false">IF(COUNTIF(Flows!$M$2:$M$1500,$A93&amp;"|"&amp;BI$1&amp;"|Input"),IF(COUNTIF(Flows!$M$2:$M$1500,$A93&amp;"|"&amp;BI$1&amp;"|Output"),"I/O","IN"),IF(COUNTIF(Flows!$M$2:$M$1500,$A93&amp;"|"&amp;BI$1&amp;"|Output"),"OUT",""))</f>
        <v/>
      </c>
      <c r="BJ93" s="33" t="str">
        <f aca="false">IF(COUNTIF(Flows!$M$2:$M$1500,$A93&amp;"|"&amp;BJ$1&amp;"|Input"),IF(COUNTIF(Flows!$M$2:$M$1500,$A93&amp;"|"&amp;BJ$1&amp;"|Output"),"I/O","IN"),IF(COUNTIF(Flows!$M$2:$M$1500,$A93&amp;"|"&amp;BJ$1&amp;"|Output"),"OUT",""))</f>
        <v/>
      </c>
      <c r="BK93" s="33" t="str">
        <f aca="false">IF(COUNTIF(Flows!$M$2:$M$1500,$A93&amp;"|"&amp;BK$1&amp;"|Input"),IF(COUNTIF(Flows!$M$2:$M$1500,$A93&amp;"|"&amp;BK$1&amp;"|Output"),"I/O","IN"),IF(COUNTIF(Flows!$M$2:$M$1500,$A93&amp;"|"&amp;BK$1&amp;"|Output"),"OUT",""))</f>
        <v/>
      </c>
    </row>
    <row r="94" customFormat="false" ht="15" hidden="false" customHeight="true" outlineLevel="0" collapsed="false">
      <c r="A94" s="6" t="str">
        <f aca="false">Systems!B94</f>
        <v>Small Wind Turbine (1.5 kW)</v>
      </c>
      <c r="B94" s="33" t="str">
        <f aca="false">IF(COUNTIF(Flows!$M$2:$M$1500,$A94&amp;"|"&amp;B$1&amp;"|Input"),IF(COUNTIF(Flows!$M$2:$M$1500,$A94&amp;"|"&amp;B$1&amp;"|Output"),"I/O","IN"),IF(COUNTIF(Flows!$M$2:$M$1500,$A94&amp;"|"&amp;B$1&amp;"|Output"),"OUT",""))</f>
        <v/>
      </c>
      <c r="C94" s="33" t="str">
        <f aca="false">IF(COUNTIF(Flows!$M$2:$M$1500,$A94&amp;"|"&amp;C$1&amp;"|Input"),IF(COUNTIF(Flows!$M$2:$M$1500,$A94&amp;"|"&amp;C$1&amp;"|Output"),"I/O","IN"),IF(COUNTIF(Flows!$M$2:$M$1500,$A94&amp;"|"&amp;C$1&amp;"|Output"),"OUT",""))</f>
        <v/>
      </c>
      <c r="D94" s="33" t="str">
        <f aca="false">IF(COUNTIF(Flows!$M$2:$M$1500,$A94&amp;"|"&amp;D$1&amp;"|Input"),IF(COUNTIF(Flows!$M$2:$M$1500,$A94&amp;"|"&amp;D$1&amp;"|Output"),"I/O","IN"),IF(COUNTIF(Flows!$M$2:$M$1500,$A94&amp;"|"&amp;D$1&amp;"|Output"),"OUT",""))</f>
        <v/>
      </c>
      <c r="E94" s="33" t="str">
        <f aca="false">IF(COUNTIF(Flows!$M$2:$M$1500,$A94&amp;"|"&amp;E$1&amp;"|Input"),IF(COUNTIF(Flows!$M$2:$M$1500,$A94&amp;"|"&amp;E$1&amp;"|Output"),"I/O","IN"),IF(COUNTIF(Flows!$M$2:$M$1500,$A94&amp;"|"&amp;E$1&amp;"|Output"),"OUT",""))</f>
        <v/>
      </c>
      <c r="F94" s="33" t="str">
        <f aca="false">IF(COUNTIF(Flows!$M$2:$M$1500,$A94&amp;"|"&amp;F$1&amp;"|Input"),IF(COUNTIF(Flows!$M$2:$M$1500,$A94&amp;"|"&amp;F$1&amp;"|Output"),"I/O","IN"),IF(COUNTIF(Flows!$M$2:$M$1500,$A94&amp;"|"&amp;F$1&amp;"|Output"),"OUT",""))</f>
        <v/>
      </c>
      <c r="G94" s="33" t="str">
        <f aca="false">IF(COUNTIF(Flows!$M$2:$M$1500,$A94&amp;"|"&amp;G$1&amp;"|Input"),IF(COUNTIF(Flows!$M$2:$M$1500,$A94&amp;"|"&amp;G$1&amp;"|Output"),"I/O","IN"),IF(COUNTIF(Flows!$M$2:$M$1500,$A94&amp;"|"&amp;G$1&amp;"|Output"),"OUT",""))</f>
        <v/>
      </c>
      <c r="H94" s="33" t="str">
        <f aca="false">IF(COUNTIF(Flows!$M$2:$M$1500,$A94&amp;"|"&amp;H$1&amp;"|Input"),IF(COUNTIF(Flows!$M$2:$M$1500,$A94&amp;"|"&amp;H$1&amp;"|Output"),"I/O","IN"),IF(COUNTIF(Flows!$M$2:$M$1500,$A94&amp;"|"&amp;H$1&amp;"|Output"),"OUT",""))</f>
        <v/>
      </c>
      <c r="I94" s="33" t="str">
        <f aca="false">IF(COUNTIF(Flows!$M$2:$M$1500,$A94&amp;"|"&amp;I$1&amp;"|Input"),IF(COUNTIF(Flows!$M$2:$M$1500,$A94&amp;"|"&amp;I$1&amp;"|Output"),"I/O","IN"),IF(COUNTIF(Flows!$M$2:$M$1500,$A94&amp;"|"&amp;I$1&amp;"|Output"),"OUT",""))</f>
        <v/>
      </c>
      <c r="J94" s="33" t="str">
        <f aca="false">IF(COUNTIF(Flows!$M$2:$M$1500,$A94&amp;"|"&amp;J$1&amp;"|Input"),IF(COUNTIF(Flows!$M$2:$M$1500,$A94&amp;"|"&amp;J$1&amp;"|Output"),"I/O","IN"),IF(COUNTIF(Flows!$M$2:$M$1500,$A94&amp;"|"&amp;J$1&amp;"|Output"),"OUT",""))</f>
        <v/>
      </c>
      <c r="K94" s="33" t="str">
        <f aca="false">IF(COUNTIF(Flows!$M$2:$M$1500,$A94&amp;"|"&amp;K$1&amp;"|Input"),IF(COUNTIF(Flows!$M$2:$M$1500,$A94&amp;"|"&amp;K$1&amp;"|Output"),"I/O","IN"),IF(COUNTIF(Flows!$M$2:$M$1500,$A94&amp;"|"&amp;K$1&amp;"|Output"),"OUT",""))</f>
        <v/>
      </c>
      <c r="L94" s="33" t="str">
        <f aca="false">IF(COUNTIF(Flows!$M$2:$M$1500,$A94&amp;"|"&amp;L$1&amp;"|Input"),IF(COUNTIF(Flows!$M$2:$M$1500,$A94&amp;"|"&amp;L$1&amp;"|Output"),"I/O","IN"),IF(COUNTIF(Flows!$M$2:$M$1500,$A94&amp;"|"&amp;L$1&amp;"|Output"),"OUT",""))</f>
        <v/>
      </c>
      <c r="M94" s="33" t="str">
        <f aca="false">IF(COUNTIF(Flows!$M$2:$M$1500,$A94&amp;"|"&amp;M$1&amp;"|Input"),IF(COUNTIF(Flows!$M$2:$M$1500,$A94&amp;"|"&amp;M$1&amp;"|Output"),"I/O","IN"),IF(COUNTIF(Flows!$M$2:$M$1500,$A94&amp;"|"&amp;M$1&amp;"|Output"),"OUT",""))</f>
        <v/>
      </c>
      <c r="N94" s="33" t="str">
        <f aca="false">IF(COUNTIF(Flows!$M$2:$M$1500,$A94&amp;"|"&amp;N$1&amp;"|Input"),IF(COUNTIF(Flows!$M$2:$M$1500,$A94&amp;"|"&amp;N$1&amp;"|Output"),"I/O","IN"),IF(COUNTIF(Flows!$M$2:$M$1500,$A94&amp;"|"&amp;N$1&amp;"|Output"),"OUT",""))</f>
        <v/>
      </c>
      <c r="O94" s="33" t="str">
        <f aca="false">IF(COUNTIF(Flows!$M$2:$M$1500,$A94&amp;"|"&amp;O$1&amp;"|Input"),IF(COUNTIF(Flows!$M$2:$M$1500,$A94&amp;"|"&amp;O$1&amp;"|Output"),"I/O","IN"),IF(COUNTIF(Flows!$M$2:$M$1500,$A94&amp;"|"&amp;O$1&amp;"|Output"),"OUT",""))</f>
        <v/>
      </c>
      <c r="P94" s="33" t="str">
        <f aca="false">IF(COUNTIF(Flows!$M$2:$M$1500,$A94&amp;"|"&amp;P$1&amp;"|Input"),IF(COUNTIF(Flows!$M$2:$M$1500,$A94&amp;"|"&amp;P$1&amp;"|Output"),"I/O","IN"),IF(COUNTIF(Flows!$M$2:$M$1500,$A94&amp;"|"&amp;P$1&amp;"|Output"),"OUT",""))</f>
        <v/>
      </c>
      <c r="Q94" s="33" t="str">
        <f aca="false">IF(COUNTIF(Flows!$M$2:$M$1500,$A94&amp;"|"&amp;Q$1&amp;"|Input"),IF(COUNTIF(Flows!$M$2:$M$1500,$A94&amp;"|"&amp;Q$1&amp;"|Output"),"I/O","IN"),IF(COUNTIF(Flows!$M$2:$M$1500,$A94&amp;"|"&amp;Q$1&amp;"|Output"),"OUT",""))</f>
        <v/>
      </c>
      <c r="R94" s="33" t="str">
        <f aca="false">IF(COUNTIF(Flows!$M$2:$M$1500,$A94&amp;"|"&amp;R$1&amp;"|Input"),IF(COUNTIF(Flows!$M$2:$M$1500,$A94&amp;"|"&amp;R$1&amp;"|Output"),"I/O","IN"),IF(COUNTIF(Flows!$M$2:$M$1500,$A94&amp;"|"&amp;R$1&amp;"|Output"),"OUT",""))</f>
        <v/>
      </c>
      <c r="S94" s="33" t="str">
        <f aca="false">IF(COUNTIF(Flows!$M$2:$M$1500,$A94&amp;"|"&amp;S$1&amp;"|Input"),IF(COUNTIF(Flows!$M$2:$M$1500,$A94&amp;"|"&amp;S$1&amp;"|Output"),"I/O","IN"),IF(COUNTIF(Flows!$M$2:$M$1500,$A94&amp;"|"&amp;S$1&amp;"|Output"),"OUT",""))</f>
        <v>OUT</v>
      </c>
      <c r="T94" s="33" t="str">
        <f aca="false">IF(COUNTIF(Flows!$M$2:$M$1500,$A94&amp;"|"&amp;T$1&amp;"|Input"),IF(COUNTIF(Flows!$M$2:$M$1500,$A94&amp;"|"&amp;T$1&amp;"|Output"),"I/O","IN"),IF(COUNTIF(Flows!$M$2:$M$1500,$A94&amp;"|"&amp;T$1&amp;"|Output"),"OUT",""))</f>
        <v/>
      </c>
      <c r="U94" s="33" t="str">
        <f aca="false">IF(COUNTIF(Flows!$M$2:$M$1500,$A94&amp;"|"&amp;U$1&amp;"|Input"),IF(COUNTIF(Flows!$M$2:$M$1500,$A94&amp;"|"&amp;U$1&amp;"|Output"),"I/O","IN"),IF(COUNTIF(Flows!$M$2:$M$1500,$A94&amp;"|"&amp;U$1&amp;"|Output"),"OUT",""))</f>
        <v/>
      </c>
      <c r="V94" s="33" t="str">
        <f aca="false">IF(COUNTIF(Flows!$M$2:$M$1500,$A94&amp;"|"&amp;V$1&amp;"|Input"),IF(COUNTIF(Flows!$M$2:$M$1500,$A94&amp;"|"&amp;V$1&amp;"|Output"),"I/O","IN"),IF(COUNTIF(Flows!$M$2:$M$1500,$A94&amp;"|"&amp;V$1&amp;"|Output"),"OUT",""))</f>
        <v/>
      </c>
      <c r="W94" s="33" t="str">
        <f aca="false">IF(COUNTIF(Flows!$M$2:$M$1500,$A94&amp;"|"&amp;W$1&amp;"|Input"),IF(COUNTIF(Flows!$M$2:$M$1500,$A94&amp;"|"&amp;W$1&amp;"|Output"),"I/O","IN"),IF(COUNTIF(Flows!$M$2:$M$1500,$A94&amp;"|"&amp;W$1&amp;"|Output"),"OUT",""))</f>
        <v/>
      </c>
      <c r="X94" s="33" t="str">
        <f aca="false">IF(COUNTIF(Flows!$M$2:$M$1500,$A94&amp;"|"&amp;X$1&amp;"|Input"),IF(COUNTIF(Flows!$M$2:$M$1500,$A94&amp;"|"&amp;X$1&amp;"|Output"),"I/O","IN"),IF(COUNTIF(Flows!$M$2:$M$1500,$A94&amp;"|"&amp;X$1&amp;"|Output"),"OUT",""))</f>
        <v>IN</v>
      </c>
      <c r="Y94" s="33" t="str">
        <f aca="false">IF(COUNTIF(Flows!$M$2:$M$1500,$A94&amp;"|"&amp;Y$1&amp;"|Input"),IF(COUNTIF(Flows!$M$2:$M$1500,$A94&amp;"|"&amp;Y$1&amp;"|Output"),"I/O","IN"),IF(COUNTIF(Flows!$M$2:$M$1500,$A94&amp;"|"&amp;Y$1&amp;"|Output"),"OUT",""))</f>
        <v/>
      </c>
      <c r="Z94" s="33" t="str">
        <f aca="false">IF(COUNTIF(Flows!$M$2:$M$1500,$A94&amp;"|"&amp;Z$1&amp;"|Input"),IF(COUNTIF(Flows!$M$2:$M$1500,$A94&amp;"|"&amp;Z$1&amp;"|Output"),"I/O","IN"),IF(COUNTIF(Flows!$M$2:$M$1500,$A94&amp;"|"&amp;Z$1&amp;"|Output"),"OUT",""))</f>
        <v/>
      </c>
      <c r="AA94" s="33" t="str">
        <f aca="false">IF(COUNTIF(Flows!$M$2:$M$1500,$A94&amp;"|"&amp;AA$1&amp;"|Input"),IF(COUNTIF(Flows!$M$2:$M$1500,$A94&amp;"|"&amp;AA$1&amp;"|Output"),"I/O","IN"),IF(COUNTIF(Flows!$M$2:$M$1500,$A94&amp;"|"&amp;AA$1&amp;"|Output"),"OUT",""))</f>
        <v/>
      </c>
      <c r="AB94" s="33" t="str">
        <f aca="false">IF(COUNTIF(Flows!$M$2:$M$1500,$A94&amp;"|"&amp;AB$1&amp;"|Input"),IF(COUNTIF(Flows!$M$2:$M$1500,$A94&amp;"|"&amp;AB$1&amp;"|Output"),"I/O","IN"),IF(COUNTIF(Flows!$M$2:$M$1500,$A94&amp;"|"&amp;AB$1&amp;"|Output"),"OUT",""))</f>
        <v>IN</v>
      </c>
      <c r="AC94" s="33" t="str">
        <f aca="false">IF(COUNTIF(Flows!$M$2:$M$1500,$A94&amp;"|"&amp;AC$1&amp;"|Input"),IF(COUNTIF(Flows!$M$2:$M$1500,$A94&amp;"|"&amp;AC$1&amp;"|Output"),"I/O","IN"),IF(COUNTIF(Flows!$M$2:$M$1500,$A94&amp;"|"&amp;AC$1&amp;"|Output"),"OUT",""))</f>
        <v/>
      </c>
      <c r="AD94" s="33" t="str">
        <f aca="false">IF(COUNTIF(Flows!$M$2:$M$1500,$A94&amp;"|"&amp;AD$1&amp;"|Input"),IF(COUNTIF(Flows!$M$2:$M$1500,$A94&amp;"|"&amp;AD$1&amp;"|Output"),"I/O","IN"),IF(COUNTIF(Flows!$M$2:$M$1500,$A94&amp;"|"&amp;AD$1&amp;"|Output"),"OUT",""))</f>
        <v/>
      </c>
      <c r="AE94" s="33" t="str">
        <f aca="false">IF(COUNTIF(Flows!$M$2:$M$1500,$A94&amp;"|"&amp;AE$1&amp;"|Input"),IF(COUNTIF(Flows!$M$2:$M$1500,$A94&amp;"|"&amp;AE$1&amp;"|Output"),"I/O","IN"),IF(COUNTIF(Flows!$M$2:$M$1500,$A94&amp;"|"&amp;AE$1&amp;"|Output"),"OUT",""))</f>
        <v/>
      </c>
      <c r="AF94" s="33" t="str">
        <f aca="false">IF(COUNTIF(Flows!$M$2:$M$1500,$A94&amp;"|"&amp;AF$1&amp;"|Input"),IF(COUNTIF(Flows!$M$2:$M$1500,$A94&amp;"|"&amp;AF$1&amp;"|Output"),"I/O","IN"),IF(COUNTIF(Flows!$M$2:$M$1500,$A94&amp;"|"&amp;AF$1&amp;"|Output"),"OUT",""))</f>
        <v/>
      </c>
      <c r="AG94" s="33" t="str">
        <f aca="false">IF(COUNTIF(Flows!$M$2:$M$1500,$A94&amp;"|"&amp;AG$1&amp;"|Input"),IF(COUNTIF(Flows!$M$2:$M$1500,$A94&amp;"|"&amp;AG$1&amp;"|Output"),"I/O","IN"),IF(COUNTIF(Flows!$M$2:$M$1500,$A94&amp;"|"&amp;AG$1&amp;"|Output"),"OUT",""))</f>
        <v/>
      </c>
      <c r="AH94" s="33" t="str">
        <f aca="false">IF(COUNTIF(Flows!$M$2:$M$1500,$A94&amp;"|"&amp;AH$1&amp;"|Input"),IF(COUNTIF(Flows!$M$2:$M$1500,$A94&amp;"|"&amp;AH$1&amp;"|Output"),"I/O","IN"),IF(COUNTIF(Flows!$M$2:$M$1500,$A94&amp;"|"&amp;AH$1&amp;"|Output"),"OUT",""))</f>
        <v/>
      </c>
      <c r="AI94" s="33" t="str">
        <f aca="false">IF(COUNTIF(Flows!$M$2:$M$1500,$A94&amp;"|"&amp;AI$1&amp;"|Input"),IF(COUNTIF(Flows!$M$2:$M$1500,$A94&amp;"|"&amp;AI$1&amp;"|Output"),"I/O","IN"),IF(COUNTIF(Flows!$M$2:$M$1500,$A94&amp;"|"&amp;AI$1&amp;"|Output"),"OUT",""))</f>
        <v/>
      </c>
      <c r="AJ94" s="33" t="str">
        <f aca="false">IF(COUNTIF(Flows!$M$2:$M$1500,$A94&amp;"|"&amp;AJ$1&amp;"|Input"),IF(COUNTIF(Flows!$M$2:$M$1500,$A94&amp;"|"&amp;AJ$1&amp;"|Output"),"I/O","IN"),IF(COUNTIF(Flows!$M$2:$M$1500,$A94&amp;"|"&amp;AJ$1&amp;"|Output"),"OUT",""))</f>
        <v/>
      </c>
      <c r="AK94" s="33" t="str">
        <f aca="false">IF(COUNTIF(Flows!$M$2:$M$1500,$A94&amp;"|"&amp;AK$1&amp;"|Input"),IF(COUNTIF(Flows!$M$2:$M$1500,$A94&amp;"|"&amp;AK$1&amp;"|Output"),"I/O","IN"),IF(COUNTIF(Flows!$M$2:$M$1500,$A94&amp;"|"&amp;AK$1&amp;"|Output"),"OUT",""))</f>
        <v/>
      </c>
      <c r="AL94" s="33" t="str">
        <f aca="false">IF(COUNTIF(Flows!$M$2:$M$1500,$A94&amp;"|"&amp;AL$1&amp;"|Input"),IF(COUNTIF(Flows!$M$2:$M$1500,$A94&amp;"|"&amp;AL$1&amp;"|Output"),"I/O","IN"),IF(COUNTIF(Flows!$M$2:$M$1500,$A94&amp;"|"&amp;AL$1&amp;"|Output"),"OUT",""))</f>
        <v/>
      </c>
      <c r="AM94" s="33" t="str">
        <f aca="false">IF(COUNTIF(Flows!$M$2:$M$1500,$A94&amp;"|"&amp;AM$1&amp;"|Input"),IF(COUNTIF(Flows!$M$2:$M$1500,$A94&amp;"|"&amp;AM$1&amp;"|Output"),"I/O","IN"),IF(COUNTIF(Flows!$M$2:$M$1500,$A94&amp;"|"&amp;AM$1&amp;"|Output"),"OUT",""))</f>
        <v/>
      </c>
      <c r="AN94" s="33" t="str">
        <f aca="false">IF(COUNTIF(Flows!$M$2:$M$1500,$A94&amp;"|"&amp;AN$1&amp;"|Input"),IF(COUNTIF(Flows!$M$2:$M$1500,$A94&amp;"|"&amp;AN$1&amp;"|Output"),"I/O","IN"),IF(COUNTIF(Flows!$M$2:$M$1500,$A94&amp;"|"&amp;AN$1&amp;"|Output"),"OUT",""))</f>
        <v/>
      </c>
      <c r="AO94" s="33" t="str">
        <f aca="false">IF(COUNTIF(Flows!$M$2:$M$1500,$A94&amp;"|"&amp;AO$1&amp;"|Input"),IF(COUNTIF(Flows!$M$2:$M$1500,$A94&amp;"|"&amp;AO$1&amp;"|Output"),"I/O","IN"),IF(COUNTIF(Flows!$M$2:$M$1500,$A94&amp;"|"&amp;AO$1&amp;"|Output"),"OUT",""))</f>
        <v/>
      </c>
      <c r="AP94" s="33" t="str">
        <f aca="false">IF(COUNTIF(Flows!$M$2:$M$1500,$A94&amp;"|"&amp;AP$1&amp;"|Input"),IF(COUNTIF(Flows!$M$2:$M$1500,$A94&amp;"|"&amp;AP$1&amp;"|Output"),"I/O","IN"),IF(COUNTIF(Flows!$M$2:$M$1500,$A94&amp;"|"&amp;AP$1&amp;"|Output"),"OUT",""))</f>
        <v/>
      </c>
      <c r="AQ94" s="33" t="str">
        <f aca="false">IF(COUNTIF(Flows!$M$2:$M$1500,$A94&amp;"|"&amp;AQ$1&amp;"|Input"),IF(COUNTIF(Flows!$M$2:$M$1500,$A94&amp;"|"&amp;AQ$1&amp;"|Output"),"I/O","IN"),IF(COUNTIF(Flows!$M$2:$M$1500,$A94&amp;"|"&amp;AQ$1&amp;"|Output"),"OUT",""))</f>
        <v/>
      </c>
      <c r="AR94" s="33" t="str">
        <f aca="false">IF(COUNTIF(Flows!$M$2:$M$1500,$A94&amp;"|"&amp;AR$1&amp;"|Input"),IF(COUNTIF(Flows!$M$2:$M$1500,$A94&amp;"|"&amp;AR$1&amp;"|Output"),"I/O","IN"),IF(COUNTIF(Flows!$M$2:$M$1500,$A94&amp;"|"&amp;AR$1&amp;"|Output"),"OUT",""))</f>
        <v/>
      </c>
      <c r="AS94" s="33" t="str">
        <f aca="false">IF(COUNTIF(Flows!$M$2:$M$1500,$A94&amp;"|"&amp;AS$1&amp;"|Input"),IF(COUNTIF(Flows!$M$2:$M$1500,$A94&amp;"|"&amp;AS$1&amp;"|Output"),"I/O","IN"),IF(COUNTIF(Flows!$M$2:$M$1500,$A94&amp;"|"&amp;AS$1&amp;"|Output"),"OUT",""))</f>
        <v/>
      </c>
      <c r="AT94" s="33" t="str">
        <f aca="false">IF(COUNTIF(Flows!$M$2:$M$1500,$A94&amp;"|"&amp;AT$1&amp;"|Input"),IF(COUNTIF(Flows!$M$2:$M$1500,$A94&amp;"|"&amp;AT$1&amp;"|Output"),"I/O","IN"),IF(COUNTIF(Flows!$M$2:$M$1500,$A94&amp;"|"&amp;AT$1&amp;"|Output"),"OUT",""))</f>
        <v/>
      </c>
      <c r="AU94" s="33" t="str">
        <f aca="false">IF(COUNTIF(Flows!$M$2:$M$1500,$A94&amp;"|"&amp;AU$1&amp;"|Input"),IF(COUNTIF(Flows!$M$2:$M$1500,$A94&amp;"|"&amp;AU$1&amp;"|Output"),"I/O","IN"),IF(COUNTIF(Flows!$M$2:$M$1500,$A94&amp;"|"&amp;AU$1&amp;"|Output"),"OUT",""))</f>
        <v/>
      </c>
      <c r="AV94" s="33" t="str">
        <f aca="false">IF(COUNTIF(Flows!$M$2:$M$1500,$A94&amp;"|"&amp;AV$1&amp;"|Input"),IF(COUNTIF(Flows!$M$2:$M$1500,$A94&amp;"|"&amp;AV$1&amp;"|Output"),"I/O","IN"),IF(COUNTIF(Flows!$M$2:$M$1500,$A94&amp;"|"&amp;AV$1&amp;"|Output"),"OUT",""))</f>
        <v/>
      </c>
      <c r="AW94" s="33" t="str">
        <f aca="false">IF(COUNTIF(Flows!$M$2:$M$1500,$A94&amp;"|"&amp;AW$1&amp;"|Input"),IF(COUNTIF(Flows!$M$2:$M$1500,$A94&amp;"|"&amp;AW$1&amp;"|Output"),"I/O","IN"),IF(COUNTIF(Flows!$M$2:$M$1500,$A94&amp;"|"&amp;AW$1&amp;"|Output"),"OUT",""))</f>
        <v/>
      </c>
      <c r="AX94" s="33" t="str">
        <f aca="false">IF(COUNTIF(Flows!$M$2:$M$1500,$A94&amp;"|"&amp;AX$1&amp;"|Input"),IF(COUNTIF(Flows!$M$2:$M$1500,$A94&amp;"|"&amp;AX$1&amp;"|Output"),"I/O","IN"),IF(COUNTIF(Flows!$M$2:$M$1500,$A94&amp;"|"&amp;AX$1&amp;"|Output"),"OUT",""))</f>
        <v/>
      </c>
      <c r="AY94" s="33" t="str">
        <f aca="false">IF(COUNTIF(Flows!$M$2:$M$1500,$A94&amp;"|"&amp;AY$1&amp;"|Input"),IF(COUNTIF(Flows!$M$2:$M$1500,$A94&amp;"|"&amp;AY$1&amp;"|Output"),"I/O","IN"),IF(COUNTIF(Flows!$M$2:$M$1500,$A94&amp;"|"&amp;AY$1&amp;"|Output"),"OUT",""))</f>
        <v/>
      </c>
      <c r="AZ94" s="33" t="str">
        <f aca="false">IF(COUNTIF(Flows!$M$2:$M$1500,$A94&amp;"|"&amp;AZ$1&amp;"|Input"),IF(COUNTIF(Flows!$M$2:$M$1500,$A94&amp;"|"&amp;AZ$1&amp;"|Output"),"I/O","IN"),IF(COUNTIF(Flows!$M$2:$M$1500,$A94&amp;"|"&amp;AZ$1&amp;"|Output"),"OUT",""))</f>
        <v/>
      </c>
      <c r="BA94" s="33" t="str">
        <f aca="false">IF(COUNTIF(Flows!$M$2:$M$1500,$A94&amp;"|"&amp;BA$1&amp;"|Input"),IF(COUNTIF(Flows!$M$2:$M$1500,$A94&amp;"|"&amp;BA$1&amp;"|Output"),"I/O","IN"),IF(COUNTIF(Flows!$M$2:$M$1500,$A94&amp;"|"&amp;BA$1&amp;"|Output"),"OUT",""))</f>
        <v/>
      </c>
      <c r="BB94" s="33" t="str">
        <f aca="false">IF(COUNTIF(Flows!$M$2:$M$1500,$A94&amp;"|"&amp;BB$1&amp;"|Input"),IF(COUNTIF(Flows!$M$2:$M$1500,$A94&amp;"|"&amp;BB$1&amp;"|Output"),"I/O","IN"),IF(COUNTIF(Flows!$M$2:$M$1500,$A94&amp;"|"&amp;BB$1&amp;"|Output"),"OUT",""))</f>
        <v/>
      </c>
      <c r="BC94" s="33" t="str">
        <f aca="false">IF(COUNTIF(Flows!$M$2:$M$1500,$A94&amp;"|"&amp;BC$1&amp;"|Input"),IF(COUNTIF(Flows!$M$2:$M$1500,$A94&amp;"|"&amp;BC$1&amp;"|Output"),"I/O","IN"),IF(COUNTIF(Flows!$M$2:$M$1500,$A94&amp;"|"&amp;BC$1&amp;"|Output"),"OUT",""))</f>
        <v/>
      </c>
      <c r="BD94" s="33" t="str">
        <f aca="false">IF(COUNTIF(Flows!$M$2:$M$1500,$A94&amp;"|"&amp;BD$1&amp;"|Input"),IF(COUNTIF(Flows!$M$2:$M$1500,$A94&amp;"|"&amp;BD$1&amp;"|Output"),"I/O","IN"),IF(COUNTIF(Flows!$M$2:$M$1500,$A94&amp;"|"&amp;BD$1&amp;"|Output"),"OUT",""))</f>
        <v/>
      </c>
      <c r="BE94" s="33" t="str">
        <f aca="false">IF(COUNTIF(Flows!$M$2:$M$1500,$A94&amp;"|"&amp;BE$1&amp;"|Input"),IF(COUNTIF(Flows!$M$2:$M$1500,$A94&amp;"|"&amp;BE$1&amp;"|Output"),"I/O","IN"),IF(COUNTIF(Flows!$M$2:$M$1500,$A94&amp;"|"&amp;BE$1&amp;"|Output"),"OUT",""))</f>
        <v/>
      </c>
      <c r="BF94" s="33" t="str">
        <f aca="false">IF(COUNTIF(Flows!$M$2:$M$1500,$A94&amp;"|"&amp;BF$1&amp;"|Input"),IF(COUNTIF(Flows!$M$2:$M$1500,$A94&amp;"|"&amp;BF$1&amp;"|Output"),"I/O","IN"),IF(COUNTIF(Flows!$M$2:$M$1500,$A94&amp;"|"&amp;BF$1&amp;"|Output"),"OUT",""))</f>
        <v/>
      </c>
      <c r="BG94" s="33" t="str">
        <f aca="false">IF(COUNTIF(Flows!$M$2:$M$1500,$A94&amp;"|"&amp;BG$1&amp;"|Input"),IF(COUNTIF(Flows!$M$2:$M$1500,$A94&amp;"|"&amp;BG$1&amp;"|Output"),"I/O","IN"),IF(COUNTIF(Flows!$M$2:$M$1500,$A94&amp;"|"&amp;BG$1&amp;"|Output"),"OUT",""))</f>
        <v/>
      </c>
      <c r="BH94" s="33" t="str">
        <f aca="false">IF(COUNTIF(Flows!$M$2:$M$1500,$A94&amp;"|"&amp;BH$1&amp;"|Input"),IF(COUNTIF(Flows!$M$2:$M$1500,$A94&amp;"|"&amp;BH$1&amp;"|Output"),"I/O","IN"),IF(COUNTIF(Flows!$M$2:$M$1500,$A94&amp;"|"&amp;BH$1&amp;"|Output"),"OUT",""))</f>
        <v/>
      </c>
      <c r="BI94" s="33" t="str">
        <f aca="false">IF(COUNTIF(Flows!$M$2:$M$1500,$A94&amp;"|"&amp;BI$1&amp;"|Input"),IF(COUNTIF(Flows!$M$2:$M$1500,$A94&amp;"|"&amp;BI$1&amp;"|Output"),"I/O","IN"),IF(COUNTIF(Flows!$M$2:$M$1500,$A94&amp;"|"&amp;BI$1&amp;"|Output"),"OUT",""))</f>
        <v/>
      </c>
      <c r="BJ94" s="33" t="str">
        <f aca="false">IF(COUNTIF(Flows!$M$2:$M$1500,$A94&amp;"|"&amp;BJ$1&amp;"|Input"),IF(COUNTIF(Flows!$M$2:$M$1500,$A94&amp;"|"&amp;BJ$1&amp;"|Output"),"I/O","IN"),IF(COUNTIF(Flows!$M$2:$M$1500,$A94&amp;"|"&amp;BJ$1&amp;"|Output"),"OUT",""))</f>
        <v/>
      </c>
      <c r="BK94" s="33" t="str">
        <f aca="false">IF(COUNTIF(Flows!$M$2:$M$1500,$A94&amp;"|"&amp;BK$1&amp;"|Input"),IF(COUNTIF(Flows!$M$2:$M$1500,$A94&amp;"|"&amp;BK$1&amp;"|Output"),"I/O","IN"),IF(COUNTIF(Flows!$M$2:$M$1500,$A94&amp;"|"&amp;BK$1&amp;"|Output"),"OUT",""))</f>
        <v/>
      </c>
    </row>
    <row r="95" customFormat="false" ht="15" hidden="false" customHeight="true" outlineLevel="0" collapsed="false">
      <c r="A95" s="6" t="str">
        <f aca="false">Systems!B95</f>
        <v>Micro-Hydro Turbine (500 W)</v>
      </c>
      <c r="B95" s="33" t="str">
        <f aca="false">IF(COUNTIF(Flows!$M$2:$M$1500,$A95&amp;"|"&amp;B$1&amp;"|Input"),IF(COUNTIF(Flows!$M$2:$M$1500,$A95&amp;"|"&amp;B$1&amp;"|Output"),"I/O","IN"),IF(COUNTIF(Flows!$M$2:$M$1500,$A95&amp;"|"&amp;B$1&amp;"|Output"),"OUT",""))</f>
        <v/>
      </c>
      <c r="C95" s="33" t="str">
        <f aca="false">IF(COUNTIF(Flows!$M$2:$M$1500,$A95&amp;"|"&amp;C$1&amp;"|Input"),IF(COUNTIF(Flows!$M$2:$M$1500,$A95&amp;"|"&amp;C$1&amp;"|Output"),"I/O","IN"),IF(COUNTIF(Flows!$M$2:$M$1500,$A95&amp;"|"&amp;C$1&amp;"|Output"),"OUT",""))</f>
        <v/>
      </c>
      <c r="D95" s="33" t="str">
        <f aca="false">IF(COUNTIF(Flows!$M$2:$M$1500,$A95&amp;"|"&amp;D$1&amp;"|Input"),IF(COUNTIF(Flows!$M$2:$M$1500,$A95&amp;"|"&amp;D$1&amp;"|Output"),"I/O","IN"),IF(COUNTIF(Flows!$M$2:$M$1500,$A95&amp;"|"&amp;D$1&amp;"|Output"),"OUT",""))</f>
        <v/>
      </c>
      <c r="E95" s="33" t="str">
        <f aca="false">IF(COUNTIF(Flows!$M$2:$M$1500,$A95&amp;"|"&amp;E$1&amp;"|Input"),IF(COUNTIF(Flows!$M$2:$M$1500,$A95&amp;"|"&amp;E$1&amp;"|Output"),"I/O","IN"),IF(COUNTIF(Flows!$M$2:$M$1500,$A95&amp;"|"&amp;E$1&amp;"|Output"),"OUT",""))</f>
        <v/>
      </c>
      <c r="F95" s="33" t="str">
        <f aca="false">IF(COUNTIF(Flows!$M$2:$M$1500,$A95&amp;"|"&amp;F$1&amp;"|Input"),IF(COUNTIF(Flows!$M$2:$M$1500,$A95&amp;"|"&amp;F$1&amp;"|Output"),"I/O","IN"),IF(COUNTIF(Flows!$M$2:$M$1500,$A95&amp;"|"&amp;F$1&amp;"|Output"),"OUT",""))</f>
        <v/>
      </c>
      <c r="G95" s="33" t="str">
        <f aca="false">IF(COUNTIF(Flows!$M$2:$M$1500,$A95&amp;"|"&amp;G$1&amp;"|Input"),IF(COUNTIF(Flows!$M$2:$M$1500,$A95&amp;"|"&amp;G$1&amp;"|Output"),"I/O","IN"),IF(COUNTIF(Flows!$M$2:$M$1500,$A95&amp;"|"&amp;G$1&amp;"|Output"),"OUT",""))</f>
        <v/>
      </c>
      <c r="H95" s="33" t="str">
        <f aca="false">IF(COUNTIF(Flows!$M$2:$M$1500,$A95&amp;"|"&amp;H$1&amp;"|Input"),IF(COUNTIF(Flows!$M$2:$M$1500,$A95&amp;"|"&amp;H$1&amp;"|Output"),"I/O","IN"),IF(COUNTIF(Flows!$M$2:$M$1500,$A95&amp;"|"&amp;H$1&amp;"|Output"),"OUT",""))</f>
        <v/>
      </c>
      <c r="I95" s="33" t="str">
        <f aca="false">IF(COUNTIF(Flows!$M$2:$M$1500,$A95&amp;"|"&amp;I$1&amp;"|Input"),IF(COUNTIF(Flows!$M$2:$M$1500,$A95&amp;"|"&amp;I$1&amp;"|Output"),"I/O","IN"),IF(COUNTIF(Flows!$M$2:$M$1500,$A95&amp;"|"&amp;I$1&amp;"|Output"),"OUT",""))</f>
        <v/>
      </c>
      <c r="J95" s="33" t="str">
        <f aca="false">IF(COUNTIF(Flows!$M$2:$M$1500,$A95&amp;"|"&amp;J$1&amp;"|Input"),IF(COUNTIF(Flows!$M$2:$M$1500,$A95&amp;"|"&amp;J$1&amp;"|Output"),"I/O","IN"),IF(COUNTIF(Flows!$M$2:$M$1500,$A95&amp;"|"&amp;J$1&amp;"|Output"),"OUT",""))</f>
        <v/>
      </c>
      <c r="K95" s="33" t="str">
        <f aca="false">IF(COUNTIF(Flows!$M$2:$M$1500,$A95&amp;"|"&amp;K$1&amp;"|Input"),IF(COUNTIF(Flows!$M$2:$M$1500,$A95&amp;"|"&amp;K$1&amp;"|Output"),"I/O","IN"),IF(COUNTIF(Flows!$M$2:$M$1500,$A95&amp;"|"&amp;K$1&amp;"|Output"),"OUT",""))</f>
        <v/>
      </c>
      <c r="L95" s="33" t="str">
        <f aca="false">IF(COUNTIF(Flows!$M$2:$M$1500,$A95&amp;"|"&amp;L$1&amp;"|Input"),IF(COUNTIF(Flows!$M$2:$M$1500,$A95&amp;"|"&amp;L$1&amp;"|Output"),"I/O","IN"),IF(COUNTIF(Flows!$M$2:$M$1500,$A95&amp;"|"&amp;L$1&amp;"|Output"),"OUT",""))</f>
        <v/>
      </c>
      <c r="M95" s="33" t="str">
        <f aca="false">IF(COUNTIF(Flows!$M$2:$M$1500,$A95&amp;"|"&amp;M$1&amp;"|Input"),IF(COUNTIF(Flows!$M$2:$M$1500,$A95&amp;"|"&amp;M$1&amp;"|Output"),"I/O","IN"),IF(COUNTIF(Flows!$M$2:$M$1500,$A95&amp;"|"&amp;M$1&amp;"|Output"),"OUT",""))</f>
        <v/>
      </c>
      <c r="N95" s="33" t="str">
        <f aca="false">IF(COUNTIF(Flows!$M$2:$M$1500,$A95&amp;"|"&amp;N$1&amp;"|Input"),IF(COUNTIF(Flows!$M$2:$M$1500,$A95&amp;"|"&amp;N$1&amp;"|Output"),"I/O","IN"),IF(COUNTIF(Flows!$M$2:$M$1500,$A95&amp;"|"&amp;N$1&amp;"|Output"),"OUT",""))</f>
        <v/>
      </c>
      <c r="O95" s="33" t="str">
        <f aca="false">IF(COUNTIF(Flows!$M$2:$M$1500,$A95&amp;"|"&amp;O$1&amp;"|Input"),IF(COUNTIF(Flows!$M$2:$M$1500,$A95&amp;"|"&amp;O$1&amp;"|Output"),"I/O","IN"),IF(COUNTIF(Flows!$M$2:$M$1500,$A95&amp;"|"&amp;O$1&amp;"|Output"),"OUT",""))</f>
        <v/>
      </c>
      <c r="P95" s="33" t="str">
        <f aca="false">IF(COUNTIF(Flows!$M$2:$M$1500,$A95&amp;"|"&amp;P$1&amp;"|Input"),IF(COUNTIF(Flows!$M$2:$M$1500,$A95&amp;"|"&amp;P$1&amp;"|Output"),"I/O","IN"),IF(COUNTIF(Flows!$M$2:$M$1500,$A95&amp;"|"&amp;P$1&amp;"|Output"),"OUT",""))</f>
        <v/>
      </c>
      <c r="Q95" s="33" t="str">
        <f aca="false">IF(COUNTIF(Flows!$M$2:$M$1500,$A95&amp;"|"&amp;Q$1&amp;"|Input"),IF(COUNTIF(Flows!$M$2:$M$1500,$A95&amp;"|"&amp;Q$1&amp;"|Output"),"I/O","IN"),IF(COUNTIF(Flows!$M$2:$M$1500,$A95&amp;"|"&amp;Q$1&amp;"|Output"),"OUT",""))</f>
        <v/>
      </c>
      <c r="R95" s="33" t="str">
        <f aca="false">IF(COUNTIF(Flows!$M$2:$M$1500,$A95&amp;"|"&amp;R$1&amp;"|Input"),IF(COUNTIF(Flows!$M$2:$M$1500,$A95&amp;"|"&amp;R$1&amp;"|Output"),"I/O","IN"),IF(COUNTIF(Flows!$M$2:$M$1500,$A95&amp;"|"&amp;R$1&amp;"|Output"),"OUT",""))</f>
        <v/>
      </c>
      <c r="S95" s="33" t="str">
        <f aca="false">IF(COUNTIF(Flows!$M$2:$M$1500,$A95&amp;"|"&amp;S$1&amp;"|Input"),IF(COUNTIF(Flows!$M$2:$M$1500,$A95&amp;"|"&amp;S$1&amp;"|Output"),"I/O","IN"),IF(COUNTIF(Flows!$M$2:$M$1500,$A95&amp;"|"&amp;S$1&amp;"|Output"),"OUT",""))</f>
        <v>OUT</v>
      </c>
      <c r="T95" s="33" t="str">
        <f aca="false">IF(COUNTIF(Flows!$M$2:$M$1500,$A95&amp;"|"&amp;T$1&amp;"|Input"),IF(COUNTIF(Flows!$M$2:$M$1500,$A95&amp;"|"&amp;T$1&amp;"|Output"),"I/O","IN"),IF(COUNTIF(Flows!$M$2:$M$1500,$A95&amp;"|"&amp;T$1&amp;"|Output"),"OUT",""))</f>
        <v/>
      </c>
      <c r="U95" s="33" t="str">
        <f aca="false">IF(COUNTIF(Flows!$M$2:$M$1500,$A95&amp;"|"&amp;U$1&amp;"|Input"),IF(COUNTIF(Flows!$M$2:$M$1500,$A95&amp;"|"&amp;U$1&amp;"|Output"),"I/O","IN"),IF(COUNTIF(Flows!$M$2:$M$1500,$A95&amp;"|"&amp;U$1&amp;"|Output"),"OUT",""))</f>
        <v/>
      </c>
      <c r="V95" s="33" t="str">
        <f aca="false">IF(COUNTIF(Flows!$M$2:$M$1500,$A95&amp;"|"&amp;V$1&amp;"|Input"),IF(COUNTIF(Flows!$M$2:$M$1500,$A95&amp;"|"&amp;V$1&amp;"|Output"),"I/O","IN"),IF(COUNTIF(Flows!$M$2:$M$1500,$A95&amp;"|"&amp;V$1&amp;"|Output"),"OUT",""))</f>
        <v/>
      </c>
      <c r="W95" s="33" t="str">
        <f aca="false">IF(COUNTIF(Flows!$M$2:$M$1500,$A95&amp;"|"&amp;W$1&amp;"|Input"),IF(COUNTIF(Flows!$M$2:$M$1500,$A95&amp;"|"&amp;W$1&amp;"|Output"),"I/O","IN"),IF(COUNTIF(Flows!$M$2:$M$1500,$A95&amp;"|"&amp;W$1&amp;"|Output"),"OUT",""))</f>
        <v/>
      </c>
      <c r="X95" s="33" t="str">
        <f aca="false">IF(COUNTIF(Flows!$M$2:$M$1500,$A95&amp;"|"&amp;X$1&amp;"|Input"),IF(COUNTIF(Flows!$M$2:$M$1500,$A95&amp;"|"&amp;X$1&amp;"|Output"),"I/O","IN"),IF(COUNTIF(Flows!$M$2:$M$1500,$A95&amp;"|"&amp;X$1&amp;"|Output"),"OUT",""))</f>
        <v>IN</v>
      </c>
      <c r="Y95" s="33" t="str">
        <f aca="false">IF(COUNTIF(Flows!$M$2:$M$1500,$A95&amp;"|"&amp;Y$1&amp;"|Input"),IF(COUNTIF(Flows!$M$2:$M$1500,$A95&amp;"|"&amp;Y$1&amp;"|Output"),"I/O","IN"),IF(COUNTIF(Flows!$M$2:$M$1500,$A95&amp;"|"&amp;Y$1&amp;"|Output"),"OUT",""))</f>
        <v/>
      </c>
      <c r="Z95" s="33" t="str">
        <f aca="false">IF(COUNTIF(Flows!$M$2:$M$1500,$A95&amp;"|"&amp;Z$1&amp;"|Input"),IF(COUNTIF(Flows!$M$2:$M$1500,$A95&amp;"|"&amp;Z$1&amp;"|Output"),"I/O","IN"),IF(COUNTIF(Flows!$M$2:$M$1500,$A95&amp;"|"&amp;Z$1&amp;"|Output"),"OUT",""))</f>
        <v/>
      </c>
      <c r="AA95" s="33" t="str">
        <f aca="false">IF(COUNTIF(Flows!$M$2:$M$1500,$A95&amp;"|"&amp;AA$1&amp;"|Input"),IF(COUNTIF(Flows!$M$2:$M$1500,$A95&amp;"|"&amp;AA$1&amp;"|Output"),"I/O","IN"),IF(COUNTIF(Flows!$M$2:$M$1500,$A95&amp;"|"&amp;AA$1&amp;"|Output"),"OUT",""))</f>
        <v/>
      </c>
      <c r="AB95" s="33" t="str">
        <f aca="false">IF(COUNTIF(Flows!$M$2:$M$1500,$A95&amp;"|"&amp;AB$1&amp;"|Input"),IF(COUNTIF(Flows!$M$2:$M$1500,$A95&amp;"|"&amp;AB$1&amp;"|Output"),"I/O","IN"),IF(COUNTIF(Flows!$M$2:$M$1500,$A95&amp;"|"&amp;AB$1&amp;"|Output"),"OUT",""))</f>
        <v/>
      </c>
      <c r="AC95" s="33" t="str">
        <f aca="false">IF(COUNTIF(Flows!$M$2:$M$1500,$A95&amp;"|"&amp;AC$1&amp;"|Input"),IF(COUNTIF(Flows!$M$2:$M$1500,$A95&amp;"|"&amp;AC$1&amp;"|Output"),"I/O","IN"),IF(COUNTIF(Flows!$M$2:$M$1500,$A95&amp;"|"&amp;AC$1&amp;"|Output"),"OUT",""))</f>
        <v>IN</v>
      </c>
      <c r="AD95" s="33" t="str">
        <f aca="false">IF(COUNTIF(Flows!$M$2:$M$1500,$A95&amp;"|"&amp;AD$1&amp;"|Input"),IF(COUNTIF(Flows!$M$2:$M$1500,$A95&amp;"|"&amp;AD$1&amp;"|Output"),"I/O","IN"),IF(COUNTIF(Flows!$M$2:$M$1500,$A95&amp;"|"&amp;AD$1&amp;"|Output"),"OUT",""))</f>
        <v/>
      </c>
      <c r="AE95" s="33" t="str">
        <f aca="false">IF(COUNTIF(Flows!$M$2:$M$1500,$A95&amp;"|"&amp;AE$1&amp;"|Input"),IF(COUNTIF(Flows!$M$2:$M$1500,$A95&amp;"|"&amp;AE$1&amp;"|Output"),"I/O","IN"),IF(COUNTIF(Flows!$M$2:$M$1500,$A95&amp;"|"&amp;AE$1&amp;"|Output"),"OUT",""))</f>
        <v/>
      </c>
      <c r="AF95" s="33" t="str">
        <f aca="false">IF(COUNTIF(Flows!$M$2:$M$1500,$A95&amp;"|"&amp;AF$1&amp;"|Input"),IF(COUNTIF(Flows!$M$2:$M$1500,$A95&amp;"|"&amp;AF$1&amp;"|Output"),"I/O","IN"),IF(COUNTIF(Flows!$M$2:$M$1500,$A95&amp;"|"&amp;AF$1&amp;"|Output"),"OUT",""))</f>
        <v/>
      </c>
      <c r="AG95" s="33" t="str">
        <f aca="false">IF(COUNTIF(Flows!$M$2:$M$1500,$A95&amp;"|"&amp;AG$1&amp;"|Input"),IF(COUNTIF(Flows!$M$2:$M$1500,$A95&amp;"|"&amp;AG$1&amp;"|Output"),"I/O","IN"),IF(COUNTIF(Flows!$M$2:$M$1500,$A95&amp;"|"&amp;AG$1&amp;"|Output"),"OUT",""))</f>
        <v/>
      </c>
      <c r="AH95" s="33" t="str">
        <f aca="false">IF(COUNTIF(Flows!$M$2:$M$1500,$A95&amp;"|"&amp;AH$1&amp;"|Input"),IF(COUNTIF(Flows!$M$2:$M$1500,$A95&amp;"|"&amp;AH$1&amp;"|Output"),"I/O","IN"),IF(COUNTIF(Flows!$M$2:$M$1500,$A95&amp;"|"&amp;AH$1&amp;"|Output"),"OUT",""))</f>
        <v/>
      </c>
      <c r="AI95" s="33" t="str">
        <f aca="false">IF(COUNTIF(Flows!$M$2:$M$1500,$A95&amp;"|"&amp;AI$1&amp;"|Input"),IF(COUNTIF(Flows!$M$2:$M$1500,$A95&amp;"|"&amp;AI$1&amp;"|Output"),"I/O","IN"),IF(COUNTIF(Flows!$M$2:$M$1500,$A95&amp;"|"&amp;AI$1&amp;"|Output"),"OUT",""))</f>
        <v/>
      </c>
      <c r="AJ95" s="33" t="str">
        <f aca="false">IF(COUNTIF(Flows!$M$2:$M$1500,$A95&amp;"|"&amp;AJ$1&amp;"|Input"),IF(COUNTIF(Flows!$M$2:$M$1500,$A95&amp;"|"&amp;AJ$1&amp;"|Output"),"I/O","IN"),IF(COUNTIF(Flows!$M$2:$M$1500,$A95&amp;"|"&amp;AJ$1&amp;"|Output"),"OUT",""))</f>
        <v/>
      </c>
      <c r="AK95" s="33" t="str">
        <f aca="false">IF(COUNTIF(Flows!$M$2:$M$1500,$A95&amp;"|"&amp;AK$1&amp;"|Input"),IF(COUNTIF(Flows!$M$2:$M$1500,$A95&amp;"|"&amp;AK$1&amp;"|Output"),"I/O","IN"),IF(COUNTIF(Flows!$M$2:$M$1500,$A95&amp;"|"&amp;AK$1&amp;"|Output"),"OUT",""))</f>
        <v/>
      </c>
      <c r="AL95" s="33" t="str">
        <f aca="false">IF(COUNTIF(Flows!$M$2:$M$1500,$A95&amp;"|"&amp;AL$1&amp;"|Input"),IF(COUNTIF(Flows!$M$2:$M$1500,$A95&amp;"|"&amp;AL$1&amp;"|Output"),"I/O","IN"),IF(COUNTIF(Flows!$M$2:$M$1500,$A95&amp;"|"&amp;AL$1&amp;"|Output"),"OUT",""))</f>
        <v/>
      </c>
      <c r="AM95" s="33" t="str">
        <f aca="false">IF(COUNTIF(Flows!$M$2:$M$1500,$A95&amp;"|"&amp;AM$1&amp;"|Input"),IF(COUNTIF(Flows!$M$2:$M$1500,$A95&amp;"|"&amp;AM$1&amp;"|Output"),"I/O","IN"),IF(COUNTIF(Flows!$M$2:$M$1500,$A95&amp;"|"&amp;AM$1&amp;"|Output"),"OUT",""))</f>
        <v/>
      </c>
      <c r="AN95" s="33" t="str">
        <f aca="false">IF(COUNTIF(Flows!$M$2:$M$1500,$A95&amp;"|"&amp;AN$1&amp;"|Input"),IF(COUNTIF(Flows!$M$2:$M$1500,$A95&amp;"|"&amp;AN$1&amp;"|Output"),"I/O","IN"),IF(COUNTIF(Flows!$M$2:$M$1500,$A95&amp;"|"&amp;AN$1&amp;"|Output"),"OUT",""))</f>
        <v/>
      </c>
      <c r="AO95" s="33" t="str">
        <f aca="false">IF(COUNTIF(Flows!$M$2:$M$1500,$A95&amp;"|"&amp;AO$1&amp;"|Input"),IF(COUNTIF(Flows!$M$2:$M$1500,$A95&amp;"|"&amp;AO$1&amp;"|Output"),"I/O","IN"),IF(COUNTIF(Flows!$M$2:$M$1500,$A95&amp;"|"&amp;AO$1&amp;"|Output"),"OUT",""))</f>
        <v/>
      </c>
      <c r="AP95" s="33" t="str">
        <f aca="false">IF(COUNTIF(Flows!$M$2:$M$1500,$A95&amp;"|"&amp;AP$1&amp;"|Input"),IF(COUNTIF(Flows!$M$2:$M$1500,$A95&amp;"|"&amp;AP$1&amp;"|Output"),"I/O","IN"),IF(COUNTIF(Flows!$M$2:$M$1500,$A95&amp;"|"&amp;AP$1&amp;"|Output"),"OUT",""))</f>
        <v/>
      </c>
      <c r="AQ95" s="33" t="str">
        <f aca="false">IF(COUNTIF(Flows!$M$2:$M$1500,$A95&amp;"|"&amp;AQ$1&amp;"|Input"),IF(COUNTIF(Flows!$M$2:$M$1500,$A95&amp;"|"&amp;AQ$1&amp;"|Output"),"I/O","IN"),IF(COUNTIF(Flows!$M$2:$M$1500,$A95&amp;"|"&amp;AQ$1&amp;"|Output"),"OUT",""))</f>
        <v/>
      </c>
      <c r="AR95" s="33" t="str">
        <f aca="false">IF(COUNTIF(Flows!$M$2:$M$1500,$A95&amp;"|"&amp;AR$1&amp;"|Input"),IF(COUNTIF(Flows!$M$2:$M$1500,$A95&amp;"|"&amp;AR$1&amp;"|Output"),"I/O","IN"),IF(COUNTIF(Flows!$M$2:$M$1500,$A95&amp;"|"&amp;AR$1&amp;"|Output"),"OUT",""))</f>
        <v/>
      </c>
      <c r="AS95" s="33" t="str">
        <f aca="false">IF(COUNTIF(Flows!$M$2:$M$1500,$A95&amp;"|"&amp;AS$1&amp;"|Input"),IF(COUNTIF(Flows!$M$2:$M$1500,$A95&amp;"|"&amp;AS$1&amp;"|Output"),"I/O","IN"),IF(COUNTIF(Flows!$M$2:$M$1500,$A95&amp;"|"&amp;AS$1&amp;"|Output"),"OUT",""))</f>
        <v/>
      </c>
      <c r="AT95" s="33" t="str">
        <f aca="false">IF(COUNTIF(Flows!$M$2:$M$1500,$A95&amp;"|"&amp;AT$1&amp;"|Input"),IF(COUNTIF(Flows!$M$2:$M$1500,$A95&amp;"|"&amp;AT$1&amp;"|Output"),"I/O","IN"),IF(COUNTIF(Flows!$M$2:$M$1500,$A95&amp;"|"&amp;AT$1&amp;"|Output"),"OUT",""))</f>
        <v/>
      </c>
      <c r="AU95" s="33" t="str">
        <f aca="false">IF(COUNTIF(Flows!$M$2:$M$1500,$A95&amp;"|"&amp;AU$1&amp;"|Input"),IF(COUNTIF(Flows!$M$2:$M$1500,$A95&amp;"|"&amp;AU$1&amp;"|Output"),"I/O","IN"),IF(COUNTIF(Flows!$M$2:$M$1500,$A95&amp;"|"&amp;AU$1&amp;"|Output"),"OUT",""))</f>
        <v/>
      </c>
      <c r="AV95" s="33" t="str">
        <f aca="false">IF(COUNTIF(Flows!$M$2:$M$1500,$A95&amp;"|"&amp;AV$1&amp;"|Input"),IF(COUNTIF(Flows!$M$2:$M$1500,$A95&amp;"|"&amp;AV$1&amp;"|Output"),"I/O","IN"),IF(COUNTIF(Flows!$M$2:$M$1500,$A95&amp;"|"&amp;AV$1&amp;"|Output"),"OUT",""))</f>
        <v/>
      </c>
      <c r="AW95" s="33" t="str">
        <f aca="false">IF(COUNTIF(Flows!$M$2:$M$1500,$A95&amp;"|"&amp;AW$1&amp;"|Input"),IF(COUNTIF(Flows!$M$2:$M$1500,$A95&amp;"|"&amp;AW$1&amp;"|Output"),"I/O","IN"),IF(COUNTIF(Flows!$M$2:$M$1500,$A95&amp;"|"&amp;AW$1&amp;"|Output"),"OUT",""))</f>
        <v/>
      </c>
      <c r="AX95" s="33" t="str">
        <f aca="false">IF(COUNTIF(Flows!$M$2:$M$1500,$A95&amp;"|"&amp;AX$1&amp;"|Input"),IF(COUNTIF(Flows!$M$2:$M$1500,$A95&amp;"|"&amp;AX$1&amp;"|Output"),"I/O","IN"),IF(COUNTIF(Flows!$M$2:$M$1500,$A95&amp;"|"&amp;AX$1&amp;"|Output"),"OUT",""))</f>
        <v/>
      </c>
      <c r="AY95" s="33" t="str">
        <f aca="false">IF(COUNTIF(Flows!$M$2:$M$1500,$A95&amp;"|"&amp;AY$1&amp;"|Input"),IF(COUNTIF(Flows!$M$2:$M$1500,$A95&amp;"|"&amp;AY$1&amp;"|Output"),"I/O","IN"),IF(COUNTIF(Flows!$M$2:$M$1500,$A95&amp;"|"&amp;AY$1&amp;"|Output"),"OUT",""))</f>
        <v/>
      </c>
      <c r="AZ95" s="33" t="str">
        <f aca="false">IF(COUNTIF(Flows!$M$2:$M$1500,$A95&amp;"|"&amp;AZ$1&amp;"|Input"),IF(COUNTIF(Flows!$M$2:$M$1500,$A95&amp;"|"&amp;AZ$1&amp;"|Output"),"I/O","IN"),IF(COUNTIF(Flows!$M$2:$M$1500,$A95&amp;"|"&amp;AZ$1&amp;"|Output"),"OUT",""))</f>
        <v/>
      </c>
      <c r="BA95" s="33" t="str">
        <f aca="false">IF(COUNTIF(Flows!$M$2:$M$1500,$A95&amp;"|"&amp;BA$1&amp;"|Input"),IF(COUNTIF(Flows!$M$2:$M$1500,$A95&amp;"|"&amp;BA$1&amp;"|Output"),"I/O","IN"),IF(COUNTIF(Flows!$M$2:$M$1500,$A95&amp;"|"&amp;BA$1&amp;"|Output"),"OUT",""))</f>
        <v/>
      </c>
      <c r="BB95" s="33" t="str">
        <f aca="false">IF(COUNTIF(Flows!$M$2:$M$1500,$A95&amp;"|"&amp;BB$1&amp;"|Input"),IF(COUNTIF(Flows!$M$2:$M$1500,$A95&amp;"|"&amp;BB$1&amp;"|Output"),"I/O","IN"),IF(COUNTIF(Flows!$M$2:$M$1500,$A95&amp;"|"&amp;BB$1&amp;"|Output"),"OUT",""))</f>
        <v/>
      </c>
      <c r="BC95" s="33" t="str">
        <f aca="false">IF(COUNTIF(Flows!$M$2:$M$1500,$A95&amp;"|"&amp;BC$1&amp;"|Input"),IF(COUNTIF(Flows!$M$2:$M$1500,$A95&amp;"|"&amp;BC$1&amp;"|Output"),"I/O","IN"),IF(COUNTIF(Flows!$M$2:$M$1500,$A95&amp;"|"&amp;BC$1&amp;"|Output"),"OUT",""))</f>
        <v/>
      </c>
      <c r="BD95" s="33" t="str">
        <f aca="false">IF(COUNTIF(Flows!$M$2:$M$1500,$A95&amp;"|"&amp;BD$1&amp;"|Input"),IF(COUNTIF(Flows!$M$2:$M$1500,$A95&amp;"|"&amp;BD$1&amp;"|Output"),"I/O","IN"),IF(COUNTIF(Flows!$M$2:$M$1500,$A95&amp;"|"&amp;BD$1&amp;"|Output"),"OUT",""))</f>
        <v/>
      </c>
      <c r="BE95" s="33" t="str">
        <f aca="false">IF(COUNTIF(Flows!$M$2:$M$1500,$A95&amp;"|"&amp;BE$1&amp;"|Input"),IF(COUNTIF(Flows!$M$2:$M$1500,$A95&amp;"|"&amp;BE$1&amp;"|Output"),"I/O","IN"),IF(COUNTIF(Flows!$M$2:$M$1500,$A95&amp;"|"&amp;BE$1&amp;"|Output"),"OUT",""))</f>
        <v/>
      </c>
      <c r="BF95" s="33" t="str">
        <f aca="false">IF(COUNTIF(Flows!$M$2:$M$1500,$A95&amp;"|"&amp;BF$1&amp;"|Input"),IF(COUNTIF(Flows!$M$2:$M$1500,$A95&amp;"|"&amp;BF$1&amp;"|Output"),"I/O","IN"),IF(COUNTIF(Flows!$M$2:$M$1500,$A95&amp;"|"&amp;BF$1&amp;"|Output"),"OUT",""))</f>
        <v/>
      </c>
      <c r="BG95" s="33" t="str">
        <f aca="false">IF(COUNTIF(Flows!$M$2:$M$1500,$A95&amp;"|"&amp;BG$1&amp;"|Input"),IF(COUNTIF(Flows!$M$2:$M$1500,$A95&amp;"|"&amp;BG$1&amp;"|Output"),"I/O","IN"),IF(COUNTIF(Flows!$M$2:$M$1500,$A95&amp;"|"&amp;BG$1&amp;"|Output"),"OUT",""))</f>
        <v/>
      </c>
      <c r="BH95" s="33" t="str">
        <f aca="false">IF(COUNTIF(Flows!$M$2:$M$1500,$A95&amp;"|"&amp;BH$1&amp;"|Input"),IF(COUNTIF(Flows!$M$2:$M$1500,$A95&amp;"|"&amp;BH$1&amp;"|Output"),"I/O","IN"),IF(COUNTIF(Flows!$M$2:$M$1500,$A95&amp;"|"&amp;BH$1&amp;"|Output"),"OUT",""))</f>
        <v/>
      </c>
      <c r="BI95" s="33" t="str">
        <f aca="false">IF(COUNTIF(Flows!$M$2:$M$1500,$A95&amp;"|"&amp;BI$1&amp;"|Input"),IF(COUNTIF(Flows!$M$2:$M$1500,$A95&amp;"|"&amp;BI$1&amp;"|Output"),"I/O","IN"),IF(COUNTIF(Flows!$M$2:$M$1500,$A95&amp;"|"&amp;BI$1&amp;"|Output"),"OUT",""))</f>
        <v/>
      </c>
      <c r="BJ95" s="33" t="str">
        <f aca="false">IF(COUNTIF(Flows!$M$2:$M$1500,$A95&amp;"|"&amp;BJ$1&amp;"|Input"),IF(COUNTIF(Flows!$M$2:$M$1500,$A95&amp;"|"&amp;BJ$1&amp;"|Output"),"I/O","IN"),IF(COUNTIF(Flows!$M$2:$M$1500,$A95&amp;"|"&amp;BJ$1&amp;"|Output"),"OUT",""))</f>
        <v/>
      </c>
      <c r="BK95" s="33" t="str">
        <f aca="false">IF(COUNTIF(Flows!$M$2:$M$1500,$A95&amp;"|"&amp;BK$1&amp;"|Input"),IF(COUNTIF(Flows!$M$2:$M$1500,$A95&amp;"|"&amp;BK$1&amp;"|Output"),"I/O","IN"),IF(COUNTIF(Flows!$M$2:$M$1500,$A95&amp;"|"&amp;BK$1&amp;"|Output"),"OUT",""))</f>
        <v/>
      </c>
    </row>
    <row r="96" customFormat="false" ht="15" hidden="false" customHeight="true" outlineLevel="0" collapsed="false">
      <c r="A96" s="6" t="str">
        <f aca="false">Systems!B96</f>
        <v>Portable Gas Generator (3.5 kW)</v>
      </c>
      <c r="B96" s="33" t="str">
        <f aca="false">IF(COUNTIF(Flows!$M$2:$M$1500,$A96&amp;"|"&amp;B$1&amp;"|Input"),IF(COUNTIF(Flows!$M$2:$M$1500,$A96&amp;"|"&amp;B$1&amp;"|Output"),"I/O","IN"),IF(COUNTIF(Flows!$M$2:$M$1500,$A96&amp;"|"&amp;B$1&amp;"|Output"),"OUT",""))</f>
        <v/>
      </c>
      <c r="C96" s="33" t="str">
        <f aca="false">IF(COUNTIF(Flows!$M$2:$M$1500,$A96&amp;"|"&amp;C$1&amp;"|Input"),IF(COUNTIF(Flows!$M$2:$M$1500,$A96&amp;"|"&amp;C$1&amp;"|Output"),"I/O","IN"),IF(COUNTIF(Flows!$M$2:$M$1500,$A96&amp;"|"&amp;C$1&amp;"|Output"),"OUT",""))</f>
        <v/>
      </c>
      <c r="D96" s="33" t="str">
        <f aca="false">IF(COUNTIF(Flows!$M$2:$M$1500,$A96&amp;"|"&amp;D$1&amp;"|Input"),IF(COUNTIF(Flows!$M$2:$M$1500,$A96&amp;"|"&amp;D$1&amp;"|Output"),"I/O","IN"),IF(COUNTIF(Flows!$M$2:$M$1500,$A96&amp;"|"&amp;D$1&amp;"|Output"),"OUT",""))</f>
        <v/>
      </c>
      <c r="E96" s="33" t="str">
        <f aca="false">IF(COUNTIF(Flows!$M$2:$M$1500,$A96&amp;"|"&amp;E$1&amp;"|Input"),IF(COUNTIF(Flows!$M$2:$M$1500,$A96&amp;"|"&amp;E$1&amp;"|Output"),"I/O","IN"),IF(COUNTIF(Flows!$M$2:$M$1500,$A96&amp;"|"&amp;E$1&amp;"|Output"),"OUT",""))</f>
        <v/>
      </c>
      <c r="F96" s="33" t="str">
        <f aca="false">IF(COUNTIF(Flows!$M$2:$M$1500,$A96&amp;"|"&amp;F$1&amp;"|Input"),IF(COUNTIF(Flows!$M$2:$M$1500,$A96&amp;"|"&amp;F$1&amp;"|Output"),"I/O","IN"),IF(COUNTIF(Flows!$M$2:$M$1500,$A96&amp;"|"&amp;F$1&amp;"|Output"),"OUT",""))</f>
        <v/>
      </c>
      <c r="G96" s="33" t="str">
        <f aca="false">IF(COUNTIF(Flows!$M$2:$M$1500,$A96&amp;"|"&amp;G$1&amp;"|Input"),IF(COUNTIF(Flows!$M$2:$M$1500,$A96&amp;"|"&amp;G$1&amp;"|Output"),"I/O","IN"),IF(COUNTIF(Flows!$M$2:$M$1500,$A96&amp;"|"&amp;G$1&amp;"|Output"),"OUT",""))</f>
        <v/>
      </c>
      <c r="H96" s="33" t="str">
        <f aca="false">IF(COUNTIF(Flows!$M$2:$M$1500,$A96&amp;"|"&amp;H$1&amp;"|Input"),IF(COUNTIF(Flows!$M$2:$M$1500,$A96&amp;"|"&amp;H$1&amp;"|Output"),"I/O","IN"),IF(COUNTIF(Flows!$M$2:$M$1500,$A96&amp;"|"&amp;H$1&amp;"|Output"),"OUT",""))</f>
        <v/>
      </c>
      <c r="I96" s="33" t="str">
        <f aca="false">IF(COUNTIF(Flows!$M$2:$M$1500,$A96&amp;"|"&amp;I$1&amp;"|Input"),IF(COUNTIF(Flows!$M$2:$M$1500,$A96&amp;"|"&amp;I$1&amp;"|Output"),"I/O","IN"),IF(COUNTIF(Flows!$M$2:$M$1500,$A96&amp;"|"&amp;I$1&amp;"|Output"),"OUT",""))</f>
        <v/>
      </c>
      <c r="J96" s="33" t="str">
        <f aca="false">IF(COUNTIF(Flows!$M$2:$M$1500,$A96&amp;"|"&amp;J$1&amp;"|Input"),IF(COUNTIF(Flows!$M$2:$M$1500,$A96&amp;"|"&amp;J$1&amp;"|Output"),"I/O","IN"),IF(COUNTIF(Flows!$M$2:$M$1500,$A96&amp;"|"&amp;J$1&amp;"|Output"),"OUT",""))</f>
        <v/>
      </c>
      <c r="K96" s="33" t="str">
        <f aca="false">IF(COUNTIF(Flows!$M$2:$M$1500,$A96&amp;"|"&amp;K$1&amp;"|Input"),IF(COUNTIF(Flows!$M$2:$M$1500,$A96&amp;"|"&amp;K$1&amp;"|Output"),"I/O","IN"),IF(COUNTIF(Flows!$M$2:$M$1500,$A96&amp;"|"&amp;K$1&amp;"|Output"),"OUT",""))</f>
        <v/>
      </c>
      <c r="L96" s="33" t="str">
        <f aca="false">IF(COUNTIF(Flows!$M$2:$M$1500,$A96&amp;"|"&amp;L$1&amp;"|Input"),IF(COUNTIF(Flows!$M$2:$M$1500,$A96&amp;"|"&amp;L$1&amp;"|Output"),"I/O","IN"),IF(COUNTIF(Flows!$M$2:$M$1500,$A96&amp;"|"&amp;L$1&amp;"|Output"),"OUT",""))</f>
        <v/>
      </c>
      <c r="M96" s="33" t="str">
        <f aca="false">IF(COUNTIF(Flows!$M$2:$M$1500,$A96&amp;"|"&amp;M$1&amp;"|Input"),IF(COUNTIF(Flows!$M$2:$M$1500,$A96&amp;"|"&amp;M$1&amp;"|Output"),"I/O","IN"),IF(COUNTIF(Flows!$M$2:$M$1500,$A96&amp;"|"&amp;M$1&amp;"|Output"),"OUT",""))</f>
        <v/>
      </c>
      <c r="N96" s="33" t="str">
        <f aca="false">IF(COUNTIF(Flows!$M$2:$M$1500,$A96&amp;"|"&amp;N$1&amp;"|Input"),IF(COUNTIF(Flows!$M$2:$M$1500,$A96&amp;"|"&amp;N$1&amp;"|Output"),"I/O","IN"),IF(COUNTIF(Flows!$M$2:$M$1500,$A96&amp;"|"&amp;N$1&amp;"|Output"),"OUT",""))</f>
        <v/>
      </c>
      <c r="O96" s="33" t="str">
        <f aca="false">IF(COUNTIF(Flows!$M$2:$M$1500,$A96&amp;"|"&amp;O$1&amp;"|Input"),IF(COUNTIF(Flows!$M$2:$M$1500,$A96&amp;"|"&amp;O$1&amp;"|Output"),"I/O","IN"),IF(COUNTIF(Flows!$M$2:$M$1500,$A96&amp;"|"&amp;O$1&amp;"|Output"),"OUT",""))</f>
        <v/>
      </c>
      <c r="P96" s="33" t="str">
        <f aca="false">IF(COUNTIF(Flows!$M$2:$M$1500,$A96&amp;"|"&amp;P$1&amp;"|Input"),IF(COUNTIF(Flows!$M$2:$M$1500,$A96&amp;"|"&amp;P$1&amp;"|Output"),"I/O","IN"),IF(COUNTIF(Flows!$M$2:$M$1500,$A96&amp;"|"&amp;P$1&amp;"|Output"),"OUT",""))</f>
        <v/>
      </c>
      <c r="Q96" s="33" t="str">
        <f aca="false">IF(COUNTIF(Flows!$M$2:$M$1500,$A96&amp;"|"&amp;Q$1&amp;"|Input"),IF(COUNTIF(Flows!$M$2:$M$1500,$A96&amp;"|"&amp;Q$1&amp;"|Output"),"I/O","IN"),IF(COUNTIF(Flows!$M$2:$M$1500,$A96&amp;"|"&amp;Q$1&amp;"|Output"),"OUT",""))</f>
        <v/>
      </c>
      <c r="R96" s="33" t="str">
        <f aca="false">IF(COUNTIF(Flows!$M$2:$M$1500,$A96&amp;"|"&amp;R$1&amp;"|Input"),IF(COUNTIF(Flows!$M$2:$M$1500,$A96&amp;"|"&amp;R$1&amp;"|Output"),"I/O","IN"),IF(COUNTIF(Flows!$M$2:$M$1500,$A96&amp;"|"&amp;R$1&amp;"|Output"),"OUT",""))</f>
        <v/>
      </c>
      <c r="S96" s="33" t="str">
        <f aca="false">IF(COUNTIF(Flows!$M$2:$M$1500,$A96&amp;"|"&amp;S$1&amp;"|Input"),IF(COUNTIF(Flows!$M$2:$M$1500,$A96&amp;"|"&amp;S$1&amp;"|Output"),"I/O","IN"),IF(COUNTIF(Flows!$M$2:$M$1500,$A96&amp;"|"&amp;S$1&amp;"|Output"),"OUT",""))</f>
        <v>OUT</v>
      </c>
      <c r="T96" s="33" t="str">
        <f aca="false">IF(COUNTIF(Flows!$M$2:$M$1500,$A96&amp;"|"&amp;T$1&amp;"|Input"),IF(COUNTIF(Flows!$M$2:$M$1500,$A96&amp;"|"&amp;T$1&amp;"|Output"),"I/O","IN"),IF(COUNTIF(Flows!$M$2:$M$1500,$A96&amp;"|"&amp;T$1&amp;"|Output"),"OUT",""))</f>
        <v/>
      </c>
      <c r="U96" s="33" t="str">
        <f aca="false">IF(COUNTIF(Flows!$M$2:$M$1500,$A96&amp;"|"&amp;U$1&amp;"|Input"),IF(COUNTIF(Flows!$M$2:$M$1500,$A96&amp;"|"&amp;U$1&amp;"|Output"),"I/O","IN"),IF(COUNTIF(Flows!$M$2:$M$1500,$A96&amp;"|"&amp;U$1&amp;"|Output"),"OUT",""))</f>
        <v/>
      </c>
      <c r="V96" s="33" t="str">
        <f aca="false">IF(COUNTIF(Flows!$M$2:$M$1500,$A96&amp;"|"&amp;V$1&amp;"|Input"),IF(COUNTIF(Flows!$M$2:$M$1500,$A96&amp;"|"&amp;V$1&amp;"|Output"),"I/O","IN"),IF(COUNTIF(Flows!$M$2:$M$1500,$A96&amp;"|"&amp;V$1&amp;"|Output"),"OUT",""))</f>
        <v/>
      </c>
      <c r="W96" s="33" t="str">
        <f aca="false">IF(COUNTIF(Flows!$M$2:$M$1500,$A96&amp;"|"&amp;W$1&amp;"|Input"),IF(COUNTIF(Flows!$M$2:$M$1500,$A96&amp;"|"&amp;W$1&amp;"|Output"),"I/O","IN"),IF(COUNTIF(Flows!$M$2:$M$1500,$A96&amp;"|"&amp;W$1&amp;"|Output"),"OUT",""))</f>
        <v/>
      </c>
      <c r="X96" s="33" t="str">
        <f aca="false">IF(COUNTIF(Flows!$M$2:$M$1500,$A96&amp;"|"&amp;X$1&amp;"|Input"),IF(COUNTIF(Flows!$M$2:$M$1500,$A96&amp;"|"&amp;X$1&amp;"|Output"),"I/O","IN"),IF(COUNTIF(Flows!$M$2:$M$1500,$A96&amp;"|"&amp;X$1&amp;"|Output"),"OUT",""))</f>
        <v>IN</v>
      </c>
      <c r="Y96" s="33" t="str">
        <f aca="false">IF(COUNTIF(Flows!$M$2:$M$1500,$A96&amp;"|"&amp;Y$1&amp;"|Input"),IF(COUNTIF(Flows!$M$2:$M$1500,$A96&amp;"|"&amp;Y$1&amp;"|Output"),"I/O","IN"),IF(COUNTIF(Flows!$M$2:$M$1500,$A96&amp;"|"&amp;Y$1&amp;"|Output"),"OUT",""))</f>
        <v/>
      </c>
      <c r="Z96" s="33" t="str">
        <f aca="false">IF(COUNTIF(Flows!$M$2:$M$1500,$A96&amp;"|"&amp;Z$1&amp;"|Input"),IF(COUNTIF(Flows!$M$2:$M$1500,$A96&amp;"|"&amp;Z$1&amp;"|Output"),"I/O","IN"),IF(COUNTIF(Flows!$M$2:$M$1500,$A96&amp;"|"&amp;Z$1&amp;"|Output"),"OUT",""))</f>
        <v/>
      </c>
      <c r="AA96" s="33" t="str">
        <f aca="false">IF(COUNTIF(Flows!$M$2:$M$1500,$A96&amp;"|"&amp;AA$1&amp;"|Input"),IF(COUNTIF(Flows!$M$2:$M$1500,$A96&amp;"|"&amp;AA$1&amp;"|Output"),"I/O","IN"),IF(COUNTIF(Flows!$M$2:$M$1500,$A96&amp;"|"&amp;AA$1&amp;"|Output"),"OUT",""))</f>
        <v/>
      </c>
      <c r="AB96" s="33" t="str">
        <f aca="false">IF(COUNTIF(Flows!$M$2:$M$1500,$A96&amp;"|"&amp;AB$1&amp;"|Input"),IF(COUNTIF(Flows!$M$2:$M$1500,$A96&amp;"|"&amp;AB$1&amp;"|Output"),"I/O","IN"),IF(COUNTIF(Flows!$M$2:$M$1500,$A96&amp;"|"&amp;AB$1&amp;"|Output"),"OUT",""))</f>
        <v/>
      </c>
      <c r="AC96" s="33" t="str">
        <f aca="false">IF(COUNTIF(Flows!$M$2:$M$1500,$A96&amp;"|"&amp;AC$1&amp;"|Input"),IF(COUNTIF(Flows!$M$2:$M$1500,$A96&amp;"|"&amp;AC$1&amp;"|Output"),"I/O","IN"),IF(COUNTIF(Flows!$M$2:$M$1500,$A96&amp;"|"&amp;AC$1&amp;"|Output"),"OUT",""))</f>
        <v/>
      </c>
      <c r="AD96" s="33" t="str">
        <f aca="false">IF(COUNTIF(Flows!$M$2:$M$1500,$A96&amp;"|"&amp;AD$1&amp;"|Input"),IF(COUNTIF(Flows!$M$2:$M$1500,$A96&amp;"|"&amp;AD$1&amp;"|Output"),"I/O","IN"),IF(COUNTIF(Flows!$M$2:$M$1500,$A96&amp;"|"&amp;AD$1&amp;"|Output"),"OUT",""))</f>
        <v/>
      </c>
      <c r="AE96" s="33" t="str">
        <f aca="false">IF(COUNTIF(Flows!$M$2:$M$1500,$A96&amp;"|"&amp;AE$1&amp;"|Input"),IF(COUNTIF(Flows!$M$2:$M$1500,$A96&amp;"|"&amp;AE$1&amp;"|Output"),"I/O","IN"),IF(COUNTIF(Flows!$M$2:$M$1500,$A96&amp;"|"&amp;AE$1&amp;"|Output"),"OUT",""))</f>
        <v/>
      </c>
      <c r="AF96" s="33" t="str">
        <f aca="false">IF(COUNTIF(Flows!$M$2:$M$1500,$A96&amp;"|"&amp;AF$1&amp;"|Input"),IF(COUNTIF(Flows!$M$2:$M$1500,$A96&amp;"|"&amp;AF$1&amp;"|Output"),"I/O","IN"),IF(COUNTIF(Flows!$M$2:$M$1500,$A96&amp;"|"&amp;AF$1&amp;"|Output"),"OUT",""))</f>
        <v/>
      </c>
      <c r="AG96" s="33" t="str">
        <f aca="false">IF(COUNTIF(Flows!$M$2:$M$1500,$A96&amp;"|"&amp;AG$1&amp;"|Input"),IF(COUNTIF(Flows!$M$2:$M$1500,$A96&amp;"|"&amp;AG$1&amp;"|Output"),"I/O","IN"),IF(COUNTIF(Flows!$M$2:$M$1500,$A96&amp;"|"&amp;AG$1&amp;"|Output"),"OUT",""))</f>
        <v/>
      </c>
      <c r="AH96" s="33" t="str">
        <f aca="false">IF(COUNTIF(Flows!$M$2:$M$1500,$A96&amp;"|"&amp;AH$1&amp;"|Input"),IF(COUNTIF(Flows!$M$2:$M$1500,$A96&amp;"|"&amp;AH$1&amp;"|Output"),"I/O","IN"),IF(COUNTIF(Flows!$M$2:$M$1500,$A96&amp;"|"&amp;AH$1&amp;"|Output"),"OUT",""))</f>
        <v/>
      </c>
      <c r="AI96" s="33" t="str">
        <f aca="false">IF(COUNTIF(Flows!$M$2:$M$1500,$A96&amp;"|"&amp;AI$1&amp;"|Input"),IF(COUNTIF(Flows!$M$2:$M$1500,$A96&amp;"|"&amp;AI$1&amp;"|Output"),"I/O","IN"),IF(COUNTIF(Flows!$M$2:$M$1500,$A96&amp;"|"&amp;AI$1&amp;"|Output"),"OUT",""))</f>
        <v/>
      </c>
      <c r="AJ96" s="33" t="str">
        <f aca="false">IF(COUNTIF(Flows!$M$2:$M$1500,$A96&amp;"|"&amp;AJ$1&amp;"|Input"),IF(COUNTIF(Flows!$M$2:$M$1500,$A96&amp;"|"&amp;AJ$1&amp;"|Output"),"I/O","IN"),IF(COUNTIF(Flows!$M$2:$M$1500,$A96&amp;"|"&amp;AJ$1&amp;"|Output"),"OUT",""))</f>
        <v/>
      </c>
      <c r="AK96" s="33" t="str">
        <f aca="false">IF(COUNTIF(Flows!$M$2:$M$1500,$A96&amp;"|"&amp;AK$1&amp;"|Input"),IF(COUNTIF(Flows!$M$2:$M$1500,$A96&amp;"|"&amp;AK$1&amp;"|Output"),"I/O","IN"),IF(COUNTIF(Flows!$M$2:$M$1500,$A96&amp;"|"&amp;AK$1&amp;"|Output"),"OUT",""))</f>
        <v/>
      </c>
      <c r="AL96" s="33" t="str">
        <f aca="false">IF(COUNTIF(Flows!$M$2:$M$1500,$A96&amp;"|"&amp;AL$1&amp;"|Input"),IF(COUNTIF(Flows!$M$2:$M$1500,$A96&amp;"|"&amp;AL$1&amp;"|Output"),"I/O","IN"),IF(COUNTIF(Flows!$M$2:$M$1500,$A96&amp;"|"&amp;AL$1&amp;"|Output"),"OUT",""))</f>
        <v/>
      </c>
      <c r="AM96" s="33" t="str">
        <f aca="false">IF(COUNTIF(Flows!$M$2:$M$1500,$A96&amp;"|"&amp;AM$1&amp;"|Input"),IF(COUNTIF(Flows!$M$2:$M$1500,$A96&amp;"|"&amp;AM$1&amp;"|Output"),"I/O","IN"),IF(COUNTIF(Flows!$M$2:$M$1500,$A96&amp;"|"&amp;AM$1&amp;"|Output"),"OUT",""))</f>
        <v/>
      </c>
      <c r="AN96" s="33" t="str">
        <f aca="false">IF(COUNTIF(Flows!$M$2:$M$1500,$A96&amp;"|"&amp;AN$1&amp;"|Input"),IF(COUNTIF(Flows!$M$2:$M$1500,$A96&amp;"|"&amp;AN$1&amp;"|Output"),"I/O","IN"),IF(COUNTIF(Flows!$M$2:$M$1500,$A96&amp;"|"&amp;AN$1&amp;"|Output"),"OUT",""))</f>
        <v/>
      </c>
      <c r="AO96" s="33" t="str">
        <f aca="false">IF(COUNTIF(Flows!$M$2:$M$1500,$A96&amp;"|"&amp;AO$1&amp;"|Input"),IF(COUNTIF(Flows!$M$2:$M$1500,$A96&amp;"|"&amp;AO$1&amp;"|Output"),"I/O","IN"),IF(COUNTIF(Flows!$M$2:$M$1500,$A96&amp;"|"&amp;AO$1&amp;"|Output"),"OUT",""))</f>
        <v/>
      </c>
      <c r="AP96" s="33" t="str">
        <f aca="false">IF(COUNTIF(Flows!$M$2:$M$1500,$A96&amp;"|"&amp;AP$1&amp;"|Input"),IF(COUNTIF(Flows!$M$2:$M$1500,$A96&amp;"|"&amp;AP$1&amp;"|Output"),"I/O","IN"),IF(COUNTIF(Flows!$M$2:$M$1500,$A96&amp;"|"&amp;AP$1&amp;"|Output"),"OUT",""))</f>
        <v/>
      </c>
      <c r="AQ96" s="33" t="str">
        <f aca="false">IF(COUNTIF(Flows!$M$2:$M$1500,$A96&amp;"|"&amp;AQ$1&amp;"|Input"),IF(COUNTIF(Flows!$M$2:$M$1500,$A96&amp;"|"&amp;AQ$1&amp;"|Output"),"I/O","IN"),IF(COUNTIF(Flows!$M$2:$M$1500,$A96&amp;"|"&amp;AQ$1&amp;"|Output"),"OUT",""))</f>
        <v/>
      </c>
      <c r="AR96" s="33" t="str">
        <f aca="false">IF(COUNTIF(Flows!$M$2:$M$1500,$A96&amp;"|"&amp;AR$1&amp;"|Input"),IF(COUNTIF(Flows!$M$2:$M$1500,$A96&amp;"|"&amp;AR$1&amp;"|Output"),"I/O","IN"),IF(COUNTIF(Flows!$M$2:$M$1500,$A96&amp;"|"&amp;AR$1&amp;"|Output"),"OUT",""))</f>
        <v/>
      </c>
      <c r="AS96" s="33" t="str">
        <f aca="false">IF(COUNTIF(Flows!$M$2:$M$1500,$A96&amp;"|"&amp;AS$1&amp;"|Input"),IF(COUNTIF(Flows!$M$2:$M$1500,$A96&amp;"|"&amp;AS$1&amp;"|Output"),"I/O","IN"),IF(COUNTIF(Flows!$M$2:$M$1500,$A96&amp;"|"&amp;AS$1&amp;"|Output"),"OUT",""))</f>
        <v/>
      </c>
      <c r="AT96" s="33" t="str">
        <f aca="false">IF(COUNTIF(Flows!$M$2:$M$1500,$A96&amp;"|"&amp;AT$1&amp;"|Input"),IF(COUNTIF(Flows!$M$2:$M$1500,$A96&amp;"|"&amp;AT$1&amp;"|Output"),"I/O","IN"),IF(COUNTIF(Flows!$M$2:$M$1500,$A96&amp;"|"&amp;AT$1&amp;"|Output"),"OUT",""))</f>
        <v/>
      </c>
      <c r="AU96" s="33" t="str">
        <f aca="false">IF(COUNTIF(Flows!$M$2:$M$1500,$A96&amp;"|"&amp;AU$1&amp;"|Input"),IF(COUNTIF(Flows!$M$2:$M$1500,$A96&amp;"|"&amp;AU$1&amp;"|Output"),"I/O","IN"),IF(COUNTIF(Flows!$M$2:$M$1500,$A96&amp;"|"&amp;AU$1&amp;"|Output"),"OUT",""))</f>
        <v/>
      </c>
      <c r="AV96" s="33" t="str">
        <f aca="false">IF(COUNTIF(Flows!$M$2:$M$1500,$A96&amp;"|"&amp;AV$1&amp;"|Input"),IF(COUNTIF(Flows!$M$2:$M$1500,$A96&amp;"|"&amp;AV$1&amp;"|Output"),"I/O","IN"),IF(COUNTIF(Flows!$M$2:$M$1500,$A96&amp;"|"&amp;AV$1&amp;"|Output"),"OUT",""))</f>
        <v/>
      </c>
      <c r="AW96" s="33" t="str">
        <f aca="false">IF(COUNTIF(Flows!$M$2:$M$1500,$A96&amp;"|"&amp;AW$1&amp;"|Input"),IF(COUNTIF(Flows!$M$2:$M$1500,$A96&amp;"|"&amp;AW$1&amp;"|Output"),"I/O","IN"),IF(COUNTIF(Flows!$M$2:$M$1500,$A96&amp;"|"&amp;AW$1&amp;"|Output"),"OUT",""))</f>
        <v/>
      </c>
      <c r="AX96" s="33" t="str">
        <f aca="false">IF(COUNTIF(Flows!$M$2:$M$1500,$A96&amp;"|"&amp;AX$1&amp;"|Input"),IF(COUNTIF(Flows!$M$2:$M$1500,$A96&amp;"|"&amp;AX$1&amp;"|Output"),"I/O","IN"),IF(COUNTIF(Flows!$M$2:$M$1500,$A96&amp;"|"&amp;AX$1&amp;"|Output"),"OUT",""))</f>
        <v/>
      </c>
      <c r="AY96" s="33" t="str">
        <f aca="false">IF(COUNTIF(Flows!$M$2:$M$1500,$A96&amp;"|"&amp;AY$1&amp;"|Input"),IF(COUNTIF(Flows!$M$2:$M$1500,$A96&amp;"|"&amp;AY$1&amp;"|Output"),"I/O","IN"),IF(COUNTIF(Flows!$M$2:$M$1500,$A96&amp;"|"&amp;AY$1&amp;"|Output"),"OUT",""))</f>
        <v/>
      </c>
      <c r="AZ96" s="33" t="str">
        <f aca="false">IF(COUNTIF(Flows!$M$2:$M$1500,$A96&amp;"|"&amp;AZ$1&amp;"|Input"),IF(COUNTIF(Flows!$M$2:$M$1500,$A96&amp;"|"&amp;AZ$1&amp;"|Output"),"I/O","IN"),IF(COUNTIF(Flows!$M$2:$M$1500,$A96&amp;"|"&amp;AZ$1&amp;"|Output"),"OUT",""))</f>
        <v/>
      </c>
      <c r="BA96" s="33" t="str">
        <f aca="false">IF(COUNTIF(Flows!$M$2:$M$1500,$A96&amp;"|"&amp;BA$1&amp;"|Input"),IF(COUNTIF(Flows!$M$2:$M$1500,$A96&amp;"|"&amp;BA$1&amp;"|Output"),"I/O","IN"),IF(COUNTIF(Flows!$M$2:$M$1500,$A96&amp;"|"&amp;BA$1&amp;"|Output"),"OUT",""))</f>
        <v/>
      </c>
      <c r="BB96" s="33" t="str">
        <f aca="false">IF(COUNTIF(Flows!$M$2:$M$1500,$A96&amp;"|"&amp;BB$1&amp;"|Input"),IF(COUNTIF(Flows!$M$2:$M$1500,$A96&amp;"|"&amp;BB$1&amp;"|Output"),"I/O","IN"),IF(COUNTIF(Flows!$M$2:$M$1500,$A96&amp;"|"&amp;BB$1&amp;"|Output"),"OUT",""))</f>
        <v/>
      </c>
      <c r="BC96" s="33" t="str">
        <f aca="false">IF(COUNTIF(Flows!$M$2:$M$1500,$A96&amp;"|"&amp;BC$1&amp;"|Input"),IF(COUNTIF(Flows!$M$2:$M$1500,$A96&amp;"|"&amp;BC$1&amp;"|Output"),"I/O","IN"),IF(COUNTIF(Flows!$M$2:$M$1500,$A96&amp;"|"&amp;BC$1&amp;"|Output"),"OUT",""))</f>
        <v/>
      </c>
      <c r="BD96" s="33" t="str">
        <f aca="false">IF(COUNTIF(Flows!$M$2:$M$1500,$A96&amp;"|"&amp;BD$1&amp;"|Input"),IF(COUNTIF(Flows!$M$2:$M$1500,$A96&amp;"|"&amp;BD$1&amp;"|Output"),"I/O","IN"),IF(COUNTIF(Flows!$M$2:$M$1500,$A96&amp;"|"&amp;BD$1&amp;"|Output"),"OUT",""))</f>
        <v/>
      </c>
      <c r="BE96" s="33" t="str">
        <f aca="false">IF(COUNTIF(Flows!$M$2:$M$1500,$A96&amp;"|"&amp;BE$1&amp;"|Input"),IF(COUNTIF(Flows!$M$2:$M$1500,$A96&amp;"|"&amp;BE$1&amp;"|Output"),"I/O","IN"),IF(COUNTIF(Flows!$M$2:$M$1500,$A96&amp;"|"&amp;BE$1&amp;"|Output"),"OUT",""))</f>
        <v>IN</v>
      </c>
      <c r="BF96" s="33" t="str">
        <f aca="false">IF(COUNTIF(Flows!$M$2:$M$1500,$A96&amp;"|"&amp;BF$1&amp;"|Input"),IF(COUNTIF(Flows!$M$2:$M$1500,$A96&amp;"|"&amp;BF$1&amp;"|Output"),"I/O","IN"),IF(COUNTIF(Flows!$M$2:$M$1500,$A96&amp;"|"&amp;BF$1&amp;"|Output"),"OUT",""))</f>
        <v/>
      </c>
      <c r="BG96" s="33" t="str">
        <f aca="false">IF(COUNTIF(Flows!$M$2:$M$1500,$A96&amp;"|"&amp;BG$1&amp;"|Input"),IF(COUNTIF(Flows!$M$2:$M$1500,$A96&amp;"|"&amp;BG$1&amp;"|Output"),"I/O","IN"),IF(COUNTIF(Flows!$M$2:$M$1500,$A96&amp;"|"&amp;BG$1&amp;"|Output"),"OUT",""))</f>
        <v/>
      </c>
      <c r="BH96" s="33" t="str">
        <f aca="false">IF(COUNTIF(Flows!$M$2:$M$1500,$A96&amp;"|"&amp;BH$1&amp;"|Input"),IF(COUNTIF(Flows!$M$2:$M$1500,$A96&amp;"|"&amp;BH$1&amp;"|Output"),"I/O","IN"),IF(COUNTIF(Flows!$M$2:$M$1500,$A96&amp;"|"&amp;BH$1&amp;"|Output"),"OUT",""))</f>
        <v/>
      </c>
      <c r="BI96" s="33" t="str">
        <f aca="false">IF(COUNTIF(Flows!$M$2:$M$1500,$A96&amp;"|"&amp;BI$1&amp;"|Input"),IF(COUNTIF(Flows!$M$2:$M$1500,$A96&amp;"|"&amp;BI$1&amp;"|Output"),"I/O","IN"),IF(COUNTIF(Flows!$M$2:$M$1500,$A96&amp;"|"&amp;BI$1&amp;"|Output"),"OUT",""))</f>
        <v/>
      </c>
      <c r="BJ96" s="33" t="str">
        <f aca="false">IF(COUNTIF(Flows!$M$2:$M$1500,$A96&amp;"|"&amp;BJ$1&amp;"|Input"),IF(COUNTIF(Flows!$M$2:$M$1500,$A96&amp;"|"&amp;BJ$1&amp;"|Output"),"I/O","IN"),IF(COUNTIF(Flows!$M$2:$M$1500,$A96&amp;"|"&amp;BJ$1&amp;"|Output"),"OUT",""))</f>
        <v/>
      </c>
      <c r="BK96" s="33" t="str">
        <f aca="false">IF(COUNTIF(Flows!$M$2:$M$1500,$A96&amp;"|"&amp;BK$1&amp;"|Input"),IF(COUNTIF(Flows!$M$2:$M$1500,$A96&amp;"|"&amp;BK$1&amp;"|Output"),"I/O","IN"),IF(COUNTIF(Flows!$M$2:$M$1500,$A96&amp;"|"&amp;BK$1&amp;"|Output"),"OUT",""))</f>
        <v/>
      </c>
    </row>
    <row r="97" customFormat="false" ht="15" hidden="false" customHeight="true" outlineLevel="0" collapsed="false">
      <c r="A97" s="6" t="str">
        <f aca="false">Systems!B97</f>
        <v>Propane Generator (7 kW)</v>
      </c>
      <c r="B97" s="33" t="str">
        <f aca="false">IF(COUNTIF(Flows!$M$2:$M$1500,$A97&amp;"|"&amp;B$1&amp;"|Input"),IF(COUNTIF(Flows!$M$2:$M$1500,$A97&amp;"|"&amp;B$1&amp;"|Output"),"I/O","IN"),IF(COUNTIF(Flows!$M$2:$M$1500,$A97&amp;"|"&amp;B$1&amp;"|Output"),"OUT",""))</f>
        <v/>
      </c>
      <c r="C97" s="33" t="str">
        <f aca="false">IF(COUNTIF(Flows!$M$2:$M$1500,$A97&amp;"|"&amp;C$1&amp;"|Input"),IF(COUNTIF(Flows!$M$2:$M$1500,$A97&amp;"|"&amp;C$1&amp;"|Output"),"I/O","IN"),IF(COUNTIF(Flows!$M$2:$M$1500,$A97&amp;"|"&amp;C$1&amp;"|Output"),"OUT",""))</f>
        <v/>
      </c>
      <c r="D97" s="33" t="str">
        <f aca="false">IF(COUNTIF(Flows!$M$2:$M$1500,$A97&amp;"|"&amp;D$1&amp;"|Input"),IF(COUNTIF(Flows!$M$2:$M$1500,$A97&amp;"|"&amp;D$1&amp;"|Output"),"I/O","IN"),IF(COUNTIF(Flows!$M$2:$M$1500,$A97&amp;"|"&amp;D$1&amp;"|Output"),"OUT",""))</f>
        <v/>
      </c>
      <c r="E97" s="33" t="str">
        <f aca="false">IF(COUNTIF(Flows!$M$2:$M$1500,$A97&amp;"|"&amp;E$1&amp;"|Input"),IF(COUNTIF(Flows!$M$2:$M$1500,$A97&amp;"|"&amp;E$1&amp;"|Output"),"I/O","IN"),IF(COUNTIF(Flows!$M$2:$M$1500,$A97&amp;"|"&amp;E$1&amp;"|Output"),"OUT",""))</f>
        <v/>
      </c>
      <c r="F97" s="33" t="str">
        <f aca="false">IF(COUNTIF(Flows!$M$2:$M$1500,$A97&amp;"|"&amp;F$1&amp;"|Input"),IF(COUNTIF(Flows!$M$2:$M$1500,$A97&amp;"|"&amp;F$1&amp;"|Output"),"I/O","IN"),IF(COUNTIF(Flows!$M$2:$M$1500,$A97&amp;"|"&amp;F$1&amp;"|Output"),"OUT",""))</f>
        <v/>
      </c>
      <c r="G97" s="33" t="str">
        <f aca="false">IF(COUNTIF(Flows!$M$2:$M$1500,$A97&amp;"|"&amp;G$1&amp;"|Input"),IF(COUNTIF(Flows!$M$2:$M$1500,$A97&amp;"|"&amp;G$1&amp;"|Output"),"I/O","IN"),IF(COUNTIF(Flows!$M$2:$M$1500,$A97&amp;"|"&amp;G$1&amp;"|Output"),"OUT",""))</f>
        <v/>
      </c>
      <c r="H97" s="33" t="str">
        <f aca="false">IF(COUNTIF(Flows!$M$2:$M$1500,$A97&amp;"|"&amp;H$1&amp;"|Input"),IF(COUNTIF(Flows!$M$2:$M$1500,$A97&amp;"|"&amp;H$1&amp;"|Output"),"I/O","IN"),IF(COUNTIF(Flows!$M$2:$M$1500,$A97&amp;"|"&amp;H$1&amp;"|Output"),"OUT",""))</f>
        <v/>
      </c>
      <c r="I97" s="33" t="str">
        <f aca="false">IF(COUNTIF(Flows!$M$2:$M$1500,$A97&amp;"|"&amp;I$1&amp;"|Input"),IF(COUNTIF(Flows!$M$2:$M$1500,$A97&amp;"|"&amp;I$1&amp;"|Output"),"I/O","IN"),IF(COUNTIF(Flows!$M$2:$M$1500,$A97&amp;"|"&amp;I$1&amp;"|Output"),"OUT",""))</f>
        <v/>
      </c>
      <c r="J97" s="33" t="str">
        <f aca="false">IF(COUNTIF(Flows!$M$2:$M$1500,$A97&amp;"|"&amp;J$1&amp;"|Input"),IF(COUNTIF(Flows!$M$2:$M$1500,$A97&amp;"|"&amp;J$1&amp;"|Output"),"I/O","IN"),IF(COUNTIF(Flows!$M$2:$M$1500,$A97&amp;"|"&amp;J$1&amp;"|Output"),"OUT",""))</f>
        <v/>
      </c>
      <c r="K97" s="33" t="str">
        <f aca="false">IF(COUNTIF(Flows!$M$2:$M$1500,$A97&amp;"|"&amp;K$1&amp;"|Input"),IF(COUNTIF(Flows!$M$2:$M$1500,$A97&amp;"|"&amp;K$1&amp;"|Output"),"I/O","IN"),IF(COUNTIF(Flows!$M$2:$M$1500,$A97&amp;"|"&amp;K$1&amp;"|Output"),"OUT",""))</f>
        <v/>
      </c>
      <c r="L97" s="33" t="str">
        <f aca="false">IF(COUNTIF(Flows!$M$2:$M$1500,$A97&amp;"|"&amp;L$1&amp;"|Input"),IF(COUNTIF(Flows!$M$2:$M$1500,$A97&amp;"|"&amp;L$1&amp;"|Output"),"I/O","IN"),IF(COUNTIF(Flows!$M$2:$M$1500,$A97&amp;"|"&amp;L$1&amp;"|Output"),"OUT",""))</f>
        <v/>
      </c>
      <c r="M97" s="33" t="str">
        <f aca="false">IF(COUNTIF(Flows!$M$2:$M$1500,$A97&amp;"|"&amp;M$1&amp;"|Input"),IF(COUNTIF(Flows!$M$2:$M$1500,$A97&amp;"|"&amp;M$1&amp;"|Output"),"I/O","IN"),IF(COUNTIF(Flows!$M$2:$M$1500,$A97&amp;"|"&amp;M$1&amp;"|Output"),"OUT",""))</f>
        <v/>
      </c>
      <c r="N97" s="33" t="str">
        <f aca="false">IF(COUNTIF(Flows!$M$2:$M$1500,$A97&amp;"|"&amp;N$1&amp;"|Input"),IF(COUNTIF(Flows!$M$2:$M$1500,$A97&amp;"|"&amp;N$1&amp;"|Output"),"I/O","IN"),IF(COUNTIF(Flows!$M$2:$M$1500,$A97&amp;"|"&amp;N$1&amp;"|Output"),"OUT",""))</f>
        <v/>
      </c>
      <c r="O97" s="33" t="str">
        <f aca="false">IF(COUNTIF(Flows!$M$2:$M$1500,$A97&amp;"|"&amp;O$1&amp;"|Input"),IF(COUNTIF(Flows!$M$2:$M$1500,$A97&amp;"|"&amp;O$1&amp;"|Output"),"I/O","IN"),IF(COUNTIF(Flows!$M$2:$M$1500,$A97&amp;"|"&amp;O$1&amp;"|Output"),"OUT",""))</f>
        <v/>
      </c>
      <c r="P97" s="33" t="str">
        <f aca="false">IF(COUNTIF(Flows!$M$2:$M$1500,$A97&amp;"|"&amp;P$1&amp;"|Input"),IF(COUNTIF(Flows!$M$2:$M$1500,$A97&amp;"|"&amp;P$1&amp;"|Output"),"I/O","IN"),IF(COUNTIF(Flows!$M$2:$M$1500,$A97&amp;"|"&amp;P$1&amp;"|Output"),"OUT",""))</f>
        <v/>
      </c>
      <c r="Q97" s="33" t="str">
        <f aca="false">IF(COUNTIF(Flows!$M$2:$M$1500,$A97&amp;"|"&amp;Q$1&amp;"|Input"),IF(COUNTIF(Flows!$M$2:$M$1500,$A97&amp;"|"&amp;Q$1&amp;"|Output"),"I/O","IN"),IF(COUNTIF(Flows!$M$2:$M$1500,$A97&amp;"|"&amp;Q$1&amp;"|Output"),"OUT",""))</f>
        <v/>
      </c>
      <c r="R97" s="33" t="str">
        <f aca="false">IF(COUNTIF(Flows!$M$2:$M$1500,$A97&amp;"|"&amp;R$1&amp;"|Input"),IF(COUNTIF(Flows!$M$2:$M$1500,$A97&amp;"|"&amp;R$1&amp;"|Output"),"I/O","IN"),IF(COUNTIF(Flows!$M$2:$M$1500,$A97&amp;"|"&amp;R$1&amp;"|Output"),"OUT",""))</f>
        <v/>
      </c>
      <c r="S97" s="33" t="str">
        <f aca="false">IF(COUNTIF(Flows!$M$2:$M$1500,$A97&amp;"|"&amp;S$1&amp;"|Input"),IF(COUNTIF(Flows!$M$2:$M$1500,$A97&amp;"|"&amp;S$1&amp;"|Output"),"I/O","IN"),IF(COUNTIF(Flows!$M$2:$M$1500,$A97&amp;"|"&amp;S$1&amp;"|Output"),"OUT",""))</f>
        <v>OUT</v>
      </c>
      <c r="T97" s="33" t="str">
        <f aca="false">IF(COUNTIF(Flows!$M$2:$M$1500,$A97&amp;"|"&amp;T$1&amp;"|Input"),IF(COUNTIF(Flows!$M$2:$M$1500,$A97&amp;"|"&amp;T$1&amp;"|Output"),"I/O","IN"),IF(COUNTIF(Flows!$M$2:$M$1500,$A97&amp;"|"&amp;T$1&amp;"|Output"),"OUT",""))</f>
        <v/>
      </c>
      <c r="U97" s="33" t="str">
        <f aca="false">IF(COUNTIF(Flows!$M$2:$M$1500,$A97&amp;"|"&amp;U$1&amp;"|Input"),IF(COUNTIF(Flows!$M$2:$M$1500,$A97&amp;"|"&amp;U$1&amp;"|Output"),"I/O","IN"),IF(COUNTIF(Flows!$M$2:$M$1500,$A97&amp;"|"&amp;U$1&amp;"|Output"),"OUT",""))</f>
        <v/>
      </c>
      <c r="V97" s="33" t="str">
        <f aca="false">IF(COUNTIF(Flows!$M$2:$M$1500,$A97&amp;"|"&amp;V$1&amp;"|Input"),IF(COUNTIF(Flows!$M$2:$M$1500,$A97&amp;"|"&amp;V$1&amp;"|Output"),"I/O","IN"),IF(COUNTIF(Flows!$M$2:$M$1500,$A97&amp;"|"&amp;V$1&amp;"|Output"),"OUT",""))</f>
        <v/>
      </c>
      <c r="W97" s="33" t="str">
        <f aca="false">IF(COUNTIF(Flows!$M$2:$M$1500,$A97&amp;"|"&amp;W$1&amp;"|Input"),IF(COUNTIF(Flows!$M$2:$M$1500,$A97&amp;"|"&amp;W$1&amp;"|Output"),"I/O","IN"),IF(COUNTIF(Flows!$M$2:$M$1500,$A97&amp;"|"&amp;W$1&amp;"|Output"),"OUT",""))</f>
        <v/>
      </c>
      <c r="X97" s="33" t="str">
        <f aca="false">IF(COUNTIF(Flows!$M$2:$M$1500,$A97&amp;"|"&amp;X$1&amp;"|Input"),IF(COUNTIF(Flows!$M$2:$M$1500,$A97&amp;"|"&amp;X$1&amp;"|Output"),"I/O","IN"),IF(COUNTIF(Flows!$M$2:$M$1500,$A97&amp;"|"&amp;X$1&amp;"|Output"),"OUT",""))</f>
        <v>IN</v>
      </c>
      <c r="Y97" s="33" t="str">
        <f aca="false">IF(COUNTIF(Flows!$M$2:$M$1500,$A97&amp;"|"&amp;Y$1&amp;"|Input"),IF(COUNTIF(Flows!$M$2:$M$1500,$A97&amp;"|"&amp;Y$1&amp;"|Output"),"I/O","IN"),IF(COUNTIF(Flows!$M$2:$M$1500,$A97&amp;"|"&amp;Y$1&amp;"|Output"),"OUT",""))</f>
        <v/>
      </c>
      <c r="Z97" s="33" t="str">
        <f aca="false">IF(COUNTIF(Flows!$M$2:$M$1500,$A97&amp;"|"&amp;Z$1&amp;"|Input"),IF(COUNTIF(Flows!$M$2:$M$1500,$A97&amp;"|"&amp;Z$1&amp;"|Output"),"I/O","IN"),IF(COUNTIF(Flows!$M$2:$M$1500,$A97&amp;"|"&amp;Z$1&amp;"|Output"),"OUT",""))</f>
        <v/>
      </c>
      <c r="AA97" s="33" t="str">
        <f aca="false">IF(COUNTIF(Flows!$M$2:$M$1500,$A97&amp;"|"&amp;AA$1&amp;"|Input"),IF(COUNTIF(Flows!$M$2:$M$1500,$A97&amp;"|"&amp;AA$1&amp;"|Output"),"I/O","IN"),IF(COUNTIF(Flows!$M$2:$M$1500,$A97&amp;"|"&amp;AA$1&amp;"|Output"),"OUT",""))</f>
        <v/>
      </c>
      <c r="AB97" s="33" t="str">
        <f aca="false">IF(COUNTIF(Flows!$M$2:$M$1500,$A97&amp;"|"&amp;AB$1&amp;"|Input"),IF(COUNTIF(Flows!$M$2:$M$1500,$A97&amp;"|"&amp;AB$1&amp;"|Output"),"I/O","IN"),IF(COUNTIF(Flows!$M$2:$M$1500,$A97&amp;"|"&amp;AB$1&amp;"|Output"),"OUT",""))</f>
        <v/>
      </c>
      <c r="AC97" s="33" t="str">
        <f aca="false">IF(COUNTIF(Flows!$M$2:$M$1500,$A97&amp;"|"&amp;AC$1&amp;"|Input"),IF(COUNTIF(Flows!$M$2:$M$1500,$A97&amp;"|"&amp;AC$1&amp;"|Output"),"I/O","IN"),IF(COUNTIF(Flows!$M$2:$M$1500,$A97&amp;"|"&amp;AC$1&amp;"|Output"),"OUT",""))</f>
        <v/>
      </c>
      <c r="AD97" s="33" t="str">
        <f aca="false">IF(COUNTIF(Flows!$M$2:$M$1500,$A97&amp;"|"&amp;AD$1&amp;"|Input"),IF(COUNTIF(Flows!$M$2:$M$1500,$A97&amp;"|"&amp;AD$1&amp;"|Output"),"I/O","IN"),IF(COUNTIF(Flows!$M$2:$M$1500,$A97&amp;"|"&amp;AD$1&amp;"|Output"),"OUT",""))</f>
        <v/>
      </c>
      <c r="AE97" s="33" t="str">
        <f aca="false">IF(COUNTIF(Flows!$M$2:$M$1500,$A97&amp;"|"&amp;AE$1&amp;"|Input"),IF(COUNTIF(Flows!$M$2:$M$1500,$A97&amp;"|"&amp;AE$1&amp;"|Output"),"I/O","IN"),IF(COUNTIF(Flows!$M$2:$M$1500,$A97&amp;"|"&amp;AE$1&amp;"|Output"),"OUT",""))</f>
        <v/>
      </c>
      <c r="AF97" s="33" t="str">
        <f aca="false">IF(COUNTIF(Flows!$M$2:$M$1500,$A97&amp;"|"&amp;AF$1&amp;"|Input"),IF(COUNTIF(Flows!$M$2:$M$1500,$A97&amp;"|"&amp;AF$1&amp;"|Output"),"I/O","IN"),IF(COUNTIF(Flows!$M$2:$M$1500,$A97&amp;"|"&amp;AF$1&amp;"|Output"),"OUT",""))</f>
        <v/>
      </c>
      <c r="AG97" s="33" t="str">
        <f aca="false">IF(COUNTIF(Flows!$M$2:$M$1500,$A97&amp;"|"&amp;AG$1&amp;"|Input"),IF(COUNTIF(Flows!$M$2:$M$1500,$A97&amp;"|"&amp;AG$1&amp;"|Output"),"I/O","IN"),IF(COUNTIF(Flows!$M$2:$M$1500,$A97&amp;"|"&amp;AG$1&amp;"|Output"),"OUT",""))</f>
        <v/>
      </c>
      <c r="AH97" s="33" t="str">
        <f aca="false">IF(COUNTIF(Flows!$M$2:$M$1500,$A97&amp;"|"&amp;AH$1&amp;"|Input"),IF(COUNTIF(Flows!$M$2:$M$1500,$A97&amp;"|"&amp;AH$1&amp;"|Output"),"I/O","IN"),IF(COUNTIF(Flows!$M$2:$M$1500,$A97&amp;"|"&amp;AH$1&amp;"|Output"),"OUT",""))</f>
        <v/>
      </c>
      <c r="AI97" s="33" t="str">
        <f aca="false">IF(COUNTIF(Flows!$M$2:$M$1500,$A97&amp;"|"&amp;AI$1&amp;"|Input"),IF(COUNTIF(Flows!$M$2:$M$1500,$A97&amp;"|"&amp;AI$1&amp;"|Output"),"I/O","IN"),IF(COUNTIF(Flows!$M$2:$M$1500,$A97&amp;"|"&amp;AI$1&amp;"|Output"),"OUT",""))</f>
        <v/>
      </c>
      <c r="AJ97" s="33" t="str">
        <f aca="false">IF(COUNTIF(Flows!$M$2:$M$1500,$A97&amp;"|"&amp;AJ$1&amp;"|Input"),IF(COUNTIF(Flows!$M$2:$M$1500,$A97&amp;"|"&amp;AJ$1&amp;"|Output"),"I/O","IN"),IF(COUNTIF(Flows!$M$2:$M$1500,$A97&amp;"|"&amp;AJ$1&amp;"|Output"),"OUT",""))</f>
        <v/>
      </c>
      <c r="AK97" s="33" t="str">
        <f aca="false">IF(COUNTIF(Flows!$M$2:$M$1500,$A97&amp;"|"&amp;AK$1&amp;"|Input"),IF(COUNTIF(Flows!$M$2:$M$1500,$A97&amp;"|"&amp;AK$1&amp;"|Output"),"I/O","IN"),IF(COUNTIF(Flows!$M$2:$M$1500,$A97&amp;"|"&amp;AK$1&amp;"|Output"),"OUT",""))</f>
        <v/>
      </c>
      <c r="AL97" s="33" t="str">
        <f aca="false">IF(COUNTIF(Flows!$M$2:$M$1500,$A97&amp;"|"&amp;AL$1&amp;"|Input"),IF(COUNTIF(Flows!$M$2:$M$1500,$A97&amp;"|"&amp;AL$1&amp;"|Output"),"I/O","IN"),IF(COUNTIF(Flows!$M$2:$M$1500,$A97&amp;"|"&amp;AL$1&amp;"|Output"),"OUT",""))</f>
        <v/>
      </c>
      <c r="AM97" s="33" t="str">
        <f aca="false">IF(COUNTIF(Flows!$M$2:$M$1500,$A97&amp;"|"&amp;AM$1&amp;"|Input"),IF(COUNTIF(Flows!$M$2:$M$1500,$A97&amp;"|"&amp;AM$1&amp;"|Output"),"I/O","IN"),IF(COUNTIF(Flows!$M$2:$M$1500,$A97&amp;"|"&amp;AM$1&amp;"|Output"),"OUT",""))</f>
        <v/>
      </c>
      <c r="AN97" s="33" t="str">
        <f aca="false">IF(COUNTIF(Flows!$M$2:$M$1500,$A97&amp;"|"&amp;AN$1&amp;"|Input"),IF(COUNTIF(Flows!$M$2:$M$1500,$A97&amp;"|"&amp;AN$1&amp;"|Output"),"I/O","IN"),IF(COUNTIF(Flows!$M$2:$M$1500,$A97&amp;"|"&amp;AN$1&amp;"|Output"),"OUT",""))</f>
        <v/>
      </c>
      <c r="AO97" s="33" t="str">
        <f aca="false">IF(COUNTIF(Flows!$M$2:$M$1500,$A97&amp;"|"&amp;AO$1&amp;"|Input"),IF(COUNTIF(Flows!$M$2:$M$1500,$A97&amp;"|"&amp;AO$1&amp;"|Output"),"I/O","IN"),IF(COUNTIF(Flows!$M$2:$M$1500,$A97&amp;"|"&amp;AO$1&amp;"|Output"),"OUT",""))</f>
        <v/>
      </c>
      <c r="AP97" s="33" t="str">
        <f aca="false">IF(COUNTIF(Flows!$M$2:$M$1500,$A97&amp;"|"&amp;AP$1&amp;"|Input"),IF(COUNTIF(Flows!$M$2:$M$1500,$A97&amp;"|"&amp;AP$1&amp;"|Output"),"I/O","IN"),IF(COUNTIF(Flows!$M$2:$M$1500,$A97&amp;"|"&amp;AP$1&amp;"|Output"),"OUT",""))</f>
        <v/>
      </c>
      <c r="AQ97" s="33" t="str">
        <f aca="false">IF(COUNTIF(Flows!$M$2:$M$1500,$A97&amp;"|"&amp;AQ$1&amp;"|Input"),IF(COUNTIF(Flows!$M$2:$M$1500,$A97&amp;"|"&amp;AQ$1&amp;"|Output"),"I/O","IN"),IF(COUNTIF(Flows!$M$2:$M$1500,$A97&amp;"|"&amp;AQ$1&amp;"|Output"),"OUT",""))</f>
        <v/>
      </c>
      <c r="AR97" s="33" t="str">
        <f aca="false">IF(COUNTIF(Flows!$M$2:$M$1500,$A97&amp;"|"&amp;AR$1&amp;"|Input"),IF(COUNTIF(Flows!$M$2:$M$1500,$A97&amp;"|"&amp;AR$1&amp;"|Output"),"I/O","IN"),IF(COUNTIF(Flows!$M$2:$M$1500,$A97&amp;"|"&amp;AR$1&amp;"|Output"),"OUT",""))</f>
        <v/>
      </c>
      <c r="AS97" s="33" t="str">
        <f aca="false">IF(COUNTIF(Flows!$M$2:$M$1500,$A97&amp;"|"&amp;AS$1&amp;"|Input"),IF(COUNTIF(Flows!$M$2:$M$1500,$A97&amp;"|"&amp;AS$1&amp;"|Output"),"I/O","IN"),IF(COUNTIF(Flows!$M$2:$M$1500,$A97&amp;"|"&amp;AS$1&amp;"|Output"),"OUT",""))</f>
        <v/>
      </c>
      <c r="AT97" s="33" t="str">
        <f aca="false">IF(COUNTIF(Flows!$M$2:$M$1500,$A97&amp;"|"&amp;AT$1&amp;"|Input"),IF(COUNTIF(Flows!$M$2:$M$1500,$A97&amp;"|"&amp;AT$1&amp;"|Output"),"I/O","IN"),IF(COUNTIF(Flows!$M$2:$M$1500,$A97&amp;"|"&amp;AT$1&amp;"|Output"),"OUT",""))</f>
        <v/>
      </c>
      <c r="AU97" s="33" t="str">
        <f aca="false">IF(COUNTIF(Flows!$M$2:$M$1500,$A97&amp;"|"&amp;AU$1&amp;"|Input"),IF(COUNTIF(Flows!$M$2:$M$1500,$A97&amp;"|"&amp;AU$1&amp;"|Output"),"I/O","IN"),IF(COUNTIF(Flows!$M$2:$M$1500,$A97&amp;"|"&amp;AU$1&amp;"|Output"),"OUT",""))</f>
        <v/>
      </c>
      <c r="AV97" s="33" t="str">
        <f aca="false">IF(COUNTIF(Flows!$M$2:$M$1500,$A97&amp;"|"&amp;AV$1&amp;"|Input"),IF(COUNTIF(Flows!$M$2:$M$1500,$A97&amp;"|"&amp;AV$1&amp;"|Output"),"I/O","IN"),IF(COUNTIF(Flows!$M$2:$M$1500,$A97&amp;"|"&amp;AV$1&amp;"|Output"),"OUT",""))</f>
        <v/>
      </c>
      <c r="AW97" s="33" t="str">
        <f aca="false">IF(COUNTIF(Flows!$M$2:$M$1500,$A97&amp;"|"&amp;AW$1&amp;"|Input"),IF(COUNTIF(Flows!$M$2:$M$1500,$A97&amp;"|"&amp;AW$1&amp;"|Output"),"I/O","IN"),IF(COUNTIF(Flows!$M$2:$M$1500,$A97&amp;"|"&amp;AW$1&amp;"|Output"),"OUT",""))</f>
        <v/>
      </c>
      <c r="AX97" s="33" t="str">
        <f aca="false">IF(COUNTIF(Flows!$M$2:$M$1500,$A97&amp;"|"&amp;AX$1&amp;"|Input"),IF(COUNTIF(Flows!$M$2:$M$1500,$A97&amp;"|"&amp;AX$1&amp;"|Output"),"I/O","IN"),IF(COUNTIF(Flows!$M$2:$M$1500,$A97&amp;"|"&amp;AX$1&amp;"|Output"),"OUT",""))</f>
        <v/>
      </c>
      <c r="AY97" s="33" t="str">
        <f aca="false">IF(COUNTIF(Flows!$M$2:$M$1500,$A97&amp;"|"&amp;AY$1&amp;"|Input"),IF(COUNTIF(Flows!$M$2:$M$1500,$A97&amp;"|"&amp;AY$1&amp;"|Output"),"I/O","IN"),IF(COUNTIF(Flows!$M$2:$M$1500,$A97&amp;"|"&amp;AY$1&amp;"|Output"),"OUT",""))</f>
        <v/>
      </c>
      <c r="AZ97" s="33" t="str">
        <f aca="false">IF(COUNTIF(Flows!$M$2:$M$1500,$A97&amp;"|"&amp;AZ$1&amp;"|Input"),IF(COUNTIF(Flows!$M$2:$M$1500,$A97&amp;"|"&amp;AZ$1&amp;"|Output"),"I/O","IN"),IF(COUNTIF(Flows!$M$2:$M$1500,$A97&amp;"|"&amp;AZ$1&amp;"|Output"),"OUT",""))</f>
        <v/>
      </c>
      <c r="BA97" s="33" t="str">
        <f aca="false">IF(COUNTIF(Flows!$M$2:$M$1500,$A97&amp;"|"&amp;BA$1&amp;"|Input"),IF(COUNTIF(Flows!$M$2:$M$1500,$A97&amp;"|"&amp;BA$1&amp;"|Output"),"I/O","IN"),IF(COUNTIF(Flows!$M$2:$M$1500,$A97&amp;"|"&amp;BA$1&amp;"|Output"),"OUT",""))</f>
        <v/>
      </c>
      <c r="BB97" s="33" t="str">
        <f aca="false">IF(COUNTIF(Flows!$M$2:$M$1500,$A97&amp;"|"&amp;BB$1&amp;"|Input"),IF(COUNTIF(Flows!$M$2:$M$1500,$A97&amp;"|"&amp;BB$1&amp;"|Output"),"I/O","IN"),IF(COUNTIF(Flows!$M$2:$M$1500,$A97&amp;"|"&amp;BB$1&amp;"|Output"),"OUT",""))</f>
        <v/>
      </c>
      <c r="BC97" s="33" t="str">
        <f aca="false">IF(COUNTIF(Flows!$M$2:$M$1500,$A97&amp;"|"&amp;BC$1&amp;"|Input"),IF(COUNTIF(Flows!$M$2:$M$1500,$A97&amp;"|"&amp;BC$1&amp;"|Output"),"I/O","IN"),IF(COUNTIF(Flows!$M$2:$M$1500,$A97&amp;"|"&amp;BC$1&amp;"|Output"),"OUT",""))</f>
        <v/>
      </c>
      <c r="BD97" s="33" t="str">
        <f aca="false">IF(COUNTIF(Flows!$M$2:$M$1500,$A97&amp;"|"&amp;BD$1&amp;"|Input"),IF(COUNTIF(Flows!$M$2:$M$1500,$A97&amp;"|"&amp;BD$1&amp;"|Output"),"I/O","IN"),IF(COUNTIF(Flows!$M$2:$M$1500,$A97&amp;"|"&amp;BD$1&amp;"|Output"),"OUT",""))</f>
        <v/>
      </c>
      <c r="BE97" s="33" t="str">
        <f aca="false">IF(COUNTIF(Flows!$M$2:$M$1500,$A97&amp;"|"&amp;BE$1&amp;"|Input"),IF(COUNTIF(Flows!$M$2:$M$1500,$A97&amp;"|"&amp;BE$1&amp;"|Output"),"I/O","IN"),IF(COUNTIF(Flows!$M$2:$M$1500,$A97&amp;"|"&amp;BE$1&amp;"|Output"),"OUT",""))</f>
        <v/>
      </c>
      <c r="BF97" s="33" t="str">
        <f aca="false">IF(COUNTIF(Flows!$M$2:$M$1500,$A97&amp;"|"&amp;BF$1&amp;"|Input"),IF(COUNTIF(Flows!$M$2:$M$1500,$A97&amp;"|"&amp;BF$1&amp;"|Output"),"I/O","IN"),IF(COUNTIF(Flows!$M$2:$M$1500,$A97&amp;"|"&amp;BF$1&amp;"|Output"),"OUT",""))</f>
        <v>IN</v>
      </c>
      <c r="BG97" s="33" t="str">
        <f aca="false">IF(COUNTIF(Flows!$M$2:$M$1500,$A97&amp;"|"&amp;BG$1&amp;"|Input"),IF(COUNTIF(Flows!$M$2:$M$1500,$A97&amp;"|"&amp;BG$1&amp;"|Output"),"I/O","IN"),IF(COUNTIF(Flows!$M$2:$M$1500,$A97&amp;"|"&amp;BG$1&amp;"|Output"),"OUT",""))</f>
        <v/>
      </c>
      <c r="BH97" s="33" t="str">
        <f aca="false">IF(COUNTIF(Flows!$M$2:$M$1500,$A97&amp;"|"&amp;BH$1&amp;"|Input"),IF(COUNTIF(Flows!$M$2:$M$1500,$A97&amp;"|"&amp;BH$1&amp;"|Output"),"I/O","IN"),IF(COUNTIF(Flows!$M$2:$M$1500,$A97&amp;"|"&amp;BH$1&amp;"|Output"),"OUT",""))</f>
        <v/>
      </c>
      <c r="BI97" s="33" t="str">
        <f aca="false">IF(COUNTIF(Flows!$M$2:$M$1500,$A97&amp;"|"&amp;BI$1&amp;"|Input"),IF(COUNTIF(Flows!$M$2:$M$1500,$A97&amp;"|"&amp;BI$1&amp;"|Output"),"I/O","IN"),IF(COUNTIF(Flows!$M$2:$M$1500,$A97&amp;"|"&amp;BI$1&amp;"|Output"),"OUT",""))</f>
        <v/>
      </c>
      <c r="BJ97" s="33" t="str">
        <f aca="false">IF(COUNTIF(Flows!$M$2:$M$1500,$A97&amp;"|"&amp;BJ$1&amp;"|Input"),IF(COUNTIF(Flows!$M$2:$M$1500,$A97&amp;"|"&amp;BJ$1&amp;"|Output"),"I/O","IN"),IF(COUNTIF(Flows!$M$2:$M$1500,$A97&amp;"|"&amp;BJ$1&amp;"|Output"),"OUT",""))</f>
        <v/>
      </c>
      <c r="BK97" s="33" t="str">
        <f aca="false">IF(COUNTIF(Flows!$M$2:$M$1500,$A97&amp;"|"&amp;BK$1&amp;"|Input"),IF(COUNTIF(Flows!$M$2:$M$1500,$A97&amp;"|"&amp;BK$1&amp;"|Output"),"I/O","IN"),IF(COUNTIF(Flows!$M$2:$M$1500,$A97&amp;"|"&amp;BK$1&amp;"|Output"),"OUT",""))</f>
        <v/>
      </c>
    </row>
    <row r="98" customFormat="false" ht="15" hidden="false" customHeight="true" outlineLevel="0" collapsed="false">
      <c r="A98" s="6" t="str">
        <f aca="false">Systems!B98</f>
        <v>Solar Charge Controller + Inverter (3 kW)</v>
      </c>
      <c r="B98" s="33" t="str">
        <f aca="false">IF(COUNTIF(Flows!$M$2:$M$1500,$A98&amp;"|"&amp;B$1&amp;"|Input"),IF(COUNTIF(Flows!$M$2:$M$1500,$A98&amp;"|"&amp;B$1&amp;"|Output"),"I/O","IN"),IF(COUNTIF(Flows!$M$2:$M$1500,$A98&amp;"|"&amp;B$1&amp;"|Output"),"OUT",""))</f>
        <v/>
      </c>
      <c r="C98" s="33" t="str">
        <f aca="false">IF(COUNTIF(Flows!$M$2:$M$1500,$A98&amp;"|"&amp;C$1&amp;"|Input"),IF(COUNTIF(Flows!$M$2:$M$1500,$A98&amp;"|"&amp;C$1&amp;"|Output"),"I/O","IN"),IF(COUNTIF(Flows!$M$2:$M$1500,$A98&amp;"|"&amp;C$1&amp;"|Output"),"OUT",""))</f>
        <v/>
      </c>
      <c r="D98" s="33" t="str">
        <f aca="false">IF(COUNTIF(Flows!$M$2:$M$1500,$A98&amp;"|"&amp;D$1&amp;"|Input"),IF(COUNTIF(Flows!$M$2:$M$1500,$A98&amp;"|"&amp;D$1&amp;"|Output"),"I/O","IN"),IF(COUNTIF(Flows!$M$2:$M$1500,$A98&amp;"|"&amp;D$1&amp;"|Output"),"OUT",""))</f>
        <v/>
      </c>
      <c r="E98" s="33" t="str">
        <f aca="false">IF(COUNTIF(Flows!$M$2:$M$1500,$A98&amp;"|"&amp;E$1&amp;"|Input"),IF(COUNTIF(Flows!$M$2:$M$1500,$A98&amp;"|"&amp;E$1&amp;"|Output"),"I/O","IN"),IF(COUNTIF(Flows!$M$2:$M$1500,$A98&amp;"|"&amp;E$1&amp;"|Output"),"OUT",""))</f>
        <v/>
      </c>
      <c r="F98" s="33" t="str">
        <f aca="false">IF(COUNTIF(Flows!$M$2:$M$1500,$A98&amp;"|"&amp;F$1&amp;"|Input"),IF(COUNTIF(Flows!$M$2:$M$1500,$A98&amp;"|"&amp;F$1&amp;"|Output"),"I/O","IN"),IF(COUNTIF(Flows!$M$2:$M$1500,$A98&amp;"|"&amp;F$1&amp;"|Output"),"OUT",""))</f>
        <v/>
      </c>
      <c r="G98" s="33" t="str">
        <f aca="false">IF(COUNTIF(Flows!$M$2:$M$1500,$A98&amp;"|"&amp;G$1&amp;"|Input"),IF(COUNTIF(Flows!$M$2:$M$1500,$A98&amp;"|"&amp;G$1&amp;"|Output"),"I/O","IN"),IF(COUNTIF(Flows!$M$2:$M$1500,$A98&amp;"|"&amp;G$1&amp;"|Output"),"OUT",""))</f>
        <v/>
      </c>
      <c r="H98" s="33" t="str">
        <f aca="false">IF(COUNTIF(Flows!$M$2:$M$1500,$A98&amp;"|"&amp;H$1&amp;"|Input"),IF(COUNTIF(Flows!$M$2:$M$1500,$A98&amp;"|"&amp;H$1&amp;"|Output"),"I/O","IN"),IF(COUNTIF(Flows!$M$2:$M$1500,$A98&amp;"|"&amp;H$1&amp;"|Output"),"OUT",""))</f>
        <v/>
      </c>
      <c r="I98" s="33" t="str">
        <f aca="false">IF(COUNTIF(Flows!$M$2:$M$1500,$A98&amp;"|"&amp;I$1&amp;"|Input"),IF(COUNTIF(Flows!$M$2:$M$1500,$A98&amp;"|"&amp;I$1&amp;"|Output"),"I/O","IN"),IF(COUNTIF(Flows!$M$2:$M$1500,$A98&amp;"|"&amp;I$1&amp;"|Output"),"OUT",""))</f>
        <v/>
      </c>
      <c r="J98" s="33" t="str">
        <f aca="false">IF(COUNTIF(Flows!$M$2:$M$1500,$A98&amp;"|"&amp;J$1&amp;"|Input"),IF(COUNTIF(Flows!$M$2:$M$1500,$A98&amp;"|"&amp;J$1&amp;"|Output"),"I/O","IN"),IF(COUNTIF(Flows!$M$2:$M$1500,$A98&amp;"|"&amp;J$1&amp;"|Output"),"OUT",""))</f>
        <v/>
      </c>
      <c r="K98" s="33" t="str">
        <f aca="false">IF(COUNTIF(Flows!$M$2:$M$1500,$A98&amp;"|"&amp;K$1&amp;"|Input"),IF(COUNTIF(Flows!$M$2:$M$1500,$A98&amp;"|"&amp;K$1&amp;"|Output"),"I/O","IN"),IF(COUNTIF(Flows!$M$2:$M$1500,$A98&amp;"|"&amp;K$1&amp;"|Output"),"OUT",""))</f>
        <v/>
      </c>
      <c r="L98" s="33" t="str">
        <f aca="false">IF(COUNTIF(Flows!$M$2:$M$1500,$A98&amp;"|"&amp;L$1&amp;"|Input"),IF(COUNTIF(Flows!$M$2:$M$1500,$A98&amp;"|"&amp;L$1&amp;"|Output"),"I/O","IN"),IF(COUNTIF(Flows!$M$2:$M$1500,$A98&amp;"|"&amp;L$1&amp;"|Output"),"OUT",""))</f>
        <v/>
      </c>
      <c r="M98" s="33" t="str">
        <f aca="false">IF(COUNTIF(Flows!$M$2:$M$1500,$A98&amp;"|"&amp;M$1&amp;"|Input"),IF(COUNTIF(Flows!$M$2:$M$1500,$A98&amp;"|"&amp;M$1&amp;"|Output"),"I/O","IN"),IF(COUNTIF(Flows!$M$2:$M$1500,$A98&amp;"|"&amp;M$1&amp;"|Output"),"OUT",""))</f>
        <v/>
      </c>
      <c r="N98" s="33" t="str">
        <f aca="false">IF(COUNTIF(Flows!$M$2:$M$1500,$A98&amp;"|"&amp;N$1&amp;"|Input"),IF(COUNTIF(Flows!$M$2:$M$1500,$A98&amp;"|"&amp;N$1&amp;"|Output"),"I/O","IN"),IF(COUNTIF(Flows!$M$2:$M$1500,$A98&amp;"|"&amp;N$1&amp;"|Output"),"OUT",""))</f>
        <v/>
      </c>
      <c r="O98" s="33" t="str">
        <f aca="false">IF(COUNTIF(Flows!$M$2:$M$1500,$A98&amp;"|"&amp;O$1&amp;"|Input"),IF(COUNTIF(Flows!$M$2:$M$1500,$A98&amp;"|"&amp;O$1&amp;"|Output"),"I/O","IN"),IF(COUNTIF(Flows!$M$2:$M$1500,$A98&amp;"|"&amp;O$1&amp;"|Output"),"OUT",""))</f>
        <v/>
      </c>
      <c r="P98" s="33" t="str">
        <f aca="false">IF(COUNTIF(Flows!$M$2:$M$1500,$A98&amp;"|"&amp;P$1&amp;"|Input"),IF(COUNTIF(Flows!$M$2:$M$1500,$A98&amp;"|"&amp;P$1&amp;"|Output"),"I/O","IN"),IF(COUNTIF(Flows!$M$2:$M$1500,$A98&amp;"|"&amp;P$1&amp;"|Output"),"OUT",""))</f>
        <v/>
      </c>
      <c r="Q98" s="33" t="str">
        <f aca="false">IF(COUNTIF(Flows!$M$2:$M$1500,$A98&amp;"|"&amp;Q$1&amp;"|Input"),IF(COUNTIF(Flows!$M$2:$M$1500,$A98&amp;"|"&amp;Q$1&amp;"|Output"),"I/O","IN"),IF(COUNTIF(Flows!$M$2:$M$1500,$A98&amp;"|"&amp;Q$1&amp;"|Output"),"OUT",""))</f>
        <v/>
      </c>
      <c r="R98" s="33" t="str">
        <f aca="false">IF(COUNTIF(Flows!$M$2:$M$1500,$A98&amp;"|"&amp;R$1&amp;"|Input"),IF(COUNTIF(Flows!$M$2:$M$1500,$A98&amp;"|"&amp;R$1&amp;"|Output"),"I/O","IN"),IF(COUNTIF(Flows!$M$2:$M$1500,$A98&amp;"|"&amp;R$1&amp;"|Output"),"OUT",""))</f>
        <v/>
      </c>
      <c r="S98" s="33" t="str">
        <f aca="false">IF(COUNTIF(Flows!$M$2:$M$1500,$A98&amp;"|"&amp;S$1&amp;"|Input"),IF(COUNTIF(Flows!$M$2:$M$1500,$A98&amp;"|"&amp;S$1&amp;"|Output"),"I/O","IN"),IF(COUNTIF(Flows!$M$2:$M$1500,$A98&amp;"|"&amp;S$1&amp;"|Output"),"OUT",""))</f>
        <v>I/O</v>
      </c>
      <c r="T98" s="33" t="str">
        <f aca="false">IF(COUNTIF(Flows!$M$2:$M$1500,$A98&amp;"|"&amp;T$1&amp;"|Input"),IF(COUNTIF(Flows!$M$2:$M$1500,$A98&amp;"|"&amp;T$1&amp;"|Output"),"I/O","IN"),IF(COUNTIF(Flows!$M$2:$M$1500,$A98&amp;"|"&amp;T$1&amp;"|Output"),"OUT",""))</f>
        <v/>
      </c>
      <c r="U98" s="33" t="str">
        <f aca="false">IF(COUNTIF(Flows!$M$2:$M$1500,$A98&amp;"|"&amp;U$1&amp;"|Input"),IF(COUNTIF(Flows!$M$2:$M$1500,$A98&amp;"|"&amp;U$1&amp;"|Output"),"I/O","IN"),IF(COUNTIF(Flows!$M$2:$M$1500,$A98&amp;"|"&amp;U$1&amp;"|Output"),"OUT",""))</f>
        <v/>
      </c>
      <c r="V98" s="33" t="str">
        <f aca="false">IF(COUNTIF(Flows!$M$2:$M$1500,$A98&amp;"|"&amp;V$1&amp;"|Input"),IF(COUNTIF(Flows!$M$2:$M$1500,$A98&amp;"|"&amp;V$1&amp;"|Output"),"I/O","IN"),IF(COUNTIF(Flows!$M$2:$M$1500,$A98&amp;"|"&amp;V$1&amp;"|Output"),"OUT",""))</f>
        <v/>
      </c>
      <c r="W98" s="33" t="str">
        <f aca="false">IF(COUNTIF(Flows!$M$2:$M$1500,$A98&amp;"|"&amp;W$1&amp;"|Input"),IF(COUNTIF(Flows!$M$2:$M$1500,$A98&amp;"|"&amp;W$1&amp;"|Output"),"I/O","IN"),IF(COUNTIF(Flows!$M$2:$M$1500,$A98&amp;"|"&amp;W$1&amp;"|Output"),"OUT",""))</f>
        <v/>
      </c>
      <c r="X98" s="33" t="str">
        <f aca="false">IF(COUNTIF(Flows!$M$2:$M$1500,$A98&amp;"|"&amp;X$1&amp;"|Input"),IF(COUNTIF(Flows!$M$2:$M$1500,$A98&amp;"|"&amp;X$1&amp;"|Output"),"I/O","IN"),IF(COUNTIF(Flows!$M$2:$M$1500,$A98&amp;"|"&amp;X$1&amp;"|Output"),"OUT",""))</f>
        <v>IN</v>
      </c>
      <c r="Y98" s="33" t="str">
        <f aca="false">IF(COUNTIF(Flows!$M$2:$M$1500,$A98&amp;"|"&amp;Y$1&amp;"|Input"),IF(COUNTIF(Flows!$M$2:$M$1500,$A98&amp;"|"&amp;Y$1&amp;"|Output"),"I/O","IN"),IF(COUNTIF(Flows!$M$2:$M$1500,$A98&amp;"|"&amp;Y$1&amp;"|Output"),"OUT",""))</f>
        <v/>
      </c>
      <c r="Z98" s="33" t="str">
        <f aca="false">IF(COUNTIF(Flows!$M$2:$M$1500,$A98&amp;"|"&amp;Z$1&amp;"|Input"),IF(COUNTIF(Flows!$M$2:$M$1500,$A98&amp;"|"&amp;Z$1&amp;"|Output"),"I/O","IN"),IF(COUNTIF(Flows!$M$2:$M$1500,$A98&amp;"|"&amp;Z$1&amp;"|Output"),"OUT",""))</f>
        <v/>
      </c>
      <c r="AA98" s="33" t="str">
        <f aca="false">IF(COUNTIF(Flows!$M$2:$M$1500,$A98&amp;"|"&amp;AA$1&amp;"|Input"),IF(COUNTIF(Flows!$M$2:$M$1500,$A98&amp;"|"&amp;AA$1&amp;"|Output"),"I/O","IN"),IF(COUNTIF(Flows!$M$2:$M$1500,$A98&amp;"|"&amp;AA$1&amp;"|Output"),"OUT",""))</f>
        <v/>
      </c>
      <c r="AB98" s="33" t="str">
        <f aca="false">IF(COUNTIF(Flows!$M$2:$M$1500,$A98&amp;"|"&amp;AB$1&amp;"|Input"),IF(COUNTIF(Flows!$M$2:$M$1500,$A98&amp;"|"&amp;AB$1&amp;"|Output"),"I/O","IN"),IF(COUNTIF(Flows!$M$2:$M$1500,$A98&amp;"|"&amp;AB$1&amp;"|Output"),"OUT",""))</f>
        <v/>
      </c>
      <c r="AC98" s="33" t="str">
        <f aca="false">IF(COUNTIF(Flows!$M$2:$M$1500,$A98&amp;"|"&amp;AC$1&amp;"|Input"),IF(COUNTIF(Flows!$M$2:$M$1500,$A98&amp;"|"&amp;AC$1&amp;"|Output"),"I/O","IN"),IF(COUNTIF(Flows!$M$2:$M$1500,$A98&amp;"|"&amp;AC$1&amp;"|Output"),"OUT",""))</f>
        <v/>
      </c>
      <c r="AD98" s="33" t="str">
        <f aca="false">IF(COUNTIF(Flows!$M$2:$M$1500,$A98&amp;"|"&amp;AD$1&amp;"|Input"),IF(COUNTIF(Flows!$M$2:$M$1500,$A98&amp;"|"&amp;AD$1&amp;"|Output"),"I/O","IN"),IF(COUNTIF(Flows!$M$2:$M$1500,$A98&amp;"|"&amp;AD$1&amp;"|Output"),"OUT",""))</f>
        <v/>
      </c>
      <c r="AE98" s="33" t="str">
        <f aca="false">IF(COUNTIF(Flows!$M$2:$M$1500,$A98&amp;"|"&amp;AE$1&amp;"|Input"),IF(COUNTIF(Flows!$M$2:$M$1500,$A98&amp;"|"&amp;AE$1&amp;"|Output"),"I/O","IN"),IF(COUNTIF(Flows!$M$2:$M$1500,$A98&amp;"|"&amp;AE$1&amp;"|Output"),"OUT",""))</f>
        <v/>
      </c>
      <c r="AF98" s="33" t="str">
        <f aca="false">IF(COUNTIF(Flows!$M$2:$M$1500,$A98&amp;"|"&amp;AF$1&amp;"|Input"),IF(COUNTIF(Flows!$M$2:$M$1500,$A98&amp;"|"&amp;AF$1&amp;"|Output"),"I/O","IN"),IF(COUNTIF(Flows!$M$2:$M$1500,$A98&amp;"|"&amp;AF$1&amp;"|Output"),"OUT",""))</f>
        <v/>
      </c>
      <c r="AG98" s="33" t="str">
        <f aca="false">IF(COUNTIF(Flows!$M$2:$M$1500,$A98&amp;"|"&amp;AG$1&amp;"|Input"),IF(COUNTIF(Flows!$M$2:$M$1500,$A98&amp;"|"&amp;AG$1&amp;"|Output"),"I/O","IN"),IF(COUNTIF(Flows!$M$2:$M$1500,$A98&amp;"|"&amp;AG$1&amp;"|Output"),"OUT",""))</f>
        <v/>
      </c>
      <c r="AH98" s="33" t="str">
        <f aca="false">IF(COUNTIF(Flows!$M$2:$M$1500,$A98&amp;"|"&amp;AH$1&amp;"|Input"),IF(COUNTIF(Flows!$M$2:$M$1500,$A98&amp;"|"&amp;AH$1&amp;"|Output"),"I/O","IN"),IF(COUNTIF(Flows!$M$2:$M$1500,$A98&amp;"|"&amp;AH$1&amp;"|Output"),"OUT",""))</f>
        <v/>
      </c>
      <c r="AI98" s="33" t="str">
        <f aca="false">IF(COUNTIF(Flows!$M$2:$M$1500,$A98&amp;"|"&amp;AI$1&amp;"|Input"),IF(COUNTIF(Flows!$M$2:$M$1500,$A98&amp;"|"&amp;AI$1&amp;"|Output"),"I/O","IN"),IF(COUNTIF(Flows!$M$2:$M$1500,$A98&amp;"|"&amp;AI$1&amp;"|Output"),"OUT",""))</f>
        <v/>
      </c>
      <c r="AJ98" s="33" t="str">
        <f aca="false">IF(COUNTIF(Flows!$M$2:$M$1500,$A98&amp;"|"&amp;AJ$1&amp;"|Input"),IF(COUNTIF(Flows!$M$2:$M$1500,$A98&amp;"|"&amp;AJ$1&amp;"|Output"),"I/O","IN"),IF(COUNTIF(Flows!$M$2:$M$1500,$A98&amp;"|"&amp;AJ$1&amp;"|Output"),"OUT",""))</f>
        <v/>
      </c>
      <c r="AK98" s="33" t="str">
        <f aca="false">IF(COUNTIF(Flows!$M$2:$M$1500,$A98&amp;"|"&amp;AK$1&amp;"|Input"),IF(COUNTIF(Flows!$M$2:$M$1500,$A98&amp;"|"&amp;AK$1&amp;"|Output"),"I/O","IN"),IF(COUNTIF(Flows!$M$2:$M$1500,$A98&amp;"|"&amp;AK$1&amp;"|Output"),"OUT",""))</f>
        <v/>
      </c>
      <c r="AL98" s="33" t="str">
        <f aca="false">IF(COUNTIF(Flows!$M$2:$M$1500,$A98&amp;"|"&amp;AL$1&amp;"|Input"),IF(COUNTIF(Flows!$M$2:$M$1500,$A98&amp;"|"&amp;AL$1&amp;"|Output"),"I/O","IN"),IF(COUNTIF(Flows!$M$2:$M$1500,$A98&amp;"|"&amp;AL$1&amp;"|Output"),"OUT",""))</f>
        <v/>
      </c>
      <c r="AM98" s="33" t="str">
        <f aca="false">IF(COUNTIF(Flows!$M$2:$M$1500,$A98&amp;"|"&amp;AM$1&amp;"|Input"),IF(COUNTIF(Flows!$M$2:$M$1500,$A98&amp;"|"&amp;AM$1&amp;"|Output"),"I/O","IN"),IF(COUNTIF(Flows!$M$2:$M$1500,$A98&amp;"|"&amp;AM$1&amp;"|Output"),"OUT",""))</f>
        <v/>
      </c>
      <c r="AN98" s="33" t="str">
        <f aca="false">IF(COUNTIF(Flows!$M$2:$M$1500,$A98&amp;"|"&amp;AN$1&amp;"|Input"),IF(COUNTIF(Flows!$M$2:$M$1500,$A98&amp;"|"&amp;AN$1&amp;"|Output"),"I/O","IN"),IF(COUNTIF(Flows!$M$2:$M$1500,$A98&amp;"|"&amp;AN$1&amp;"|Output"),"OUT",""))</f>
        <v/>
      </c>
      <c r="AO98" s="33" t="str">
        <f aca="false">IF(COUNTIF(Flows!$M$2:$M$1500,$A98&amp;"|"&amp;AO$1&amp;"|Input"),IF(COUNTIF(Flows!$M$2:$M$1500,$A98&amp;"|"&amp;AO$1&amp;"|Output"),"I/O","IN"),IF(COUNTIF(Flows!$M$2:$M$1500,$A98&amp;"|"&amp;AO$1&amp;"|Output"),"OUT",""))</f>
        <v/>
      </c>
      <c r="AP98" s="33" t="str">
        <f aca="false">IF(COUNTIF(Flows!$M$2:$M$1500,$A98&amp;"|"&amp;AP$1&amp;"|Input"),IF(COUNTIF(Flows!$M$2:$M$1500,$A98&amp;"|"&amp;AP$1&amp;"|Output"),"I/O","IN"),IF(COUNTIF(Flows!$M$2:$M$1500,$A98&amp;"|"&amp;AP$1&amp;"|Output"),"OUT",""))</f>
        <v/>
      </c>
      <c r="AQ98" s="33" t="str">
        <f aca="false">IF(COUNTIF(Flows!$M$2:$M$1500,$A98&amp;"|"&amp;AQ$1&amp;"|Input"),IF(COUNTIF(Flows!$M$2:$M$1500,$A98&amp;"|"&amp;AQ$1&amp;"|Output"),"I/O","IN"),IF(COUNTIF(Flows!$M$2:$M$1500,$A98&amp;"|"&amp;AQ$1&amp;"|Output"),"OUT",""))</f>
        <v/>
      </c>
      <c r="AR98" s="33" t="str">
        <f aca="false">IF(COUNTIF(Flows!$M$2:$M$1500,$A98&amp;"|"&amp;AR$1&amp;"|Input"),IF(COUNTIF(Flows!$M$2:$M$1500,$A98&amp;"|"&amp;AR$1&amp;"|Output"),"I/O","IN"),IF(COUNTIF(Flows!$M$2:$M$1500,$A98&amp;"|"&amp;AR$1&amp;"|Output"),"OUT",""))</f>
        <v/>
      </c>
      <c r="AS98" s="33" t="str">
        <f aca="false">IF(COUNTIF(Flows!$M$2:$M$1500,$A98&amp;"|"&amp;AS$1&amp;"|Input"),IF(COUNTIF(Flows!$M$2:$M$1500,$A98&amp;"|"&amp;AS$1&amp;"|Output"),"I/O","IN"),IF(COUNTIF(Flows!$M$2:$M$1500,$A98&amp;"|"&amp;AS$1&amp;"|Output"),"OUT",""))</f>
        <v/>
      </c>
      <c r="AT98" s="33" t="str">
        <f aca="false">IF(COUNTIF(Flows!$M$2:$M$1500,$A98&amp;"|"&amp;AT$1&amp;"|Input"),IF(COUNTIF(Flows!$M$2:$M$1500,$A98&amp;"|"&amp;AT$1&amp;"|Output"),"I/O","IN"),IF(COUNTIF(Flows!$M$2:$M$1500,$A98&amp;"|"&amp;AT$1&amp;"|Output"),"OUT",""))</f>
        <v/>
      </c>
      <c r="AU98" s="33" t="str">
        <f aca="false">IF(COUNTIF(Flows!$M$2:$M$1500,$A98&amp;"|"&amp;AU$1&amp;"|Input"),IF(COUNTIF(Flows!$M$2:$M$1500,$A98&amp;"|"&amp;AU$1&amp;"|Output"),"I/O","IN"),IF(COUNTIF(Flows!$M$2:$M$1500,$A98&amp;"|"&amp;AU$1&amp;"|Output"),"OUT",""))</f>
        <v/>
      </c>
      <c r="AV98" s="33" t="str">
        <f aca="false">IF(COUNTIF(Flows!$M$2:$M$1500,$A98&amp;"|"&amp;AV$1&amp;"|Input"),IF(COUNTIF(Flows!$M$2:$M$1500,$A98&amp;"|"&amp;AV$1&amp;"|Output"),"I/O","IN"),IF(COUNTIF(Flows!$M$2:$M$1500,$A98&amp;"|"&amp;AV$1&amp;"|Output"),"OUT",""))</f>
        <v/>
      </c>
      <c r="AW98" s="33" t="str">
        <f aca="false">IF(COUNTIF(Flows!$M$2:$M$1500,$A98&amp;"|"&amp;AW$1&amp;"|Input"),IF(COUNTIF(Flows!$M$2:$M$1500,$A98&amp;"|"&amp;AW$1&amp;"|Output"),"I/O","IN"),IF(COUNTIF(Flows!$M$2:$M$1500,$A98&amp;"|"&amp;AW$1&amp;"|Output"),"OUT",""))</f>
        <v/>
      </c>
      <c r="AX98" s="33" t="str">
        <f aca="false">IF(COUNTIF(Flows!$M$2:$M$1500,$A98&amp;"|"&amp;AX$1&amp;"|Input"),IF(COUNTIF(Flows!$M$2:$M$1500,$A98&amp;"|"&amp;AX$1&amp;"|Output"),"I/O","IN"),IF(COUNTIF(Flows!$M$2:$M$1500,$A98&amp;"|"&amp;AX$1&amp;"|Output"),"OUT",""))</f>
        <v/>
      </c>
      <c r="AY98" s="33" t="str">
        <f aca="false">IF(COUNTIF(Flows!$M$2:$M$1500,$A98&amp;"|"&amp;AY$1&amp;"|Input"),IF(COUNTIF(Flows!$M$2:$M$1500,$A98&amp;"|"&amp;AY$1&amp;"|Output"),"I/O","IN"),IF(COUNTIF(Flows!$M$2:$M$1500,$A98&amp;"|"&amp;AY$1&amp;"|Output"),"OUT",""))</f>
        <v/>
      </c>
      <c r="AZ98" s="33" t="str">
        <f aca="false">IF(COUNTIF(Flows!$M$2:$M$1500,$A98&amp;"|"&amp;AZ$1&amp;"|Input"),IF(COUNTIF(Flows!$M$2:$M$1500,$A98&amp;"|"&amp;AZ$1&amp;"|Output"),"I/O","IN"),IF(COUNTIF(Flows!$M$2:$M$1500,$A98&amp;"|"&amp;AZ$1&amp;"|Output"),"OUT",""))</f>
        <v/>
      </c>
      <c r="BA98" s="33" t="str">
        <f aca="false">IF(COUNTIF(Flows!$M$2:$M$1500,$A98&amp;"|"&amp;BA$1&amp;"|Input"),IF(COUNTIF(Flows!$M$2:$M$1500,$A98&amp;"|"&amp;BA$1&amp;"|Output"),"I/O","IN"),IF(COUNTIF(Flows!$M$2:$M$1500,$A98&amp;"|"&amp;BA$1&amp;"|Output"),"OUT",""))</f>
        <v/>
      </c>
      <c r="BB98" s="33" t="str">
        <f aca="false">IF(COUNTIF(Flows!$M$2:$M$1500,$A98&amp;"|"&amp;BB$1&amp;"|Input"),IF(COUNTIF(Flows!$M$2:$M$1500,$A98&amp;"|"&amp;BB$1&amp;"|Output"),"I/O","IN"),IF(COUNTIF(Flows!$M$2:$M$1500,$A98&amp;"|"&amp;BB$1&amp;"|Output"),"OUT",""))</f>
        <v/>
      </c>
      <c r="BC98" s="33" t="str">
        <f aca="false">IF(COUNTIF(Flows!$M$2:$M$1500,$A98&amp;"|"&amp;BC$1&amp;"|Input"),IF(COUNTIF(Flows!$M$2:$M$1500,$A98&amp;"|"&amp;BC$1&amp;"|Output"),"I/O","IN"),IF(COUNTIF(Flows!$M$2:$M$1500,$A98&amp;"|"&amp;BC$1&amp;"|Output"),"OUT",""))</f>
        <v/>
      </c>
      <c r="BD98" s="33" t="str">
        <f aca="false">IF(COUNTIF(Flows!$M$2:$M$1500,$A98&amp;"|"&amp;BD$1&amp;"|Input"),IF(COUNTIF(Flows!$M$2:$M$1500,$A98&amp;"|"&amp;BD$1&amp;"|Output"),"I/O","IN"),IF(COUNTIF(Flows!$M$2:$M$1500,$A98&amp;"|"&amp;BD$1&amp;"|Output"),"OUT",""))</f>
        <v/>
      </c>
      <c r="BE98" s="33" t="str">
        <f aca="false">IF(COUNTIF(Flows!$M$2:$M$1500,$A98&amp;"|"&amp;BE$1&amp;"|Input"),IF(COUNTIF(Flows!$M$2:$M$1500,$A98&amp;"|"&amp;BE$1&amp;"|Output"),"I/O","IN"),IF(COUNTIF(Flows!$M$2:$M$1500,$A98&amp;"|"&amp;BE$1&amp;"|Output"),"OUT",""))</f>
        <v/>
      </c>
      <c r="BF98" s="33" t="str">
        <f aca="false">IF(COUNTIF(Flows!$M$2:$M$1500,$A98&amp;"|"&amp;BF$1&amp;"|Input"),IF(COUNTIF(Flows!$M$2:$M$1500,$A98&amp;"|"&amp;BF$1&amp;"|Output"),"I/O","IN"),IF(COUNTIF(Flows!$M$2:$M$1500,$A98&amp;"|"&amp;BF$1&amp;"|Output"),"OUT",""))</f>
        <v/>
      </c>
      <c r="BG98" s="33" t="str">
        <f aca="false">IF(COUNTIF(Flows!$M$2:$M$1500,$A98&amp;"|"&amp;BG$1&amp;"|Input"),IF(COUNTIF(Flows!$M$2:$M$1500,$A98&amp;"|"&amp;BG$1&amp;"|Output"),"I/O","IN"),IF(COUNTIF(Flows!$M$2:$M$1500,$A98&amp;"|"&amp;BG$1&amp;"|Output"),"OUT",""))</f>
        <v/>
      </c>
      <c r="BH98" s="33" t="str">
        <f aca="false">IF(COUNTIF(Flows!$M$2:$M$1500,$A98&amp;"|"&amp;BH$1&amp;"|Input"),IF(COUNTIF(Flows!$M$2:$M$1500,$A98&amp;"|"&amp;BH$1&amp;"|Output"),"I/O","IN"),IF(COUNTIF(Flows!$M$2:$M$1500,$A98&amp;"|"&amp;BH$1&amp;"|Output"),"OUT",""))</f>
        <v/>
      </c>
      <c r="BI98" s="33" t="str">
        <f aca="false">IF(COUNTIF(Flows!$M$2:$M$1500,$A98&amp;"|"&amp;BI$1&amp;"|Input"),IF(COUNTIF(Flows!$M$2:$M$1500,$A98&amp;"|"&amp;BI$1&amp;"|Output"),"I/O","IN"),IF(COUNTIF(Flows!$M$2:$M$1500,$A98&amp;"|"&amp;BI$1&amp;"|Output"),"OUT",""))</f>
        <v/>
      </c>
      <c r="BJ98" s="33" t="str">
        <f aca="false">IF(COUNTIF(Flows!$M$2:$M$1500,$A98&amp;"|"&amp;BJ$1&amp;"|Input"),IF(COUNTIF(Flows!$M$2:$M$1500,$A98&amp;"|"&amp;BJ$1&amp;"|Output"),"I/O","IN"),IF(COUNTIF(Flows!$M$2:$M$1500,$A98&amp;"|"&amp;BJ$1&amp;"|Output"),"OUT",""))</f>
        <v/>
      </c>
      <c r="BK98" s="33" t="str">
        <f aca="false">IF(COUNTIF(Flows!$M$2:$M$1500,$A98&amp;"|"&amp;BK$1&amp;"|Input"),IF(COUNTIF(Flows!$M$2:$M$1500,$A98&amp;"|"&amp;BK$1&amp;"|Output"),"I/O","IN"),IF(COUNTIF(Flows!$M$2:$M$1500,$A98&amp;"|"&amp;BK$1&amp;"|Output"),"OUT",""))</f>
        <v/>
      </c>
    </row>
    <row r="99" customFormat="false" ht="15" hidden="false" customHeight="true" outlineLevel="0" collapsed="false">
      <c r="A99" s="6" t="str">
        <f aca="false">Systems!B99</f>
        <v>Portable Power Station (1 kWh)</v>
      </c>
      <c r="B99" s="33" t="str">
        <f aca="false">IF(COUNTIF(Flows!$M$2:$M$1500,$A99&amp;"|"&amp;B$1&amp;"|Input"),IF(COUNTIF(Flows!$M$2:$M$1500,$A99&amp;"|"&amp;B$1&amp;"|Output"),"I/O","IN"),IF(COUNTIF(Flows!$M$2:$M$1500,$A99&amp;"|"&amp;B$1&amp;"|Output"),"OUT",""))</f>
        <v/>
      </c>
      <c r="C99" s="33" t="str">
        <f aca="false">IF(COUNTIF(Flows!$M$2:$M$1500,$A99&amp;"|"&amp;C$1&amp;"|Input"),IF(COUNTIF(Flows!$M$2:$M$1500,$A99&amp;"|"&amp;C$1&amp;"|Output"),"I/O","IN"),IF(COUNTIF(Flows!$M$2:$M$1500,$A99&amp;"|"&amp;C$1&amp;"|Output"),"OUT",""))</f>
        <v/>
      </c>
      <c r="D99" s="33" t="str">
        <f aca="false">IF(COUNTIF(Flows!$M$2:$M$1500,$A99&amp;"|"&amp;D$1&amp;"|Input"),IF(COUNTIF(Flows!$M$2:$M$1500,$A99&amp;"|"&amp;D$1&amp;"|Output"),"I/O","IN"),IF(COUNTIF(Flows!$M$2:$M$1500,$A99&amp;"|"&amp;D$1&amp;"|Output"),"OUT",""))</f>
        <v/>
      </c>
      <c r="E99" s="33" t="str">
        <f aca="false">IF(COUNTIF(Flows!$M$2:$M$1500,$A99&amp;"|"&amp;E$1&amp;"|Input"),IF(COUNTIF(Flows!$M$2:$M$1500,$A99&amp;"|"&amp;E$1&amp;"|Output"),"I/O","IN"),IF(COUNTIF(Flows!$M$2:$M$1500,$A99&amp;"|"&amp;E$1&amp;"|Output"),"OUT",""))</f>
        <v/>
      </c>
      <c r="F99" s="33" t="str">
        <f aca="false">IF(COUNTIF(Flows!$M$2:$M$1500,$A99&amp;"|"&amp;F$1&amp;"|Input"),IF(COUNTIF(Flows!$M$2:$M$1500,$A99&amp;"|"&amp;F$1&amp;"|Output"),"I/O","IN"),IF(COUNTIF(Flows!$M$2:$M$1500,$A99&amp;"|"&amp;F$1&amp;"|Output"),"OUT",""))</f>
        <v/>
      </c>
      <c r="G99" s="33" t="str">
        <f aca="false">IF(COUNTIF(Flows!$M$2:$M$1500,$A99&amp;"|"&amp;G$1&amp;"|Input"),IF(COUNTIF(Flows!$M$2:$M$1500,$A99&amp;"|"&amp;G$1&amp;"|Output"),"I/O","IN"),IF(COUNTIF(Flows!$M$2:$M$1500,$A99&amp;"|"&amp;G$1&amp;"|Output"),"OUT",""))</f>
        <v/>
      </c>
      <c r="H99" s="33" t="str">
        <f aca="false">IF(COUNTIF(Flows!$M$2:$M$1500,$A99&amp;"|"&amp;H$1&amp;"|Input"),IF(COUNTIF(Flows!$M$2:$M$1500,$A99&amp;"|"&amp;H$1&amp;"|Output"),"I/O","IN"),IF(COUNTIF(Flows!$M$2:$M$1500,$A99&amp;"|"&amp;H$1&amp;"|Output"),"OUT",""))</f>
        <v/>
      </c>
      <c r="I99" s="33" t="str">
        <f aca="false">IF(COUNTIF(Flows!$M$2:$M$1500,$A99&amp;"|"&amp;I$1&amp;"|Input"),IF(COUNTIF(Flows!$M$2:$M$1500,$A99&amp;"|"&amp;I$1&amp;"|Output"),"I/O","IN"),IF(COUNTIF(Flows!$M$2:$M$1500,$A99&amp;"|"&amp;I$1&amp;"|Output"),"OUT",""))</f>
        <v/>
      </c>
      <c r="J99" s="33" t="str">
        <f aca="false">IF(COUNTIF(Flows!$M$2:$M$1500,$A99&amp;"|"&amp;J$1&amp;"|Input"),IF(COUNTIF(Flows!$M$2:$M$1500,$A99&amp;"|"&amp;J$1&amp;"|Output"),"I/O","IN"),IF(COUNTIF(Flows!$M$2:$M$1500,$A99&amp;"|"&amp;J$1&amp;"|Output"),"OUT",""))</f>
        <v/>
      </c>
      <c r="K99" s="33" t="str">
        <f aca="false">IF(COUNTIF(Flows!$M$2:$M$1500,$A99&amp;"|"&amp;K$1&amp;"|Input"),IF(COUNTIF(Flows!$M$2:$M$1500,$A99&amp;"|"&amp;K$1&amp;"|Output"),"I/O","IN"),IF(COUNTIF(Flows!$M$2:$M$1500,$A99&amp;"|"&amp;K$1&amp;"|Output"),"OUT",""))</f>
        <v/>
      </c>
      <c r="L99" s="33" t="str">
        <f aca="false">IF(COUNTIF(Flows!$M$2:$M$1500,$A99&amp;"|"&amp;L$1&amp;"|Input"),IF(COUNTIF(Flows!$M$2:$M$1500,$A99&amp;"|"&amp;L$1&amp;"|Output"),"I/O","IN"),IF(COUNTIF(Flows!$M$2:$M$1500,$A99&amp;"|"&amp;L$1&amp;"|Output"),"OUT",""))</f>
        <v/>
      </c>
      <c r="M99" s="33" t="str">
        <f aca="false">IF(COUNTIF(Flows!$M$2:$M$1500,$A99&amp;"|"&amp;M$1&amp;"|Input"),IF(COUNTIF(Flows!$M$2:$M$1500,$A99&amp;"|"&amp;M$1&amp;"|Output"),"I/O","IN"),IF(COUNTIF(Flows!$M$2:$M$1500,$A99&amp;"|"&amp;M$1&amp;"|Output"),"OUT",""))</f>
        <v/>
      </c>
      <c r="N99" s="33" t="str">
        <f aca="false">IF(COUNTIF(Flows!$M$2:$M$1500,$A99&amp;"|"&amp;N$1&amp;"|Input"),IF(COUNTIF(Flows!$M$2:$M$1500,$A99&amp;"|"&amp;N$1&amp;"|Output"),"I/O","IN"),IF(COUNTIF(Flows!$M$2:$M$1500,$A99&amp;"|"&amp;N$1&amp;"|Output"),"OUT",""))</f>
        <v/>
      </c>
      <c r="O99" s="33" t="str">
        <f aca="false">IF(COUNTIF(Flows!$M$2:$M$1500,$A99&amp;"|"&amp;O$1&amp;"|Input"),IF(COUNTIF(Flows!$M$2:$M$1500,$A99&amp;"|"&amp;O$1&amp;"|Output"),"I/O","IN"),IF(COUNTIF(Flows!$M$2:$M$1500,$A99&amp;"|"&amp;O$1&amp;"|Output"),"OUT",""))</f>
        <v/>
      </c>
      <c r="P99" s="33" t="str">
        <f aca="false">IF(COUNTIF(Flows!$M$2:$M$1500,$A99&amp;"|"&amp;P$1&amp;"|Input"),IF(COUNTIF(Flows!$M$2:$M$1500,$A99&amp;"|"&amp;P$1&amp;"|Output"),"I/O","IN"),IF(COUNTIF(Flows!$M$2:$M$1500,$A99&amp;"|"&amp;P$1&amp;"|Output"),"OUT",""))</f>
        <v/>
      </c>
      <c r="Q99" s="33" t="str">
        <f aca="false">IF(COUNTIF(Flows!$M$2:$M$1500,$A99&amp;"|"&amp;Q$1&amp;"|Input"),IF(COUNTIF(Flows!$M$2:$M$1500,$A99&amp;"|"&amp;Q$1&amp;"|Output"),"I/O","IN"),IF(COUNTIF(Flows!$M$2:$M$1500,$A99&amp;"|"&amp;Q$1&amp;"|Output"),"OUT",""))</f>
        <v/>
      </c>
      <c r="R99" s="33" t="str">
        <f aca="false">IF(COUNTIF(Flows!$M$2:$M$1500,$A99&amp;"|"&amp;R$1&amp;"|Input"),IF(COUNTIF(Flows!$M$2:$M$1500,$A99&amp;"|"&amp;R$1&amp;"|Output"),"I/O","IN"),IF(COUNTIF(Flows!$M$2:$M$1500,$A99&amp;"|"&amp;R$1&amp;"|Output"),"OUT",""))</f>
        <v/>
      </c>
      <c r="S99" s="33" t="str">
        <f aca="false">IF(COUNTIF(Flows!$M$2:$M$1500,$A99&amp;"|"&amp;S$1&amp;"|Input"),IF(COUNTIF(Flows!$M$2:$M$1500,$A99&amp;"|"&amp;S$1&amp;"|Output"),"I/O","IN"),IF(COUNTIF(Flows!$M$2:$M$1500,$A99&amp;"|"&amp;S$1&amp;"|Output"),"OUT",""))</f>
        <v>I/O</v>
      </c>
      <c r="T99" s="33" t="str">
        <f aca="false">IF(COUNTIF(Flows!$M$2:$M$1500,$A99&amp;"|"&amp;T$1&amp;"|Input"),IF(COUNTIF(Flows!$M$2:$M$1500,$A99&amp;"|"&amp;T$1&amp;"|Output"),"I/O","IN"),IF(COUNTIF(Flows!$M$2:$M$1500,$A99&amp;"|"&amp;T$1&amp;"|Output"),"OUT",""))</f>
        <v/>
      </c>
      <c r="U99" s="33" t="str">
        <f aca="false">IF(COUNTIF(Flows!$M$2:$M$1500,$A99&amp;"|"&amp;U$1&amp;"|Input"),IF(COUNTIF(Flows!$M$2:$M$1500,$A99&amp;"|"&amp;U$1&amp;"|Output"),"I/O","IN"),IF(COUNTIF(Flows!$M$2:$M$1500,$A99&amp;"|"&amp;U$1&amp;"|Output"),"OUT",""))</f>
        <v/>
      </c>
      <c r="V99" s="33" t="str">
        <f aca="false">IF(COUNTIF(Flows!$M$2:$M$1500,$A99&amp;"|"&amp;V$1&amp;"|Input"),IF(COUNTIF(Flows!$M$2:$M$1500,$A99&amp;"|"&amp;V$1&amp;"|Output"),"I/O","IN"),IF(COUNTIF(Flows!$M$2:$M$1500,$A99&amp;"|"&amp;V$1&amp;"|Output"),"OUT",""))</f>
        <v/>
      </c>
      <c r="W99" s="33" t="str">
        <f aca="false">IF(COUNTIF(Flows!$M$2:$M$1500,$A99&amp;"|"&amp;W$1&amp;"|Input"),IF(COUNTIF(Flows!$M$2:$M$1500,$A99&amp;"|"&amp;W$1&amp;"|Output"),"I/O","IN"),IF(COUNTIF(Flows!$M$2:$M$1500,$A99&amp;"|"&amp;W$1&amp;"|Output"),"OUT",""))</f>
        <v/>
      </c>
      <c r="X99" s="33" t="str">
        <f aca="false">IF(COUNTIF(Flows!$M$2:$M$1500,$A99&amp;"|"&amp;X$1&amp;"|Input"),IF(COUNTIF(Flows!$M$2:$M$1500,$A99&amp;"|"&amp;X$1&amp;"|Output"),"I/O","IN"),IF(COUNTIF(Flows!$M$2:$M$1500,$A99&amp;"|"&amp;X$1&amp;"|Output"),"OUT",""))</f>
        <v>IN</v>
      </c>
      <c r="Y99" s="33" t="str">
        <f aca="false">IF(COUNTIF(Flows!$M$2:$M$1500,$A99&amp;"|"&amp;Y$1&amp;"|Input"),IF(COUNTIF(Flows!$M$2:$M$1500,$A99&amp;"|"&amp;Y$1&amp;"|Output"),"I/O","IN"),IF(COUNTIF(Flows!$M$2:$M$1500,$A99&amp;"|"&amp;Y$1&amp;"|Output"),"OUT",""))</f>
        <v/>
      </c>
      <c r="Z99" s="33" t="str">
        <f aca="false">IF(COUNTIF(Flows!$M$2:$M$1500,$A99&amp;"|"&amp;Z$1&amp;"|Input"),IF(COUNTIF(Flows!$M$2:$M$1500,$A99&amp;"|"&amp;Z$1&amp;"|Output"),"I/O","IN"),IF(COUNTIF(Flows!$M$2:$M$1500,$A99&amp;"|"&amp;Z$1&amp;"|Output"),"OUT",""))</f>
        <v/>
      </c>
      <c r="AA99" s="33" t="str">
        <f aca="false">IF(COUNTIF(Flows!$M$2:$M$1500,$A99&amp;"|"&amp;AA$1&amp;"|Input"),IF(COUNTIF(Flows!$M$2:$M$1500,$A99&amp;"|"&amp;AA$1&amp;"|Output"),"I/O","IN"),IF(COUNTIF(Flows!$M$2:$M$1500,$A99&amp;"|"&amp;AA$1&amp;"|Output"),"OUT",""))</f>
        <v/>
      </c>
      <c r="AB99" s="33" t="str">
        <f aca="false">IF(COUNTIF(Flows!$M$2:$M$1500,$A99&amp;"|"&amp;AB$1&amp;"|Input"),IF(COUNTIF(Flows!$M$2:$M$1500,$A99&amp;"|"&amp;AB$1&amp;"|Output"),"I/O","IN"),IF(COUNTIF(Flows!$M$2:$M$1500,$A99&amp;"|"&amp;AB$1&amp;"|Output"),"OUT",""))</f>
        <v/>
      </c>
      <c r="AC99" s="33" t="str">
        <f aca="false">IF(COUNTIF(Flows!$M$2:$M$1500,$A99&amp;"|"&amp;AC$1&amp;"|Input"),IF(COUNTIF(Flows!$M$2:$M$1500,$A99&amp;"|"&amp;AC$1&amp;"|Output"),"I/O","IN"),IF(COUNTIF(Flows!$M$2:$M$1500,$A99&amp;"|"&amp;AC$1&amp;"|Output"),"OUT",""))</f>
        <v/>
      </c>
      <c r="AD99" s="33" t="str">
        <f aca="false">IF(COUNTIF(Flows!$M$2:$M$1500,$A99&amp;"|"&amp;AD$1&amp;"|Input"),IF(COUNTIF(Flows!$M$2:$M$1500,$A99&amp;"|"&amp;AD$1&amp;"|Output"),"I/O","IN"),IF(COUNTIF(Flows!$M$2:$M$1500,$A99&amp;"|"&amp;AD$1&amp;"|Output"),"OUT",""))</f>
        <v/>
      </c>
      <c r="AE99" s="33" t="str">
        <f aca="false">IF(COUNTIF(Flows!$M$2:$M$1500,$A99&amp;"|"&amp;AE$1&amp;"|Input"),IF(COUNTIF(Flows!$M$2:$M$1500,$A99&amp;"|"&amp;AE$1&amp;"|Output"),"I/O","IN"),IF(COUNTIF(Flows!$M$2:$M$1500,$A99&amp;"|"&amp;AE$1&amp;"|Output"),"OUT",""))</f>
        <v/>
      </c>
      <c r="AF99" s="33" t="str">
        <f aca="false">IF(COUNTIF(Flows!$M$2:$M$1500,$A99&amp;"|"&amp;AF$1&amp;"|Input"),IF(COUNTIF(Flows!$M$2:$M$1500,$A99&amp;"|"&amp;AF$1&amp;"|Output"),"I/O","IN"),IF(COUNTIF(Flows!$M$2:$M$1500,$A99&amp;"|"&amp;AF$1&amp;"|Output"),"OUT",""))</f>
        <v>OUT</v>
      </c>
      <c r="AG99" s="33" t="str">
        <f aca="false">IF(COUNTIF(Flows!$M$2:$M$1500,$A99&amp;"|"&amp;AG$1&amp;"|Input"),IF(COUNTIF(Flows!$M$2:$M$1500,$A99&amp;"|"&amp;AG$1&amp;"|Output"),"I/O","IN"),IF(COUNTIF(Flows!$M$2:$M$1500,$A99&amp;"|"&amp;AG$1&amp;"|Output"),"OUT",""))</f>
        <v/>
      </c>
      <c r="AH99" s="33" t="str">
        <f aca="false">IF(COUNTIF(Flows!$M$2:$M$1500,$A99&amp;"|"&amp;AH$1&amp;"|Input"),IF(COUNTIF(Flows!$M$2:$M$1500,$A99&amp;"|"&amp;AH$1&amp;"|Output"),"I/O","IN"),IF(COUNTIF(Flows!$M$2:$M$1500,$A99&amp;"|"&amp;AH$1&amp;"|Output"),"OUT",""))</f>
        <v/>
      </c>
      <c r="AI99" s="33" t="str">
        <f aca="false">IF(COUNTIF(Flows!$M$2:$M$1500,$A99&amp;"|"&amp;AI$1&amp;"|Input"),IF(COUNTIF(Flows!$M$2:$M$1500,$A99&amp;"|"&amp;AI$1&amp;"|Output"),"I/O","IN"),IF(COUNTIF(Flows!$M$2:$M$1500,$A99&amp;"|"&amp;AI$1&amp;"|Output"),"OUT",""))</f>
        <v/>
      </c>
      <c r="AJ99" s="33" t="str">
        <f aca="false">IF(COUNTIF(Flows!$M$2:$M$1500,$A99&amp;"|"&amp;AJ$1&amp;"|Input"),IF(COUNTIF(Flows!$M$2:$M$1500,$A99&amp;"|"&amp;AJ$1&amp;"|Output"),"I/O","IN"),IF(COUNTIF(Flows!$M$2:$M$1500,$A99&amp;"|"&amp;AJ$1&amp;"|Output"),"OUT",""))</f>
        <v/>
      </c>
      <c r="AK99" s="33" t="str">
        <f aca="false">IF(COUNTIF(Flows!$M$2:$M$1500,$A99&amp;"|"&amp;AK$1&amp;"|Input"),IF(COUNTIF(Flows!$M$2:$M$1500,$A99&amp;"|"&amp;AK$1&amp;"|Output"),"I/O","IN"),IF(COUNTIF(Flows!$M$2:$M$1500,$A99&amp;"|"&amp;AK$1&amp;"|Output"),"OUT",""))</f>
        <v/>
      </c>
      <c r="AL99" s="33" t="str">
        <f aca="false">IF(COUNTIF(Flows!$M$2:$M$1500,$A99&amp;"|"&amp;AL$1&amp;"|Input"),IF(COUNTIF(Flows!$M$2:$M$1500,$A99&amp;"|"&amp;AL$1&amp;"|Output"),"I/O","IN"),IF(COUNTIF(Flows!$M$2:$M$1500,$A99&amp;"|"&amp;AL$1&amp;"|Output"),"OUT",""))</f>
        <v/>
      </c>
      <c r="AM99" s="33" t="str">
        <f aca="false">IF(COUNTIF(Flows!$M$2:$M$1500,$A99&amp;"|"&amp;AM$1&amp;"|Input"),IF(COUNTIF(Flows!$M$2:$M$1500,$A99&amp;"|"&amp;AM$1&amp;"|Output"),"I/O","IN"),IF(COUNTIF(Flows!$M$2:$M$1500,$A99&amp;"|"&amp;AM$1&amp;"|Output"),"OUT",""))</f>
        <v/>
      </c>
      <c r="AN99" s="33" t="str">
        <f aca="false">IF(COUNTIF(Flows!$M$2:$M$1500,$A99&amp;"|"&amp;AN$1&amp;"|Input"),IF(COUNTIF(Flows!$M$2:$M$1500,$A99&amp;"|"&amp;AN$1&amp;"|Output"),"I/O","IN"),IF(COUNTIF(Flows!$M$2:$M$1500,$A99&amp;"|"&amp;AN$1&amp;"|Output"),"OUT",""))</f>
        <v/>
      </c>
      <c r="AO99" s="33" t="str">
        <f aca="false">IF(COUNTIF(Flows!$M$2:$M$1500,$A99&amp;"|"&amp;AO$1&amp;"|Input"),IF(COUNTIF(Flows!$M$2:$M$1500,$A99&amp;"|"&amp;AO$1&amp;"|Output"),"I/O","IN"),IF(COUNTIF(Flows!$M$2:$M$1500,$A99&amp;"|"&amp;AO$1&amp;"|Output"),"OUT",""))</f>
        <v/>
      </c>
      <c r="AP99" s="33" t="str">
        <f aca="false">IF(COUNTIF(Flows!$M$2:$M$1500,$A99&amp;"|"&amp;AP$1&amp;"|Input"),IF(COUNTIF(Flows!$M$2:$M$1500,$A99&amp;"|"&amp;AP$1&amp;"|Output"),"I/O","IN"),IF(COUNTIF(Flows!$M$2:$M$1500,$A99&amp;"|"&amp;AP$1&amp;"|Output"),"OUT",""))</f>
        <v/>
      </c>
      <c r="AQ99" s="33" t="str">
        <f aca="false">IF(COUNTIF(Flows!$M$2:$M$1500,$A99&amp;"|"&amp;AQ$1&amp;"|Input"),IF(COUNTIF(Flows!$M$2:$M$1500,$A99&amp;"|"&amp;AQ$1&amp;"|Output"),"I/O","IN"),IF(COUNTIF(Flows!$M$2:$M$1500,$A99&amp;"|"&amp;AQ$1&amp;"|Output"),"OUT",""))</f>
        <v/>
      </c>
      <c r="AR99" s="33" t="str">
        <f aca="false">IF(COUNTIF(Flows!$M$2:$M$1500,$A99&amp;"|"&amp;AR$1&amp;"|Input"),IF(COUNTIF(Flows!$M$2:$M$1500,$A99&amp;"|"&amp;AR$1&amp;"|Output"),"I/O","IN"),IF(COUNTIF(Flows!$M$2:$M$1500,$A99&amp;"|"&amp;AR$1&amp;"|Output"),"OUT",""))</f>
        <v/>
      </c>
      <c r="AS99" s="33" t="str">
        <f aca="false">IF(COUNTIF(Flows!$M$2:$M$1500,$A99&amp;"|"&amp;AS$1&amp;"|Input"),IF(COUNTIF(Flows!$M$2:$M$1500,$A99&amp;"|"&amp;AS$1&amp;"|Output"),"I/O","IN"),IF(COUNTIF(Flows!$M$2:$M$1500,$A99&amp;"|"&amp;AS$1&amp;"|Output"),"OUT",""))</f>
        <v/>
      </c>
      <c r="AT99" s="33" t="str">
        <f aca="false">IF(COUNTIF(Flows!$M$2:$M$1500,$A99&amp;"|"&amp;AT$1&amp;"|Input"),IF(COUNTIF(Flows!$M$2:$M$1500,$A99&amp;"|"&amp;AT$1&amp;"|Output"),"I/O","IN"),IF(COUNTIF(Flows!$M$2:$M$1500,$A99&amp;"|"&amp;AT$1&amp;"|Output"),"OUT",""))</f>
        <v/>
      </c>
      <c r="AU99" s="33" t="str">
        <f aca="false">IF(COUNTIF(Flows!$M$2:$M$1500,$A99&amp;"|"&amp;AU$1&amp;"|Input"),IF(COUNTIF(Flows!$M$2:$M$1500,$A99&amp;"|"&amp;AU$1&amp;"|Output"),"I/O","IN"),IF(COUNTIF(Flows!$M$2:$M$1500,$A99&amp;"|"&amp;AU$1&amp;"|Output"),"OUT",""))</f>
        <v/>
      </c>
      <c r="AV99" s="33" t="str">
        <f aca="false">IF(COUNTIF(Flows!$M$2:$M$1500,$A99&amp;"|"&amp;AV$1&amp;"|Input"),IF(COUNTIF(Flows!$M$2:$M$1500,$A99&amp;"|"&amp;AV$1&amp;"|Output"),"I/O","IN"),IF(COUNTIF(Flows!$M$2:$M$1500,$A99&amp;"|"&amp;AV$1&amp;"|Output"),"OUT",""))</f>
        <v/>
      </c>
      <c r="AW99" s="33" t="str">
        <f aca="false">IF(COUNTIF(Flows!$M$2:$M$1500,$A99&amp;"|"&amp;AW$1&amp;"|Input"),IF(COUNTIF(Flows!$M$2:$M$1500,$A99&amp;"|"&amp;AW$1&amp;"|Output"),"I/O","IN"),IF(COUNTIF(Flows!$M$2:$M$1500,$A99&amp;"|"&amp;AW$1&amp;"|Output"),"OUT",""))</f>
        <v/>
      </c>
      <c r="AX99" s="33" t="str">
        <f aca="false">IF(COUNTIF(Flows!$M$2:$M$1500,$A99&amp;"|"&amp;AX$1&amp;"|Input"),IF(COUNTIF(Flows!$M$2:$M$1500,$A99&amp;"|"&amp;AX$1&amp;"|Output"),"I/O","IN"),IF(COUNTIF(Flows!$M$2:$M$1500,$A99&amp;"|"&amp;AX$1&amp;"|Output"),"OUT",""))</f>
        <v/>
      </c>
      <c r="AY99" s="33" t="str">
        <f aca="false">IF(COUNTIF(Flows!$M$2:$M$1500,$A99&amp;"|"&amp;AY$1&amp;"|Input"),IF(COUNTIF(Flows!$M$2:$M$1500,$A99&amp;"|"&amp;AY$1&amp;"|Output"),"I/O","IN"),IF(COUNTIF(Flows!$M$2:$M$1500,$A99&amp;"|"&amp;AY$1&amp;"|Output"),"OUT",""))</f>
        <v/>
      </c>
      <c r="AZ99" s="33" t="str">
        <f aca="false">IF(COUNTIF(Flows!$M$2:$M$1500,$A99&amp;"|"&amp;AZ$1&amp;"|Input"),IF(COUNTIF(Flows!$M$2:$M$1500,$A99&amp;"|"&amp;AZ$1&amp;"|Output"),"I/O","IN"),IF(COUNTIF(Flows!$M$2:$M$1500,$A99&amp;"|"&amp;AZ$1&amp;"|Output"),"OUT",""))</f>
        <v/>
      </c>
      <c r="BA99" s="33" t="str">
        <f aca="false">IF(COUNTIF(Flows!$M$2:$M$1500,$A99&amp;"|"&amp;BA$1&amp;"|Input"),IF(COUNTIF(Flows!$M$2:$M$1500,$A99&amp;"|"&amp;BA$1&amp;"|Output"),"I/O","IN"),IF(COUNTIF(Flows!$M$2:$M$1500,$A99&amp;"|"&amp;BA$1&amp;"|Output"),"OUT",""))</f>
        <v/>
      </c>
      <c r="BB99" s="33" t="str">
        <f aca="false">IF(COUNTIF(Flows!$M$2:$M$1500,$A99&amp;"|"&amp;BB$1&amp;"|Input"),IF(COUNTIF(Flows!$M$2:$M$1500,$A99&amp;"|"&amp;BB$1&amp;"|Output"),"I/O","IN"),IF(COUNTIF(Flows!$M$2:$M$1500,$A99&amp;"|"&amp;BB$1&amp;"|Output"),"OUT",""))</f>
        <v/>
      </c>
      <c r="BC99" s="33" t="str">
        <f aca="false">IF(COUNTIF(Flows!$M$2:$M$1500,$A99&amp;"|"&amp;BC$1&amp;"|Input"),IF(COUNTIF(Flows!$M$2:$M$1500,$A99&amp;"|"&amp;BC$1&amp;"|Output"),"I/O","IN"),IF(COUNTIF(Flows!$M$2:$M$1500,$A99&amp;"|"&amp;BC$1&amp;"|Output"),"OUT",""))</f>
        <v/>
      </c>
      <c r="BD99" s="33" t="str">
        <f aca="false">IF(COUNTIF(Flows!$M$2:$M$1500,$A99&amp;"|"&amp;BD$1&amp;"|Input"),IF(COUNTIF(Flows!$M$2:$M$1500,$A99&amp;"|"&amp;BD$1&amp;"|Output"),"I/O","IN"),IF(COUNTIF(Flows!$M$2:$M$1500,$A99&amp;"|"&amp;BD$1&amp;"|Output"),"OUT",""))</f>
        <v/>
      </c>
      <c r="BE99" s="33" t="str">
        <f aca="false">IF(COUNTIF(Flows!$M$2:$M$1500,$A99&amp;"|"&amp;BE$1&amp;"|Input"),IF(COUNTIF(Flows!$M$2:$M$1500,$A99&amp;"|"&amp;BE$1&amp;"|Output"),"I/O","IN"),IF(COUNTIF(Flows!$M$2:$M$1500,$A99&amp;"|"&amp;BE$1&amp;"|Output"),"OUT",""))</f>
        <v/>
      </c>
      <c r="BF99" s="33" t="str">
        <f aca="false">IF(COUNTIF(Flows!$M$2:$M$1500,$A99&amp;"|"&amp;BF$1&amp;"|Input"),IF(COUNTIF(Flows!$M$2:$M$1500,$A99&amp;"|"&amp;BF$1&amp;"|Output"),"I/O","IN"),IF(COUNTIF(Flows!$M$2:$M$1500,$A99&amp;"|"&amp;BF$1&amp;"|Output"),"OUT",""))</f>
        <v/>
      </c>
      <c r="BG99" s="33" t="str">
        <f aca="false">IF(COUNTIF(Flows!$M$2:$M$1500,$A99&amp;"|"&amp;BG$1&amp;"|Input"),IF(COUNTIF(Flows!$M$2:$M$1500,$A99&amp;"|"&amp;BG$1&amp;"|Output"),"I/O","IN"),IF(COUNTIF(Flows!$M$2:$M$1500,$A99&amp;"|"&amp;BG$1&amp;"|Output"),"OUT",""))</f>
        <v/>
      </c>
      <c r="BH99" s="33" t="str">
        <f aca="false">IF(COUNTIF(Flows!$M$2:$M$1500,$A99&amp;"|"&amp;BH$1&amp;"|Input"),IF(COUNTIF(Flows!$M$2:$M$1500,$A99&amp;"|"&amp;BH$1&amp;"|Output"),"I/O","IN"),IF(COUNTIF(Flows!$M$2:$M$1500,$A99&amp;"|"&amp;BH$1&amp;"|Output"),"OUT",""))</f>
        <v/>
      </c>
      <c r="BI99" s="33" t="str">
        <f aca="false">IF(COUNTIF(Flows!$M$2:$M$1500,$A99&amp;"|"&amp;BI$1&amp;"|Input"),IF(COUNTIF(Flows!$M$2:$M$1500,$A99&amp;"|"&amp;BI$1&amp;"|Output"),"I/O","IN"),IF(COUNTIF(Flows!$M$2:$M$1500,$A99&amp;"|"&amp;BI$1&amp;"|Output"),"OUT",""))</f>
        <v/>
      </c>
      <c r="BJ99" s="33" t="str">
        <f aca="false">IF(COUNTIF(Flows!$M$2:$M$1500,$A99&amp;"|"&amp;BJ$1&amp;"|Input"),IF(COUNTIF(Flows!$M$2:$M$1500,$A99&amp;"|"&amp;BJ$1&amp;"|Output"),"I/O","IN"),IF(COUNTIF(Flows!$M$2:$M$1500,$A99&amp;"|"&amp;BJ$1&amp;"|Output"),"OUT",""))</f>
        <v/>
      </c>
      <c r="BK99" s="33" t="str">
        <f aca="false">IF(COUNTIF(Flows!$M$2:$M$1500,$A99&amp;"|"&amp;BK$1&amp;"|Input"),IF(COUNTIF(Flows!$M$2:$M$1500,$A99&amp;"|"&amp;BK$1&amp;"|Output"),"I/O","IN"),IF(COUNTIF(Flows!$M$2:$M$1500,$A99&amp;"|"&amp;BK$1&amp;"|Output"),"OUT",""))</f>
        <v/>
      </c>
    </row>
    <row r="100" customFormat="false" ht="15" hidden="false" customHeight="true" outlineLevel="0" collapsed="false">
      <c r="A100" s="6" t="str">
        <f aca="false">Systems!B100</f>
        <v>Rooftop Solar Array (6 kW)</v>
      </c>
      <c r="B100" s="33" t="str">
        <f aca="false">IF(COUNTIF(Flows!$M$2:$M$1500,$A100&amp;"|"&amp;B$1&amp;"|Input"),IF(COUNTIF(Flows!$M$2:$M$1500,$A100&amp;"|"&amp;B$1&amp;"|Output"),"I/O","IN"),IF(COUNTIF(Flows!$M$2:$M$1500,$A100&amp;"|"&amp;B$1&amp;"|Output"),"OUT",""))</f>
        <v/>
      </c>
      <c r="C100" s="33" t="str">
        <f aca="false">IF(COUNTIF(Flows!$M$2:$M$1500,$A100&amp;"|"&amp;C$1&amp;"|Input"),IF(COUNTIF(Flows!$M$2:$M$1500,$A100&amp;"|"&amp;C$1&amp;"|Output"),"I/O","IN"),IF(COUNTIF(Flows!$M$2:$M$1500,$A100&amp;"|"&amp;C$1&amp;"|Output"),"OUT",""))</f>
        <v/>
      </c>
      <c r="D100" s="33" t="str">
        <f aca="false">IF(COUNTIF(Flows!$M$2:$M$1500,$A100&amp;"|"&amp;D$1&amp;"|Input"),IF(COUNTIF(Flows!$M$2:$M$1500,$A100&amp;"|"&amp;D$1&amp;"|Output"),"I/O","IN"),IF(COUNTIF(Flows!$M$2:$M$1500,$A100&amp;"|"&amp;D$1&amp;"|Output"),"OUT",""))</f>
        <v/>
      </c>
      <c r="E100" s="33" t="str">
        <f aca="false">IF(COUNTIF(Flows!$M$2:$M$1500,$A100&amp;"|"&amp;E$1&amp;"|Input"),IF(COUNTIF(Flows!$M$2:$M$1500,$A100&amp;"|"&amp;E$1&amp;"|Output"),"I/O","IN"),IF(COUNTIF(Flows!$M$2:$M$1500,$A100&amp;"|"&amp;E$1&amp;"|Output"),"OUT",""))</f>
        <v/>
      </c>
      <c r="F100" s="33" t="str">
        <f aca="false">IF(COUNTIF(Flows!$M$2:$M$1500,$A100&amp;"|"&amp;F$1&amp;"|Input"),IF(COUNTIF(Flows!$M$2:$M$1500,$A100&amp;"|"&amp;F$1&amp;"|Output"),"I/O","IN"),IF(COUNTIF(Flows!$M$2:$M$1500,$A100&amp;"|"&amp;F$1&amp;"|Output"),"OUT",""))</f>
        <v/>
      </c>
      <c r="G100" s="33" t="str">
        <f aca="false">IF(COUNTIF(Flows!$M$2:$M$1500,$A100&amp;"|"&amp;G$1&amp;"|Input"),IF(COUNTIF(Flows!$M$2:$M$1500,$A100&amp;"|"&amp;G$1&amp;"|Output"),"I/O","IN"),IF(COUNTIF(Flows!$M$2:$M$1500,$A100&amp;"|"&amp;G$1&amp;"|Output"),"OUT",""))</f>
        <v/>
      </c>
      <c r="H100" s="33" t="str">
        <f aca="false">IF(COUNTIF(Flows!$M$2:$M$1500,$A100&amp;"|"&amp;H$1&amp;"|Input"),IF(COUNTIF(Flows!$M$2:$M$1500,$A100&amp;"|"&amp;H$1&amp;"|Output"),"I/O","IN"),IF(COUNTIF(Flows!$M$2:$M$1500,$A100&amp;"|"&amp;H$1&amp;"|Output"),"OUT",""))</f>
        <v/>
      </c>
      <c r="I100" s="33" t="str">
        <f aca="false">IF(COUNTIF(Flows!$M$2:$M$1500,$A100&amp;"|"&amp;I$1&amp;"|Input"),IF(COUNTIF(Flows!$M$2:$M$1500,$A100&amp;"|"&amp;I$1&amp;"|Output"),"I/O","IN"),IF(COUNTIF(Flows!$M$2:$M$1500,$A100&amp;"|"&amp;I$1&amp;"|Output"),"OUT",""))</f>
        <v/>
      </c>
      <c r="J100" s="33" t="str">
        <f aca="false">IF(COUNTIF(Flows!$M$2:$M$1500,$A100&amp;"|"&amp;J$1&amp;"|Input"),IF(COUNTIF(Flows!$M$2:$M$1500,$A100&amp;"|"&amp;J$1&amp;"|Output"),"I/O","IN"),IF(COUNTIF(Flows!$M$2:$M$1500,$A100&amp;"|"&amp;J$1&amp;"|Output"),"OUT",""))</f>
        <v/>
      </c>
      <c r="K100" s="33" t="str">
        <f aca="false">IF(COUNTIF(Flows!$M$2:$M$1500,$A100&amp;"|"&amp;K$1&amp;"|Input"),IF(COUNTIF(Flows!$M$2:$M$1500,$A100&amp;"|"&amp;K$1&amp;"|Output"),"I/O","IN"),IF(COUNTIF(Flows!$M$2:$M$1500,$A100&amp;"|"&amp;K$1&amp;"|Output"),"OUT",""))</f>
        <v/>
      </c>
      <c r="L100" s="33" t="str">
        <f aca="false">IF(COUNTIF(Flows!$M$2:$M$1500,$A100&amp;"|"&amp;L$1&amp;"|Input"),IF(COUNTIF(Flows!$M$2:$M$1500,$A100&amp;"|"&amp;L$1&amp;"|Output"),"I/O","IN"),IF(COUNTIF(Flows!$M$2:$M$1500,$A100&amp;"|"&amp;L$1&amp;"|Output"),"OUT",""))</f>
        <v/>
      </c>
      <c r="M100" s="33" t="str">
        <f aca="false">IF(COUNTIF(Flows!$M$2:$M$1500,$A100&amp;"|"&amp;M$1&amp;"|Input"),IF(COUNTIF(Flows!$M$2:$M$1500,$A100&amp;"|"&amp;M$1&amp;"|Output"),"I/O","IN"),IF(COUNTIF(Flows!$M$2:$M$1500,$A100&amp;"|"&amp;M$1&amp;"|Output"),"OUT",""))</f>
        <v/>
      </c>
      <c r="N100" s="33" t="str">
        <f aca="false">IF(COUNTIF(Flows!$M$2:$M$1500,$A100&amp;"|"&amp;N$1&amp;"|Input"),IF(COUNTIF(Flows!$M$2:$M$1500,$A100&amp;"|"&amp;N$1&amp;"|Output"),"I/O","IN"),IF(COUNTIF(Flows!$M$2:$M$1500,$A100&amp;"|"&amp;N$1&amp;"|Output"),"OUT",""))</f>
        <v/>
      </c>
      <c r="O100" s="33" t="str">
        <f aca="false">IF(COUNTIF(Flows!$M$2:$M$1500,$A100&amp;"|"&amp;O$1&amp;"|Input"),IF(COUNTIF(Flows!$M$2:$M$1500,$A100&amp;"|"&amp;O$1&amp;"|Output"),"I/O","IN"),IF(COUNTIF(Flows!$M$2:$M$1500,$A100&amp;"|"&amp;O$1&amp;"|Output"),"OUT",""))</f>
        <v/>
      </c>
      <c r="P100" s="33" t="str">
        <f aca="false">IF(COUNTIF(Flows!$M$2:$M$1500,$A100&amp;"|"&amp;P$1&amp;"|Input"),IF(COUNTIF(Flows!$M$2:$M$1500,$A100&amp;"|"&amp;P$1&amp;"|Output"),"I/O","IN"),IF(COUNTIF(Flows!$M$2:$M$1500,$A100&amp;"|"&amp;P$1&amp;"|Output"),"OUT",""))</f>
        <v/>
      </c>
      <c r="Q100" s="33" t="str">
        <f aca="false">IF(COUNTIF(Flows!$M$2:$M$1500,$A100&amp;"|"&amp;Q$1&amp;"|Input"),IF(COUNTIF(Flows!$M$2:$M$1500,$A100&amp;"|"&amp;Q$1&amp;"|Output"),"I/O","IN"),IF(COUNTIF(Flows!$M$2:$M$1500,$A100&amp;"|"&amp;Q$1&amp;"|Output"),"OUT",""))</f>
        <v/>
      </c>
      <c r="R100" s="33" t="str">
        <f aca="false">IF(COUNTIF(Flows!$M$2:$M$1500,$A100&amp;"|"&amp;R$1&amp;"|Input"),IF(COUNTIF(Flows!$M$2:$M$1500,$A100&amp;"|"&amp;R$1&amp;"|Output"),"I/O","IN"),IF(COUNTIF(Flows!$M$2:$M$1500,$A100&amp;"|"&amp;R$1&amp;"|Output"),"OUT",""))</f>
        <v/>
      </c>
      <c r="S100" s="33" t="str">
        <f aca="false">IF(COUNTIF(Flows!$M$2:$M$1500,$A100&amp;"|"&amp;S$1&amp;"|Input"),IF(COUNTIF(Flows!$M$2:$M$1500,$A100&amp;"|"&amp;S$1&amp;"|Output"),"I/O","IN"),IF(COUNTIF(Flows!$M$2:$M$1500,$A100&amp;"|"&amp;S$1&amp;"|Output"),"OUT",""))</f>
        <v>OUT</v>
      </c>
      <c r="T100" s="33" t="str">
        <f aca="false">IF(COUNTIF(Flows!$M$2:$M$1500,$A100&amp;"|"&amp;T$1&amp;"|Input"),IF(COUNTIF(Flows!$M$2:$M$1500,$A100&amp;"|"&amp;T$1&amp;"|Output"),"I/O","IN"),IF(COUNTIF(Flows!$M$2:$M$1500,$A100&amp;"|"&amp;T$1&amp;"|Output"),"OUT",""))</f>
        <v/>
      </c>
      <c r="U100" s="33" t="str">
        <f aca="false">IF(COUNTIF(Flows!$M$2:$M$1500,$A100&amp;"|"&amp;U$1&amp;"|Input"),IF(COUNTIF(Flows!$M$2:$M$1500,$A100&amp;"|"&amp;U$1&amp;"|Output"),"I/O","IN"),IF(COUNTIF(Flows!$M$2:$M$1500,$A100&amp;"|"&amp;U$1&amp;"|Output"),"OUT",""))</f>
        <v/>
      </c>
      <c r="V100" s="33" t="str">
        <f aca="false">IF(COUNTIF(Flows!$M$2:$M$1500,$A100&amp;"|"&amp;V$1&amp;"|Input"),IF(COUNTIF(Flows!$M$2:$M$1500,$A100&amp;"|"&amp;V$1&amp;"|Output"),"I/O","IN"),IF(COUNTIF(Flows!$M$2:$M$1500,$A100&amp;"|"&amp;V$1&amp;"|Output"),"OUT",""))</f>
        <v/>
      </c>
      <c r="W100" s="33" t="str">
        <f aca="false">IF(COUNTIF(Flows!$M$2:$M$1500,$A100&amp;"|"&amp;W$1&amp;"|Input"),IF(COUNTIF(Flows!$M$2:$M$1500,$A100&amp;"|"&amp;W$1&amp;"|Output"),"I/O","IN"),IF(COUNTIF(Flows!$M$2:$M$1500,$A100&amp;"|"&amp;W$1&amp;"|Output"),"OUT",""))</f>
        <v/>
      </c>
      <c r="X100" s="33" t="str">
        <f aca="false">IF(COUNTIF(Flows!$M$2:$M$1500,$A100&amp;"|"&amp;X$1&amp;"|Input"),IF(COUNTIF(Flows!$M$2:$M$1500,$A100&amp;"|"&amp;X$1&amp;"|Output"),"I/O","IN"),IF(COUNTIF(Flows!$M$2:$M$1500,$A100&amp;"|"&amp;X$1&amp;"|Output"),"OUT",""))</f>
        <v>IN</v>
      </c>
      <c r="Y100" s="33" t="str">
        <f aca="false">IF(COUNTIF(Flows!$M$2:$M$1500,$A100&amp;"|"&amp;Y$1&amp;"|Input"),IF(COUNTIF(Flows!$M$2:$M$1500,$A100&amp;"|"&amp;Y$1&amp;"|Output"),"I/O","IN"),IF(COUNTIF(Flows!$M$2:$M$1500,$A100&amp;"|"&amp;Y$1&amp;"|Output"),"OUT",""))</f>
        <v/>
      </c>
      <c r="Z100" s="33" t="str">
        <f aca="false">IF(COUNTIF(Flows!$M$2:$M$1500,$A100&amp;"|"&amp;Z$1&amp;"|Input"),IF(COUNTIF(Flows!$M$2:$M$1500,$A100&amp;"|"&amp;Z$1&amp;"|Output"),"I/O","IN"),IF(COUNTIF(Flows!$M$2:$M$1500,$A100&amp;"|"&amp;Z$1&amp;"|Output"),"OUT",""))</f>
        <v>IN</v>
      </c>
      <c r="AA100" s="33" t="str">
        <f aca="false">IF(COUNTIF(Flows!$M$2:$M$1500,$A100&amp;"|"&amp;AA$1&amp;"|Input"),IF(COUNTIF(Flows!$M$2:$M$1500,$A100&amp;"|"&amp;AA$1&amp;"|Output"),"I/O","IN"),IF(COUNTIF(Flows!$M$2:$M$1500,$A100&amp;"|"&amp;AA$1&amp;"|Output"),"OUT",""))</f>
        <v/>
      </c>
      <c r="AB100" s="33" t="str">
        <f aca="false">IF(COUNTIF(Flows!$M$2:$M$1500,$A100&amp;"|"&amp;AB$1&amp;"|Input"),IF(COUNTIF(Flows!$M$2:$M$1500,$A100&amp;"|"&amp;AB$1&amp;"|Output"),"I/O","IN"),IF(COUNTIF(Flows!$M$2:$M$1500,$A100&amp;"|"&amp;AB$1&amp;"|Output"),"OUT",""))</f>
        <v/>
      </c>
      <c r="AC100" s="33" t="str">
        <f aca="false">IF(COUNTIF(Flows!$M$2:$M$1500,$A100&amp;"|"&amp;AC$1&amp;"|Input"),IF(COUNTIF(Flows!$M$2:$M$1500,$A100&amp;"|"&amp;AC$1&amp;"|Output"),"I/O","IN"),IF(COUNTIF(Flows!$M$2:$M$1500,$A100&amp;"|"&amp;AC$1&amp;"|Output"),"OUT",""))</f>
        <v/>
      </c>
      <c r="AD100" s="33" t="str">
        <f aca="false">IF(COUNTIF(Flows!$M$2:$M$1500,$A100&amp;"|"&amp;AD$1&amp;"|Input"),IF(COUNTIF(Flows!$M$2:$M$1500,$A100&amp;"|"&amp;AD$1&amp;"|Output"),"I/O","IN"),IF(COUNTIF(Flows!$M$2:$M$1500,$A100&amp;"|"&amp;AD$1&amp;"|Output"),"OUT",""))</f>
        <v/>
      </c>
      <c r="AE100" s="33" t="str">
        <f aca="false">IF(COUNTIF(Flows!$M$2:$M$1500,$A100&amp;"|"&amp;AE$1&amp;"|Input"),IF(COUNTIF(Flows!$M$2:$M$1500,$A100&amp;"|"&amp;AE$1&amp;"|Output"),"I/O","IN"),IF(COUNTIF(Flows!$M$2:$M$1500,$A100&amp;"|"&amp;AE$1&amp;"|Output"),"OUT",""))</f>
        <v/>
      </c>
      <c r="AF100" s="33" t="str">
        <f aca="false">IF(COUNTIF(Flows!$M$2:$M$1500,$A100&amp;"|"&amp;AF$1&amp;"|Input"),IF(COUNTIF(Flows!$M$2:$M$1500,$A100&amp;"|"&amp;AF$1&amp;"|Output"),"I/O","IN"),IF(COUNTIF(Flows!$M$2:$M$1500,$A100&amp;"|"&amp;AF$1&amp;"|Output"),"OUT",""))</f>
        <v/>
      </c>
      <c r="AG100" s="33" t="str">
        <f aca="false">IF(COUNTIF(Flows!$M$2:$M$1500,$A100&amp;"|"&amp;AG$1&amp;"|Input"),IF(COUNTIF(Flows!$M$2:$M$1500,$A100&amp;"|"&amp;AG$1&amp;"|Output"),"I/O","IN"),IF(COUNTIF(Flows!$M$2:$M$1500,$A100&amp;"|"&amp;AG$1&amp;"|Output"),"OUT",""))</f>
        <v/>
      </c>
      <c r="AH100" s="33" t="str">
        <f aca="false">IF(COUNTIF(Flows!$M$2:$M$1500,$A100&amp;"|"&amp;AH$1&amp;"|Input"),IF(COUNTIF(Flows!$M$2:$M$1500,$A100&amp;"|"&amp;AH$1&amp;"|Output"),"I/O","IN"),IF(COUNTIF(Flows!$M$2:$M$1500,$A100&amp;"|"&amp;AH$1&amp;"|Output"),"OUT",""))</f>
        <v/>
      </c>
      <c r="AI100" s="33" t="str">
        <f aca="false">IF(COUNTIF(Flows!$M$2:$M$1500,$A100&amp;"|"&amp;AI$1&amp;"|Input"),IF(COUNTIF(Flows!$M$2:$M$1500,$A100&amp;"|"&amp;AI$1&amp;"|Output"),"I/O","IN"),IF(COUNTIF(Flows!$M$2:$M$1500,$A100&amp;"|"&amp;AI$1&amp;"|Output"),"OUT",""))</f>
        <v/>
      </c>
      <c r="AJ100" s="33" t="str">
        <f aca="false">IF(COUNTIF(Flows!$M$2:$M$1500,$A100&amp;"|"&amp;AJ$1&amp;"|Input"),IF(COUNTIF(Flows!$M$2:$M$1500,$A100&amp;"|"&amp;AJ$1&amp;"|Output"),"I/O","IN"),IF(COUNTIF(Flows!$M$2:$M$1500,$A100&amp;"|"&amp;AJ$1&amp;"|Output"),"OUT",""))</f>
        <v/>
      </c>
      <c r="AK100" s="33" t="str">
        <f aca="false">IF(COUNTIF(Flows!$M$2:$M$1500,$A100&amp;"|"&amp;AK$1&amp;"|Input"),IF(COUNTIF(Flows!$M$2:$M$1500,$A100&amp;"|"&amp;AK$1&amp;"|Output"),"I/O","IN"),IF(COUNTIF(Flows!$M$2:$M$1500,$A100&amp;"|"&amp;AK$1&amp;"|Output"),"OUT",""))</f>
        <v/>
      </c>
      <c r="AL100" s="33" t="str">
        <f aca="false">IF(COUNTIF(Flows!$M$2:$M$1500,$A100&amp;"|"&amp;AL$1&amp;"|Input"),IF(COUNTIF(Flows!$M$2:$M$1500,$A100&amp;"|"&amp;AL$1&amp;"|Output"),"I/O","IN"),IF(COUNTIF(Flows!$M$2:$M$1500,$A100&amp;"|"&amp;AL$1&amp;"|Output"),"OUT",""))</f>
        <v/>
      </c>
      <c r="AM100" s="33" t="str">
        <f aca="false">IF(COUNTIF(Flows!$M$2:$M$1500,$A100&amp;"|"&amp;AM$1&amp;"|Input"),IF(COUNTIF(Flows!$M$2:$M$1500,$A100&amp;"|"&amp;AM$1&amp;"|Output"),"I/O","IN"),IF(COUNTIF(Flows!$M$2:$M$1500,$A100&amp;"|"&amp;AM$1&amp;"|Output"),"OUT",""))</f>
        <v/>
      </c>
      <c r="AN100" s="33" t="str">
        <f aca="false">IF(COUNTIF(Flows!$M$2:$M$1500,$A100&amp;"|"&amp;AN$1&amp;"|Input"),IF(COUNTIF(Flows!$M$2:$M$1500,$A100&amp;"|"&amp;AN$1&amp;"|Output"),"I/O","IN"),IF(COUNTIF(Flows!$M$2:$M$1500,$A100&amp;"|"&amp;AN$1&amp;"|Output"),"OUT",""))</f>
        <v/>
      </c>
      <c r="AO100" s="33" t="str">
        <f aca="false">IF(COUNTIF(Flows!$M$2:$M$1500,$A100&amp;"|"&amp;AO$1&amp;"|Input"),IF(COUNTIF(Flows!$M$2:$M$1500,$A100&amp;"|"&amp;AO$1&amp;"|Output"),"I/O","IN"),IF(COUNTIF(Flows!$M$2:$M$1500,$A100&amp;"|"&amp;AO$1&amp;"|Output"),"OUT",""))</f>
        <v/>
      </c>
      <c r="AP100" s="33" t="str">
        <f aca="false">IF(COUNTIF(Flows!$M$2:$M$1500,$A100&amp;"|"&amp;AP$1&amp;"|Input"),IF(COUNTIF(Flows!$M$2:$M$1500,$A100&amp;"|"&amp;AP$1&amp;"|Output"),"I/O","IN"),IF(COUNTIF(Flows!$M$2:$M$1500,$A100&amp;"|"&amp;AP$1&amp;"|Output"),"OUT",""))</f>
        <v/>
      </c>
      <c r="AQ100" s="33" t="str">
        <f aca="false">IF(COUNTIF(Flows!$M$2:$M$1500,$A100&amp;"|"&amp;AQ$1&amp;"|Input"),IF(COUNTIF(Flows!$M$2:$M$1500,$A100&amp;"|"&amp;AQ$1&amp;"|Output"),"I/O","IN"),IF(COUNTIF(Flows!$M$2:$M$1500,$A100&amp;"|"&amp;AQ$1&amp;"|Output"),"OUT",""))</f>
        <v/>
      </c>
      <c r="AR100" s="33" t="str">
        <f aca="false">IF(COUNTIF(Flows!$M$2:$M$1500,$A100&amp;"|"&amp;AR$1&amp;"|Input"),IF(COUNTIF(Flows!$M$2:$M$1500,$A100&amp;"|"&amp;AR$1&amp;"|Output"),"I/O","IN"),IF(COUNTIF(Flows!$M$2:$M$1500,$A100&amp;"|"&amp;AR$1&amp;"|Output"),"OUT",""))</f>
        <v/>
      </c>
      <c r="AS100" s="33" t="str">
        <f aca="false">IF(COUNTIF(Flows!$M$2:$M$1500,$A100&amp;"|"&amp;AS$1&amp;"|Input"),IF(COUNTIF(Flows!$M$2:$M$1500,$A100&amp;"|"&amp;AS$1&amp;"|Output"),"I/O","IN"),IF(COUNTIF(Flows!$M$2:$M$1500,$A100&amp;"|"&amp;AS$1&amp;"|Output"),"OUT",""))</f>
        <v/>
      </c>
      <c r="AT100" s="33" t="str">
        <f aca="false">IF(COUNTIF(Flows!$M$2:$M$1500,$A100&amp;"|"&amp;AT$1&amp;"|Input"),IF(COUNTIF(Flows!$M$2:$M$1500,$A100&amp;"|"&amp;AT$1&amp;"|Output"),"I/O","IN"),IF(COUNTIF(Flows!$M$2:$M$1500,$A100&amp;"|"&amp;AT$1&amp;"|Output"),"OUT",""))</f>
        <v/>
      </c>
      <c r="AU100" s="33" t="str">
        <f aca="false">IF(COUNTIF(Flows!$M$2:$M$1500,$A100&amp;"|"&amp;AU$1&amp;"|Input"),IF(COUNTIF(Flows!$M$2:$M$1500,$A100&amp;"|"&amp;AU$1&amp;"|Output"),"I/O","IN"),IF(COUNTIF(Flows!$M$2:$M$1500,$A100&amp;"|"&amp;AU$1&amp;"|Output"),"OUT",""))</f>
        <v/>
      </c>
      <c r="AV100" s="33" t="str">
        <f aca="false">IF(COUNTIF(Flows!$M$2:$M$1500,$A100&amp;"|"&amp;AV$1&amp;"|Input"),IF(COUNTIF(Flows!$M$2:$M$1500,$A100&amp;"|"&amp;AV$1&amp;"|Output"),"I/O","IN"),IF(COUNTIF(Flows!$M$2:$M$1500,$A100&amp;"|"&amp;AV$1&amp;"|Output"),"OUT",""))</f>
        <v/>
      </c>
      <c r="AW100" s="33" t="str">
        <f aca="false">IF(COUNTIF(Flows!$M$2:$M$1500,$A100&amp;"|"&amp;AW$1&amp;"|Input"),IF(COUNTIF(Flows!$M$2:$M$1500,$A100&amp;"|"&amp;AW$1&amp;"|Output"),"I/O","IN"),IF(COUNTIF(Flows!$M$2:$M$1500,$A100&amp;"|"&amp;AW$1&amp;"|Output"),"OUT",""))</f>
        <v/>
      </c>
      <c r="AX100" s="33" t="str">
        <f aca="false">IF(COUNTIF(Flows!$M$2:$M$1500,$A100&amp;"|"&amp;AX$1&amp;"|Input"),IF(COUNTIF(Flows!$M$2:$M$1500,$A100&amp;"|"&amp;AX$1&amp;"|Output"),"I/O","IN"),IF(COUNTIF(Flows!$M$2:$M$1500,$A100&amp;"|"&amp;AX$1&amp;"|Output"),"OUT",""))</f>
        <v/>
      </c>
      <c r="AY100" s="33" t="str">
        <f aca="false">IF(COUNTIF(Flows!$M$2:$M$1500,$A100&amp;"|"&amp;AY$1&amp;"|Input"),IF(COUNTIF(Flows!$M$2:$M$1500,$A100&amp;"|"&amp;AY$1&amp;"|Output"),"I/O","IN"),IF(COUNTIF(Flows!$M$2:$M$1500,$A100&amp;"|"&amp;AY$1&amp;"|Output"),"OUT",""))</f>
        <v/>
      </c>
      <c r="AZ100" s="33" t="str">
        <f aca="false">IF(COUNTIF(Flows!$M$2:$M$1500,$A100&amp;"|"&amp;AZ$1&amp;"|Input"),IF(COUNTIF(Flows!$M$2:$M$1500,$A100&amp;"|"&amp;AZ$1&amp;"|Output"),"I/O","IN"),IF(COUNTIF(Flows!$M$2:$M$1500,$A100&amp;"|"&amp;AZ$1&amp;"|Output"),"OUT",""))</f>
        <v/>
      </c>
      <c r="BA100" s="33" t="str">
        <f aca="false">IF(COUNTIF(Flows!$M$2:$M$1500,$A100&amp;"|"&amp;BA$1&amp;"|Input"),IF(COUNTIF(Flows!$M$2:$M$1500,$A100&amp;"|"&amp;BA$1&amp;"|Output"),"I/O","IN"),IF(COUNTIF(Flows!$M$2:$M$1500,$A100&amp;"|"&amp;BA$1&amp;"|Output"),"OUT",""))</f>
        <v/>
      </c>
      <c r="BB100" s="33" t="str">
        <f aca="false">IF(COUNTIF(Flows!$M$2:$M$1500,$A100&amp;"|"&amp;BB$1&amp;"|Input"),IF(COUNTIF(Flows!$M$2:$M$1500,$A100&amp;"|"&amp;BB$1&amp;"|Output"),"I/O","IN"),IF(COUNTIF(Flows!$M$2:$M$1500,$A100&amp;"|"&amp;BB$1&amp;"|Output"),"OUT",""))</f>
        <v/>
      </c>
      <c r="BC100" s="33" t="str">
        <f aca="false">IF(COUNTIF(Flows!$M$2:$M$1500,$A100&amp;"|"&amp;BC$1&amp;"|Input"),IF(COUNTIF(Flows!$M$2:$M$1500,$A100&amp;"|"&amp;BC$1&amp;"|Output"),"I/O","IN"),IF(COUNTIF(Flows!$M$2:$M$1500,$A100&amp;"|"&amp;BC$1&amp;"|Output"),"OUT",""))</f>
        <v/>
      </c>
      <c r="BD100" s="33" t="str">
        <f aca="false">IF(COUNTIF(Flows!$M$2:$M$1500,$A100&amp;"|"&amp;BD$1&amp;"|Input"),IF(COUNTIF(Flows!$M$2:$M$1500,$A100&amp;"|"&amp;BD$1&amp;"|Output"),"I/O","IN"),IF(COUNTIF(Flows!$M$2:$M$1500,$A100&amp;"|"&amp;BD$1&amp;"|Output"),"OUT",""))</f>
        <v/>
      </c>
      <c r="BE100" s="33" t="str">
        <f aca="false">IF(COUNTIF(Flows!$M$2:$M$1500,$A100&amp;"|"&amp;BE$1&amp;"|Input"),IF(COUNTIF(Flows!$M$2:$M$1500,$A100&amp;"|"&amp;BE$1&amp;"|Output"),"I/O","IN"),IF(COUNTIF(Flows!$M$2:$M$1500,$A100&amp;"|"&amp;BE$1&amp;"|Output"),"OUT",""))</f>
        <v/>
      </c>
      <c r="BF100" s="33" t="str">
        <f aca="false">IF(COUNTIF(Flows!$M$2:$M$1500,$A100&amp;"|"&amp;BF$1&amp;"|Input"),IF(COUNTIF(Flows!$M$2:$M$1500,$A100&amp;"|"&amp;BF$1&amp;"|Output"),"I/O","IN"),IF(COUNTIF(Flows!$M$2:$M$1500,$A100&amp;"|"&amp;BF$1&amp;"|Output"),"OUT",""))</f>
        <v/>
      </c>
      <c r="BG100" s="33" t="str">
        <f aca="false">IF(COUNTIF(Flows!$M$2:$M$1500,$A100&amp;"|"&amp;BG$1&amp;"|Input"),IF(COUNTIF(Flows!$M$2:$M$1500,$A100&amp;"|"&amp;BG$1&amp;"|Output"),"I/O","IN"),IF(COUNTIF(Flows!$M$2:$M$1500,$A100&amp;"|"&amp;BG$1&amp;"|Output"),"OUT",""))</f>
        <v/>
      </c>
      <c r="BH100" s="33" t="str">
        <f aca="false">IF(COUNTIF(Flows!$M$2:$M$1500,$A100&amp;"|"&amp;BH$1&amp;"|Input"),IF(COUNTIF(Flows!$M$2:$M$1500,$A100&amp;"|"&amp;BH$1&amp;"|Output"),"I/O","IN"),IF(COUNTIF(Flows!$M$2:$M$1500,$A100&amp;"|"&amp;BH$1&amp;"|Output"),"OUT",""))</f>
        <v/>
      </c>
      <c r="BI100" s="33" t="str">
        <f aca="false">IF(COUNTIF(Flows!$M$2:$M$1500,$A100&amp;"|"&amp;BI$1&amp;"|Input"),IF(COUNTIF(Flows!$M$2:$M$1500,$A100&amp;"|"&amp;BI$1&amp;"|Output"),"I/O","IN"),IF(COUNTIF(Flows!$M$2:$M$1500,$A100&amp;"|"&amp;BI$1&amp;"|Output"),"OUT",""))</f>
        <v/>
      </c>
      <c r="BJ100" s="33" t="str">
        <f aca="false">IF(COUNTIF(Flows!$M$2:$M$1500,$A100&amp;"|"&amp;BJ$1&amp;"|Input"),IF(COUNTIF(Flows!$M$2:$M$1500,$A100&amp;"|"&amp;BJ$1&amp;"|Output"),"I/O","IN"),IF(COUNTIF(Flows!$M$2:$M$1500,$A100&amp;"|"&amp;BJ$1&amp;"|Output"),"OUT",""))</f>
        <v/>
      </c>
      <c r="BK100" s="33" t="str">
        <f aca="false">IF(COUNTIF(Flows!$M$2:$M$1500,$A100&amp;"|"&amp;BK$1&amp;"|Input"),IF(COUNTIF(Flows!$M$2:$M$1500,$A100&amp;"|"&amp;BK$1&amp;"|Output"),"I/O","IN"),IF(COUNTIF(Flows!$M$2:$M$1500,$A100&amp;"|"&amp;BK$1&amp;"|Output"),"OUT",""))</f>
        <v/>
      </c>
    </row>
    <row r="101" customFormat="false" ht="15" hidden="false" customHeight="true" outlineLevel="0" collapsed="false">
      <c r="A101" s="6" t="str">
        <f aca="false">Systems!B101</f>
        <v>Pedal Power Generator</v>
      </c>
      <c r="B101" s="33" t="str">
        <f aca="false">IF(COUNTIF(Flows!$M$2:$M$1500,$A101&amp;"|"&amp;B$1&amp;"|Input"),IF(COUNTIF(Flows!$M$2:$M$1500,$A101&amp;"|"&amp;B$1&amp;"|Output"),"I/O","IN"),IF(COUNTIF(Flows!$M$2:$M$1500,$A101&amp;"|"&amp;B$1&amp;"|Output"),"OUT",""))</f>
        <v/>
      </c>
      <c r="C101" s="33" t="str">
        <f aca="false">IF(COUNTIF(Flows!$M$2:$M$1500,$A101&amp;"|"&amp;C$1&amp;"|Input"),IF(COUNTIF(Flows!$M$2:$M$1500,$A101&amp;"|"&amp;C$1&amp;"|Output"),"I/O","IN"),IF(COUNTIF(Flows!$M$2:$M$1500,$A101&amp;"|"&amp;C$1&amp;"|Output"),"OUT",""))</f>
        <v/>
      </c>
      <c r="D101" s="33" t="str">
        <f aca="false">IF(COUNTIF(Flows!$M$2:$M$1500,$A101&amp;"|"&amp;D$1&amp;"|Input"),IF(COUNTIF(Flows!$M$2:$M$1500,$A101&amp;"|"&amp;D$1&amp;"|Output"),"I/O","IN"),IF(COUNTIF(Flows!$M$2:$M$1500,$A101&amp;"|"&amp;D$1&amp;"|Output"),"OUT",""))</f>
        <v/>
      </c>
      <c r="E101" s="33" t="str">
        <f aca="false">IF(COUNTIF(Flows!$M$2:$M$1500,$A101&amp;"|"&amp;E$1&amp;"|Input"),IF(COUNTIF(Flows!$M$2:$M$1500,$A101&amp;"|"&amp;E$1&amp;"|Output"),"I/O","IN"),IF(COUNTIF(Flows!$M$2:$M$1500,$A101&amp;"|"&amp;E$1&amp;"|Output"),"OUT",""))</f>
        <v/>
      </c>
      <c r="F101" s="33" t="str">
        <f aca="false">IF(COUNTIF(Flows!$M$2:$M$1500,$A101&amp;"|"&amp;F$1&amp;"|Input"),IF(COUNTIF(Flows!$M$2:$M$1500,$A101&amp;"|"&amp;F$1&amp;"|Output"),"I/O","IN"),IF(COUNTIF(Flows!$M$2:$M$1500,$A101&amp;"|"&amp;F$1&amp;"|Output"),"OUT",""))</f>
        <v>IN</v>
      </c>
      <c r="G101" s="33" t="str">
        <f aca="false">IF(COUNTIF(Flows!$M$2:$M$1500,$A101&amp;"|"&amp;G$1&amp;"|Input"),IF(COUNTIF(Flows!$M$2:$M$1500,$A101&amp;"|"&amp;G$1&amp;"|Output"),"I/O","IN"),IF(COUNTIF(Flows!$M$2:$M$1500,$A101&amp;"|"&amp;G$1&amp;"|Output"),"OUT",""))</f>
        <v/>
      </c>
      <c r="H101" s="33" t="str">
        <f aca="false">IF(COUNTIF(Flows!$M$2:$M$1500,$A101&amp;"|"&amp;H$1&amp;"|Input"),IF(COUNTIF(Flows!$M$2:$M$1500,$A101&amp;"|"&amp;H$1&amp;"|Output"),"I/O","IN"),IF(COUNTIF(Flows!$M$2:$M$1500,$A101&amp;"|"&amp;H$1&amp;"|Output"),"OUT",""))</f>
        <v/>
      </c>
      <c r="I101" s="33" t="str">
        <f aca="false">IF(COUNTIF(Flows!$M$2:$M$1500,$A101&amp;"|"&amp;I$1&amp;"|Input"),IF(COUNTIF(Flows!$M$2:$M$1500,$A101&amp;"|"&amp;I$1&amp;"|Output"),"I/O","IN"),IF(COUNTIF(Flows!$M$2:$M$1500,$A101&amp;"|"&amp;I$1&amp;"|Output"),"OUT",""))</f>
        <v/>
      </c>
      <c r="J101" s="33" t="str">
        <f aca="false">IF(COUNTIF(Flows!$M$2:$M$1500,$A101&amp;"|"&amp;J$1&amp;"|Input"),IF(COUNTIF(Flows!$M$2:$M$1500,$A101&amp;"|"&amp;J$1&amp;"|Output"),"I/O","IN"),IF(COUNTIF(Flows!$M$2:$M$1500,$A101&amp;"|"&amp;J$1&amp;"|Output"),"OUT",""))</f>
        <v/>
      </c>
      <c r="K101" s="33" t="str">
        <f aca="false">IF(COUNTIF(Flows!$M$2:$M$1500,$A101&amp;"|"&amp;K$1&amp;"|Input"),IF(COUNTIF(Flows!$M$2:$M$1500,$A101&amp;"|"&amp;K$1&amp;"|Output"),"I/O","IN"),IF(COUNTIF(Flows!$M$2:$M$1500,$A101&amp;"|"&amp;K$1&amp;"|Output"),"OUT",""))</f>
        <v/>
      </c>
      <c r="L101" s="33" t="str">
        <f aca="false">IF(COUNTIF(Flows!$M$2:$M$1500,$A101&amp;"|"&amp;L$1&amp;"|Input"),IF(COUNTIF(Flows!$M$2:$M$1500,$A101&amp;"|"&amp;L$1&amp;"|Output"),"I/O","IN"),IF(COUNTIF(Flows!$M$2:$M$1500,$A101&amp;"|"&amp;L$1&amp;"|Output"),"OUT",""))</f>
        <v/>
      </c>
      <c r="M101" s="33" t="str">
        <f aca="false">IF(COUNTIF(Flows!$M$2:$M$1500,$A101&amp;"|"&amp;M$1&amp;"|Input"),IF(COUNTIF(Flows!$M$2:$M$1500,$A101&amp;"|"&amp;M$1&amp;"|Output"),"I/O","IN"),IF(COUNTIF(Flows!$M$2:$M$1500,$A101&amp;"|"&amp;M$1&amp;"|Output"),"OUT",""))</f>
        <v/>
      </c>
      <c r="N101" s="33" t="str">
        <f aca="false">IF(COUNTIF(Flows!$M$2:$M$1500,$A101&amp;"|"&amp;N$1&amp;"|Input"),IF(COUNTIF(Flows!$M$2:$M$1500,$A101&amp;"|"&amp;N$1&amp;"|Output"),"I/O","IN"),IF(COUNTIF(Flows!$M$2:$M$1500,$A101&amp;"|"&amp;N$1&amp;"|Output"),"OUT",""))</f>
        <v/>
      </c>
      <c r="O101" s="33" t="str">
        <f aca="false">IF(COUNTIF(Flows!$M$2:$M$1500,$A101&amp;"|"&amp;O$1&amp;"|Input"),IF(COUNTIF(Flows!$M$2:$M$1500,$A101&amp;"|"&amp;O$1&amp;"|Output"),"I/O","IN"),IF(COUNTIF(Flows!$M$2:$M$1500,$A101&amp;"|"&amp;O$1&amp;"|Output"),"OUT",""))</f>
        <v/>
      </c>
      <c r="P101" s="33" t="str">
        <f aca="false">IF(COUNTIF(Flows!$M$2:$M$1500,$A101&amp;"|"&amp;P$1&amp;"|Input"),IF(COUNTIF(Flows!$M$2:$M$1500,$A101&amp;"|"&amp;P$1&amp;"|Output"),"I/O","IN"),IF(COUNTIF(Flows!$M$2:$M$1500,$A101&amp;"|"&amp;P$1&amp;"|Output"),"OUT",""))</f>
        <v/>
      </c>
      <c r="Q101" s="33" t="str">
        <f aca="false">IF(COUNTIF(Flows!$M$2:$M$1500,$A101&amp;"|"&amp;Q$1&amp;"|Input"),IF(COUNTIF(Flows!$M$2:$M$1500,$A101&amp;"|"&amp;Q$1&amp;"|Output"),"I/O","IN"),IF(COUNTIF(Flows!$M$2:$M$1500,$A101&amp;"|"&amp;Q$1&amp;"|Output"),"OUT",""))</f>
        <v/>
      </c>
      <c r="R101" s="33" t="str">
        <f aca="false">IF(COUNTIF(Flows!$M$2:$M$1500,$A101&amp;"|"&amp;R$1&amp;"|Input"),IF(COUNTIF(Flows!$M$2:$M$1500,$A101&amp;"|"&amp;R$1&amp;"|Output"),"I/O","IN"),IF(COUNTIF(Flows!$M$2:$M$1500,$A101&amp;"|"&amp;R$1&amp;"|Output"),"OUT",""))</f>
        <v/>
      </c>
      <c r="S101" s="33" t="str">
        <f aca="false">IF(COUNTIF(Flows!$M$2:$M$1500,$A101&amp;"|"&amp;S$1&amp;"|Input"),IF(COUNTIF(Flows!$M$2:$M$1500,$A101&amp;"|"&amp;S$1&amp;"|Output"),"I/O","IN"),IF(COUNTIF(Flows!$M$2:$M$1500,$A101&amp;"|"&amp;S$1&amp;"|Output"),"OUT",""))</f>
        <v>OUT</v>
      </c>
      <c r="T101" s="33" t="str">
        <f aca="false">IF(COUNTIF(Flows!$M$2:$M$1500,$A101&amp;"|"&amp;T$1&amp;"|Input"),IF(COUNTIF(Flows!$M$2:$M$1500,$A101&amp;"|"&amp;T$1&amp;"|Output"),"I/O","IN"),IF(COUNTIF(Flows!$M$2:$M$1500,$A101&amp;"|"&amp;T$1&amp;"|Output"),"OUT",""))</f>
        <v/>
      </c>
      <c r="U101" s="33" t="str">
        <f aca="false">IF(COUNTIF(Flows!$M$2:$M$1500,$A101&amp;"|"&amp;U$1&amp;"|Input"),IF(COUNTIF(Flows!$M$2:$M$1500,$A101&amp;"|"&amp;U$1&amp;"|Output"),"I/O","IN"),IF(COUNTIF(Flows!$M$2:$M$1500,$A101&amp;"|"&amp;U$1&amp;"|Output"),"OUT",""))</f>
        <v/>
      </c>
      <c r="V101" s="33" t="str">
        <f aca="false">IF(COUNTIF(Flows!$M$2:$M$1500,$A101&amp;"|"&amp;V$1&amp;"|Input"),IF(COUNTIF(Flows!$M$2:$M$1500,$A101&amp;"|"&amp;V$1&amp;"|Output"),"I/O","IN"),IF(COUNTIF(Flows!$M$2:$M$1500,$A101&amp;"|"&amp;V$1&amp;"|Output"),"OUT",""))</f>
        <v/>
      </c>
      <c r="W101" s="33" t="str">
        <f aca="false">IF(COUNTIF(Flows!$M$2:$M$1500,$A101&amp;"|"&amp;W$1&amp;"|Input"),IF(COUNTIF(Flows!$M$2:$M$1500,$A101&amp;"|"&amp;W$1&amp;"|Output"),"I/O","IN"),IF(COUNTIF(Flows!$M$2:$M$1500,$A101&amp;"|"&amp;W$1&amp;"|Output"),"OUT",""))</f>
        <v/>
      </c>
      <c r="X101" s="33" t="str">
        <f aca="false">IF(COUNTIF(Flows!$M$2:$M$1500,$A101&amp;"|"&amp;X$1&amp;"|Input"),IF(COUNTIF(Flows!$M$2:$M$1500,$A101&amp;"|"&amp;X$1&amp;"|Output"),"I/O","IN"),IF(COUNTIF(Flows!$M$2:$M$1500,$A101&amp;"|"&amp;X$1&amp;"|Output"),"OUT",""))</f>
        <v>IN</v>
      </c>
      <c r="Y101" s="33" t="str">
        <f aca="false">IF(COUNTIF(Flows!$M$2:$M$1500,$A101&amp;"|"&amp;Y$1&amp;"|Input"),IF(COUNTIF(Flows!$M$2:$M$1500,$A101&amp;"|"&amp;Y$1&amp;"|Output"),"I/O","IN"),IF(COUNTIF(Flows!$M$2:$M$1500,$A101&amp;"|"&amp;Y$1&amp;"|Output"),"OUT",""))</f>
        <v/>
      </c>
      <c r="Z101" s="33" t="str">
        <f aca="false">IF(COUNTIF(Flows!$M$2:$M$1500,$A101&amp;"|"&amp;Z$1&amp;"|Input"),IF(COUNTIF(Flows!$M$2:$M$1500,$A101&amp;"|"&amp;Z$1&amp;"|Output"),"I/O","IN"),IF(COUNTIF(Flows!$M$2:$M$1500,$A101&amp;"|"&amp;Z$1&amp;"|Output"),"OUT",""))</f>
        <v/>
      </c>
      <c r="AA101" s="33" t="str">
        <f aca="false">IF(COUNTIF(Flows!$M$2:$M$1500,$A101&amp;"|"&amp;AA$1&amp;"|Input"),IF(COUNTIF(Flows!$M$2:$M$1500,$A101&amp;"|"&amp;AA$1&amp;"|Output"),"I/O","IN"),IF(COUNTIF(Flows!$M$2:$M$1500,$A101&amp;"|"&amp;AA$1&amp;"|Output"),"OUT",""))</f>
        <v/>
      </c>
      <c r="AB101" s="33" t="str">
        <f aca="false">IF(COUNTIF(Flows!$M$2:$M$1500,$A101&amp;"|"&amp;AB$1&amp;"|Input"),IF(COUNTIF(Flows!$M$2:$M$1500,$A101&amp;"|"&amp;AB$1&amp;"|Output"),"I/O","IN"),IF(COUNTIF(Flows!$M$2:$M$1500,$A101&amp;"|"&amp;AB$1&amp;"|Output"),"OUT",""))</f>
        <v/>
      </c>
      <c r="AC101" s="33" t="str">
        <f aca="false">IF(COUNTIF(Flows!$M$2:$M$1500,$A101&amp;"|"&amp;AC$1&amp;"|Input"),IF(COUNTIF(Flows!$M$2:$M$1500,$A101&amp;"|"&amp;AC$1&amp;"|Output"),"I/O","IN"),IF(COUNTIF(Flows!$M$2:$M$1500,$A101&amp;"|"&amp;AC$1&amp;"|Output"),"OUT",""))</f>
        <v/>
      </c>
      <c r="AD101" s="33" t="str">
        <f aca="false">IF(COUNTIF(Flows!$M$2:$M$1500,$A101&amp;"|"&amp;AD$1&amp;"|Input"),IF(COUNTIF(Flows!$M$2:$M$1500,$A101&amp;"|"&amp;AD$1&amp;"|Output"),"I/O","IN"),IF(COUNTIF(Flows!$M$2:$M$1500,$A101&amp;"|"&amp;AD$1&amp;"|Output"),"OUT",""))</f>
        <v/>
      </c>
      <c r="AE101" s="33" t="str">
        <f aca="false">IF(COUNTIF(Flows!$M$2:$M$1500,$A101&amp;"|"&amp;AE$1&amp;"|Input"),IF(COUNTIF(Flows!$M$2:$M$1500,$A101&amp;"|"&amp;AE$1&amp;"|Output"),"I/O","IN"),IF(COUNTIF(Flows!$M$2:$M$1500,$A101&amp;"|"&amp;AE$1&amp;"|Output"),"OUT",""))</f>
        <v/>
      </c>
      <c r="AF101" s="33" t="str">
        <f aca="false">IF(COUNTIF(Flows!$M$2:$M$1500,$A101&amp;"|"&amp;AF$1&amp;"|Input"),IF(COUNTIF(Flows!$M$2:$M$1500,$A101&amp;"|"&amp;AF$1&amp;"|Output"),"I/O","IN"),IF(COUNTIF(Flows!$M$2:$M$1500,$A101&amp;"|"&amp;AF$1&amp;"|Output"),"OUT",""))</f>
        <v/>
      </c>
      <c r="AG101" s="33" t="str">
        <f aca="false">IF(COUNTIF(Flows!$M$2:$M$1500,$A101&amp;"|"&amp;AG$1&amp;"|Input"),IF(COUNTIF(Flows!$M$2:$M$1500,$A101&amp;"|"&amp;AG$1&amp;"|Output"),"I/O","IN"),IF(COUNTIF(Flows!$M$2:$M$1500,$A101&amp;"|"&amp;AG$1&amp;"|Output"),"OUT",""))</f>
        <v/>
      </c>
      <c r="AH101" s="33" t="str">
        <f aca="false">IF(COUNTIF(Flows!$M$2:$M$1500,$A101&amp;"|"&amp;AH$1&amp;"|Input"),IF(COUNTIF(Flows!$M$2:$M$1500,$A101&amp;"|"&amp;AH$1&amp;"|Output"),"I/O","IN"),IF(COUNTIF(Flows!$M$2:$M$1500,$A101&amp;"|"&amp;AH$1&amp;"|Output"),"OUT",""))</f>
        <v/>
      </c>
      <c r="AI101" s="33" t="str">
        <f aca="false">IF(COUNTIF(Flows!$M$2:$M$1500,$A101&amp;"|"&amp;AI$1&amp;"|Input"),IF(COUNTIF(Flows!$M$2:$M$1500,$A101&amp;"|"&amp;AI$1&amp;"|Output"),"I/O","IN"),IF(COUNTIF(Flows!$M$2:$M$1500,$A101&amp;"|"&amp;AI$1&amp;"|Output"),"OUT",""))</f>
        <v/>
      </c>
      <c r="AJ101" s="33" t="str">
        <f aca="false">IF(COUNTIF(Flows!$M$2:$M$1500,$A101&amp;"|"&amp;AJ$1&amp;"|Input"),IF(COUNTIF(Flows!$M$2:$M$1500,$A101&amp;"|"&amp;AJ$1&amp;"|Output"),"I/O","IN"),IF(COUNTIF(Flows!$M$2:$M$1500,$A101&amp;"|"&amp;AJ$1&amp;"|Output"),"OUT",""))</f>
        <v/>
      </c>
      <c r="AK101" s="33" t="str">
        <f aca="false">IF(COUNTIF(Flows!$M$2:$M$1500,$A101&amp;"|"&amp;AK$1&amp;"|Input"),IF(COUNTIF(Flows!$M$2:$M$1500,$A101&amp;"|"&amp;AK$1&amp;"|Output"),"I/O","IN"),IF(COUNTIF(Flows!$M$2:$M$1500,$A101&amp;"|"&amp;AK$1&amp;"|Output"),"OUT",""))</f>
        <v/>
      </c>
      <c r="AL101" s="33" t="str">
        <f aca="false">IF(COUNTIF(Flows!$M$2:$M$1500,$A101&amp;"|"&amp;AL$1&amp;"|Input"),IF(COUNTIF(Flows!$M$2:$M$1500,$A101&amp;"|"&amp;AL$1&amp;"|Output"),"I/O","IN"),IF(COUNTIF(Flows!$M$2:$M$1500,$A101&amp;"|"&amp;AL$1&amp;"|Output"),"OUT",""))</f>
        <v/>
      </c>
      <c r="AM101" s="33" t="str">
        <f aca="false">IF(COUNTIF(Flows!$M$2:$M$1500,$A101&amp;"|"&amp;AM$1&amp;"|Input"),IF(COUNTIF(Flows!$M$2:$M$1500,$A101&amp;"|"&amp;AM$1&amp;"|Output"),"I/O","IN"),IF(COUNTIF(Flows!$M$2:$M$1500,$A101&amp;"|"&amp;AM$1&amp;"|Output"),"OUT",""))</f>
        <v/>
      </c>
      <c r="AN101" s="33" t="str">
        <f aca="false">IF(COUNTIF(Flows!$M$2:$M$1500,$A101&amp;"|"&amp;AN$1&amp;"|Input"),IF(COUNTIF(Flows!$M$2:$M$1500,$A101&amp;"|"&amp;AN$1&amp;"|Output"),"I/O","IN"),IF(COUNTIF(Flows!$M$2:$M$1500,$A101&amp;"|"&amp;AN$1&amp;"|Output"),"OUT",""))</f>
        <v/>
      </c>
      <c r="AO101" s="33" t="str">
        <f aca="false">IF(COUNTIF(Flows!$M$2:$M$1500,$A101&amp;"|"&amp;AO$1&amp;"|Input"),IF(COUNTIF(Flows!$M$2:$M$1500,$A101&amp;"|"&amp;AO$1&amp;"|Output"),"I/O","IN"),IF(COUNTIF(Flows!$M$2:$M$1500,$A101&amp;"|"&amp;AO$1&amp;"|Output"),"OUT",""))</f>
        <v/>
      </c>
      <c r="AP101" s="33" t="str">
        <f aca="false">IF(COUNTIF(Flows!$M$2:$M$1500,$A101&amp;"|"&amp;AP$1&amp;"|Input"),IF(COUNTIF(Flows!$M$2:$M$1500,$A101&amp;"|"&amp;AP$1&amp;"|Output"),"I/O","IN"),IF(COUNTIF(Flows!$M$2:$M$1500,$A101&amp;"|"&amp;AP$1&amp;"|Output"),"OUT",""))</f>
        <v/>
      </c>
      <c r="AQ101" s="33" t="str">
        <f aca="false">IF(COUNTIF(Flows!$M$2:$M$1500,$A101&amp;"|"&amp;AQ$1&amp;"|Input"),IF(COUNTIF(Flows!$M$2:$M$1500,$A101&amp;"|"&amp;AQ$1&amp;"|Output"),"I/O","IN"),IF(COUNTIF(Flows!$M$2:$M$1500,$A101&amp;"|"&amp;AQ$1&amp;"|Output"),"OUT",""))</f>
        <v/>
      </c>
      <c r="AR101" s="33" t="str">
        <f aca="false">IF(COUNTIF(Flows!$M$2:$M$1500,$A101&amp;"|"&amp;AR$1&amp;"|Input"),IF(COUNTIF(Flows!$M$2:$M$1500,$A101&amp;"|"&amp;AR$1&amp;"|Output"),"I/O","IN"),IF(COUNTIF(Flows!$M$2:$M$1500,$A101&amp;"|"&amp;AR$1&amp;"|Output"),"OUT",""))</f>
        <v/>
      </c>
      <c r="AS101" s="33" t="str">
        <f aca="false">IF(COUNTIF(Flows!$M$2:$M$1500,$A101&amp;"|"&amp;AS$1&amp;"|Input"),IF(COUNTIF(Flows!$M$2:$M$1500,$A101&amp;"|"&amp;AS$1&amp;"|Output"),"I/O","IN"),IF(COUNTIF(Flows!$M$2:$M$1500,$A101&amp;"|"&amp;AS$1&amp;"|Output"),"OUT",""))</f>
        <v/>
      </c>
      <c r="AT101" s="33" t="str">
        <f aca="false">IF(COUNTIF(Flows!$M$2:$M$1500,$A101&amp;"|"&amp;AT$1&amp;"|Input"),IF(COUNTIF(Flows!$M$2:$M$1500,$A101&amp;"|"&amp;AT$1&amp;"|Output"),"I/O","IN"),IF(COUNTIF(Flows!$M$2:$M$1500,$A101&amp;"|"&amp;AT$1&amp;"|Output"),"OUT",""))</f>
        <v/>
      </c>
      <c r="AU101" s="33" t="str">
        <f aca="false">IF(COUNTIF(Flows!$M$2:$M$1500,$A101&amp;"|"&amp;AU$1&amp;"|Input"),IF(COUNTIF(Flows!$M$2:$M$1500,$A101&amp;"|"&amp;AU$1&amp;"|Output"),"I/O","IN"),IF(COUNTIF(Flows!$M$2:$M$1500,$A101&amp;"|"&amp;AU$1&amp;"|Output"),"OUT",""))</f>
        <v/>
      </c>
      <c r="AV101" s="33" t="str">
        <f aca="false">IF(COUNTIF(Flows!$M$2:$M$1500,$A101&amp;"|"&amp;AV$1&amp;"|Input"),IF(COUNTIF(Flows!$M$2:$M$1500,$A101&amp;"|"&amp;AV$1&amp;"|Output"),"I/O","IN"),IF(COUNTIF(Flows!$M$2:$M$1500,$A101&amp;"|"&amp;AV$1&amp;"|Output"),"OUT",""))</f>
        <v/>
      </c>
      <c r="AW101" s="33" t="str">
        <f aca="false">IF(COUNTIF(Flows!$M$2:$M$1500,$A101&amp;"|"&amp;AW$1&amp;"|Input"),IF(COUNTIF(Flows!$M$2:$M$1500,$A101&amp;"|"&amp;AW$1&amp;"|Output"),"I/O","IN"),IF(COUNTIF(Flows!$M$2:$M$1500,$A101&amp;"|"&amp;AW$1&amp;"|Output"),"OUT",""))</f>
        <v/>
      </c>
      <c r="AX101" s="33" t="str">
        <f aca="false">IF(COUNTIF(Flows!$M$2:$M$1500,$A101&amp;"|"&amp;AX$1&amp;"|Input"),IF(COUNTIF(Flows!$M$2:$M$1500,$A101&amp;"|"&amp;AX$1&amp;"|Output"),"I/O","IN"),IF(COUNTIF(Flows!$M$2:$M$1500,$A101&amp;"|"&amp;AX$1&amp;"|Output"),"OUT",""))</f>
        <v/>
      </c>
      <c r="AY101" s="33" t="str">
        <f aca="false">IF(COUNTIF(Flows!$M$2:$M$1500,$A101&amp;"|"&amp;AY$1&amp;"|Input"),IF(COUNTIF(Flows!$M$2:$M$1500,$A101&amp;"|"&amp;AY$1&amp;"|Output"),"I/O","IN"),IF(COUNTIF(Flows!$M$2:$M$1500,$A101&amp;"|"&amp;AY$1&amp;"|Output"),"OUT",""))</f>
        <v/>
      </c>
      <c r="AZ101" s="33" t="str">
        <f aca="false">IF(COUNTIF(Flows!$M$2:$M$1500,$A101&amp;"|"&amp;AZ$1&amp;"|Input"),IF(COUNTIF(Flows!$M$2:$M$1500,$A101&amp;"|"&amp;AZ$1&amp;"|Output"),"I/O","IN"),IF(COUNTIF(Flows!$M$2:$M$1500,$A101&amp;"|"&amp;AZ$1&amp;"|Output"),"OUT",""))</f>
        <v/>
      </c>
      <c r="BA101" s="33" t="str">
        <f aca="false">IF(COUNTIF(Flows!$M$2:$M$1500,$A101&amp;"|"&amp;BA$1&amp;"|Input"),IF(COUNTIF(Flows!$M$2:$M$1500,$A101&amp;"|"&amp;BA$1&amp;"|Output"),"I/O","IN"),IF(COUNTIF(Flows!$M$2:$M$1500,$A101&amp;"|"&amp;BA$1&amp;"|Output"),"OUT",""))</f>
        <v/>
      </c>
      <c r="BB101" s="33" t="str">
        <f aca="false">IF(COUNTIF(Flows!$M$2:$M$1500,$A101&amp;"|"&amp;BB$1&amp;"|Input"),IF(COUNTIF(Flows!$M$2:$M$1500,$A101&amp;"|"&amp;BB$1&amp;"|Output"),"I/O","IN"),IF(COUNTIF(Flows!$M$2:$M$1500,$A101&amp;"|"&amp;BB$1&amp;"|Output"),"OUT",""))</f>
        <v/>
      </c>
      <c r="BC101" s="33" t="str">
        <f aca="false">IF(COUNTIF(Flows!$M$2:$M$1500,$A101&amp;"|"&amp;BC$1&amp;"|Input"),IF(COUNTIF(Flows!$M$2:$M$1500,$A101&amp;"|"&amp;BC$1&amp;"|Output"),"I/O","IN"),IF(COUNTIF(Flows!$M$2:$M$1500,$A101&amp;"|"&amp;BC$1&amp;"|Output"),"OUT",""))</f>
        <v/>
      </c>
      <c r="BD101" s="33" t="str">
        <f aca="false">IF(COUNTIF(Flows!$M$2:$M$1500,$A101&amp;"|"&amp;BD$1&amp;"|Input"),IF(COUNTIF(Flows!$M$2:$M$1500,$A101&amp;"|"&amp;BD$1&amp;"|Output"),"I/O","IN"),IF(COUNTIF(Flows!$M$2:$M$1500,$A101&amp;"|"&amp;BD$1&amp;"|Output"),"OUT",""))</f>
        <v/>
      </c>
      <c r="BE101" s="33" t="str">
        <f aca="false">IF(COUNTIF(Flows!$M$2:$M$1500,$A101&amp;"|"&amp;BE$1&amp;"|Input"),IF(COUNTIF(Flows!$M$2:$M$1500,$A101&amp;"|"&amp;BE$1&amp;"|Output"),"I/O","IN"),IF(COUNTIF(Flows!$M$2:$M$1500,$A101&amp;"|"&amp;BE$1&amp;"|Output"),"OUT",""))</f>
        <v/>
      </c>
      <c r="BF101" s="33" t="str">
        <f aca="false">IF(COUNTIF(Flows!$M$2:$M$1500,$A101&amp;"|"&amp;BF$1&amp;"|Input"),IF(COUNTIF(Flows!$M$2:$M$1500,$A101&amp;"|"&amp;BF$1&amp;"|Output"),"I/O","IN"),IF(COUNTIF(Flows!$M$2:$M$1500,$A101&amp;"|"&amp;BF$1&amp;"|Output"),"OUT",""))</f>
        <v/>
      </c>
      <c r="BG101" s="33" t="str">
        <f aca="false">IF(COUNTIF(Flows!$M$2:$M$1500,$A101&amp;"|"&amp;BG$1&amp;"|Input"),IF(COUNTIF(Flows!$M$2:$M$1500,$A101&amp;"|"&amp;BG$1&amp;"|Output"),"I/O","IN"),IF(COUNTIF(Flows!$M$2:$M$1500,$A101&amp;"|"&amp;BG$1&amp;"|Output"),"OUT",""))</f>
        <v/>
      </c>
      <c r="BH101" s="33" t="str">
        <f aca="false">IF(COUNTIF(Flows!$M$2:$M$1500,$A101&amp;"|"&amp;BH$1&amp;"|Input"),IF(COUNTIF(Flows!$M$2:$M$1500,$A101&amp;"|"&amp;BH$1&amp;"|Output"),"I/O","IN"),IF(COUNTIF(Flows!$M$2:$M$1500,$A101&amp;"|"&amp;BH$1&amp;"|Output"),"OUT",""))</f>
        <v/>
      </c>
      <c r="BI101" s="33" t="str">
        <f aca="false">IF(COUNTIF(Flows!$M$2:$M$1500,$A101&amp;"|"&amp;BI$1&amp;"|Input"),IF(COUNTIF(Flows!$M$2:$M$1500,$A101&amp;"|"&amp;BI$1&amp;"|Output"),"I/O","IN"),IF(COUNTIF(Flows!$M$2:$M$1500,$A101&amp;"|"&amp;BI$1&amp;"|Output"),"OUT",""))</f>
        <v/>
      </c>
      <c r="BJ101" s="33" t="str">
        <f aca="false">IF(COUNTIF(Flows!$M$2:$M$1500,$A101&amp;"|"&amp;BJ$1&amp;"|Input"),IF(COUNTIF(Flows!$M$2:$M$1500,$A101&amp;"|"&amp;BJ$1&amp;"|Output"),"I/O","IN"),IF(COUNTIF(Flows!$M$2:$M$1500,$A101&amp;"|"&amp;BJ$1&amp;"|Output"),"OUT",""))</f>
        <v/>
      </c>
      <c r="BK101" s="33" t="str">
        <f aca="false">IF(COUNTIF(Flows!$M$2:$M$1500,$A101&amp;"|"&amp;BK$1&amp;"|Input"),IF(COUNTIF(Flows!$M$2:$M$1500,$A101&amp;"|"&amp;BK$1&amp;"|Output"),"I/O","IN"),IF(COUNTIF(Flows!$M$2:$M$1500,$A101&amp;"|"&amp;BK$1&amp;"|Output"),"OUT",""))</f>
        <v>OUT</v>
      </c>
    </row>
    <row r="102" customFormat="false" ht="15" hidden="false" customHeight="true" outlineLevel="0" collapsed="false">
      <c r="A102" s="6" t="str">
        <f aca="false">Systems!B102</f>
        <v>Heat Pump (Mini-Split)</v>
      </c>
      <c r="B102" s="33" t="str">
        <f aca="false">IF(COUNTIF(Flows!$M$2:$M$1500,$A102&amp;"|"&amp;B$1&amp;"|Input"),IF(COUNTIF(Flows!$M$2:$M$1500,$A102&amp;"|"&amp;B$1&amp;"|Output"),"I/O","IN"),IF(COUNTIF(Flows!$M$2:$M$1500,$A102&amp;"|"&amp;B$1&amp;"|Output"),"OUT",""))</f>
        <v/>
      </c>
      <c r="C102" s="33" t="str">
        <f aca="false">IF(COUNTIF(Flows!$M$2:$M$1500,$A102&amp;"|"&amp;C$1&amp;"|Input"),IF(COUNTIF(Flows!$M$2:$M$1500,$A102&amp;"|"&amp;C$1&amp;"|Output"),"I/O","IN"),IF(COUNTIF(Flows!$M$2:$M$1500,$A102&amp;"|"&amp;C$1&amp;"|Output"),"OUT",""))</f>
        <v/>
      </c>
      <c r="D102" s="33" t="str">
        <f aca="false">IF(COUNTIF(Flows!$M$2:$M$1500,$A102&amp;"|"&amp;D$1&amp;"|Input"),IF(COUNTIF(Flows!$M$2:$M$1500,$A102&amp;"|"&amp;D$1&amp;"|Output"),"I/O","IN"),IF(COUNTIF(Flows!$M$2:$M$1500,$A102&amp;"|"&amp;D$1&amp;"|Output"),"OUT",""))</f>
        <v/>
      </c>
      <c r="E102" s="33" t="str">
        <f aca="false">IF(COUNTIF(Flows!$M$2:$M$1500,$A102&amp;"|"&amp;E$1&amp;"|Input"),IF(COUNTIF(Flows!$M$2:$M$1500,$A102&amp;"|"&amp;E$1&amp;"|Output"),"I/O","IN"),IF(COUNTIF(Flows!$M$2:$M$1500,$A102&amp;"|"&amp;E$1&amp;"|Output"),"OUT",""))</f>
        <v/>
      </c>
      <c r="F102" s="33" t="str">
        <f aca="false">IF(COUNTIF(Flows!$M$2:$M$1500,$A102&amp;"|"&amp;F$1&amp;"|Input"),IF(COUNTIF(Flows!$M$2:$M$1500,$A102&amp;"|"&amp;F$1&amp;"|Output"),"I/O","IN"),IF(COUNTIF(Flows!$M$2:$M$1500,$A102&amp;"|"&amp;F$1&amp;"|Output"),"OUT",""))</f>
        <v/>
      </c>
      <c r="G102" s="33" t="str">
        <f aca="false">IF(COUNTIF(Flows!$M$2:$M$1500,$A102&amp;"|"&amp;G$1&amp;"|Input"),IF(COUNTIF(Flows!$M$2:$M$1500,$A102&amp;"|"&amp;G$1&amp;"|Output"),"I/O","IN"),IF(COUNTIF(Flows!$M$2:$M$1500,$A102&amp;"|"&amp;G$1&amp;"|Output"),"OUT",""))</f>
        <v/>
      </c>
      <c r="H102" s="33" t="str">
        <f aca="false">IF(COUNTIF(Flows!$M$2:$M$1500,$A102&amp;"|"&amp;H$1&amp;"|Input"),IF(COUNTIF(Flows!$M$2:$M$1500,$A102&amp;"|"&amp;H$1&amp;"|Output"),"I/O","IN"),IF(COUNTIF(Flows!$M$2:$M$1500,$A102&amp;"|"&amp;H$1&amp;"|Output"),"OUT",""))</f>
        <v/>
      </c>
      <c r="I102" s="33" t="str">
        <f aca="false">IF(COUNTIF(Flows!$M$2:$M$1500,$A102&amp;"|"&amp;I$1&amp;"|Input"),IF(COUNTIF(Flows!$M$2:$M$1500,$A102&amp;"|"&amp;I$1&amp;"|Output"),"I/O","IN"),IF(COUNTIF(Flows!$M$2:$M$1500,$A102&amp;"|"&amp;I$1&amp;"|Output"),"OUT",""))</f>
        <v/>
      </c>
      <c r="J102" s="33" t="str">
        <f aca="false">IF(COUNTIF(Flows!$M$2:$M$1500,$A102&amp;"|"&amp;J$1&amp;"|Input"),IF(COUNTIF(Flows!$M$2:$M$1500,$A102&amp;"|"&amp;J$1&amp;"|Output"),"I/O","IN"),IF(COUNTIF(Flows!$M$2:$M$1500,$A102&amp;"|"&amp;J$1&amp;"|Output"),"OUT",""))</f>
        <v/>
      </c>
      <c r="K102" s="33" t="str">
        <f aca="false">IF(COUNTIF(Flows!$M$2:$M$1500,$A102&amp;"|"&amp;K$1&amp;"|Input"),IF(COUNTIF(Flows!$M$2:$M$1500,$A102&amp;"|"&amp;K$1&amp;"|Output"),"I/O","IN"),IF(COUNTIF(Flows!$M$2:$M$1500,$A102&amp;"|"&amp;K$1&amp;"|Output"),"OUT",""))</f>
        <v/>
      </c>
      <c r="L102" s="33" t="str">
        <f aca="false">IF(COUNTIF(Flows!$M$2:$M$1500,$A102&amp;"|"&amp;L$1&amp;"|Input"),IF(COUNTIF(Flows!$M$2:$M$1500,$A102&amp;"|"&amp;L$1&amp;"|Output"),"I/O","IN"),IF(COUNTIF(Flows!$M$2:$M$1500,$A102&amp;"|"&amp;L$1&amp;"|Output"),"OUT",""))</f>
        <v/>
      </c>
      <c r="M102" s="33" t="str">
        <f aca="false">IF(COUNTIF(Flows!$M$2:$M$1500,$A102&amp;"|"&amp;M$1&amp;"|Input"),IF(COUNTIF(Flows!$M$2:$M$1500,$A102&amp;"|"&amp;M$1&amp;"|Output"),"I/O","IN"),IF(COUNTIF(Flows!$M$2:$M$1500,$A102&amp;"|"&amp;M$1&amp;"|Output"),"OUT",""))</f>
        <v/>
      </c>
      <c r="N102" s="33" t="str">
        <f aca="false">IF(COUNTIF(Flows!$M$2:$M$1500,$A102&amp;"|"&amp;N$1&amp;"|Input"),IF(COUNTIF(Flows!$M$2:$M$1500,$A102&amp;"|"&amp;N$1&amp;"|Output"),"I/O","IN"),IF(COUNTIF(Flows!$M$2:$M$1500,$A102&amp;"|"&amp;N$1&amp;"|Output"),"OUT",""))</f>
        <v/>
      </c>
      <c r="O102" s="33" t="str">
        <f aca="false">IF(COUNTIF(Flows!$M$2:$M$1500,$A102&amp;"|"&amp;O$1&amp;"|Input"),IF(COUNTIF(Flows!$M$2:$M$1500,$A102&amp;"|"&amp;O$1&amp;"|Output"),"I/O","IN"),IF(COUNTIF(Flows!$M$2:$M$1500,$A102&amp;"|"&amp;O$1&amp;"|Output"),"OUT",""))</f>
        <v/>
      </c>
      <c r="P102" s="33" t="str">
        <f aca="false">IF(COUNTIF(Flows!$M$2:$M$1500,$A102&amp;"|"&amp;P$1&amp;"|Input"),IF(COUNTIF(Flows!$M$2:$M$1500,$A102&amp;"|"&amp;P$1&amp;"|Output"),"I/O","IN"),IF(COUNTIF(Flows!$M$2:$M$1500,$A102&amp;"|"&amp;P$1&amp;"|Output"),"OUT",""))</f>
        <v/>
      </c>
      <c r="Q102" s="33" t="str">
        <f aca="false">IF(COUNTIF(Flows!$M$2:$M$1500,$A102&amp;"|"&amp;Q$1&amp;"|Input"),IF(COUNTIF(Flows!$M$2:$M$1500,$A102&amp;"|"&amp;Q$1&amp;"|Output"),"I/O","IN"),IF(COUNTIF(Flows!$M$2:$M$1500,$A102&amp;"|"&amp;Q$1&amp;"|Output"),"OUT",""))</f>
        <v/>
      </c>
      <c r="R102" s="33" t="str">
        <f aca="false">IF(COUNTIF(Flows!$M$2:$M$1500,$A102&amp;"|"&amp;R$1&amp;"|Input"),IF(COUNTIF(Flows!$M$2:$M$1500,$A102&amp;"|"&amp;R$1&amp;"|Output"),"I/O","IN"),IF(COUNTIF(Flows!$M$2:$M$1500,$A102&amp;"|"&amp;R$1&amp;"|Output"),"OUT",""))</f>
        <v/>
      </c>
      <c r="S102" s="33" t="str">
        <f aca="false">IF(COUNTIF(Flows!$M$2:$M$1500,$A102&amp;"|"&amp;S$1&amp;"|Input"),IF(COUNTIF(Flows!$M$2:$M$1500,$A102&amp;"|"&amp;S$1&amp;"|Output"),"I/O","IN"),IF(COUNTIF(Flows!$M$2:$M$1500,$A102&amp;"|"&amp;S$1&amp;"|Output"),"OUT",""))</f>
        <v>IN</v>
      </c>
      <c r="T102" s="33" t="str">
        <f aca="false">IF(COUNTIF(Flows!$M$2:$M$1500,$A102&amp;"|"&amp;T$1&amp;"|Input"),IF(COUNTIF(Flows!$M$2:$M$1500,$A102&amp;"|"&amp;T$1&amp;"|Output"),"I/O","IN"),IF(COUNTIF(Flows!$M$2:$M$1500,$A102&amp;"|"&amp;T$1&amp;"|Output"),"OUT",""))</f>
        <v/>
      </c>
      <c r="U102" s="33" t="str">
        <f aca="false">IF(COUNTIF(Flows!$M$2:$M$1500,$A102&amp;"|"&amp;U$1&amp;"|Input"),IF(COUNTIF(Flows!$M$2:$M$1500,$A102&amp;"|"&amp;U$1&amp;"|Output"),"I/O","IN"),IF(COUNTIF(Flows!$M$2:$M$1500,$A102&amp;"|"&amp;U$1&amp;"|Output"),"OUT",""))</f>
        <v/>
      </c>
      <c r="V102" s="33" t="str">
        <f aca="false">IF(COUNTIF(Flows!$M$2:$M$1500,$A102&amp;"|"&amp;V$1&amp;"|Input"),IF(COUNTIF(Flows!$M$2:$M$1500,$A102&amp;"|"&amp;V$1&amp;"|Output"),"I/O","IN"),IF(COUNTIF(Flows!$M$2:$M$1500,$A102&amp;"|"&amp;V$1&amp;"|Output"),"OUT",""))</f>
        <v>OUT</v>
      </c>
      <c r="W102" s="33" t="str">
        <f aca="false">IF(COUNTIF(Flows!$M$2:$M$1500,$A102&amp;"|"&amp;W$1&amp;"|Input"),IF(COUNTIF(Flows!$M$2:$M$1500,$A102&amp;"|"&amp;W$1&amp;"|Output"),"I/O","IN"),IF(COUNTIF(Flows!$M$2:$M$1500,$A102&amp;"|"&amp;W$1&amp;"|Output"),"OUT",""))</f>
        <v>OUT</v>
      </c>
      <c r="X102" s="33" t="str">
        <f aca="false">IF(COUNTIF(Flows!$M$2:$M$1500,$A102&amp;"|"&amp;X$1&amp;"|Input"),IF(COUNTIF(Flows!$M$2:$M$1500,$A102&amp;"|"&amp;X$1&amp;"|Output"),"I/O","IN"),IF(COUNTIF(Flows!$M$2:$M$1500,$A102&amp;"|"&amp;X$1&amp;"|Output"),"OUT",""))</f>
        <v>IN</v>
      </c>
      <c r="Y102" s="33" t="str">
        <f aca="false">IF(COUNTIF(Flows!$M$2:$M$1500,$A102&amp;"|"&amp;Y$1&amp;"|Input"),IF(COUNTIF(Flows!$M$2:$M$1500,$A102&amp;"|"&amp;Y$1&amp;"|Output"),"I/O","IN"),IF(COUNTIF(Flows!$M$2:$M$1500,$A102&amp;"|"&amp;Y$1&amp;"|Output"),"OUT",""))</f>
        <v/>
      </c>
      <c r="Z102" s="33" t="str">
        <f aca="false">IF(COUNTIF(Flows!$M$2:$M$1500,$A102&amp;"|"&amp;Z$1&amp;"|Input"),IF(COUNTIF(Flows!$M$2:$M$1500,$A102&amp;"|"&amp;Z$1&amp;"|Output"),"I/O","IN"),IF(COUNTIF(Flows!$M$2:$M$1500,$A102&amp;"|"&amp;Z$1&amp;"|Output"),"OUT",""))</f>
        <v/>
      </c>
      <c r="AA102" s="33" t="str">
        <f aca="false">IF(COUNTIF(Flows!$M$2:$M$1500,$A102&amp;"|"&amp;AA$1&amp;"|Input"),IF(COUNTIF(Flows!$M$2:$M$1500,$A102&amp;"|"&amp;AA$1&amp;"|Output"),"I/O","IN"),IF(COUNTIF(Flows!$M$2:$M$1500,$A102&amp;"|"&amp;AA$1&amp;"|Output"),"OUT",""))</f>
        <v/>
      </c>
      <c r="AB102" s="33" t="str">
        <f aca="false">IF(COUNTIF(Flows!$M$2:$M$1500,$A102&amp;"|"&amp;AB$1&amp;"|Input"),IF(COUNTIF(Flows!$M$2:$M$1500,$A102&amp;"|"&amp;AB$1&amp;"|Output"),"I/O","IN"),IF(COUNTIF(Flows!$M$2:$M$1500,$A102&amp;"|"&amp;AB$1&amp;"|Output"),"OUT",""))</f>
        <v/>
      </c>
      <c r="AC102" s="33" t="str">
        <f aca="false">IF(COUNTIF(Flows!$M$2:$M$1500,$A102&amp;"|"&amp;AC$1&amp;"|Input"),IF(COUNTIF(Flows!$M$2:$M$1500,$A102&amp;"|"&amp;AC$1&amp;"|Output"),"I/O","IN"),IF(COUNTIF(Flows!$M$2:$M$1500,$A102&amp;"|"&amp;AC$1&amp;"|Output"),"OUT",""))</f>
        <v/>
      </c>
      <c r="AD102" s="33" t="str">
        <f aca="false">IF(COUNTIF(Flows!$M$2:$M$1500,$A102&amp;"|"&amp;AD$1&amp;"|Input"),IF(COUNTIF(Flows!$M$2:$M$1500,$A102&amp;"|"&amp;AD$1&amp;"|Output"),"I/O","IN"),IF(COUNTIF(Flows!$M$2:$M$1500,$A102&amp;"|"&amp;AD$1&amp;"|Output"),"OUT",""))</f>
        <v/>
      </c>
      <c r="AE102" s="33" t="str">
        <f aca="false">IF(COUNTIF(Flows!$M$2:$M$1500,$A102&amp;"|"&amp;AE$1&amp;"|Input"),IF(COUNTIF(Flows!$M$2:$M$1500,$A102&amp;"|"&amp;AE$1&amp;"|Output"),"I/O","IN"),IF(COUNTIF(Flows!$M$2:$M$1500,$A102&amp;"|"&amp;AE$1&amp;"|Output"),"OUT",""))</f>
        <v/>
      </c>
      <c r="AF102" s="33" t="str">
        <f aca="false">IF(COUNTIF(Flows!$M$2:$M$1500,$A102&amp;"|"&amp;AF$1&amp;"|Input"),IF(COUNTIF(Flows!$M$2:$M$1500,$A102&amp;"|"&amp;AF$1&amp;"|Output"),"I/O","IN"),IF(COUNTIF(Flows!$M$2:$M$1500,$A102&amp;"|"&amp;AF$1&amp;"|Output"),"OUT",""))</f>
        <v/>
      </c>
      <c r="AG102" s="33" t="str">
        <f aca="false">IF(COUNTIF(Flows!$M$2:$M$1500,$A102&amp;"|"&amp;AG$1&amp;"|Input"),IF(COUNTIF(Flows!$M$2:$M$1500,$A102&amp;"|"&amp;AG$1&amp;"|Output"),"I/O","IN"),IF(COUNTIF(Flows!$M$2:$M$1500,$A102&amp;"|"&amp;AG$1&amp;"|Output"),"OUT",""))</f>
        <v/>
      </c>
      <c r="AH102" s="33" t="str">
        <f aca="false">IF(COUNTIF(Flows!$M$2:$M$1500,$A102&amp;"|"&amp;AH$1&amp;"|Input"),IF(COUNTIF(Flows!$M$2:$M$1500,$A102&amp;"|"&amp;AH$1&amp;"|Output"),"I/O","IN"),IF(COUNTIF(Flows!$M$2:$M$1500,$A102&amp;"|"&amp;AH$1&amp;"|Output"),"OUT",""))</f>
        <v/>
      </c>
      <c r="AI102" s="33" t="str">
        <f aca="false">IF(COUNTIF(Flows!$M$2:$M$1500,$A102&amp;"|"&amp;AI$1&amp;"|Input"),IF(COUNTIF(Flows!$M$2:$M$1500,$A102&amp;"|"&amp;AI$1&amp;"|Output"),"I/O","IN"),IF(COUNTIF(Flows!$M$2:$M$1500,$A102&amp;"|"&amp;AI$1&amp;"|Output"),"OUT",""))</f>
        <v/>
      </c>
      <c r="AJ102" s="33" t="str">
        <f aca="false">IF(COUNTIF(Flows!$M$2:$M$1500,$A102&amp;"|"&amp;AJ$1&amp;"|Input"),IF(COUNTIF(Flows!$M$2:$M$1500,$A102&amp;"|"&amp;AJ$1&amp;"|Output"),"I/O","IN"),IF(COUNTIF(Flows!$M$2:$M$1500,$A102&amp;"|"&amp;AJ$1&amp;"|Output"),"OUT",""))</f>
        <v/>
      </c>
      <c r="AK102" s="33" t="str">
        <f aca="false">IF(COUNTIF(Flows!$M$2:$M$1500,$A102&amp;"|"&amp;AK$1&amp;"|Input"),IF(COUNTIF(Flows!$M$2:$M$1500,$A102&amp;"|"&amp;AK$1&amp;"|Output"),"I/O","IN"),IF(COUNTIF(Flows!$M$2:$M$1500,$A102&amp;"|"&amp;AK$1&amp;"|Output"),"OUT",""))</f>
        <v/>
      </c>
      <c r="AL102" s="33" t="str">
        <f aca="false">IF(COUNTIF(Flows!$M$2:$M$1500,$A102&amp;"|"&amp;AL$1&amp;"|Input"),IF(COUNTIF(Flows!$M$2:$M$1500,$A102&amp;"|"&amp;AL$1&amp;"|Output"),"I/O","IN"),IF(COUNTIF(Flows!$M$2:$M$1500,$A102&amp;"|"&amp;AL$1&amp;"|Output"),"OUT",""))</f>
        <v/>
      </c>
      <c r="AM102" s="33" t="str">
        <f aca="false">IF(COUNTIF(Flows!$M$2:$M$1500,$A102&amp;"|"&amp;AM$1&amp;"|Input"),IF(COUNTIF(Flows!$M$2:$M$1500,$A102&amp;"|"&amp;AM$1&amp;"|Output"),"I/O","IN"),IF(COUNTIF(Flows!$M$2:$M$1500,$A102&amp;"|"&amp;AM$1&amp;"|Output"),"OUT",""))</f>
        <v/>
      </c>
      <c r="AN102" s="33" t="str">
        <f aca="false">IF(COUNTIF(Flows!$M$2:$M$1500,$A102&amp;"|"&amp;AN$1&amp;"|Input"),IF(COUNTIF(Flows!$M$2:$M$1500,$A102&amp;"|"&amp;AN$1&amp;"|Output"),"I/O","IN"),IF(COUNTIF(Flows!$M$2:$M$1500,$A102&amp;"|"&amp;AN$1&amp;"|Output"),"OUT",""))</f>
        <v/>
      </c>
      <c r="AO102" s="33" t="str">
        <f aca="false">IF(COUNTIF(Flows!$M$2:$M$1500,$A102&amp;"|"&amp;AO$1&amp;"|Input"),IF(COUNTIF(Flows!$M$2:$M$1500,$A102&amp;"|"&amp;AO$1&amp;"|Output"),"I/O","IN"),IF(COUNTIF(Flows!$M$2:$M$1500,$A102&amp;"|"&amp;AO$1&amp;"|Output"),"OUT",""))</f>
        <v/>
      </c>
      <c r="AP102" s="33" t="str">
        <f aca="false">IF(COUNTIF(Flows!$M$2:$M$1500,$A102&amp;"|"&amp;AP$1&amp;"|Input"),IF(COUNTIF(Flows!$M$2:$M$1500,$A102&amp;"|"&amp;AP$1&amp;"|Output"),"I/O","IN"),IF(COUNTIF(Flows!$M$2:$M$1500,$A102&amp;"|"&amp;AP$1&amp;"|Output"),"OUT",""))</f>
        <v/>
      </c>
      <c r="AQ102" s="33" t="str">
        <f aca="false">IF(COUNTIF(Flows!$M$2:$M$1500,$A102&amp;"|"&amp;AQ$1&amp;"|Input"),IF(COUNTIF(Flows!$M$2:$M$1500,$A102&amp;"|"&amp;AQ$1&amp;"|Output"),"I/O","IN"),IF(COUNTIF(Flows!$M$2:$M$1500,$A102&amp;"|"&amp;AQ$1&amp;"|Output"),"OUT",""))</f>
        <v/>
      </c>
      <c r="AR102" s="33" t="str">
        <f aca="false">IF(COUNTIF(Flows!$M$2:$M$1500,$A102&amp;"|"&amp;AR$1&amp;"|Input"),IF(COUNTIF(Flows!$M$2:$M$1500,$A102&amp;"|"&amp;AR$1&amp;"|Output"),"I/O","IN"),IF(COUNTIF(Flows!$M$2:$M$1500,$A102&amp;"|"&amp;AR$1&amp;"|Output"),"OUT",""))</f>
        <v/>
      </c>
      <c r="AS102" s="33" t="str">
        <f aca="false">IF(COUNTIF(Flows!$M$2:$M$1500,$A102&amp;"|"&amp;AS$1&amp;"|Input"),IF(COUNTIF(Flows!$M$2:$M$1500,$A102&amp;"|"&amp;AS$1&amp;"|Output"),"I/O","IN"),IF(COUNTIF(Flows!$M$2:$M$1500,$A102&amp;"|"&amp;AS$1&amp;"|Output"),"OUT",""))</f>
        <v/>
      </c>
      <c r="AT102" s="33" t="str">
        <f aca="false">IF(COUNTIF(Flows!$M$2:$M$1500,$A102&amp;"|"&amp;AT$1&amp;"|Input"),IF(COUNTIF(Flows!$M$2:$M$1500,$A102&amp;"|"&amp;AT$1&amp;"|Output"),"I/O","IN"),IF(COUNTIF(Flows!$M$2:$M$1500,$A102&amp;"|"&amp;AT$1&amp;"|Output"),"OUT",""))</f>
        <v/>
      </c>
      <c r="AU102" s="33" t="str">
        <f aca="false">IF(COUNTIF(Flows!$M$2:$M$1500,$A102&amp;"|"&amp;AU$1&amp;"|Input"),IF(COUNTIF(Flows!$M$2:$M$1500,$A102&amp;"|"&amp;AU$1&amp;"|Output"),"I/O","IN"),IF(COUNTIF(Flows!$M$2:$M$1500,$A102&amp;"|"&amp;AU$1&amp;"|Output"),"OUT",""))</f>
        <v/>
      </c>
      <c r="AV102" s="33" t="str">
        <f aca="false">IF(COUNTIF(Flows!$M$2:$M$1500,$A102&amp;"|"&amp;AV$1&amp;"|Input"),IF(COUNTIF(Flows!$M$2:$M$1500,$A102&amp;"|"&amp;AV$1&amp;"|Output"),"I/O","IN"),IF(COUNTIF(Flows!$M$2:$M$1500,$A102&amp;"|"&amp;AV$1&amp;"|Output"),"OUT",""))</f>
        <v/>
      </c>
      <c r="AW102" s="33" t="str">
        <f aca="false">IF(COUNTIF(Flows!$M$2:$M$1500,$A102&amp;"|"&amp;AW$1&amp;"|Input"),IF(COUNTIF(Flows!$M$2:$M$1500,$A102&amp;"|"&amp;AW$1&amp;"|Output"),"I/O","IN"),IF(COUNTIF(Flows!$M$2:$M$1500,$A102&amp;"|"&amp;AW$1&amp;"|Output"),"OUT",""))</f>
        <v/>
      </c>
      <c r="AX102" s="33" t="str">
        <f aca="false">IF(COUNTIF(Flows!$M$2:$M$1500,$A102&amp;"|"&amp;AX$1&amp;"|Input"),IF(COUNTIF(Flows!$M$2:$M$1500,$A102&amp;"|"&amp;AX$1&amp;"|Output"),"I/O","IN"),IF(COUNTIF(Flows!$M$2:$M$1500,$A102&amp;"|"&amp;AX$1&amp;"|Output"),"OUT",""))</f>
        <v/>
      </c>
      <c r="AY102" s="33" t="str">
        <f aca="false">IF(COUNTIF(Flows!$M$2:$M$1500,$A102&amp;"|"&amp;AY$1&amp;"|Input"),IF(COUNTIF(Flows!$M$2:$M$1500,$A102&amp;"|"&amp;AY$1&amp;"|Output"),"I/O","IN"),IF(COUNTIF(Flows!$M$2:$M$1500,$A102&amp;"|"&amp;AY$1&amp;"|Output"),"OUT",""))</f>
        <v/>
      </c>
      <c r="AZ102" s="33" t="str">
        <f aca="false">IF(COUNTIF(Flows!$M$2:$M$1500,$A102&amp;"|"&amp;AZ$1&amp;"|Input"),IF(COUNTIF(Flows!$M$2:$M$1500,$A102&amp;"|"&amp;AZ$1&amp;"|Output"),"I/O","IN"),IF(COUNTIF(Flows!$M$2:$M$1500,$A102&amp;"|"&amp;AZ$1&amp;"|Output"),"OUT",""))</f>
        <v/>
      </c>
      <c r="BA102" s="33" t="str">
        <f aca="false">IF(COUNTIF(Flows!$M$2:$M$1500,$A102&amp;"|"&amp;BA$1&amp;"|Input"),IF(COUNTIF(Flows!$M$2:$M$1500,$A102&amp;"|"&amp;BA$1&amp;"|Output"),"I/O","IN"),IF(COUNTIF(Flows!$M$2:$M$1500,$A102&amp;"|"&amp;BA$1&amp;"|Output"),"OUT",""))</f>
        <v/>
      </c>
      <c r="BB102" s="33" t="str">
        <f aca="false">IF(COUNTIF(Flows!$M$2:$M$1500,$A102&amp;"|"&amp;BB$1&amp;"|Input"),IF(COUNTIF(Flows!$M$2:$M$1500,$A102&amp;"|"&amp;BB$1&amp;"|Output"),"I/O","IN"),IF(COUNTIF(Flows!$M$2:$M$1500,$A102&amp;"|"&amp;BB$1&amp;"|Output"),"OUT",""))</f>
        <v/>
      </c>
      <c r="BC102" s="33" t="str">
        <f aca="false">IF(COUNTIF(Flows!$M$2:$M$1500,$A102&amp;"|"&amp;BC$1&amp;"|Input"),IF(COUNTIF(Flows!$M$2:$M$1500,$A102&amp;"|"&amp;BC$1&amp;"|Output"),"I/O","IN"),IF(COUNTIF(Flows!$M$2:$M$1500,$A102&amp;"|"&amp;BC$1&amp;"|Output"),"OUT",""))</f>
        <v/>
      </c>
      <c r="BD102" s="33" t="str">
        <f aca="false">IF(COUNTIF(Flows!$M$2:$M$1500,$A102&amp;"|"&amp;BD$1&amp;"|Input"),IF(COUNTIF(Flows!$M$2:$M$1500,$A102&amp;"|"&amp;BD$1&amp;"|Output"),"I/O","IN"),IF(COUNTIF(Flows!$M$2:$M$1500,$A102&amp;"|"&amp;BD$1&amp;"|Output"),"OUT",""))</f>
        <v/>
      </c>
      <c r="BE102" s="33" t="str">
        <f aca="false">IF(COUNTIF(Flows!$M$2:$M$1500,$A102&amp;"|"&amp;BE$1&amp;"|Input"),IF(COUNTIF(Flows!$M$2:$M$1500,$A102&amp;"|"&amp;BE$1&amp;"|Output"),"I/O","IN"),IF(COUNTIF(Flows!$M$2:$M$1500,$A102&amp;"|"&amp;BE$1&amp;"|Output"),"OUT",""))</f>
        <v/>
      </c>
      <c r="BF102" s="33" t="str">
        <f aca="false">IF(COUNTIF(Flows!$M$2:$M$1500,$A102&amp;"|"&amp;BF$1&amp;"|Input"),IF(COUNTIF(Flows!$M$2:$M$1500,$A102&amp;"|"&amp;BF$1&amp;"|Output"),"I/O","IN"),IF(COUNTIF(Flows!$M$2:$M$1500,$A102&amp;"|"&amp;BF$1&amp;"|Output"),"OUT",""))</f>
        <v/>
      </c>
      <c r="BG102" s="33" t="str">
        <f aca="false">IF(COUNTIF(Flows!$M$2:$M$1500,$A102&amp;"|"&amp;BG$1&amp;"|Input"),IF(COUNTIF(Flows!$M$2:$M$1500,$A102&amp;"|"&amp;BG$1&amp;"|Output"),"I/O","IN"),IF(COUNTIF(Flows!$M$2:$M$1500,$A102&amp;"|"&amp;BG$1&amp;"|Output"),"OUT",""))</f>
        <v/>
      </c>
      <c r="BH102" s="33" t="str">
        <f aca="false">IF(COUNTIF(Flows!$M$2:$M$1500,$A102&amp;"|"&amp;BH$1&amp;"|Input"),IF(COUNTIF(Flows!$M$2:$M$1500,$A102&amp;"|"&amp;BH$1&amp;"|Output"),"I/O","IN"),IF(COUNTIF(Flows!$M$2:$M$1500,$A102&amp;"|"&amp;BH$1&amp;"|Output"),"OUT",""))</f>
        <v/>
      </c>
      <c r="BI102" s="33" t="str">
        <f aca="false">IF(COUNTIF(Flows!$M$2:$M$1500,$A102&amp;"|"&amp;BI$1&amp;"|Input"),IF(COUNTIF(Flows!$M$2:$M$1500,$A102&amp;"|"&amp;BI$1&amp;"|Output"),"I/O","IN"),IF(COUNTIF(Flows!$M$2:$M$1500,$A102&amp;"|"&amp;BI$1&amp;"|Output"),"OUT",""))</f>
        <v/>
      </c>
      <c r="BJ102" s="33" t="str">
        <f aca="false">IF(COUNTIF(Flows!$M$2:$M$1500,$A102&amp;"|"&amp;BJ$1&amp;"|Input"),IF(COUNTIF(Flows!$M$2:$M$1500,$A102&amp;"|"&amp;BJ$1&amp;"|Output"),"I/O","IN"),IF(COUNTIF(Flows!$M$2:$M$1500,$A102&amp;"|"&amp;BJ$1&amp;"|Output"),"OUT",""))</f>
        <v/>
      </c>
      <c r="BK102" s="33" t="str">
        <f aca="false">IF(COUNTIF(Flows!$M$2:$M$1500,$A102&amp;"|"&amp;BK$1&amp;"|Input"),IF(COUNTIF(Flows!$M$2:$M$1500,$A102&amp;"|"&amp;BK$1&amp;"|Output"),"I/O","IN"),IF(COUNTIF(Flows!$M$2:$M$1500,$A102&amp;"|"&amp;BK$1&amp;"|Output"),"OUT",""))</f>
        <v/>
      </c>
    </row>
    <row r="103" customFormat="false" ht="15" hidden="false" customHeight="true" outlineLevel="0" collapsed="false">
      <c r="A103" s="6" t="str">
        <f aca="false">Systems!B103</f>
        <v>Propane Tank &amp; Delivery (500 gal)</v>
      </c>
      <c r="B103" s="33" t="str">
        <f aca="false">IF(COUNTIF(Flows!$M$2:$M$1500,$A103&amp;"|"&amp;B$1&amp;"|Input"),IF(COUNTIF(Flows!$M$2:$M$1500,$A103&amp;"|"&amp;B$1&amp;"|Output"),"I/O","IN"),IF(COUNTIF(Flows!$M$2:$M$1500,$A103&amp;"|"&amp;B$1&amp;"|Output"),"OUT",""))</f>
        <v/>
      </c>
      <c r="C103" s="33" t="str">
        <f aca="false">IF(COUNTIF(Flows!$M$2:$M$1500,$A103&amp;"|"&amp;C$1&amp;"|Input"),IF(COUNTIF(Flows!$M$2:$M$1500,$A103&amp;"|"&amp;C$1&amp;"|Output"),"I/O","IN"),IF(COUNTIF(Flows!$M$2:$M$1500,$A103&amp;"|"&amp;C$1&amp;"|Output"),"OUT",""))</f>
        <v/>
      </c>
      <c r="D103" s="33" t="str">
        <f aca="false">IF(COUNTIF(Flows!$M$2:$M$1500,$A103&amp;"|"&amp;D$1&amp;"|Input"),IF(COUNTIF(Flows!$M$2:$M$1500,$A103&amp;"|"&amp;D$1&amp;"|Output"),"I/O","IN"),IF(COUNTIF(Flows!$M$2:$M$1500,$A103&amp;"|"&amp;D$1&amp;"|Output"),"OUT",""))</f>
        <v/>
      </c>
      <c r="E103" s="33" t="str">
        <f aca="false">IF(COUNTIF(Flows!$M$2:$M$1500,$A103&amp;"|"&amp;E$1&amp;"|Input"),IF(COUNTIF(Flows!$M$2:$M$1500,$A103&amp;"|"&amp;E$1&amp;"|Output"),"I/O","IN"),IF(COUNTIF(Flows!$M$2:$M$1500,$A103&amp;"|"&amp;E$1&amp;"|Output"),"OUT",""))</f>
        <v/>
      </c>
      <c r="F103" s="33" t="str">
        <f aca="false">IF(COUNTIF(Flows!$M$2:$M$1500,$A103&amp;"|"&amp;F$1&amp;"|Input"),IF(COUNTIF(Flows!$M$2:$M$1500,$A103&amp;"|"&amp;F$1&amp;"|Output"),"I/O","IN"),IF(COUNTIF(Flows!$M$2:$M$1500,$A103&amp;"|"&amp;F$1&amp;"|Output"),"OUT",""))</f>
        <v/>
      </c>
      <c r="G103" s="33" t="str">
        <f aca="false">IF(COUNTIF(Flows!$M$2:$M$1500,$A103&amp;"|"&amp;G$1&amp;"|Input"),IF(COUNTIF(Flows!$M$2:$M$1500,$A103&amp;"|"&amp;G$1&amp;"|Output"),"I/O","IN"),IF(COUNTIF(Flows!$M$2:$M$1500,$A103&amp;"|"&amp;G$1&amp;"|Output"),"OUT",""))</f>
        <v/>
      </c>
      <c r="H103" s="33" t="str">
        <f aca="false">IF(COUNTIF(Flows!$M$2:$M$1500,$A103&amp;"|"&amp;H$1&amp;"|Input"),IF(COUNTIF(Flows!$M$2:$M$1500,$A103&amp;"|"&amp;H$1&amp;"|Output"),"I/O","IN"),IF(COUNTIF(Flows!$M$2:$M$1500,$A103&amp;"|"&amp;H$1&amp;"|Output"),"OUT",""))</f>
        <v/>
      </c>
      <c r="I103" s="33" t="str">
        <f aca="false">IF(COUNTIF(Flows!$M$2:$M$1500,$A103&amp;"|"&amp;I$1&amp;"|Input"),IF(COUNTIF(Flows!$M$2:$M$1500,$A103&amp;"|"&amp;I$1&amp;"|Output"),"I/O","IN"),IF(COUNTIF(Flows!$M$2:$M$1500,$A103&amp;"|"&amp;I$1&amp;"|Output"),"OUT",""))</f>
        <v/>
      </c>
      <c r="J103" s="33" t="str">
        <f aca="false">IF(COUNTIF(Flows!$M$2:$M$1500,$A103&amp;"|"&amp;J$1&amp;"|Input"),IF(COUNTIF(Flows!$M$2:$M$1500,$A103&amp;"|"&amp;J$1&amp;"|Output"),"I/O","IN"),IF(COUNTIF(Flows!$M$2:$M$1500,$A103&amp;"|"&amp;J$1&amp;"|Output"),"OUT",""))</f>
        <v/>
      </c>
      <c r="K103" s="33" t="str">
        <f aca="false">IF(COUNTIF(Flows!$M$2:$M$1500,$A103&amp;"|"&amp;K$1&amp;"|Input"),IF(COUNTIF(Flows!$M$2:$M$1500,$A103&amp;"|"&amp;K$1&amp;"|Output"),"I/O","IN"),IF(COUNTIF(Flows!$M$2:$M$1500,$A103&amp;"|"&amp;K$1&amp;"|Output"),"OUT",""))</f>
        <v/>
      </c>
      <c r="L103" s="33" t="str">
        <f aca="false">IF(COUNTIF(Flows!$M$2:$M$1500,$A103&amp;"|"&amp;L$1&amp;"|Input"),IF(COUNTIF(Flows!$M$2:$M$1500,$A103&amp;"|"&amp;L$1&amp;"|Output"),"I/O","IN"),IF(COUNTIF(Flows!$M$2:$M$1500,$A103&amp;"|"&amp;L$1&amp;"|Output"),"OUT",""))</f>
        <v/>
      </c>
      <c r="M103" s="33" t="str">
        <f aca="false">IF(COUNTIF(Flows!$M$2:$M$1500,$A103&amp;"|"&amp;M$1&amp;"|Input"),IF(COUNTIF(Flows!$M$2:$M$1500,$A103&amp;"|"&amp;M$1&amp;"|Output"),"I/O","IN"),IF(COUNTIF(Flows!$M$2:$M$1500,$A103&amp;"|"&amp;M$1&amp;"|Output"),"OUT",""))</f>
        <v/>
      </c>
      <c r="N103" s="33" t="str">
        <f aca="false">IF(COUNTIF(Flows!$M$2:$M$1500,$A103&amp;"|"&amp;N$1&amp;"|Input"),IF(COUNTIF(Flows!$M$2:$M$1500,$A103&amp;"|"&amp;N$1&amp;"|Output"),"I/O","IN"),IF(COUNTIF(Flows!$M$2:$M$1500,$A103&amp;"|"&amp;N$1&amp;"|Output"),"OUT",""))</f>
        <v/>
      </c>
      <c r="O103" s="33" t="str">
        <f aca="false">IF(COUNTIF(Flows!$M$2:$M$1500,$A103&amp;"|"&amp;O$1&amp;"|Input"),IF(COUNTIF(Flows!$M$2:$M$1500,$A103&amp;"|"&amp;O$1&amp;"|Output"),"I/O","IN"),IF(COUNTIF(Flows!$M$2:$M$1500,$A103&amp;"|"&amp;O$1&amp;"|Output"),"OUT",""))</f>
        <v/>
      </c>
      <c r="P103" s="33" t="str">
        <f aca="false">IF(COUNTIF(Flows!$M$2:$M$1500,$A103&amp;"|"&amp;P$1&amp;"|Input"),IF(COUNTIF(Flows!$M$2:$M$1500,$A103&amp;"|"&amp;P$1&amp;"|Output"),"I/O","IN"),IF(COUNTIF(Flows!$M$2:$M$1500,$A103&amp;"|"&amp;P$1&amp;"|Output"),"OUT",""))</f>
        <v/>
      </c>
      <c r="Q103" s="33" t="str">
        <f aca="false">IF(COUNTIF(Flows!$M$2:$M$1500,$A103&amp;"|"&amp;Q$1&amp;"|Input"),IF(COUNTIF(Flows!$M$2:$M$1500,$A103&amp;"|"&amp;Q$1&amp;"|Output"),"I/O","IN"),IF(COUNTIF(Flows!$M$2:$M$1500,$A103&amp;"|"&amp;Q$1&amp;"|Output"),"OUT",""))</f>
        <v/>
      </c>
      <c r="R103" s="33" t="str">
        <f aca="false">IF(COUNTIF(Flows!$M$2:$M$1500,$A103&amp;"|"&amp;R$1&amp;"|Input"),IF(COUNTIF(Flows!$M$2:$M$1500,$A103&amp;"|"&amp;R$1&amp;"|Output"),"I/O","IN"),IF(COUNTIF(Flows!$M$2:$M$1500,$A103&amp;"|"&amp;R$1&amp;"|Output"),"OUT",""))</f>
        <v/>
      </c>
      <c r="S103" s="33" t="str">
        <f aca="false">IF(COUNTIF(Flows!$M$2:$M$1500,$A103&amp;"|"&amp;S$1&amp;"|Input"),IF(COUNTIF(Flows!$M$2:$M$1500,$A103&amp;"|"&amp;S$1&amp;"|Output"),"I/O","IN"),IF(COUNTIF(Flows!$M$2:$M$1500,$A103&amp;"|"&amp;S$1&amp;"|Output"),"OUT",""))</f>
        <v/>
      </c>
      <c r="T103" s="33" t="str">
        <f aca="false">IF(COUNTIF(Flows!$M$2:$M$1500,$A103&amp;"|"&amp;T$1&amp;"|Input"),IF(COUNTIF(Flows!$M$2:$M$1500,$A103&amp;"|"&amp;T$1&amp;"|Output"),"I/O","IN"),IF(COUNTIF(Flows!$M$2:$M$1500,$A103&amp;"|"&amp;T$1&amp;"|Output"),"OUT",""))</f>
        <v/>
      </c>
      <c r="U103" s="33" t="str">
        <f aca="false">IF(COUNTIF(Flows!$M$2:$M$1500,$A103&amp;"|"&amp;U$1&amp;"|Input"),IF(COUNTIF(Flows!$M$2:$M$1500,$A103&amp;"|"&amp;U$1&amp;"|Output"),"I/O","IN"),IF(COUNTIF(Flows!$M$2:$M$1500,$A103&amp;"|"&amp;U$1&amp;"|Output"),"OUT",""))</f>
        <v/>
      </c>
      <c r="V103" s="33" t="str">
        <f aca="false">IF(COUNTIF(Flows!$M$2:$M$1500,$A103&amp;"|"&amp;V$1&amp;"|Input"),IF(COUNTIF(Flows!$M$2:$M$1500,$A103&amp;"|"&amp;V$1&amp;"|Output"),"I/O","IN"),IF(COUNTIF(Flows!$M$2:$M$1500,$A103&amp;"|"&amp;V$1&amp;"|Output"),"OUT",""))</f>
        <v/>
      </c>
      <c r="W103" s="33" t="str">
        <f aca="false">IF(COUNTIF(Flows!$M$2:$M$1500,$A103&amp;"|"&amp;W$1&amp;"|Input"),IF(COUNTIF(Flows!$M$2:$M$1500,$A103&amp;"|"&amp;W$1&amp;"|Output"),"I/O","IN"),IF(COUNTIF(Flows!$M$2:$M$1500,$A103&amp;"|"&amp;W$1&amp;"|Output"),"OUT",""))</f>
        <v/>
      </c>
      <c r="X103" s="33" t="str">
        <f aca="false">IF(COUNTIF(Flows!$M$2:$M$1500,$A103&amp;"|"&amp;X$1&amp;"|Input"),IF(COUNTIF(Flows!$M$2:$M$1500,$A103&amp;"|"&amp;X$1&amp;"|Output"),"I/O","IN"),IF(COUNTIF(Flows!$M$2:$M$1500,$A103&amp;"|"&amp;X$1&amp;"|Output"),"OUT",""))</f>
        <v/>
      </c>
      <c r="Y103" s="33" t="str">
        <f aca="false">IF(COUNTIF(Flows!$M$2:$M$1500,$A103&amp;"|"&amp;Y$1&amp;"|Input"),IF(COUNTIF(Flows!$M$2:$M$1500,$A103&amp;"|"&amp;Y$1&amp;"|Output"),"I/O","IN"),IF(COUNTIF(Flows!$M$2:$M$1500,$A103&amp;"|"&amp;Y$1&amp;"|Output"),"OUT",""))</f>
        <v>IN</v>
      </c>
      <c r="Z103" s="33" t="str">
        <f aca="false">IF(COUNTIF(Flows!$M$2:$M$1500,$A103&amp;"|"&amp;Z$1&amp;"|Input"),IF(COUNTIF(Flows!$M$2:$M$1500,$A103&amp;"|"&amp;Z$1&amp;"|Output"),"I/O","IN"),IF(COUNTIF(Flows!$M$2:$M$1500,$A103&amp;"|"&amp;Z$1&amp;"|Output"),"OUT",""))</f>
        <v/>
      </c>
      <c r="AA103" s="33" t="str">
        <f aca="false">IF(COUNTIF(Flows!$M$2:$M$1500,$A103&amp;"|"&amp;AA$1&amp;"|Input"),IF(COUNTIF(Flows!$M$2:$M$1500,$A103&amp;"|"&amp;AA$1&amp;"|Output"),"I/O","IN"),IF(COUNTIF(Flows!$M$2:$M$1500,$A103&amp;"|"&amp;AA$1&amp;"|Output"),"OUT",""))</f>
        <v/>
      </c>
      <c r="AB103" s="33" t="str">
        <f aca="false">IF(COUNTIF(Flows!$M$2:$M$1500,$A103&amp;"|"&amp;AB$1&amp;"|Input"),IF(COUNTIF(Flows!$M$2:$M$1500,$A103&amp;"|"&amp;AB$1&amp;"|Output"),"I/O","IN"),IF(COUNTIF(Flows!$M$2:$M$1500,$A103&amp;"|"&amp;AB$1&amp;"|Output"),"OUT",""))</f>
        <v/>
      </c>
      <c r="AC103" s="33" t="str">
        <f aca="false">IF(COUNTIF(Flows!$M$2:$M$1500,$A103&amp;"|"&amp;AC$1&amp;"|Input"),IF(COUNTIF(Flows!$M$2:$M$1500,$A103&amp;"|"&amp;AC$1&amp;"|Output"),"I/O","IN"),IF(COUNTIF(Flows!$M$2:$M$1500,$A103&amp;"|"&amp;AC$1&amp;"|Output"),"OUT",""))</f>
        <v/>
      </c>
      <c r="AD103" s="33" t="str">
        <f aca="false">IF(COUNTIF(Flows!$M$2:$M$1500,$A103&amp;"|"&amp;AD$1&amp;"|Input"),IF(COUNTIF(Flows!$M$2:$M$1500,$A103&amp;"|"&amp;AD$1&amp;"|Output"),"I/O","IN"),IF(COUNTIF(Flows!$M$2:$M$1500,$A103&amp;"|"&amp;AD$1&amp;"|Output"),"OUT",""))</f>
        <v/>
      </c>
      <c r="AE103" s="33" t="str">
        <f aca="false">IF(COUNTIF(Flows!$M$2:$M$1500,$A103&amp;"|"&amp;AE$1&amp;"|Input"),IF(COUNTIF(Flows!$M$2:$M$1500,$A103&amp;"|"&amp;AE$1&amp;"|Output"),"I/O","IN"),IF(COUNTIF(Flows!$M$2:$M$1500,$A103&amp;"|"&amp;AE$1&amp;"|Output"),"OUT",""))</f>
        <v/>
      </c>
      <c r="AF103" s="33" t="str">
        <f aca="false">IF(COUNTIF(Flows!$M$2:$M$1500,$A103&amp;"|"&amp;AF$1&amp;"|Input"),IF(COUNTIF(Flows!$M$2:$M$1500,$A103&amp;"|"&amp;AF$1&amp;"|Output"),"I/O","IN"),IF(COUNTIF(Flows!$M$2:$M$1500,$A103&amp;"|"&amp;AF$1&amp;"|Output"),"OUT",""))</f>
        <v/>
      </c>
      <c r="AG103" s="33" t="str">
        <f aca="false">IF(COUNTIF(Flows!$M$2:$M$1500,$A103&amp;"|"&amp;AG$1&amp;"|Input"),IF(COUNTIF(Flows!$M$2:$M$1500,$A103&amp;"|"&amp;AG$1&amp;"|Output"),"I/O","IN"),IF(COUNTIF(Flows!$M$2:$M$1500,$A103&amp;"|"&amp;AG$1&amp;"|Output"),"OUT",""))</f>
        <v/>
      </c>
      <c r="AH103" s="33" t="str">
        <f aca="false">IF(COUNTIF(Flows!$M$2:$M$1500,$A103&amp;"|"&amp;AH$1&amp;"|Input"),IF(COUNTIF(Flows!$M$2:$M$1500,$A103&amp;"|"&amp;AH$1&amp;"|Output"),"I/O","IN"),IF(COUNTIF(Flows!$M$2:$M$1500,$A103&amp;"|"&amp;AH$1&amp;"|Output"),"OUT",""))</f>
        <v/>
      </c>
      <c r="AI103" s="33" t="str">
        <f aca="false">IF(COUNTIF(Flows!$M$2:$M$1500,$A103&amp;"|"&amp;AI$1&amp;"|Input"),IF(COUNTIF(Flows!$M$2:$M$1500,$A103&amp;"|"&amp;AI$1&amp;"|Output"),"I/O","IN"),IF(COUNTIF(Flows!$M$2:$M$1500,$A103&amp;"|"&amp;AI$1&amp;"|Output"),"OUT",""))</f>
        <v/>
      </c>
      <c r="AJ103" s="33" t="str">
        <f aca="false">IF(COUNTIF(Flows!$M$2:$M$1500,$A103&amp;"|"&amp;AJ$1&amp;"|Input"),IF(COUNTIF(Flows!$M$2:$M$1500,$A103&amp;"|"&amp;AJ$1&amp;"|Output"),"I/O","IN"),IF(COUNTIF(Flows!$M$2:$M$1500,$A103&amp;"|"&amp;AJ$1&amp;"|Output"),"OUT",""))</f>
        <v/>
      </c>
      <c r="AK103" s="33" t="str">
        <f aca="false">IF(COUNTIF(Flows!$M$2:$M$1500,$A103&amp;"|"&amp;AK$1&amp;"|Input"),IF(COUNTIF(Flows!$M$2:$M$1500,$A103&amp;"|"&amp;AK$1&amp;"|Output"),"I/O","IN"),IF(COUNTIF(Flows!$M$2:$M$1500,$A103&amp;"|"&amp;AK$1&amp;"|Output"),"OUT",""))</f>
        <v/>
      </c>
      <c r="AL103" s="33" t="str">
        <f aca="false">IF(COUNTIF(Flows!$M$2:$M$1500,$A103&amp;"|"&amp;AL$1&amp;"|Input"),IF(COUNTIF(Flows!$M$2:$M$1500,$A103&amp;"|"&amp;AL$1&amp;"|Output"),"I/O","IN"),IF(COUNTIF(Flows!$M$2:$M$1500,$A103&amp;"|"&amp;AL$1&amp;"|Output"),"OUT",""))</f>
        <v/>
      </c>
      <c r="AM103" s="33" t="str">
        <f aca="false">IF(COUNTIF(Flows!$M$2:$M$1500,$A103&amp;"|"&amp;AM$1&amp;"|Input"),IF(COUNTIF(Flows!$M$2:$M$1500,$A103&amp;"|"&amp;AM$1&amp;"|Output"),"I/O","IN"),IF(COUNTIF(Flows!$M$2:$M$1500,$A103&amp;"|"&amp;AM$1&amp;"|Output"),"OUT",""))</f>
        <v/>
      </c>
      <c r="AN103" s="33" t="str">
        <f aca="false">IF(COUNTIF(Flows!$M$2:$M$1500,$A103&amp;"|"&amp;AN$1&amp;"|Input"),IF(COUNTIF(Flows!$M$2:$M$1500,$A103&amp;"|"&amp;AN$1&amp;"|Output"),"I/O","IN"),IF(COUNTIF(Flows!$M$2:$M$1500,$A103&amp;"|"&amp;AN$1&amp;"|Output"),"OUT",""))</f>
        <v/>
      </c>
      <c r="AO103" s="33" t="str">
        <f aca="false">IF(COUNTIF(Flows!$M$2:$M$1500,$A103&amp;"|"&amp;AO$1&amp;"|Input"),IF(COUNTIF(Flows!$M$2:$M$1500,$A103&amp;"|"&amp;AO$1&amp;"|Output"),"I/O","IN"),IF(COUNTIF(Flows!$M$2:$M$1500,$A103&amp;"|"&amp;AO$1&amp;"|Output"),"OUT",""))</f>
        <v/>
      </c>
      <c r="AP103" s="33" t="str">
        <f aca="false">IF(COUNTIF(Flows!$M$2:$M$1500,$A103&amp;"|"&amp;AP$1&amp;"|Input"),IF(COUNTIF(Flows!$M$2:$M$1500,$A103&amp;"|"&amp;AP$1&amp;"|Output"),"I/O","IN"),IF(COUNTIF(Flows!$M$2:$M$1500,$A103&amp;"|"&amp;AP$1&amp;"|Output"),"OUT",""))</f>
        <v/>
      </c>
      <c r="AQ103" s="33" t="str">
        <f aca="false">IF(COUNTIF(Flows!$M$2:$M$1500,$A103&amp;"|"&amp;AQ$1&amp;"|Input"),IF(COUNTIF(Flows!$M$2:$M$1500,$A103&amp;"|"&amp;AQ$1&amp;"|Output"),"I/O","IN"),IF(COUNTIF(Flows!$M$2:$M$1500,$A103&amp;"|"&amp;AQ$1&amp;"|Output"),"OUT",""))</f>
        <v/>
      </c>
      <c r="AR103" s="33" t="str">
        <f aca="false">IF(COUNTIF(Flows!$M$2:$M$1500,$A103&amp;"|"&amp;AR$1&amp;"|Input"),IF(COUNTIF(Flows!$M$2:$M$1500,$A103&amp;"|"&amp;AR$1&amp;"|Output"),"I/O","IN"),IF(COUNTIF(Flows!$M$2:$M$1500,$A103&amp;"|"&amp;AR$1&amp;"|Output"),"OUT",""))</f>
        <v/>
      </c>
      <c r="AS103" s="33" t="str">
        <f aca="false">IF(COUNTIF(Flows!$M$2:$M$1500,$A103&amp;"|"&amp;AS$1&amp;"|Input"),IF(COUNTIF(Flows!$M$2:$M$1500,$A103&amp;"|"&amp;AS$1&amp;"|Output"),"I/O","IN"),IF(COUNTIF(Flows!$M$2:$M$1500,$A103&amp;"|"&amp;AS$1&amp;"|Output"),"OUT",""))</f>
        <v/>
      </c>
      <c r="AT103" s="33" t="str">
        <f aca="false">IF(COUNTIF(Flows!$M$2:$M$1500,$A103&amp;"|"&amp;AT$1&amp;"|Input"),IF(COUNTIF(Flows!$M$2:$M$1500,$A103&amp;"|"&amp;AT$1&amp;"|Output"),"I/O","IN"),IF(COUNTIF(Flows!$M$2:$M$1500,$A103&amp;"|"&amp;AT$1&amp;"|Output"),"OUT",""))</f>
        <v/>
      </c>
      <c r="AU103" s="33" t="str">
        <f aca="false">IF(COUNTIF(Flows!$M$2:$M$1500,$A103&amp;"|"&amp;AU$1&amp;"|Input"),IF(COUNTIF(Flows!$M$2:$M$1500,$A103&amp;"|"&amp;AU$1&amp;"|Output"),"I/O","IN"),IF(COUNTIF(Flows!$M$2:$M$1500,$A103&amp;"|"&amp;AU$1&amp;"|Output"),"OUT",""))</f>
        <v/>
      </c>
      <c r="AV103" s="33" t="str">
        <f aca="false">IF(COUNTIF(Flows!$M$2:$M$1500,$A103&amp;"|"&amp;AV$1&amp;"|Input"),IF(COUNTIF(Flows!$M$2:$M$1500,$A103&amp;"|"&amp;AV$1&amp;"|Output"),"I/O","IN"),IF(COUNTIF(Flows!$M$2:$M$1500,$A103&amp;"|"&amp;AV$1&amp;"|Output"),"OUT",""))</f>
        <v/>
      </c>
      <c r="AW103" s="33" t="str">
        <f aca="false">IF(COUNTIF(Flows!$M$2:$M$1500,$A103&amp;"|"&amp;AW$1&amp;"|Input"),IF(COUNTIF(Flows!$M$2:$M$1500,$A103&amp;"|"&amp;AW$1&amp;"|Output"),"I/O","IN"),IF(COUNTIF(Flows!$M$2:$M$1500,$A103&amp;"|"&amp;AW$1&amp;"|Output"),"OUT",""))</f>
        <v/>
      </c>
      <c r="AX103" s="33" t="str">
        <f aca="false">IF(COUNTIF(Flows!$M$2:$M$1500,$A103&amp;"|"&amp;AX$1&amp;"|Input"),IF(COUNTIF(Flows!$M$2:$M$1500,$A103&amp;"|"&amp;AX$1&amp;"|Output"),"I/O","IN"),IF(COUNTIF(Flows!$M$2:$M$1500,$A103&amp;"|"&amp;AX$1&amp;"|Output"),"OUT",""))</f>
        <v/>
      </c>
      <c r="AY103" s="33" t="str">
        <f aca="false">IF(COUNTIF(Flows!$M$2:$M$1500,$A103&amp;"|"&amp;AY$1&amp;"|Input"),IF(COUNTIF(Flows!$M$2:$M$1500,$A103&amp;"|"&amp;AY$1&amp;"|Output"),"I/O","IN"),IF(COUNTIF(Flows!$M$2:$M$1500,$A103&amp;"|"&amp;AY$1&amp;"|Output"),"OUT",""))</f>
        <v/>
      </c>
      <c r="AZ103" s="33" t="str">
        <f aca="false">IF(COUNTIF(Flows!$M$2:$M$1500,$A103&amp;"|"&amp;AZ$1&amp;"|Input"),IF(COUNTIF(Flows!$M$2:$M$1500,$A103&amp;"|"&amp;AZ$1&amp;"|Output"),"I/O","IN"),IF(COUNTIF(Flows!$M$2:$M$1500,$A103&amp;"|"&amp;AZ$1&amp;"|Output"),"OUT",""))</f>
        <v/>
      </c>
      <c r="BA103" s="33" t="str">
        <f aca="false">IF(COUNTIF(Flows!$M$2:$M$1500,$A103&amp;"|"&amp;BA$1&amp;"|Input"),IF(COUNTIF(Flows!$M$2:$M$1500,$A103&amp;"|"&amp;BA$1&amp;"|Output"),"I/O","IN"),IF(COUNTIF(Flows!$M$2:$M$1500,$A103&amp;"|"&amp;BA$1&amp;"|Output"),"OUT",""))</f>
        <v/>
      </c>
      <c r="BB103" s="33" t="str">
        <f aca="false">IF(COUNTIF(Flows!$M$2:$M$1500,$A103&amp;"|"&amp;BB$1&amp;"|Input"),IF(COUNTIF(Flows!$M$2:$M$1500,$A103&amp;"|"&amp;BB$1&amp;"|Output"),"I/O","IN"),IF(COUNTIF(Flows!$M$2:$M$1500,$A103&amp;"|"&amp;BB$1&amp;"|Output"),"OUT",""))</f>
        <v/>
      </c>
      <c r="BC103" s="33" t="str">
        <f aca="false">IF(COUNTIF(Flows!$M$2:$M$1500,$A103&amp;"|"&amp;BC$1&amp;"|Input"),IF(COUNTIF(Flows!$M$2:$M$1500,$A103&amp;"|"&amp;BC$1&amp;"|Output"),"I/O","IN"),IF(COUNTIF(Flows!$M$2:$M$1500,$A103&amp;"|"&amp;BC$1&amp;"|Output"),"OUT",""))</f>
        <v/>
      </c>
      <c r="BD103" s="33" t="str">
        <f aca="false">IF(COUNTIF(Flows!$M$2:$M$1500,$A103&amp;"|"&amp;BD$1&amp;"|Input"),IF(COUNTIF(Flows!$M$2:$M$1500,$A103&amp;"|"&amp;BD$1&amp;"|Output"),"I/O","IN"),IF(COUNTIF(Flows!$M$2:$M$1500,$A103&amp;"|"&amp;BD$1&amp;"|Output"),"OUT",""))</f>
        <v/>
      </c>
      <c r="BE103" s="33" t="str">
        <f aca="false">IF(COUNTIF(Flows!$M$2:$M$1500,$A103&amp;"|"&amp;BE$1&amp;"|Input"),IF(COUNTIF(Flows!$M$2:$M$1500,$A103&amp;"|"&amp;BE$1&amp;"|Output"),"I/O","IN"),IF(COUNTIF(Flows!$M$2:$M$1500,$A103&amp;"|"&amp;BE$1&amp;"|Output"),"OUT",""))</f>
        <v/>
      </c>
      <c r="BF103" s="33" t="str">
        <f aca="false">IF(COUNTIF(Flows!$M$2:$M$1500,$A103&amp;"|"&amp;BF$1&amp;"|Input"),IF(COUNTIF(Flows!$M$2:$M$1500,$A103&amp;"|"&amp;BF$1&amp;"|Output"),"I/O","IN"),IF(COUNTIF(Flows!$M$2:$M$1500,$A103&amp;"|"&amp;BF$1&amp;"|Output"),"OUT",""))</f>
        <v>OUT</v>
      </c>
      <c r="BG103" s="33" t="str">
        <f aca="false">IF(COUNTIF(Flows!$M$2:$M$1500,$A103&amp;"|"&amp;BG$1&amp;"|Input"),IF(COUNTIF(Flows!$M$2:$M$1500,$A103&amp;"|"&amp;BG$1&amp;"|Output"),"I/O","IN"),IF(COUNTIF(Flows!$M$2:$M$1500,$A103&amp;"|"&amp;BG$1&amp;"|Output"),"OUT",""))</f>
        <v/>
      </c>
      <c r="BH103" s="33" t="str">
        <f aca="false">IF(COUNTIF(Flows!$M$2:$M$1500,$A103&amp;"|"&amp;BH$1&amp;"|Input"),IF(COUNTIF(Flows!$M$2:$M$1500,$A103&amp;"|"&amp;BH$1&amp;"|Output"),"I/O","IN"),IF(COUNTIF(Flows!$M$2:$M$1500,$A103&amp;"|"&amp;BH$1&amp;"|Output"),"OUT",""))</f>
        <v/>
      </c>
      <c r="BI103" s="33" t="str">
        <f aca="false">IF(COUNTIF(Flows!$M$2:$M$1500,$A103&amp;"|"&amp;BI$1&amp;"|Input"),IF(COUNTIF(Flows!$M$2:$M$1500,$A103&amp;"|"&amp;BI$1&amp;"|Output"),"I/O","IN"),IF(COUNTIF(Flows!$M$2:$M$1500,$A103&amp;"|"&amp;BI$1&amp;"|Output"),"OUT",""))</f>
        <v/>
      </c>
      <c r="BJ103" s="33" t="str">
        <f aca="false">IF(COUNTIF(Flows!$M$2:$M$1500,$A103&amp;"|"&amp;BJ$1&amp;"|Input"),IF(COUNTIF(Flows!$M$2:$M$1500,$A103&amp;"|"&amp;BJ$1&amp;"|Output"),"I/O","IN"),IF(COUNTIF(Flows!$M$2:$M$1500,$A103&amp;"|"&amp;BJ$1&amp;"|Output"),"OUT",""))</f>
        <v/>
      </c>
      <c r="BK103" s="33" t="str">
        <f aca="false">IF(COUNTIF(Flows!$M$2:$M$1500,$A103&amp;"|"&amp;BK$1&amp;"|Input"),IF(COUNTIF(Flows!$M$2:$M$1500,$A103&amp;"|"&amp;BK$1&amp;"|Output"),"I/O","IN"),IF(COUNTIF(Flows!$M$2:$M$1500,$A103&amp;"|"&amp;BK$1&amp;"|Output"),"OUT",""))</f>
        <v/>
      </c>
    </row>
    <row r="104" customFormat="false" ht="15" hidden="false" customHeight="true" outlineLevel="0" collapsed="false">
      <c r="A104" s="6" t="str">
        <f aca="false">Systems!B104</f>
        <v>Hand Pump Well</v>
      </c>
      <c r="B104" s="33" t="str">
        <f aca="false">IF(COUNTIF(Flows!$M$2:$M$1500,$A104&amp;"|"&amp;B$1&amp;"|Input"),IF(COUNTIF(Flows!$M$2:$M$1500,$A104&amp;"|"&amp;B$1&amp;"|Output"),"I/O","IN"),IF(COUNTIF(Flows!$M$2:$M$1500,$A104&amp;"|"&amp;B$1&amp;"|Output"),"OUT",""))</f>
        <v>OUT</v>
      </c>
      <c r="C104" s="33" t="str">
        <f aca="false">IF(COUNTIF(Flows!$M$2:$M$1500,$A104&amp;"|"&amp;C$1&amp;"|Input"),IF(COUNTIF(Flows!$M$2:$M$1500,$A104&amp;"|"&amp;C$1&amp;"|Output"),"I/O","IN"),IF(COUNTIF(Flows!$M$2:$M$1500,$A104&amp;"|"&amp;C$1&amp;"|Output"),"OUT",""))</f>
        <v/>
      </c>
      <c r="D104" s="33" t="str">
        <f aca="false">IF(COUNTIF(Flows!$M$2:$M$1500,$A104&amp;"|"&amp;D$1&amp;"|Input"),IF(COUNTIF(Flows!$M$2:$M$1500,$A104&amp;"|"&amp;D$1&amp;"|Output"),"I/O","IN"),IF(COUNTIF(Flows!$M$2:$M$1500,$A104&amp;"|"&amp;D$1&amp;"|Output"),"OUT",""))</f>
        <v/>
      </c>
      <c r="E104" s="33" t="str">
        <f aca="false">IF(COUNTIF(Flows!$M$2:$M$1500,$A104&amp;"|"&amp;E$1&amp;"|Input"),IF(COUNTIF(Flows!$M$2:$M$1500,$A104&amp;"|"&amp;E$1&amp;"|Output"),"I/O","IN"),IF(COUNTIF(Flows!$M$2:$M$1500,$A104&amp;"|"&amp;E$1&amp;"|Output"),"OUT",""))</f>
        <v/>
      </c>
      <c r="F104" s="33" t="str">
        <f aca="false">IF(COUNTIF(Flows!$M$2:$M$1500,$A104&amp;"|"&amp;F$1&amp;"|Input"),IF(COUNTIF(Flows!$M$2:$M$1500,$A104&amp;"|"&amp;F$1&amp;"|Output"),"I/O","IN"),IF(COUNTIF(Flows!$M$2:$M$1500,$A104&amp;"|"&amp;F$1&amp;"|Output"),"OUT",""))</f>
        <v/>
      </c>
      <c r="G104" s="33" t="str">
        <f aca="false">IF(COUNTIF(Flows!$M$2:$M$1500,$A104&amp;"|"&amp;G$1&amp;"|Input"),IF(COUNTIF(Flows!$M$2:$M$1500,$A104&amp;"|"&amp;G$1&amp;"|Output"),"I/O","IN"),IF(COUNTIF(Flows!$M$2:$M$1500,$A104&amp;"|"&amp;G$1&amp;"|Output"),"OUT",""))</f>
        <v/>
      </c>
      <c r="H104" s="33" t="str">
        <f aca="false">IF(COUNTIF(Flows!$M$2:$M$1500,$A104&amp;"|"&amp;H$1&amp;"|Input"),IF(COUNTIF(Flows!$M$2:$M$1500,$A104&amp;"|"&amp;H$1&amp;"|Output"),"I/O","IN"),IF(COUNTIF(Flows!$M$2:$M$1500,$A104&amp;"|"&amp;H$1&amp;"|Output"),"OUT",""))</f>
        <v/>
      </c>
      <c r="I104" s="33" t="str">
        <f aca="false">IF(COUNTIF(Flows!$M$2:$M$1500,$A104&amp;"|"&amp;I$1&amp;"|Input"),IF(COUNTIF(Flows!$M$2:$M$1500,$A104&amp;"|"&amp;I$1&amp;"|Output"),"I/O","IN"),IF(COUNTIF(Flows!$M$2:$M$1500,$A104&amp;"|"&amp;I$1&amp;"|Output"),"OUT",""))</f>
        <v/>
      </c>
      <c r="J104" s="33" t="str">
        <f aca="false">IF(COUNTIF(Flows!$M$2:$M$1500,$A104&amp;"|"&amp;J$1&amp;"|Input"),IF(COUNTIF(Flows!$M$2:$M$1500,$A104&amp;"|"&amp;J$1&amp;"|Output"),"I/O","IN"),IF(COUNTIF(Flows!$M$2:$M$1500,$A104&amp;"|"&amp;J$1&amp;"|Output"),"OUT",""))</f>
        <v/>
      </c>
      <c r="K104" s="33" t="str">
        <f aca="false">IF(COUNTIF(Flows!$M$2:$M$1500,$A104&amp;"|"&amp;K$1&amp;"|Input"),IF(COUNTIF(Flows!$M$2:$M$1500,$A104&amp;"|"&amp;K$1&amp;"|Output"),"I/O","IN"),IF(COUNTIF(Flows!$M$2:$M$1500,$A104&amp;"|"&amp;K$1&amp;"|Output"),"OUT",""))</f>
        <v/>
      </c>
      <c r="L104" s="33" t="str">
        <f aca="false">IF(COUNTIF(Flows!$M$2:$M$1500,$A104&amp;"|"&amp;L$1&amp;"|Input"),IF(COUNTIF(Flows!$M$2:$M$1500,$A104&amp;"|"&amp;L$1&amp;"|Output"),"I/O","IN"),IF(COUNTIF(Flows!$M$2:$M$1500,$A104&amp;"|"&amp;L$1&amp;"|Output"),"OUT",""))</f>
        <v/>
      </c>
      <c r="M104" s="33" t="str">
        <f aca="false">IF(COUNTIF(Flows!$M$2:$M$1500,$A104&amp;"|"&amp;M$1&amp;"|Input"),IF(COUNTIF(Flows!$M$2:$M$1500,$A104&amp;"|"&amp;M$1&amp;"|Output"),"I/O","IN"),IF(COUNTIF(Flows!$M$2:$M$1500,$A104&amp;"|"&amp;M$1&amp;"|Output"),"OUT",""))</f>
        <v/>
      </c>
      <c r="N104" s="33" t="str">
        <f aca="false">IF(COUNTIF(Flows!$M$2:$M$1500,$A104&amp;"|"&amp;N$1&amp;"|Input"),IF(COUNTIF(Flows!$M$2:$M$1500,$A104&amp;"|"&amp;N$1&amp;"|Output"),"I/O","IN"),IF(COUNTIF(Flows!$M$2:$M$1500,$A104&amp;"|"&amp;N$1&amp;"|Output"),"OUT",""))</f>
        <v/>
      </c>
      <c r="O104" s="33" t="str">
        <f aca="false">IF(COUNTIF(Flows!$M$2:$M$1500,$A104&amp;"|"&amp;O$1&amp;"|Input"),IF(COUNTIF(Flows!$M$2:$M$1500,$A104&amp;"|"&amp;O$1&amp;"|Output"),"I/O","IN"),IF(COUNTIF(Flows!$M$2:$M$1500,$A104&amp;"|"&amp;O$1&amp;"|Output"),"OUT",""))</f>
        <v/>
      </c>
      <c r="P104" s="33" t="str">
        <f aca="false">IF(COUNTIF(Flows!$M$2:$M$1500,$A104&amp;"|"&amp;P$1&amp;"|Input"),IF(COUNTIF(Flows!$M$2:$M$1500,$A104&amp;"|"&amp;P$1&amp;"|Output"),"I/O","IN"),IF(COUNTIF(Flows!$M$2:$M$1500,$A104&amp;"|"&amp;P$1&amp;"|Output"),"OUT",""))</f>
        <v/>
      </c>
      <c r="Q104" s="33" t="str">
        <f aca="false">IF(COUNTIF(Flows!$M$2:$M$1500,$A104&amp;"|"&amp;Q$1&amp;"|Input"),IF(COUNTIF(Flows!$M$2:$M$1500,$A104&amp;"|"&amp;Q$1&amp;"|Output"),"I/O","IN"),IF(COUNTIF(Flows!$M$2:$M$1500,$A104&amp;"|"&amp;Q$1&amp;"|Output"),"OUT",""))</f>
        <v/>
      </c>
      <c r="R104" s="33" t="str">
        <f aca="false">IF(COUNTIF(Flows!$M$2:$M$1500,$A104&amp;"|"&amp;R$1&amp;"|Input"),IF(COUNTIF(Flows!$M$2:$M$1500,$A104&amp;"|"&amp;R$1&amp;"|Output"),"I/O","IN"),IF(COUNTIF(Flows!$M$2:$M$1500,$A104&amp;"|"&amp;R$1&amp;"|Output"),"OUT",""))</f>
        <v/>
      </c>
      <c r="S104" s="33" t="str">
        <f aca="false">IF(COUNTIF(Flows!$M$2:$M$1500,$A104&amp;"|"&amp;S$1&amp;"|Input"),IF(COUNTIF(Flows!$M$2:$M$1500,$A104&amp;"|"&amp;S$1&amp;"|Output"),"I/O","IN"),IF(COUNTIF(Flows!$M$2:$M$1500,$A104&amp;"|"&amp;S$1&amp;"|Output"),"OUT",""))</f>
        <v/>
      </c>
      <c r="T104" s="33" t="str">
        <f aca="false">IF(COUNTIF(Flows!$M$2:$M$1500,$A104&amp;"|"&amp;T$1&amp;"|Input"),IF(COUNTIF(Flows!$M$2:$M$1500,$A104&amp;"|"&amp;T$1&amp;"|Output"),"I/O","IN"),IF(COUNTIF(Flows!$M$2:$M$1500,$A104&amp;"|"&amp;T$1&amp;"|Output"),"OUT",""))</f>
        <v/>
      </c>
      <c r="U104" s="33" t="str">
        <f aca="false">IF(COUNTIF(Flows!$M$2:$M$1500,$A104&amp;"|"&amp;U$1&amp;"|Input"),IF(COUNTIF(Flows!$M$2:$M$1500,$A104&amp;"|"&amp;U$1&amp;"|Output"),"I/O","IN"),IF(COUNTIF(Flows!$M$2:$M$1500,$A104&amp;"|"&amp;U$1&amp;"|Output"),"OUT",""))</f>
        <v/>
      </c>
      <c r="V104" s="33" t="str">
        <f aca="false">IF(COUNTIF(Flows!$M$2:$M$1500,$A104&amp;"|"&amp;V$1&amp;"|Input"),IF(COUNTIF(Flows!$M$2:$M$1500,$A104&amp;"|"&amp;V$1&amp;"|Output"),"I/O","IN"),IF(COUNTIF(Flows!$M$2:$M$1500,$A104&amp;"|"&amp;V$1&amp;"|Output"),"OUT",""))</f>
        <v/>
      </c>
      <c r="W104" s="33" t="str">
        <f aca="false">IF(COUNTIF(Flows!$M$2:$M$1500,$A104&amp;"|"&amp;W$1&amp;"|Input"),IF(COUNTIF(Flows!$M$2:$M$1500,$A104&amp;"|"&amp;W$1&amp;"|Output"),"I/O","IN"),IF(COUNTIF(Flows!$M$2:$M$1500,$A104&amp;"|"&amp;W$1&amp;"|Output"),"OUT",""))</f>
        <v/>
      </c>
      <c r="X104" s="33" t="str">
        <f aca="false">IF(COUNTIF(Flows!$M$2:$M$1500,$A104&amp;"|"&amp;X$1&amp;"|Input"),IF(COUNTIF(Flows!$M$2:$M$1500,$A104&amp;"|"&amp;X$1&amp;"|Output"),"I/O","IN"),IF(COUNTIF(Flows!$M$2:$M$1500,$A104&amp;"|"&amp;X$1&amp;"|Output"),"OUT",""))</f>
        <v>IN</v>
      </c>
      <c r="Y104" s="33" t="str">
        <f aca="false">IF(COUNTIF(Flows!$M$2:$M$1500,$A104&amp;"|"&amp;Y$1&amp;"|Input"),IF(COUNTIF(Flows!$M$2:$M$1500,$A104&amp;"|"&amp;Y$1&amp;"|Output"),"I/O","IN"),IF(COUNTIF(Flows!$M$2:$M$1500,$A104&amp;"|"&amp;Y$1&amp;"|Output"),"OUT",""))</f>
        <v/>
      </c>
      <c r="Z104" s="33" t="str">
        <f aca="false">IF(COUNTIF(Flows!$M$2:$M$1500,$A104&amp;"|"&amp;Z$1&amp;"|Input"),IF(COUNTIF(Flows!$M$2:$M$1500,$A104&amp;"|"&amp;Z$1&amp;"|Output"),"I/O","IN"),IF(COUNTIF(Flows!$M$2:$M$1500,$A104&amp;"|"&amp;Z$1&amp;"|Output"),"OUT",""))</f>
        <v/>
      </c>
      <c r="AA104" s="33" t="str">
        <f aca="false">IF(COUNTIF(Flows!$M$2:$M$1500,$A104&amp;"|"&amp;AA$1&amp;"|Input"),IF(COUNTIF(Flows!$M$2:$M$1500,$A104&amp;"|"&amp;AA$1&amp;"|Output"),"I/O","IN"),IF(COUNTIF(Flows!$M$2:$M$1500,$A104&amp;"|"&amp;AA$1&amp;"|Output"),"OUT",""))</f>
        <v/>
      </c>
      <c r="AB104" s="33" t="str">
        <f aca="false">IF(COUNTIF(Flows!$M$2:$M$1500,$A104&amp;"|"&amp;AB$1&amp;"|Input"),IF(COUNTIF(Flows!$M$2:$M$1500,$A104&amp;"|"&amp;AB$1&amp;"|Output"),"I/O","IN"),IF(COUNTIF(Flows!$M$2:$M$1500,$A104&amp;"|"&amp;AB$1&amp;"|Output"),"OUT",""))</f>
        <v/>
      </c>
      <c r="AC104" s="33" t="str">
        <f aca="false">IF(COUNTIF(Flows!$M$2:$M$1500,$A104&amp;"|"&amp;AC$1&amp;"|Input"),IF(COUNTIF(Flows!$M$2:$M$1500,$A104&amp;"|"&amp;AC$1&amp;"|Output"),"I/O","IN"),IF(COUNTIF(Flows!$M$2:$M$1500,$A104&amp;"|"&amp;AC$1&amp;"|Output"),"OUT",""))</f>
        <v/>
      </c>
      <c r="AD104" s="33" t="str">
        <f aca="false">IF(COUNTIF(Flows!$M$2:$M$1500,$A104&amp;"|"&amp;AD$1&amp;"|Input"),IF(COUNTIF(Flows!$M$2:$M$1500,$A104&amp;"|"&amp;AD$1&amp;"|Output"),"I/O","IN"),IF(COUNTIF(Flows!$M$2:$M$1500,$A104&amp;"|"&amp;AD$1&amp;"|Output"),"OUT",""))</f>
        <v/>
      </c>
      <c r="AE104" s="33" t="str">
        <f aca="false">IF(COUNTIF(Flows!$M$2:$M$1500,$A104&amp;"|"&amp;AE$1&amp;"|Input"),IF(COUNTIF(Flows!$M$2:$M$1500,$A104&amp;"|"&amp;AE$1&amp;"|Output"),"I/O","IN"),IF(COUNTIF(Flows!$M$2:$M$1500,$A104&amp;"|"&amp;AE$1&amp;"|Output"),"OUT",""))</f>
        <v/>
      </c>
      <c r="AF104" s="33" t="str">
        <f aca="false">IF(COUNTIF(Flows!$M$2:$M$1500,$A104&amp;"|"&amp;AF$1&amp;"|Input"),IF(COUNTIF(Flows!$M$2:$M$1500,$A104&amp;"|"&amp;AF$1&amp;"|Output"),"I/O","IN"),IF(COUNTIF(Flows!$M$2:$M$1500,$A104&amp;"|"&amp;AF$1&amp;"|Output"),"OUT",""))</f>
        <v/>
      </c>
      <c r="AG104" s="33" t="str">
        <f aca="false">IF(COUNTIF(Flows!$M$2:$M$1500,$A104&amp;"|"&amp;AG$1&amp;"|Input"),IF(COUNTIF(Flows!$M$2:$M$1500,$A104&amp;"|"&amp;AG$1&amp;"|Output"),"I/O","IN"),IF(COUNTIF(Flows!$M$2:$M$1500,$A104&amp;"|"&amp;AG$1&amp;"|Output"),"OUT",""))</f>
        <v/>
      </c>
      <c r="AH104" s="33" t="str">
        <f aca="false">IF(COUNTIF(Flows!$M$2:$M$1500,$A104&amp;"|"&amp;AH$1&amp;"|Input"),IF(COUNTIF(Flows!$M$2:$M$1500,$A104&amp;"|"&amp;AH$1&amp;"|Output"),"I/O","IN"),IF(COUNTIF(Flows!$M$2:$M$1500,$A104&amp;"|"&amp;AH$1&amp;"|Output"),"OUT",""))</f>
        <v/>
      </c>
      <c r="AI104" s="33" t="str">
        <f aca="false">IF(COUNTIF(Flows!$M$2:$M$1500,$A104&amp;"|"&amp;AI$1&amp;"|Input"),IF(COUNTIF(Flows!$M$2:$M$1500,$A104&amp;"|"&amp;AI$1&amp;"|Output"),"I/O","IN"),IF(COUNTIF(Flows!$M$2:$M$1500,$A104&amp;"|"&amp;AI$1&amp;"|Output"),"OUT",""))</f>
        <v/>
      </c>
      <c r="AJ104" s="33" t="str">
        <f aca="false">IF(COUNTIF(Flows!$M$2:$M$1500,$A104&amp;"|"&amp;AJ$1&amp;"|Input"),IF(COUNTIF(Flows!$M$2:$M$1500,$A104&amp;"|"&amp;AJ$1&amp;"|Output"),"I/O","IN"),IF(COUNTIF(Flows!$M$2:$M$1500,$A104&amp;"|"&amp;AJ$1&amp;"|Output"),"OUT",""))</f>
        <v/>
      </c>
      <c r="AK104" s="33" t="str">
        <f aca="false">IF(COUNTIF(Flows!$M$2:$M$1500,$A104&amp;"|"&amp;AK$1&amp;"|Input"),IF(COUNTIF(Flows!$M$2:$M$1500,$A104&amp;"|"&amp;AK$1&amp;"|Output"),"I/O","IN"),IF(COUNTIF(Flows!$M$2:$M$1500,$A104&amp;"|"&amp;AK$1&amp;"|Output"),"OUT",""))</f>
        <v/>
      </c>
      <c r="AL104" s="33" t="str">
        <f aca="false">IF(COUNTIF(Flows!$M$2:$M$1500,$A104&amp;"|"&amp;AL$1&amp;"|Input"),IF(COUNTIF(Flows!$M$2:$M$1500,$A104&amp;"|"&amp;AL$1&amp;"|Output"),"I/O","IN"),IF(COUNTIF(Flows!$M$2:$M$1500,$A104&amp;"|"&amp;AL$1&amp;"|Output"),"OUT",""))</f>
        <v/>
      </c>
      <c r="AM104" s="33" t="str">
        <f aca="false">IF(COUNTIF(Flows!$M$2:$M$1500,$A104&amp;"|"&amp;AM$1&amp;"|Input"),IF(COUNTIF(Flows!$M$2:$M$1500,$A104&amp;"|"&amp;AM$1&amp;"|Output"),"I/O","IN"),IF(COUNTIF(Flows!$M$2:$M$1500,$A104&amp;"|"&amp;AM$1&amp;"|Output"),"OUT",""))</f>
        <v/>
      </c>
      <c r="AN104" s="33" t="str">
        <f aca="false">IF(COUNTIF(Flows!$M$2:$M$1500,$A104&amp;"|"&amp;AN$1&amp;"|Input"),IF(COUNTIF(Flows!$M$2:$M$1500,$A104&amp;"|"&amp;AN$1&amp;"|Output"),"I/O","IN"),IF(COUNTIF(Flows!$M$2:$M$1500,$A104&amp;"|"&amp;AN$1&amp;"|Output"),"OUT",""))</f>
        <v/>
      </c>
      <c r="AO104" s="33" t="str">
        <f aca="false">IF(COUNTIF(Flows!$M$2:$M$1500,$A104&amp;"|"&amp;AO$1&amp;"|Input"),IF(COUNTIF(Flows!$M$2:$M$1500,$A104&amp;"|"&amp;AO$1&amp;"|Output"),"I/O","IN"),IF(COUNTIF(Flows!$M$2:$M$1500,$A104&amp;"|"&amp;AO$1&amp;"|Output"),"OUT",""))</f>
        <v/>
      </c>
      <c r="AP104" s="33" t="str">
        <f aca="false">IF(COUNTIF(Flows!$M$2:$M$1500,$A104&amp;"|"&amp;AP$1&amp;"|Input"),IF(COUNTIF(Flows!$M$2:$M$1500,$A104&amp;"|"&amp;AP$1&amp;"|Output"),"I/O","IN"),IF(COUNTIF(Flows!$M$2:$M$1500,$A104&amp;"|"&amp;AP$1&amp;"|Output"),"OUT",""))</f>
        <v/>
      </c>
      <c r="AQ104" s="33" t="str">
        <f aca="false">IF(COUNTIF(Flows!$M$2:$M$1500,$A104&amp;"|"&amp;AQ$1&amp;"|Input"),IF(COUNTIF(Flows!$M$2:$M$1500,$A104&amp;"|"&amp;AQ$1&amp;"|Output"),"I/O","IN"),IF(COUNTIF(Flows!$M$2:$M$1500,$A104&amp;"|"&amp;AQ$1&amp;"|Output"),"OUT",""))</f>
        <v/>
      </c>
      <c r="AR104" s="33" t="str">
        <f aca="false">IF(COUNTIF(Flows!$M$2:$M$1500,$A104&amp;"|"&amp;AR$1&amp;"|Input"),IF(COUNTIF(Flows!$M$2:$M$1500,$A104&amp;"|"&amp;AR$1&amp;"|Output"),"I/O","IN"),IF(COUNTIF(Flows!$M$2:$M$1500,$A104&amp;"|"&amp;AR$1&amp;"|Output"),"OUT",""))</f>
        <v/>
      </c>
      <c r="AS104" s="33" t="str">
        <f aca="false">IF(COUNTIF(Flows!$M$2:$M$1500,$A104&amp;"|"&amp;AS$1&amp;"|Input"),IF(COUNTIF(Flows!$M$2:$M$1500,$A104&amp;"|"&amp;AS$1&amp;"|Output"),"I/O","IN"),IF(COUNTIF(Flows!$M$2:$M$1500,$A104&amp;"|"&amp;AS$1&amp;"|Output"),"OUT",""))</f>
        <v/>
      </c>
      <c r="AT104" s="33" t="str">
        <f aca="false">IF(COUNTIF(Flows!$M$2:$M$1500,$A104&amp;"|"&amp;AT$1&amp;"|Input"),IF(COUNTIF(Flows!$M$2:$M$1500,$A104&amp;"|"&amp;AT$1&amp;"|Output"),"I/O","IN"),IF(COUNTIF(Flows!$M$2:$M$1500,$A104&amp;"|"&amp;AT$1&amp;"|Output"),"OUT",""))</f>
        <v/>
      </c>
      <c r="AU104" s="33" t="str">
        <f aca="false">IF(COUNTIF(Flows!$M$2:$M$1500,$A104&amp;"|"&amp;AU$1&amp;"|Input"),IF(COUNTIF(Flows!$M$2:$M$1500,$A104&amp;"|"&amp;AU$1&amp;"|Output"),"I/O","IN"),IF(COUNTIF(Flows!$M$2:$M$1500,$A104&amp;"|"&amp;AU$1&amp;"|Output"),"OUT",""))</f>
        <v/>
      </c>
      <c r="AV104" s="33" t="str">
        <f aca="false">IF(COUNTIF(Flows!$M$2:$M$1500,$A104&amp;"|"&amp;AV$1&amp;"|Input"),IF(COUNTIF(Flows!$M$2:$M$1500,$A104&amp;"|"&amp;AV$1&amp;"|Output"),"I/O","IN"),IF(COUNTIF(Flows!$M$2:$M$1500,$A104&amp;"|"&amp;AV$1&amp;"|Output"),"OUT",""))</f>
        <v/>
      </c>
      <c r="AW104" s="33" t="str">
        <f aca="false">IF(COUNTIF(Flows!$M$2:$M$1500,$A104&amp;"|"&amp;AW$1&amp;"|Input"),IF(COUNTIF(Flows!$M$2:$M$1500,$A104&amp;"|"&amp;AW$1&amp;"|Output"),"I/O","IN"),IF(COUNTIF(Flows!$M$2:$M$1500,$A104&amp;"|"&amp;AW$1&amp;"|Output"),"OUT",""))</f>
        <v/>
      </c>
      <c r="AX104" s="33" t="str">
        <f aca="false">IF(COUNTIF(Flows!$M$2:$M$1500,$A104&amp;"|"&amp;AX$1&amp;"|Input"),IF(COUNTIF(Flows!$M$2:$M$1500,$A104&amp;"|"&amp;AX$1&amp;"|Output"),"I/O","IN"),IF(COUNTIF(Flows!$M$2:$M$1500,$A104&amp;"|"&amp;AX$1&amp;"|Output"),"OUT",""))</f>
        <v/>
      </c>
      <c r="AY104" s="33" t="str">
        <f aca="false">IF(COUNTIF(Flows!$M$2:$M$1500,$A104&amp;"|"&amp;AY$1&amp;"|Input"),IF(COUNTIF(Flows!$M$2:$M$1500,$A104&amp;"|"&amp;AY$1&amp;"|Output"),"I/O","IN"),IF(COUNTIF(Flows!$M$2:$M$1500,$A104&amp;"|"&amp;AY$1&amp;"|Output"),"OUT",""))</f>
        <v/>
      </c>
      <c r="AZ104" s="33" t="str">
        <f aca="false">IF(COUNTIF(Flows!$M$2:$M$1500,$A104&amp;"|"&amp;AZ$1&amp;"|Input"),IF(COUNTIF(Flows!$M$2:$M$1500,$A104&amp;"|"&amp;AZ$1&amp;"|Output"),"I/O","IN"),IF(COUNTIF(Flows!$M$2:$M$1500,$A104&amp;"|"&amp;AZ$1&amp;"|Output"),"OUT",""))</f>
        <v/>
      </c>
      <c r="BA104" s="33" t="str">
        <f aca="false">IF(COUNTIF(Flows!$M$2:$M$1500,$A104&amp;"|"&amp;BA$1&amp;"|Input"),IF(COUNTIF(Flows!$M$2:$M$1500,$A104&amp;"|"&amp;BA$1&amp;"|Output"),"I/O","IN"),IF(COUNTIF(Flows!$M$2:$M$1500,$A104&amp;"|"&amp;BA$1&amp;"|Output"),"OUT",""))</f>
        <v/>
      </c>
      <c r="BB104" s="33" t="str">
        <f aca="false">IF(COUNTIF(Flows!$M$2:$M$1500,$A104&amp;"|"&amp;BB$1&amp;"|Input"),IF(COUNTIF(Flows!$M$2:$M$1500,$A104&amp;"|"&amp;BB$1&amp;"|Output"),"I/O","IN"),IF(COUNTIF(Flows!$M$2:$M$1500,$A104&amp;"|"&amp;BB$1&amp;"|Output"),"OUT",""))</f>
        <v/>
      </c>
      <c r="BC104" s="33" t="str">
        <f aca="false">IF(COUNTIF(Flows!$M$2:$M$1500,$A104&amp;"|"&amp;BC$1&amp;"|Input"),IF(COUNTIF(Flows!$M$2:$M$1500,$A104&amp;"|"&amp;BC$1&amp;"|Output"),"I/O","IN"),IF(COUNTIF(Flows!$M$2:$M$1500,$A104&amp;"|"&amp;BC$1&amp;"|Output"),"OUT",""))</f>
        <v/>
      </c>
      <c r="BD104" s="33" t="str">
        <f aca="false">IF(COUNTIF(Flows!$M$2:$M$1500,$A104&amp;"|"&amp;BD$1&amp;"|Input"),IF(COUNTIF(Flows!$M$2:$M$1500,$A104&amp;"|"&amp;BD$1&amp;"|Output"),"I/O","IN"),IF(COUNTIF(Flows!$M$2:$M$1500,$A104&amp;"|"&amp;BD$1&amp;"|Output"),"OUT",""))</f>
        <v/>
      </c>
      <c r="BE104" s="33" t="str">
        <f aca="false">IF(COUNTIF(Flows!$M$2:$M$1500,$A104&amp;"|"&amp;BE$1&amp;"|Input"),IF(COUNTIF(Flows!$M$2:$M$1500,$A104&amp;"|"&amp;BE$1&amp;"|Output"),"I/O","IN"),IF(COUNTIF(Flows!$M$2:$M$1500,$A104&amp;"|"&amp;BE$1&amp;"|Output"),"OUT",""))</f>
        <v/>
      </c>
      <c r="BF104" s="33" t="str">
        <f aca="false">IF(COUNTIF(Flows!$M$2:$M$1500,$A104&amp;"|"&amp;BF$1&amp;"|Input"),IF(COUNTIF(Flows!$M$2:$M$1500,$A104&amp;"|"&amp;BF$1&amp;"|Output"),"I/O","IN"),IF(COUNTIF(Flows!$M$2:$M$1500,$A104&amp;"|"&amp;BF$1&amp;"|Output"),"OUT",""))</f>
        <v/>
      </c>
      <c r="BG104" s="33" t="str">
        <f aca="false">IF(COUNTIF(Flows!$M$2:$M$1500,$A104&amp;"|"&amp;BG$1&amp;"|Input"),IF(COUNTIF(Flows!$M$2:$M$1500,$A104&amp;"|"&amp;BG$1&amp;"|Output"),"I/O","IN"),IF(COUNTIF(Flows!$M$2:$M$1500,$A104&amp;"|"&amp;BG$1&amp;"|Output"),"OUT",""))</f>
        <v/>
      </c>
      <c r="BH104" s="33" t="str">
        <f aca="false">IF(COUNTIF(Flows!$M$2:$M$1500,$A104&amp;"|"&amp;BH$1&amp;"|Input"),IF(COUNTIF(Flows!$M$2:$M$1500,$A104&amp;"|"&amp;BH$1&amp;"|Output"),"I/O","IN"),IF(COUNTIF(Flows!$M$2:$M$1500,$A104&amp;"|"&amp;BH$1&amp;"|Output"),"OUT",""))</f>
        <v/>
      </c>
      <c r="BI104" s="33" t="str">
        <f aca="false">IF(COUNTIF(Flows!$M$2:$M$1500,$A104&amp;"|"&amp;BI$1&amp;"|Input"),IF(COUNTIF(Flows!$M$2:$M$1500,$A104&amp;"|"&amp;BI$1&amp;"|Output"),"I/O","IN"),IF(COUNTIF(Flows!$M$2:$M$1500,$A104&amp;"|"&amp;BI$1&amp;"|Output"),"OUT",""))</f>
        <v/>
      </c>
      <c r="BJ104" s="33" t="str">
        <f aca="false">IF(COUNTIF(Flows!$M$2:$M$1500,$A104&amp;"|"&amp;BJ$1&amp;"|Input"),IF(COUNTIF(Flows!$M$2:$M$1500,$A104&amp;"|"&amp;BJ$1&amp;"|Output"),"I/O","IN"),IF(COUNTIF(Flows!$M$2:$M$1500,$A104&amp;"|"&amp;BJ$1&amp;"|Output"),"OUT",""))</f>
        <v/>
      </c>
      <c r="BK104" s="33" t="str">
        <f aca="false">IF(COUNTIF(Flows!$M$2:$M$1500,$A104&amp;"|"&amp;BK$1&amp;"|Input"),IF(COUNTIF(Flows!$M$2:$M$1500,$A104&amp;"|"&amp;BK$1&amp;"|Output"),"I/O","IN"),IF(COUNTIF(Flows!$M$2:$M$1500,$A104&amp;"|"&amp;BK$1&amp;"|Output"),"OUT",""))</f>
        <v/>
      </c>
    </row>
    <row r="105" customFormat="false" ht="15" hidden="false" customHeight="true" outlineLevel="0" collapsed="false">
      <c r="A105" s="6" t="str">
        <f aca="false">Systems!B105</f>
        <v>Greywater Branched Drain</v>
      </c>
      <c r="B105" s="33" t="str">
        <f aca="false">IF(COUNTIF(Flows!$M$2:$M$1500,$A105&amp;"|"&amp;B$1&amp;"|Input"),IF(COUNTIF(Flows!$M$2:$M$1500,$A105&amp;"|"&amp;B$1&amp;"|Output"),"I/O","IN"),IF(COUNTIF(Flows!$M$2:$M$1500,$A105&amp;"|"&amp;B$1&amp;"|Output"),"OUT",""))</f>
        <v>OUT</v>
      </c>
      <c r="C105" s="33" t="str">
        <f aca="false">IF(COUNTIF(Flows!$M$2:$M$1500,$A105&amp;"|"&amp;C$1&amp;"|Input"),IF(COUNTIF(Flows!$M$2:$M$1500,$A105&amp;"|"&amp;C$1&amp;"|Output"),"I/O","IN"),IF(COUNTIF(Flows!$M$2:$M$1500,$A105&amp;"|"&amp;C$1&amp;"|Output"),"OUT",""))</f>
        <v/>
      </c>
      <c r="D105" s="33" t="str">
        <f aca="false">IF(COUNTIF(Flows!$M$2:$M$1500,$A105&amp;"|"&amp;D$1&amp;"|Input"),IF(COUNTIF(Flows!$M$2:$M$1500,$A105&amp;"|"&amp;D$1&amp;"|Output"),"I/O","IN"),IF(COUNTIF(Flows!$M$2:$M$1500,$A105&amp;"|"&amp;D$1&amp;"|Output"),"OUT",""))</f>
        <v/>
      </c>
      <c r="E105" s="33" t="str">
        <f aca="false">IF(COUNTIF(Flows!$M$2:$M$1500,$A105&amp;"|"&amp;E$1&amp;"|Input"),IF(COUNTIF(Flows!$M$2:$M$1500,$A105&amp;"|"&amp;E$1&amp;"|Output"),"I/O","IN"),IF(COUNTIF(Flows!$M$2:$M$1500,$A105&amp;"|"&amp;E$1&amp;"|Output"),"OUT",""))</f>
        <v>IN</v>
      </c>
      <c r="F105" s="33" t="str">
        <f aca="false">IF(COUNTIF(Flows!$M$2:$M$1500,$A105&amp;"|"&amp;F$1&amp;"|Input"),IF(COUNTIF(Flows!$M$2:$M$1500,$A105&amp;"|"&amp;F$1&amp;"|Output"),"I/O","IN"),IF(COUNTIF(Flows!$M$2:$M$1500,$A105&amp;"|"&amp;F$1&amp;"|Output"),"OUT",""))</f>
        <v/>
      </c>
      <c r="G105" s="33" t="str">
        <f aca="false">IF(COUNTIF(Flows!$M$2:$M$1500,$A105&amp;"|"&amp;G$1&amp;"|Input"),IF(COUNTIF(Flows!$M$2:$M$1500,$A105&amp;"|"&amp;G$1&amp;"|Output"),"I/O","IN"),IF(COUNTIF(Flows!$M$2:$M$1500,$A105&amp;"|"&amp;G$1&amp;"|Output"),"OUT",""))</f>
        <v/>
      </c>
      <c r="H105" s="33" t="str">
        <f aca="false">IF(COUNTIF(Flows!$M$2:$M$1500,$A105&amp;"|"&amp;H$1&amp;"|Input"),IF(COUNTIF(Flows!$M$2:$M$1500,$A105&amp;"|"&amp;H$1&amp;"|Output"),"I/O","IN"),IF(COUNTIF(Flows!$M$2:$M$1500,$A105&amp;"|"&amp;H$1&amp;"|Output"),"OUT",""))</f>
        <v/>
      </c>
      <c r="I105" s="33" t="str">
        <f aca="false">IF(COUNTIF(Flows!$M$2:$M$1500,$A105&amp;"|"&amp;I$1&amp;"|Input"),IF(COUNTIF(Flows!$M$2:$M$1500,$A105&amp;"|"&amp;I$1&amp;"|Output"),"I/O","IN"),IF(COUNTIF(Flows!$M$2:$M$1500,$A105&amp;"|"&amp;I$1&amp;"|Output"),"OUT",""))</f>
        <v/>
      </c>
      <c r="J105" s="33" t="str">
        <f aca="false">IF(COUNTIF(Flows!$M$2:$M$1500,$A105&amp;"|"&amp;J$1&amp;"|Input"),IF(COUNTIF(Flows!$M$2:$M$1500,$A105&amp;"|"&amp;J$1&amp;"|Output"),"I/O","IN"),IF(COUNTIF(Flows!$M$2:$M$1500,$A105&amp;"|"&amp;J$1&amp;"|Output"),"OUT",""))</f>
        <v/>
      </c>
      <c r="K105" s="33" t="str">
        <f aca="false">IF(COUNTIF(Flows!$M$2:$M$1500,$A105&amp;"|"&amp;K$1&amp;"|Input"),IF(COUNTIF(Flows!$M$2:$M$1500,$A105&amp;"|"&amp;K$1&amp;"|Output"),"I/O","IN"),IF(COUNTIF(Flows!$M$2:$M$1500,$A105&amp;"|"&amp;K$1&amp;"|Output"),"OUT",""))</f>
        <v/>
      </c>
      <c r="L105" s="33" t="str">
        <f aca="false">IF(COUNTIF(Flows!$M$2:$M$1500,$A105&amp;"|"&amp;L$1&amp;"|Input"),IF(COUNTIF(Flows!$M$2:$M$1500,$A105&amp;"|"&amp;L$1&amp;"|Output"),"I/O","IN"),IF(COUNTIF(Flows!$M$2:$M$1500,$A105&amp;"|"&amp;L$1&amp;"|Output"),"OUT",""))</f>
        <v/>
      </c>
      <c r="M105" s="33" t="str">
        <f aca="false">IF(COUNTIF(Flows!$M$2:$M$1500,$A105&amp;"|"&amp;M$1&amp;"|Input"),IF(COUNTIF(Flows!$M$2:$M$1500,$A105&amp;"|"&amp;M$1&amp;"|Output"),"I/O","IN"),IF(COUNTIF(Flows!$M$2:$M$1500,$A105&amp;"|"&amp;M$1&amp;"|Output"),"OUT",""))</f>
        <v/>
      </c>
      <c r="N105" s="33" t="str">
        <f aca="false">IF(COUNTIF(Flows!$M$2:$M$1500,$A105&amp;"|"&amp;N$1&amp;"|Input"),IF(COUNTIF(Flows!$M$2:$M$1500,$A105&amp;"|"&amp;N$1&amp;"|Output"),"I/O","IN"),IF(COUNTIF(Flows!$M$2:$M$1500,$A105&amp;"|"&amp;N$1&amp;"|Output"),"OUT",""))</f>
        <v/>
      </c>
      <c r="O105" s="33" t="str">
        <f aca="false">IF(COUNTIF(Flows!$M$2:$M$1500,$A105&amp;"|"&amp;O$1&amp;"|Input"),IF(COUNTIF(Flows!$M$2:$M$1500,$A105&amp;"|"&amp;O$1&amp;"|Output"),"I/O","IN"),IF(COUNTIF(Flows!$M$2:$M$1500,$A105&amp;"|"&amp;O$1&amp;"|Output"),"OUT",""))</f>
        <v/>
      </c>
      <c r="P105" s="33" t="str">
        <f aca="false">IF(COUNTIF(Flows!$M$2:$M$1500,$A105&amp;"|"&amp;P$1&amp;"|Input"),IF(COUNTIF(Flows!$M$2:$M$1500,$A105&amp;"|"&amp;P$1&amp;"|Output"),"I/O","IN"),IF(COUNTIF(Flows!$M$2:$M$1500,$A105&amp;"|"&amp;P$1&amp;"|Output"),"OUT",""))</f>
        <v/>
      </c>
      <c r="Q105" s="33" t="str">
        <f aca="false">IF(COUNTIF(Flows!$M$2:$M$1500,$A105&amp;"|"&amp;Q$1&amp;"|Input"),IF(COUNTIF(Flows!$M$2:$M$1500,$A105&amp;"|"&amp;Q$1&amp;"|Output"),"I/O","IN"),IF(COUNTIF(Flows!$M$2:$M$1500,$A105&amp;"|"&amp;Q$1&amp;"|Output"),"OUT",""))</f>
        <v/>
      </c>
      <c r="R105" s="33" t="str">
        <f aca="false">IF(COUNTIF(Flows!$M$2:$M$1500,$A105&amp;"|"&amp;R$1&amp;"|Input"),IF(COUNTIF(Flows!$M$2:$M$1500,$A105&amp;"|"&amp;R$1&amp;"|Output"),"I/O","IN"),IF(COUNTIF(Flows!$M$2:$M$1500,$A105&amp;"|"&amp;R$1&amp;"|Output"),"OUT",""))</f>
        <v/>
      </c>
      <c r="S105" s="33" t="str">
        <f aca="false">IF(COUNTIF(Flows!$M$2:$M$1500,$A105&amp;"|"&amp;S$1&amp;"|Input"),IF(COUNTIF(Flows!$M$2:$M$1500,$A105&amp;"|"&amp;S$1&amp;"|Output"),"I/O","IN"),IF(COUNTIF(Flows!$M$2:$M$1500,$A105&amp;"|"&amp;S$1&amp;"|Output"),"OUT",""))</f>
        <v/>
      </c>
      <c r="T105" s="33" t="str">
        <f aca="false">IF(COUNTIF(Flows!$M$2:$M$1500,$A105&amp;"|"&amp;T$1&amp;"|Input"),IF(COUNTIF(Flows!$M$2:$M$1500,$A105&amp;"|"&amp;T$1&amp;"|Output"),"I/O","IN"),IF(COUNTIF(Flows!$M$2:$M$1500,$A105&amp;"|"&amp;T$1&amp;"|Output"),"OUT",""))</f>
        <v/>
      </c>
      <c r="U105" s="33" t="str">
        <f aca="false">IF(COUNTIF(Flows!$M$2:$M$1500,$A105&amp;"|"&amp;U$1&amp;"|Input"),IF(COUNTIF(Flows!$M$2:$M$1500,$A105&amp;"|"&amp;U$1&amp;"|Output"),"I/O","IN"),IF(COUNTIF(Flows!$M$2:$M$1500,$A105&amp;"|"&amp;U$1&amp;"|Output"),"OUT",""))</f>
        <v/>
      </c>
      <c r="V105" s="33" t="str">
        <f aca="false">IF(COUNTIF(Flows!$M$2:$M$1500,$A105&amp;"|"&amp;V$1&amp;"|Input"),IF(COUNTIF(Flows!$M$2:$M$1500,$A105&amp;"|"&amp;V$1&amp;"|Output"),"I/O","IN"),IF(COUNTIF(Flows!$M$2:$M$1500,$A105&amp;"|"&amp;V$1&amp;"|Output"),"OUT",""))</f>
        <v/>
      </c>
      <c r="W105" s="33" t="str">
        <f aca="false">IF(COUNTIF(Flows!$M$2:$M$1500,$A105&amp;"|"&amp;W$1&amp;"|Input"),IF(COUNTIF(Flows!$M$2:$M$1500,$A105&amp;"|"&amp;W$1&amp;"|Output"),"I/O","IN"),IF(COUNTIF(Flows!$M$2:$M$1500,$A105&amp;"|"&amp;W$1&amp;"|Output"),"OUT",""))</f>
        <v/>
      </c>
      <c r="X105" s="33" t="str">
        <f aca="false">IF(COUNTIF(Flows!$M$2:$M$1500,$A105&amp;"|"&amp;X$1&amp;"|Input"),IF(COUNTIF(Flows!$M$2:$M$1500,$A105&amp;"|"&amp;X$1&amp;"|Output"),"I/O","IN"),IF(COUNTIF(Flows!$M$2:$M$1500,$A105&amp;"|"&amp;X$1&amp;"|Output"),"OUT",""))</f>
        <v>IN</v>
      </c>
      <c r="Y105" s="33" t="str">
        <f aca="false">IF(COUNTIF(Flows!$M$2:$M$1500,$A105&amp;"|"&amp;Y$1&amp;"|Input"),IF(COUNTIF(Flows!$M$2:$M$1500,$A105&amp;"|"&amp;Y$1&amp;"|Output"),"I/O","IN"),IF(COUNTIF(Flows!$M$2:$M$1500,$A105&amp;"|"&amp;Y$1&amp;"|Output"),"OUT",""))</f>
        <v/>
      </c>
      <c r="Z105" s="33" t="str">
        <f aca="false">IF(COUNTIF(Flows!$M$2:$M$1500,$A105&amp;"|"&amp;Z$1&amp;"|Input"),IF(COUNTIF(Flows!$M$2:$M$1500,$A105&amp;"|"&amp;Z$1&amp;"|Output"),"I/O","IN"),IF(COUNTIF(Flows!$M$2:$M$1500,$A105&amp;"|"&amp;Z$1&amp;"|Output"),"OUT",""))</f>
        <v/>
      </c>
      <c r="AA105" s="33" t="str">
        <f aca="false">IF(COUNTIF(Flows!$M$2:$M$1500,$A105&amp;"|"&amp;AA$1&amp;"|Input"),IF(COUNTIF(Flows!$M$2:$M$1500,$A105&amp;"|"&amp;AA$1&amp;"|Output"),"I/O","IN"),IF(COUNTIF(Flows!$M$2:$M$1500,$A105&amp;"|"&amp;AA$1&amp;"|Output"),"OUT",""))</f>
        <v/>
      </c>
      <c r="AB105" s="33" t="str">
        <f aca="false">IF(COUNTIF(Flows!$M$2:$M$1500,$A105&amp;"|"&amp;AB$1&amp;"|Input"),IF(COUNTIF(Flows!$M$2:$M$1500,$A105&amp;"|"&amp;AB$1&amp;"|Output"),"I/O","IN"),IF(COUNTIF(Flows!$M$2:$M$1500,$A105&amp;"|"&amp;AB$1&amp;"|Output"),"OUT",""))</f>
        <v/>
      </c>
      <c r="AC105" s="33" t="str">
        <f aca="false">IF(COUNTIF(Flows!$M$2:$M$1500,$A105&amp;"|"&amp;AC$1&amp;"|Input"),IF(COUNTIF(Flows!$M$2:$M$1500,$A105&amp;"|"&amp;AC$1&amp;"|Output"),"I/O","IN"),IF(COUNTIF(Flows!$M$2:$M$1500,$A105&amp;"|"&amp;AC$1&amp;"|Output"),"OUT",""))</f>
        <v/>
      </c>
      <c r="AD105" s="33" t="str">
        <f aca="false">IF(COUNTIF(Flows!$M$2:$M$1500,$A105&amp;"|"&amp;AD$1&amp;"|Input"),IF(COUNTIF(Flows!$M$2:$M$1500,$A105&amp;"|"&amp;AD$1&amp;"|Output"),"I/O","IN"),IF(COUNTIF(Flows!$M$2:$M$1500,$A105&amp;"|"&amp;AD$1&amp;"|Output"),"OUT",""))</f>
        <v/>
      </c>
      <c r="AE105" s="33" t="str">
        <f aca="false">IF(COUNTIF(Flows!$M$2:$M$1500,$A105&amp;"|"&amp;AE$1&amp;"|Input"),IF(COUNTIF(Flows!$M$2:$M$1500,$A105&amp;"|"&amp;AE$1&amp;"|Output"),"I/O","IN"),IF(COUNTIF(Flows!$M$2:$M$1500,$A105&amp;"|"&amp;AE$1&amp;"|Output"),"OUT",""))</f>
        <v/>
      </c>
      <c r="AF105" s="33" t="str">
        <f aca="false">IF(COUNTIF(Flows!$M$2:$M$1500,$A105&amp;"|"&amp;AF$1&amp;"|Input"),IF(COUNTIF(Flows!$M$2:$M$1500,$A105&amp;"|"&amp;AF$1&amp;"|Output"),"I/O","IN"),IF(COUNTIF(Flows!$M$2:$M$1500,$A105&amp;"|"&amp;AF$1&amp;"|Output"),"OUT",""))</f>
        <v/>
      </c>
      <c r="AG105" s="33" t="str">
        <f aca="false">IF(COUNTIF(Flows!$M$2:$M$1500,$A105&amp;"|"&amp;AG$1&amp;"|Input"),IF(COUNTIF(Flows!$M$2:$M$1500,$A105&amp;"|"&amp;AG$1&amp;"|Output"),"I/O","IN"),IF(COUNTIF(Flows!$M$2:$M$1500,$A105&amp;"|"&amp;AG$1&amp;"|Output"),"OUT",""))</f>
        <v/>
      </c>
      <c r="AH105" s="33" t="str">
        <f aca="false">IF(COUNTIF(Flows!$M$2:$M$1500,$A105&amp;"|"&amp;AH$1&amp;"|Input"),IF(COUNTIF(Flows!$M$2:$M$1500,$A105&amp;"|"&amp;AH$1&amp;"|Output"),"I/O","IN"),IF(COUNTIF(Flows!$M$2:$M$1500,$A105&amp;"|"&amp;AH$1&amp;"|Output"),"OUT",""))</f>
        <v/>
      </c>
      <c r="AI105" s="33" t="str">
        <f aca="false">IF(COUNTIF(Flows!$M$2:$M$1500,$A105&amp;"|"&amp;AI$1&amp;"|Input"),IF(COUNTIF(Flows!$M$2:$M$1500,$A105&amp;"|"&amp;AI$1&amp;"|Output"),"I/O","IN"),IF(COUNTIF(Flows!$M$2:$M$1500,$A105&amp;"|"&amp;AI$1&amp;"|Output"),"OUT",""))</f>
        <v/>
      </c>
      <c r="AJ105" s="33" t="str">
        <f aca="false">IF(COUNTIF(Flows!$M$2:$M$1500,$A105&amp;"|"&amp;AJ$1&amp;"|Input"),IF(COUNTIF(Flows!$M$2:$M$1500,$A105&amp;"|"&amp;AJ$1&amp;"|Output"),"I/O","IN"),IF(COUNTIF(Flows!$M$2:$M$1500,$A105&amp;"|"&amp;AJ$1&amp;"|Output"),"OUT",""))</f>
        <v/>
      </c>
      <c r="AK105" s="33" t="str">
        <f aca="false">IF(COUNTIF(Flows!$M$2:$M$1500,$A105&amp;"|"&amp;AK$1&amp;"|Input"),IF(COUNTIF(Flows!$M$2:$M$1500,$A105&amp;"|"&amp;AK$1&amp;"|Output"),"I/O","IN"),IF(COUNTIF(Flows!$M$2:$M$1500,$A105&amp;"|"&amp;AK$1&amp;"|Output"),"OUT",""))</f>
        <v/>
      </c>
      <c r="AL105" s="33" t="str">
        <f aca="false">IF(COUNTIF(Flows!$M$2:$M$1500,$A105&amp;"|"&amp;AL$1&amp;"|Input"),IF(COUNTIF(Flows!$M$2:$M$1500,$A105&amp;"|"&amp;AL$1&amp;"|Output"),"I/O","IN"),IF(COUNTIF(Flows!$M$2:$M$1500,$A105&amp;"|"&amp;AL$1&amp;"|Output"),"OUT",""))</f>
        <v/>
      </c>
      <c r="AM105" s="33" t="str">
        <f aca="false">IF(COUNTIF(Flows!$M$2:$M$1500,$A105&amp;"|"&amp;AM$1&amp;"|Input"),IF(COUNTIF(Flows!$M$2:$M$1500,$A105&amp;"|"&amp;AM$1&amp;"|Output"),"I/O","IN"),IF(COUNTIF(Flows!$M$2:$M$1500,$A105&amp;"|"&amp;AM$1&amp;"|Output"),"OUT",""))</f>
        <v/>
      </c>
      <c r="AN105" s="33" t="str">
        <f aca="false">IF(COUNTIF(Flows!$M$2:$M$1500,$A105&amp;"|"&amp;AN$1&amp;"|Input"),IF(COUNTIF(Flows!$M$2:$M$1500,$A105&amp;"|"&amp;AN$1&amp;"|Output"),"I/O","IN"),IF(COUNTIF(Flows!$M$2:$M$1500,$A105&amp;"|"&amp;AN$1&amp;"|Output"),"OUT",""))</f>
        <v/>
      </c>
      <c r="AO105" s="33" t="str">
        <f aca="false">IF(COUNTIF(Flows!$M$2:$M$1500,$A105&amp;"|"&amp;AO$1&amp;"|Input"),IF(COUNTIF(Flows!$M$2:$M$1500,$A105&amp;"|"&amp;AO$1&amp;"|Output"),"I/O","IN"),IF(COUNTIF(Flows!$M$2:$M$1500,$A105&amp;"|"&amp;AO$1&amp;"|Output"),"OUT",""))</f>
        <v/>
      </c>
      <c r="AP105" s="33" t="str">
        <f aca="false">IF(COUNTIF(Flows!$M$2:$M$1500,$A105&amp;"|"&amp;AP$1&amp;"|Input"),IF(COUNTIF(Flows!$M$2:$M$1500,$A105&amp;"|"&amp;AP$1&amp;"|Output"),"I/O","IN"),IF(COUNTIF(Flows!$M$2:$M$1500,$A105&amp;"|"&amp;AP$1&amp;"|Output"),"OUT",""))</f>
        <v/>
      </c>
      <c r="AQ105" s="33" t="str">
        <f aca="false">IF(COUNTIF(Flows!$M$2:$M$1500,$A105&amp;"|"&amp;AQ$1&amp;"|Input"),IF(COUNTIF(Flows!$M$2:$M$1500,$A105&amp;"|"&amp;AQ$1&amp;"|Output"),"I/O","IN"),IF(COUNTIF(Flows!$M$2:$M$1500,$A105&amp;"|"&amp;AQ$1&amp;"|Output"),"OUT",""))</f>
        <v/>
      </c>
      <c r="AR105" s="33" t="str">
        <f aca="false">IF(COUNTIF(Flows!$M$2:$M$1500,$A105&amp;"|"&amp;AR$1&amp;"|Input"),IF(COUNTIF(Flows!$M$2:$M$1500,$A105&amp;"|"&amp;AR$1&amp;"|Output"),"I/O","IN"),IF(COUNTIF(Flows!$M$2:$M$1500,$A105&amp;"|"&amp;AR$1&amp;"|Output"),"OUT",""))</f>
        <v/>
      </c>
      <c r="AS105" s="33" t="str">
        <f aca="false">IF(COUNTIF(Flows!$M$2:$M$1500,$A105&amp;"|"&amp;AS$1&amp;"|Input"),IF(COUNTIF(Flows!$M$2:$M$1500,$A105&amp;"|"&amp;AS$1&amp;"|Output"),"I/O","IN"),IF(COUNTIF(Flows!$M$2:$M$1500,$A105&amp;"|"&amp;AS$1&amp;"|Output"),"OUT",""))</f>
        <v/>
      </c>
      <c r="AT105" s="33" t="str">
        <f aca="false">IF(COUNTIF(Flows!$M$2:$M$1500,$A105&amp;"|"&amp;AT$1&amp;"|Input"),IF(COUNTIF(Flows!$M$2:$M$1500,$A105&amp;"|"&amp;AT$1&amp;"|Output"),"I/O","IN"),IF(COUNTIF(Flows!$M$2:$M$1500,$A105&amp;"|"&amp;AT$1&amp;"|Output"),"OUT",""))</f>
        <v/>
      </c>
      <c r="AU105" s="33" t="str">
        <f aca="false">IF(COUNTIF(Flows!$M$2:$M$1500,$A105&amp;"|"&amp;AU$1&amp;"|Input"),IF(COUNTIF(Flows!$M$2:$M$1500,$A105&amp;"|"&amp;AU$1&amp;"|Output"),"I/O","IN"),IF(COUNTIF(Flows!$M$2:$M$1500,$A105&amp;"|"&amp;AU$1&amp;"|Output"),"OUT",""))</f>
        <v/>
      </c>
      <c r="AV105" s="33" t="str">
        <f aca="false">IF(COUNTIF(Flows!$M$2:$M$1500,$A105&amp;"|"&amp;AV$1&amp;"|Input"),IF(COUNTIF(Flows!$M$2:$M$1500,$A105&amp;"|"&amp;AV$1&amp;"|Output"),"I/O","IN"),IF(COUNTIF(Flows!$M$2:$M$1500,$A105&amp;"|"&amp;AV$1&amp;"|Output"),"OUT",""))</f>
        <v/>
      </c>
      <c r="AW105" s="33" t="str">
        <f aca="false">IF(COUNTIF(Flows!$M$2:$M$1500,$A105&amp;"|"&amp;AW$1&amp;"|Input"),IF(COUNTIF(Flows!$M$2:$M$1500,$A105&amp;"|"&amp;AW$1&amp;"|Output"),"I/O","IN"),IF(COUNTIF(Flows!$M$2:$M$1500,$A105&amp;"|"&amp;AW$1&amp;"|Output"),"OUT",""))</f>
        <v/>
      </c>
      <c r="AX105" s="33" t="str">
        <f aca="false">IF(COUNTIF(Flows!$M$2:$M$1500,$A105&amp;"|"&amp;AX$1&amp;"|Input"),IF(COUNTIF(Flows!$M$2:$M$1500,$A105&amp;"|"&amp;AX$1&amp;"|Output"),"I/O","IN"),IF(COUNTIF(Flows!$M$2:$M$1500,$A105&amp;"|"&amp;AX$1&amp;"|Output"),"OUT",""))</f>
        <v/>
      </c>
      <c r="AY105" s="33" t="str">
        <f aca="false">IF(COUNTIF(Flows!$M$2:$M$1500,$A105&amp;"|"&amp;AY$1&amp;"|Input"),IF(COUNTIF(Flows!$M$2:$M$1500,$A105&amp;"|"&amp;AY$1&amp;"|Output"),"I/O","IN"),IF(COUNTIF(Flows!$M$2:$M$1500,$A105&amp;"|"&amp;AY$1&amp;"|Output"),"OUT",""))</f>
        <v/>
      </c>
      <c r="AZ105" s="33" t="str">
        <f aca="false">IF(COUNTIF(Flows!$M$2:$M$1500,$A105&amp;"|"&amp;AZ$1&amp;"|Input"),IF(COUNTIF(Flows!$M$2:$M$1500,$A105&amp;"|"&amp;AZ$1&amp;"|Output"),"I/O","IN"),IF(COUNTIF(Flows!$M$2:$M$1500,$A105&amp;"|"&amp;AZ$1&amp;"|Output"),"OUT",""))</f>
        <v/>
      </c>
      <c r="BA105" s="33" t="str">
        <f aca="false">IF(COUNTIF(Flows!$M$2:$M$1500,$A105&amp;"|"&amp;BA$1&amp;"|Input"),IF(COUNTIF(Flows!$M$2:$M$1500,$A105&amp;"|"&amp;BA$1&amp;"|Output"),"I/O","IN"),IF(COUNTIF(Flows!$M$2:$M$1500,$A105&amp;"|"&amp;BA$1&amp;"|Output"),"OUT",""))</f>
        <v/>
      </c>
      <c r="BB105" s="33" t="str">
        <f aca="false">IF(COUNTIF(Flows!$M$2:$M$1500,$A105&amp;"|"&amp;BB$1&amp;"|Input"),IF(COUNTIF(Flows!$M$2:$M$1500,$A105&amp;"|"&amp;BB$1&amp;"|Output"),"I/O","IN"),IF(COUNTIF(Flows!$M$2:$M$1500,$A105&amp;"|"&amp;BB$1&amp;"|Output"),"OUT",""))</f>
        <v/>
      </c>
      <c r="BC105" s="33" t="str">
        <f aca="false">IF(COUNTIF(Flows!$M$2:$M$1500,$A105&amp;"|"&amp;BC$1&amp;"|Input"),IF(COUNTIF(Flows!$M$2:$M$1500,$A105&amp;"|"&amp;BC$1&amp;"|Output"),"I/O","IN"),IF(COUNTIF(Flows!$M$2:$M$1500,$A105&amp;"|"&amp;BC$1&amp;"|Output"),"OUT",""))</f>
        <v/>
      </c>
      <c r="BD105" s="33" t="str">
        <f aca="false">IF(COUNTIF(Flows!$M$2:$M$1500,$A105&amp;"|"&amp;BD$1&amp;"|Input"),IF(COUNTIF(Flows!$M$2:$M$1500,$A105&amp;"|"&amp;BD$1&amp;"|Output"),"I/O","IN"),IF(COUNTIF(Flows!$M$2:$M$1500,$A105&amp;"|"&amp;BD$1&amp;"|Output"),"OUT",""))</f>
        <v/>
      </c>
      <c r="BE105" s="33" t="str">
        <f aca="false">IF(COUNTIF(Flows!$M$2:$M$1500,$A105&amp;"|"&amp;BE$1&amp;"|Input"),IF(COUNTIF(Flows!$M$2:$M$1500,$A105&amp;"|"&amp;BE$1&amp;"|Output"),"I/O","IN"),IF(COUNTIF(Flows!$M$2:$M$1500,$A105&amp;"|"&amp;BE$1&amp;"|Output"),"OUT",""))</f>
        <v/>
      </c>
      <c r="BF105" s="33" t="str">
        <f aca="false">IF(COUNTIF(Flows!$M$2:$M$1500,$A105&amp;"|"&amp;BF$1&amp;"|Input"),IF(COUNTIF(Flows!$M$2:$M$1500,$A105&amp;"|"&amp;BF$1&amp;"|Output"),"I/O","IN"),IF(COUNTIF(Flows!$M$2:$M$1500,$A105&amp;"|"&amp;BF$1&amp;"|Output"),"OUT",""))</f>
        <v/>
      </c>
      <c r="BG105" s="33" t="str">
        <f aca="false">IF(COUNTIF(Flows!$M$2:$M$1500,$A105&amp;"|"&amp;BG$1&amp;"|Input"),IF(COUNTIF(Flows!$M$2:$M$1500,$A105&amp;"|"&amp;BG$1&amp;"|Output"),"I/O","IN"),IF(COUNTIF(Flows!$M$2:$M$1500,$A105&amp;"|"&amp;BG$1&amp;"|Output"),"OUT",""))</f>
        <v/>
      </c>
      <c r="BH105" s="33" t="str">
        <f aca="false">IF(COUNTIF(Flows!$M$2:$M$1500,$A105&amp;"|"&amp;BH$1&amp;"|Input"),IF(COUNTIF(Flows!$M$2:$M$1500,$A105&amp;"|"&amp;BH$1&amp;"|Output"),"I/O","IN"),IF(COUNTIF(Flows!$M$2:$M$1500,$A105&amp;"|"&amp;BH$1&amp;"|Output"),"OUT",""))</f>
        <v/>
      </c>
      <c r="BI105" s="33" t="str">
        <f aca="false">IF(COUNTIF(Flows!$M$2:$M$1500,$A105&amp;"|"&amp;BI$1&amp;"|Input"),IF(COUNTIF(Flows!$M$2:$M$1500,$A105&amp;"|"&amp;BI$1&amp;"|Output"),"I/O","IN"),IF(COUNTIF(Flows!$M$2:$M$1500,$A105&amp;"|"&amp;BI$1&amp;"|Output"),"OUT",""))</f>
        <v/>
      </c>
      <c r="BJ105" s="33" t="str">
        <f aca="false">IF(COUNTIF(Flows!$M$2:$M$1500,$A105&amp;"|"&amp;BJ$1&amp;"|Input"),IF(COUNTIF(Flows!$M$2:$M$1500,$A105&amp;"|"&amp;BJ$1&amp;"|Output"),"I/O","IN"),IF(COUNTIF(Flows!$M$2:$M$1500,$A105&amp;"|"&amp;BJ$1&amp;"|Output"),"OUT",""))</f>
        <v/>
      </c>
      <c r="BK105" s="33" t="str">
        <f aca="false">IF(COUNTIF(Flows!$M$2:$M$1500,$A105&amp;"|"&amp;BK$1&amp;"|Input"),IF(COUNTIF(Flows!$M$2:$M$1500,$A105&amp;"|"&amp;BK$1&amp;"|Output"),"I/O","IN"),IF(COUNTIF(Flows!$M$2:$M$1500,$A105&amp;"|"&amp;BK$1&amp;"|Output"),"OUT",""))</f>
        <v/>
      </c>
    </row>
    <row r="106" customFormat="false" ht="15" hidden="false" customHeight="true" outlineLevel="0" collapsed="false">
      <c r="A106" s="6" t="str">
        <f aca="false">Systems!B106</f>
        <v>Pond (1/10 acre)</v>
      </c>
      <c r="B106" s="33" t="str">
        <f aca="false">IF(COUNTIF(Flows!$M$2:$M$1500,$A106&amp;"|"&amp;B$1&amp;"|Input"),IF(COUNTIF(Flows!$M$2:$M$1500,$A106&amp;"|"&amp;B$1&amp;"|Output"),"I/O","IN"),IF(COUNTIF(Flows!$M$2:$M$1500,$A106&amp;"|"&amp;B$1&amp;"|Output"),"OUT",""))</f>
        <v>OUT</v>
      </c>
      <c r="C106" s="33" t="str">
        <f aca="false">IF(COUNTIF(Flows!$M$2:$M$1500,$A106&amp;"|"&amp;C$1&amp;"|Input"),IF(COUNTIF(Flows!$M$2:$M$1500,$A106&amp;"|"&amp;C$1&amp;"|Output"),"I/O","IN"),IF(COUNTIF(Flows!$M$2:$M$1500,$A106&amp;"|"&amp;C$1&amp;"|Output"),"OUT",""))</f>
        <v/>
      </c>
      <c r="D106" s="33" t="str">
        <f aca="false">IF(COUNTIF(Flows!$M$2:$M$1500,$A106&amp;"|"&amp;D$1&amp;"|Input"),IF(COUNTIF(Flows!$M$2:$M$1500,$A106&amp;"|"&amp;D$1&amp;"|Output"),"I/O","IN"),IF(COUNTIF(Flows!$M$2:$M$1500,$A106&amp;"|"&amp;D$1&amp;"|Output"),"OUT",""))</f>
        <v/>
      </c>
      <c r="E106" s="33" t="str">
        <f aca="false">IF(COUNTIF(Flows!$M$2:$M$1500,$A106&amp;"|"&amp;E$1&amp;"|Input"),IF(COUNTIF(Flows!$M$2:$M$1500,$A106&amp;"|"&amp;E$1&amp;"|Output"),"I/O","IN"),IF(COUNTIF(Flows!$M$2:$M$1500,$A106&amp;"|"&amp;E$1&amp;"|Output"),"OUT",""))</f>
        <v/>
      </c>
      <c r="F106" s="33" t="str">
        <f aca="false">IF(COUNTIF(Flows!$M$2:$M$1500,$A106&amp;"|"&amp;F$1&amp;"|Input"),IF(COUNTIF(Flows!$M$2:$M$1500,$A106&amp;"|"&amp;F$1&amp;"|Output"),"I/O","IN"),IF(COUNTIF(Flows!$M$2:$M$1500,$A106&amp;"|"&amp;F$1&amp;"|Output"),"OUT",""))</f>
        <v/>
      </c>
      <c r="G106" s="33" t="str">
        <f aca="false">IF(COUNTIF(Flows!$M$2:$M$1500,$A106&amp;"|"&amp;G$1&amp;"|Input"),IF(COUNTIF(Flows!$M$2:$M$1500,$A106&amp;"|"&amp;G$1&amp;"|Output"),"I/O","IN"),IF(COUNTIF(Flows!$M$2:$M$1500,$A106&amp;"|"&amp;G$1&amp;"|Output"),"OUT",""))</f>
        <v/>
      </c>
      <c r="H106" s="33" t="str">
        <f aca="false">IF(COUNTIF(Flows!$M$2:$M$1500,$A106&amp;"|"&amp;H$1&amp;"|Input"),IF(COUNTIF(Flows!$M$2:$M$1500,$A106&amp;"|"&amp;H$1&amp;"|Output"),"I/O","IN"),IF(COUNTIF(Flows!$M$2:$M$1500,$A106&amp;"|"&amp;H$1&amp;"|Output"),"OUT",""))</f>
        <v/>
      </c>
      <c r="I106" s="33" t="str">
        <f aca="false">IF(COUNTIF(Flows!$M$2:$M$1500,$A106&amp;"|"&amp;I$1&amp;"|Input"),IF(COUNTIF(Flows!$M$2:$M$1500,$A106&amp;"|"&amp;I$1&amp;"|Output"),"I/O","IN"),IF(COUNTIF(Flows!$M$2:$M$1500,$A106&amp;"|"&amp;I$1&amp;"|Output"),"OUT",""))</f>
        <v/>
      </c>
      <c r="J106" s="33" t="str">
        <f aca="false">IF(COUNTIF(Flows!$M$2:$M$1500,$A106&amp;"|"&amp;J$1&amp;"|Input"),IF(COUNTIF(Flows!$M$2:$M$1500,$A106&amp;"|"&amp;J$1&amp;"|Output"),"I/O","IN"),IF(COUNTIF(Flows!$M$2:$M$1500,$A106&amp;"|"&amp;J$1&amp;"|Output"),"OUT",""))</f>
        <v/>
      </c>
      <c r="K106" s="33" t="str">
        <f aca="false">IF(COUNTIF(Flows!$M$2:$M$1500,$A106&amp;"|"&amp;K$1&amp;"|Input"),IF(COUNTIF(Flows!$M$2:$M$1500,$A106&amp;"|"&amp;K$1&amp;"|Output"),"I/O","IN"),IF(COUNTIF(Flows!$M$2:$M$1500,$A106&amp;"|"&amp;K$1&amp;"|Output"),"OUT",""))</f>
        <v/>
      </c>
      <c r="L106" s="33" t="str">
        <f aca="false">IF(COUNTIF(Flows!$M$2:$M$1500,$A106&amp;"|"&amp;L$1&amp;"|Input"),IF(COUNTIF(Flows!$M$2:$M$1500,$A106&amp;"|"&amp;L$1&amp;"|Output"),"I/O","IN"),IF(COUNTIF(Flows!$M$2:$M$1500,$A106&amp;"|"&amp;L$1&amp;"|Output"),"OUT",""))</f>
        <v/>
      </c>
      <c r="M106" s="33" t="str">
        <f aca="false">IF(COUNTIF(Flows!$M$2:$M$1500,$A106&amp;"|"&amp;M$1&amp;"|Input"),IF(COUNTIF(Flows!$M$2:$M$1500,$A106&amp;"|"&amp;M$1&amp;"|Output"),"I/O","IN"),IF(COUNTIF(Flows!$M$2:$M$1500,$A106&amp;"|"&amp;M$1&amp;"|Output"),"OUT",""))</f>
        <v/>
      </c>
      <c r="N106" s="33" t="str">
        <f aca="false">IF(COUNTIF(Flows!$M$2:$M$1500,$A106&amp;"|"&amp;N$1&amp;"|Input"),IF(COUNTIF(Flows!$M$2:$M$1500,$A106&amp;"|"&amp;N$1&amp;"|Output"),"I/O","IN"),IF(COUNTIF(Flows!$M$2:$M$1500,$A106&amp;"|"&amp;N$1&amp;"|Output"),"OUT",""))</f>
        <v>OUT</v>
      </c>
      <c r="O106" s="33" t="str">
        <f aca="false">IF(COUNTIF(Flows!$M$2:$M$1500,$A106&amp;"|"&amp;O$1&amp;"|Input"),IF(COUNTIF(Flows!$M$2:$M$1500,$A106&amp;"|"&amp;O$1&amp;"|Output"),"I/O","IN"),IF(COUNTIF(Flows!$M$2:$M$1500,$A106&amp;"|"&amp;O$1&amp;"|Output"),"OUT",""))</f>
        <v/>
      </c>
      <c r="P106" s="33" t="str">
        <f aca="false">IF(COUNTIF(Flows!$M$2:$M$1500,$A106&amp;"|"&amp;P$1&amp;"|Input"),IF(COUNTIF(Flows!$M$2:$M$1500,$A106&amp;"|"&amp;P$1&amp;"|Output"),"I/O","IN"),IF(COUNTIF(Flows!$M$2:$M$1500,$A106&amp;"|"&amp;P$1&amp;"|Output"),"OUT",""))</f>
        <v/>
      </c>
      <c r="Q106" s="33" t="str">
        <f aca="false">IF(COUNTIF(Flows!$M$2:$M$1500,$A106&amp;"|"&amp;Q$1&amp;"|Input"),IF(COUNTIF(Flows!$M$2:$M$1500,$A106&amp;"|"&amp;Q$1&amp;"|Output"),"I/O","IN"),IF(COUNTIF(Flows!$M$2:$M$1500,$A106&amp;"|"&amp;Q$1&amp;"|Output"),"OUT",""))</f>
        <v/>
      </c>
      <c r="R106" s="33" t="str">
        <f aca="false">IF(COUNTIF(Flows!$M$2:$M$1500,$A106&amp;"|"&amp;R$1&amp;"|Input"),IF(COUNTIF(Flows!$M$2:$M$1500,$A106&amp;"|"&amp;R$1&amp;"|Output"),"I/O","IN"),IF(COUNTIF(Flows!$M$2:$M$1500,$A106&amp;"|"&amp;R$1&amp;"|Output"),"OUT",""))</f>
        <v/>
      </c>
      <c r="S106" s="33" t="str">
        <f aca="false">IF(COUNTIF(Flows!$M$2:$M$1500,$A106&amp;"|"&amp;S$1&amp;"|Input"),IF(COUNTIF(Flows!$M$2:$M$1500,$A106&amp;"|"&amp;S$1&amp;"|Output"),"I/O","IN"),IF(COUNTIF(Flows!$M$2:$M$1500,$A106&amp;"|"&amp;S$1&amp;"|Output"),"OUT",""))</f>
        <v/>
      </c>
      <c r="T106" s="33" t="str">
        <f aca="false">IF(COUNTIF(Flows!$M$2:$M$1500,$A106&amp;"|"&amp;T$1&amp;"|Input"),IF(COUNTIF(Flows!$M$2:$M$1500,$A106&amp;"|"&amp;T$1&amp;"|Output"),"I/O","IN"),IF(COUNTIF(Flows!$M$2:$M$1500,$A106&amp;"|"&amp;T$1&amp;"|Output"),"OUT",""))</f>
        <v/>
      </c>
      <c r="U106" s="33" t="str">
        <f aca="false">IF(COUNTIF(Flows!$M$2:$M$1500,$A106&amp;"|"&amp;U$1&amp;"|Input"),IF(COUNTIF(Flows!$M$2:$M$1500,$A106&amp;"|"&amp;U$1&amp;"|Output"),"I/O","IN"),IF(COUNTIF(Flows!$M$2:$M$1500,$A106&amp;"|"&amp;U$1&amp;"|Output"),"OUT",""))</f>
        <v/>
      </c>
      <c r="V106" s="33" t="str">
        <f aca="false">IF(COUNTIF(Flows!$M$2:$M$1500,$A106&amp;"|"&amp;V$1&amp;"|Input"),IF(COUNTIF(Flows!$M$2:$M$1500,$A106&amp;"|"&amp;V$1&amp;"|Output"),"I/O","IN"),IF(COUNTIF(Flows!$M$2:$M$1500,$A106&amp;"|"&amp;V$1&amp;"|Output"),"OUT",""))</f>
        <v/>
      </c>
      <c r="W106" s="33" t="str">
        <f aca="false">IF(COUNTIF(Flows!$M$2:$M$1500,$A106&amp;"|"&amp;W$1&amp;"|Input"),IF(COUNTIF(Flows!$M$2:$M$1500,$A106&amp;"|"&amp;W$1&amp;"|Output"),"I/O","IN"),IF(COUNTIF(Flows!$M$2:$M$1500,$A106&amp;"|"&amp;W$1&amp;"|Output"),"OUT",""))</f>
        <v/>
      </c>
      <c r="X106" s="33" t="str">
        <f aca="false">IF(COUNTIF(Flows!$M$2:$M$1500,$A106&amp;"|"&amp;X$1&amp;"|Input"),IF(COUNTIF(Flows!$M$2:$M$1500,$A106&amp;"|"&amp;X$1&amp;"|Output"),"I/O","IN"),IF(COUNTIF(Flows!$M$2:$M$1500,$A106&amp;"|"&amp;X$1&amp;"|Output"),"OUT",""))</f>
        <v>IN</v>
      </c>
      <c r="Y106" s="33" t="str">
        <f aca="false">IF(COUNTIF(Flows!$M$2:$M$1500,$A106&amp;"|"&amp;Y$1&amp;"|Input"),IF(COUNTIF(Flows!$M$2:$M$1500,$A106&amp;"|"&amp;Y$1&amp;"|Output"),"I/O","IN"),IF(COUNTIF(Flows!$M$2:$M$1500,$A106&amp;"|"&amp;Y$1&amp;"|Output"),"OUT",""))</f>
        <v/>
      </c>
      <c r="Z106" s="33" t="str">
        <f aca="false">IF(COUNTIF(Flows!$M$2:$M$1500,$A106&amp;"|"&amp;Z$1&amp;"|Input"),IF(COUNTIF(Flows!$M$2:$M$1500,$A106&amp;"|"&amp;Z$1&amp;"|Output"),"I/O","IN"),IF(COUNTIF(Flows!$M$2:$M$1500,$A106&amp;"|"&amp;Z$1&amp;"|Output"),"OUT",""))</f>
        <v/>
      </c>
      <c r="AA106" s="33" t="str">
        <f aca="false">IF(COUNTIF(Flows!$M$2:$M$1500,$A106&amp;"|"&amp;AA$1&amp;"|Input"),IF(COUNTIF(Flows!$M$2:$M$1500,$A106&amp;"|"&amp;AA$1&amp;"|Output"),"I/O","IN"),IF(COUNTIF(Flows!$M$2:$M$1500,$A106&amp;"|"&amp;AA$1&amp;"|Output"),"OUT",""))</f>
        <v>IN</v>
      </c>
      <c r="AB106" s="33" t="str">
        <f aca="false">IF(COUNTIF(Flows!$M$2:$M$1500,$A106&amp;"|"&amp;AB$1&amp;"|Input"),IF(COUNTIF(Flows!$M$2:$M$1500,$A106&amp;"|"&amp;AB$1&amp;"|Output"),"I/O","IN"),IF(COUNTIF(Flows!$M$2:$M$1500,$A106&amp;"|"&amp;AB$1&amp;"|Output"),"OUT",""))</f>
        <v/>
      </c>
      <c r="AC106" s="33" t="str">
        <f aca="false">IF(COUNTIF(Flows!$M$2:$M$1500,$A106&amp;"|"&amp;AC$1&amp;"|Input"),IF(COUNTIF(Flows!$M$2:$M$1500,$A106&amp;"|"&amp;AC$1&amp;"|Output"),"I/O","IN"),IF(COUNTIF(Flows!$M$2:$M$1500,$A106&amp;"|"&amp;AC$1&amp;"|Output"),"OUT",""))</f>
        <v/>
      </c>
      <c r="AD106" s="33" t="str">
        <f aca="false">IF(COUNTIF(Flows!$M$2:$M$1500,$A106&amp;"|"&amp;AD$1&amp;"|Input"),IF(COUNTIF(Flows!$M$2:$M$1500,$A106&amp;"|"&amp;AD$1&amp;"|Output"),"I/O","IN"),IF(COUNTIF(Flows!$M$2:$M$1500,$A106&amp;"|"&amp;AD$1&amp;"|Output"),"OUT",""))</f>
        <v/>
      </c>
      <c r="AE106" s="33" t="str">
        <f aca="false">IF(COUNTIF(Flows!$M$2:$M$1500,$A106&amp;"|"&amp;AE$1&amp;"|Input"),IF(COUNTIF(Flows!$M$2:$M$1500,$A106&amp;"|"&amp;AE$1&amp;"|Output"),"I/O","IN"),IF(COUNTIF(Flows!$M$2:$M$1500,$A106&amp;"|"&amp;AE$1&amp;"|Output"),"OUT",""))</f>
        <v>OUT</v>
      </c>
      <c r="AF106" s="33" t="str">
        <f aca="false">IF(COUNTIF(Flows!$M$2:$M$1500,$A106&amp;"|"&amp;AF$1&amp;"|Input"),IF(COUNTIF(Flows!$M$2:$M$1500,$A106&amp;"|"&amp;AF$1&amp;"|Output"),"I/O","IN"),IF(COUNTIF(Flows!$M$2:$M$1500,$A106&amp;"|"&amp;AF$1&amp;"|Output"),"OUT",""))</f>
        <v/>
      </c>
      <c r="AG106" s="33" t="str">
        <f aca="false">IF(COUNTIF(Flows!$M$2:$M$1500,$A106&amp;"|"&amp;AG$1&amp;"|Input"),IF(COUNTIF(Flows!$M$2:$M$1500,$A106&amp;"|"&amp;AG$1&amp;"|Output"),"I/O","IN"),IF(COUNTIF(Flows!$M$2:$M$1500,$A106&amp;"|"&amp;AG$1&amp;"|Output"),"OUT",""))</f>
        <v/>
      </c>
      <c r="AH106" s="33" t="str">
        <f aca="false">IF(COUNTIF(Flows!$M$2:$M$1500,$A106&amp;"|"&amp;AH$1&amp;"|Input"),IF(COUNTIF(Flows!$M$2:$M$1500,$A106&amp;"|"&amp;AH$1&amp;"|Output"),"I/O","IN"),IF(COUNTIF(Flows!$M$2:$M$1500,$A106&amp;"|"&amp;AH$1&amp;"|Output"),"OUT",""))</f>
        <v/>
      </c>
      <c r="AI106" s="33" t="str">
        <f aca="false">IF(COUNTIF(Flows!$M$2:$M$1500,$A106&amp;"|"&amp;AI$1&amp;"|Input"),IF(COUNTIF(Flows!$M$2:$M$1500,$A106&amp;"|"&amp;AI$1&amp;"|Output"),"I/O","IN"),IF(COUNTIF(Flows!$M$2:$M$1500,$A106&amp;"|"&amp;AI$1&amp;"|Output"),"OUT",""))</f>
        <v/>
      </c>
      <c r="AJ106" s="33" t="str">
        <f aca="false">IF(COUNTIF(Flows!$M$2:$M$1500,$A106&amp;"|"&amp;AJ$1&amp;"|Input"),IF(COUNTIF(Flows!$M$2:$M$1500,$A106&amp;"|"&amp;AJ$1&amp;"|Output"),"I/O","IN"),IF(COUNTIF(Flows!$M$2:$M$1500,$A106&amp;"|"&amp;AJ$1&amp;"|Output"),"OUT",""))</f>
        <v/>
      </c>
      <c r="AK106" s="33" t="str">
        <f aca="false">IF(COUNTIF(Flows!$M$2:$M$1500,$A106&amp;"|"&amp;AK$1&amp;"|Input"),IF(COUNTIF(Flows!$M$2:$M$1500,$A106&amp;"|"&amp;AK$1&amp;"|Output"),"I/O","IN"),IF(COUNTIF(Flows!$M$2:$M$1500,$A106&amp;"|"&amp;AK$1&amp;"|Output"),"OUT",""))</f>
        <v/>
      </c>
      <c r="AL106" s="33" t="str">
        <f aca="false">IF(COUNTIF(Flows!$M$2:$M$1500,$A106&amp;"|"&amp;AL$1&amp;"|Input"),IF(COUNTIF(Flows!$M$2:$M$1500,$A106&amp;"|"&amp;AL$1&amp;"|Output"),"I/O","IN"),IF(COUNTIF(Flows!$M$2:$M$1500,$A106&amp;"|"&amp;AL$1&amp;"|Output"),"OUT",""))</f>
        <v/>
      </c>
      <c r="AM106" s="33" t="str">
        <f aca="false">IF(COUNTIF(Flows!$M$2:$M$1500,$A106&amp;"|"&amp;AM$1&amp;"|Input"),IF(COUNTIF(Flows!$M$2:$M$1500,$A106&amp;"|"&amp;AM$1&amp;"|Output"),"I/O","IN"),IF(COUNTIF(Flows!$M$2:$M$1500,$A106&amp;"|"&amp;AM$1&amp;"|Output"),"OUT",""))</f>
        <v/>
      </c>
      <c r="AN106" s="33" t="str">
        <f aca="false">IF(COUNTIF(Flows!$M$2:$M$1500,$A106&amp;"|"&amp;AN$1&amp;"|Input"),IF(COUNTIF(Flows!$M$2:$M$1500,$A106&amp;"|"&amp;AN$1&amp;"|Output"),"I/O","IN"),IF(COUNTIF(Flows!$M$2:$M$1500,$A106&amp;"|"&amp;AN$1&amp;"|Output"),"OUT",""))</f>
        <v/>
      </c>
      <c r="AO106" s="33" t="str">
        <f aca="false">IF(COUNTIF(Flows!$M$2:$M$1500,$A106&amp;"|"&amp;AO$1&amp;"|Input"),IF(COUNTIF(Flows!$M$2:$M$1500,$A106&amp;"|"&amp;AO$1&amp;"|Output"),"I/O","IN"),IF(COUNTIF(Flows!$M$2:$M$1500,$A106&amp;"|"&amp;AO$1&amp;"|Output"),"OUT",""))</f>
        <v/>
      </c>
      <c r="AP106" s="33" t="str">
        <f aca="false">IF(COUNTIF(Flows!$M$2:$M$1500,$A106&amp;"|"&amp;AP$1&amp;"|Input"),IF(COUNTIF(Flows!$M$2:$M$1500,$A106&amp;"|"&amp;AP$1&amp;"|Output"),"I/O","IN"),IF(COUNTIF(Flows!$M$2:$M$1500,$A106&amp;"|"&amp;AP$1&amp;"|Output"),"OUT",""))</f>
        <v/>
      </c>
      <c r="AQ106" s="33" t="str">
        <f aca="false">IF(COUNTIF(Flows!$M$2:$M$1500,$A106&amp;"|"&amp;AQ$1&amp;"|Input"),IF(COUNTIF(Flows!$M$2:$M$1500,$A106&amp;"|"&amp;AQ$1&amp;"|Output"),"I/O","IN"),IF(COUNTIF(Flows!$M$2:$M$1500,$A106&amp;"|"&amp;AQ$1&amp;"|Output"),"OUT",""))</f>
        <v/>
      </c>
      <c r="AR106" s="33" t="str">
        <f aca="false">IF(COUNTIF(Flows!$M$2:$M$1500,$A106&amp;"|"&amp;AR$1&amp;"|Input"),IF(COUNTIF(Flows!$M$2:$M$1500,$A106&amp;"|"&amp;AR$1&amp;"|Output"),"I/O","IN"),IF(COUNTIF(Flows!$M$2:$M$1500,$A106&amp;"|"&amp;AR$1&amp;"|Output"),"OUT",""))</f>
        <v/>
      </c>
      <c r="AS106" s="33" t="str">
        <f aca="false">IF(COUNTIF(Flows!$M$2:$M$1500,$A106&amp;"|"&amp;AS$1&amp;"|Input"),IF(COUNTIF(Flows!$M$2:$M$1500,$A106&amp;"|"&amp;AS$1&amp;"|Output"),"I/O","IN"),IF(COUNTIF(Flows!$M$2:$M$1500,$A106&amp;"|"&amp;AS$1&amp;"|Output"),"OUT",""))</f>
        <v/>
      </c>
      <c r="AT106" s="33" t="str">
        <f aca="false">IF(COUNTIF(Flows!$M$2:$M$1500,$A106&amp;"|"&amp;AT$1&amp;"|Input"),IF(COUNTIF(Flows!$M$2:$M$1500,$A106&amp;"|"&amp;AT$1&amp;"|Output"),"I/O","IN"),IF(COUNTIF(Flows!$M$2:$M$1500,$A106&amp;"|"&amp;AT$1&amp;"|Output"),"OUT",""))</f>
        <v/>
      </c>
      <c r="AU106" s="33" t="str">
        <f aca="false">IF(COUNTIF(Flows!$M$2:$M$1500,$A106&amp;"|"&amp;AU$1&amp;"|Input"),IF(COUNTIF(Flows!$M$2:$M$1500,$A106&amp;"|"&amp;AU$1&amp;"|Output"),"I/O","IN"),IF(COUNTIF(Flows!$M$2:$M$1500,$A106&amp;"|"&amp;AU$1&amp;"|Output"),"OUT",""))</f>
        <v/>
      </c>
      <c r="AV106" s="33" t="str">
        <f aca="false">IF(COUNTIF(Flows!$M$2:$M$1500,$A106&amp;"|"&amp;AV$1&amp;"|Input"),IF(COUNTIF(Flows!$M$2:$M$1500,$A106&amp;"|"&amp;AV$1&amp;"|Output"),"I/O","IN"),IF(COUNTIF(Flows!$M$2:$M$1500,$A106&amp;"|"&amp;AV$1&amp;"|Output"),"OUT",""))</f>
        <v/>
      </c>
      <c r="AW106" s="33" t="str">
        <f aca="false">IF(COUNTIF(Flows!$M$2:$M$1500,$A106&amp;"|"&amp;AW$1&amp;"|Input"),IF(COUNTIF(Flows!$M$2:$M$1500,$A106&amp;"|"&amp;AW$1&amp;"|Output"),"I/O","IN"),IF(COUNTIF(Flows!$M$2:$M$1500,$A106&amp;"|"&amp;AW$1&amp;"|Output"),"OUT",""))</f>
        <v/>
      </c>
      <c r="AX106" s="33" t="str">
        <f aca="false">IF(COUNTIF(Flows!$M$2:$M$1500,$A106&amp;"|"&amp;AX$1&amp;"|Input"),IF(COUNTIF(Flows!$M$2:$M$1500,$A106&amp;"|"&amp;AX$1&amp;"|Output"),"I/O","IN"),IF(COUNTIF(Flows!$M$2:$M$1500,$A106&amp;"|"&amp;AX$1&amp;"|Output"),"OUT",""))</f>
        <v/>
      </c>
      <c r="AY106" s="33" t="str">
        <f aca="false">IF(COUNTIF(Flows!$M$2:$M$1500,$A106&amp;"|"&amp;AY$1&amp;"|Input"),IF(COUNTIF(Flows!$M$2:$M$1500,$A106&amp;"|"&amp;AY$1&amp;"|Output"),"I/O","IN"),IF(COUNTIF(Flows!$M$2:$M$1500,$A106&amp;"|"&amp;AY$1&amp;"|Output"),"OUT",""))</f>
        <v/>
      </c>
      <c r="AZ106" s="33" t="str">
        <f aca="false">IF(COUNTIF(Flows!$M$2:$M$1500,$A106&amp;"|"&amp;AZ$1&amp;"|Input"),IF(COUNTIF(Flows!$M$2:$M$1500,$A106&amp;"|"&amp;AZ$1&amp;"|Output"),"I/O","IN"),IF(COUNTIF(Flows!$M$2:$M$1500,$A106&amp;"|"&amp;AZ$1&amp;"|Output"),"OUT",""))</f>
        <v/>
      </c>
      <c r="BA106" s="33" t="str">
        <f aca="false">IF(COUNTIF(Flows!$M$2:$M$1500,$A106&amp;"|"&amp;BA$1&amp;"|Input"),IF(COUNTIF(Flows!$M$2:$M$1500,$A106&amp;"|"&amp;BA$1&amp;"|Output"),"I/O","IN"),IF(COUNTIF(Flows!$M$2:$M$1500,$A106&amp;"|"&amp;BA$1&amp;"|Output"),"OUT",""))</f>
        <v/>
      </c>
      <c r="BB106" s="33" t="str">
        <f aca="false">IF(COUNTIF(Flows!$M$2:$M$1500,$A106&amp;"|"&amp;BB$1&amp;"|Input"),IF(COUNTIF(Flows!$M$2:$M$1500,$A106&amp;"|"&amp;BB$1&amp;"|Output"),"I/O","IN"),IF(COUNTIF(Flows!$M$2:$M$1500,$A106&amp;"|"&amp;BB$1&amp;"|Output"),"OUT",""))</f>
        <v/>
      </c>
      <c r="BC106" s="33" t="str">
        <f aca="false">IF(COUNTIF(Flows!$M$2:$M$1500,$A106&amp;"|"&amp;BC$1&amp;"|Input"),IF(COUNTIF(Flows!$M$2:$M$1500,$A106&amp;"|"&amp;BC$1&amp;"|Output"),"I/O","IN"),IF(COUNTIF(Flows!$M$2:$M$1500,$A106&amp;"|"&amp;BC$1&amp;"|Output"),"OUT",""))</f>
        <v/>
      </c>
      <c r="BD106" s="33" t="str">
        <f aca="false">IF(COUNTIF(Flows!$M$2:$M$1500,$A106&amp;"|"&amp;BD$1&amp;"|Input"),IF(COUNTIF(Flows!$M$2:$M$1500,$A106&amp;"|"&amp;BD$1&amp;"|Output"),"I/O","IN"),IF(COUNTIF(Flows!$M$2:$M$1500,$A106&amp;"|"&amp;BD$1&amp;"|Output"),"OUT",""))</f>
        <v/>
      </c>
      <c r="BE106" s="33" t="str">
        <f aca="false">IF(COUNTIF(Flows!$M$2:$M$1500,$A106&amp;"|"&amp;BE$1&amp;"|Input"),IF(COUNTIF(Flows!$M$2:$M$1500,$A106&amp;"|"&amp;BE$1&amp;"|Output"),"I/O","IN"),IF(COUNTIF(Flows!$M$2:$M$1500,$A106&amp;"|"&amp;BE$1&amp;"|Output"),"OUT",""))</f>
        <v/>
      </c>
      <c r="BF106" s="33" t="str">
        <f aca="false">IF(COUNTIF(Flows!$M$2:$M$1500,$A106&amp;"|"&amp;BF$1&amp;"|Input"),IF(COUNTIF(Flows!$M$2:$M$1500,$A106&amp;"|"&amp;BF$1&amp;"|Output"),"I/O","IN"),IF(COUNTIF(Flows!$M$2:$M$1500,$A106&amp;"|"&amp;BF$1&amp;"|Output"),"OUT",""))</f>
        <v/>
      </c>
      <c r="BG106" s="33" t="str">
        <f aca="false">IF(COUNTIF(Flows!$M$2:$M$1500,$A106&amp;"|"&amp;BG$1&amp;"|Input"),IF(COUNTIF(Flows!$M$2:$M$1500,$A106&amp;"|"&amp;BG$1&amp;"|Output"),"I/O","IN"),IF(COUNTIF(Flows!$M$2:$M$1500,$A106&amp;"|"&amp;BG$1&amp;"|Output"),"OUT",""))</f>
        <v/>
      </c>
      <c r="BH106" s="33" t="str">
        <f aca="false">IF(COUNTIF(Flows!$M$2:$M$1500,$A106&amp;"|"&amp;BH$1&amp;"|Input"),IF(COUNTIF(Flows!$M$2:$M$1500,$A106&amp;"|"&amp;BH$1&amp;"|Output"),"I/O","IN"),IF(COUNTIF(Flows!$M$2:$M$1500,$A106&amp;"|"&amp;BH$1&amp;"|Output"),"OUT",""))</f>
        <v/>
      </c>
      <c r="BI106" s="33" t="str">
        <f aca="false">IF(COUNTIF(Flows!$M$2:$M$1500,$A106&amp;"|"&amp;BI$1&amp;"|Input"),IF(COUNTIF(Flows!$M$2:$M$1500,$A106&amp;"|"&amp;BI$1&amp;"|Output"),"I/O","IN"),IF(COUNTIF(Flows!$M$2:$M$1500,$A106&amp;"|"&amp;BI$1&amp;"|Output"),"OUT",""))</f>
        <v>OUT</v>
      </c>
      <c r="BJ106" s="33" t="str">
        <f aca="false">IF(COUNTIF(Flows!$M$2:$M$1500,$A106&amp;"|"&amp;BJ$1&amp;"|Input"),IF(COUNTIF(Flows!$M$2:$M$1500,$A106&amp;"|"&amp;BJ$1&amp;"|Output"),"I/O","IN"),IF(COUNTIF(Flows!$M$2:$M$1500,$A106&amp;"|"&amp;BJ$1&amp;"|Output"),"OUT",""))</f>
        <v/>
      </c>
      <c r="BK106" s="33" t="str">
        <f aca="false">IF(COUNTIF(Flows!$M$2:$M$1500,$A106&amp;"|"&amp;BK$1&amp;"|Input"),IF(COUNTIF(Flows!$M$2:$M$1500,$A106&amp;"|"&amp;BK$1&amp;"|Output"),"I/O","IN"),IF(COUNTIF(Flows!$M$2:$M$1500,$A106&amp;"|"&amp;BK$1&amp;"|Output"),"OUT",""))</f>
        <v>OUT</v>
      </c>
    </row>
    <row r="107" customFormat="false" ht="15" hidden="false" customHeight="true" outlineLevel="0" collapsed="false">
      <c r="A107" s="6" t="str">
        <f aca="false">Systems!B107</f>
        <v>5,000 Gallon Cistern</v>
      </c>
      <c r="B107" s="33" t="str">
        <f aca="false">IF(COUNTIF(Flows!$M$2:$M$1500,$A107&amp;"|"&amp;B$1&amp;"|Input"),IF(COUNTIF(Flows!$M$2:$M$1500,$A107&amp;"|"&amp;B$1&amp;"|Output"),"I/O","IN"),IF(COUNTIF(Flows!$M$2:$M$1500,$A107&amp;"|"&amp;B$1&amp;"|Output"),"OUT",""))</f>
        <v/>
      </c>
      <c r="C107" s="33" t="str">
        <f aca="false">IF(COUNTIF(Flows!$M$2:$M$1500,$A107&amp;"|"&amp;C$1&amp;"|Input"),IF(COUNTIF(Flows!$M$2:$M$1500,$A107&amp;"|"&amp;C$1&amp;"|Output"),"I/O","IN"),IF(COUNTIF(Flows!$M$2:$M$1500,$A107&amp;"|"&amp;C$1&amp;"|Output"),"OUT",""))</f>
        <v/>
      </c>
      <c r="D107" s="33" t="str">
        <f aca="false">IF(COUNTIF(Flows!$M$2:$M$1500,$A107&amp;"|"&amp;D$1&amp;"|Input"),IF(COUNTIF(Flows!$M$2:$M$1500,$A107&amp;"|"&amp;D$1&amp;"|Output"),"I/O","IN"),IF(COUNTIF(Flows!$M$2:$M$1500,$A107&amp;"|"&amp;D$1&amp;"|Output"),"OUT",""))</f>
        <v/>
      </c>
      <c r="E107" s="33" t="str">
        <f aca="false">IF(COUNTIF(Flows!$M$2:$M$1500,$A107&amp;"|"&amp;E$1&amp;"|Input"),IF(COUNTIF(Flows!$M$2:$M$1500,$A107&amp;"|"&amp;E$1&amp;"|Output"),"I/O","IN"),IF(COUNTIF(Flows!$M$2:$M$1500,$A107&amp;"|"&amp;E$1&amp;"|Output"),"OUT",""))</f>
        <v/>
      </c>
      <c r="F107" s="33" t="str">
        <f aca="false">IF(COUNTIF(Flows!$M$2:$M$1500,$A107&amp;"|"&amp;F$1&amp;"|Input"),IF(COUNTIF(Flows!$M$2:$M$1500,$A107&amp;"|"&amp;F$1&amp;"|Output"),"I/O","IN"),IF(COUNTIF(Flows!$M$2:$M$1500,$A107&amp;"|"&amp;F$1&amp;"|Output"),"OUT",""))</f>
        <v/>
      </c>
      <c r="G107" s="33" t="str">
        <f aca="false">IF(COUNTIF(Flows!$M$2:$M$1500,$A107&amp;"|"&amp;G$1&amp;"|Input"),IF(COUNTIF(Flows!$M$2:$M$1500,$A107&amp;"|"&amp;G$1&amp;"|Output"),"I/O","IN"),IF(COUNTIF(Flows!$M$2:$M$1500,$A107&amp;"|"&amp;G$1&amp;"|Output"),"OUT",""))</f>
        <v/>
      </c>
      <c r="H107" s="33" t="str">
        <f aca="false">IF(COUNTIF(Flows!$M$2:$M$1500,$A107&amp;"|"&amp;H$1&amp;"|Input"),IF(COUNTIF(Flows!$M$2:$M$1500,$A107&amp;"|"&amp;H$1&amp;"|Output"),"I/O","IN"),IF(COUNTIF(Flows!$M$2:$M$1500,$A107&amp;"|"&amp;H$1&amp;"|Output"),"OUT",""))</f>
        <v/>
      </c>
      <c r="I107" s="33" t="str">
        <f aca="false">IF(COUNTIF(Flows!$M$2:$M$1500,$A107&amp;"|"&amp;I$1&amp;"|Input"),IF(COUNTIF(Flows!$M$2:$M$1500,$A107&amp;"|"&amp;I$1&amp;"|Output"),"I/O","IN"),IF(COUNTIF(Flows!$M$2:$M$1500,$A107&amp;"|"&amp;I$1&amp;"|Output"),"OUT",""))</f>
        <v/>
      </c>
      <c r="J107" s="33" t="str">
        <f aca="false">IF(COUNTIF(Flows!$M$2:$M$1500,$A107&amp;"|"&amp;J$1&amp;"|Input"),IF(COUNTIF(Flows!$M$2:$M$1500,$A107&amp;"|"&amp;J$1&amp;"|Output"),"I/O","IN"),IF(COUNTIF(Flows!$M$2:$M$1500,$A107&amp;"|"&amp;J$1&amp;"|Output"),"OUT",""))</f>
        <v/>
      </c>
      <c r="K107" s="33" t="str">
        <f aca="false">IF(COUNTIF(Flows!$M$2:$M$1500,$A107&amp;"|"&amp;K$1&amp;"|Input"),IF(COUNTIF(Flows!$M$2:$M$1500,$A107&amp;"|"&amp;K$1&amp;"|Output"),"I/O","IN"),IF(COUNTIF(Flows!$M$2:$M$1500,$A107&amp;"|"&amp;K$1&amp;"|Output"),"OUT",""))</f>
        <v/>
      </c>
      <c r="L107" s="33" t="str">
        <f aca="false">IF(COUNTIF(Flows!$M$2:$M$1500,$A107&amp;"|"&amp;L$1&amp;"|Input"),IF(COUNTIF(Flows!$M$2:$M$1500,$A107&amp;"|"&amp;L$1&amp;"|Output"),"I/O","IN"),IF(COUNTIF(Flows!$M$2:$M$1500,$A107&amp;"|"&amp;L$1&amp;"|Output"),"OUT",""))</f>
        <v/>
      </c>
      <c r="M107" s="33" t="str">
        <f aca="false">IF(COUNTIF(Flows!$M$2:$M$1500,$A107&amp;"|"&amp;M$1&amp;"|Input"),IF(COUNTIF(Flows!$M$2:$M$1500,$A107&amp;"|"&amp;M$1&amp;"|Output"),"I/O","IN"),IF(COUNTIF(Flows!$M$2:$M$1500,$A107&amp;"|"&amp;M$1&amp;"|Output"),"OUT",""))</f>
        <v/>
      </c>
      <c r="N107" s="33" t="str">
        <f aca="false">IF(COUNTIF(Flows!$M$2:$M$1500,$A107&amp;"|"&amp;N$1&amp;"|Input"),IF(COUNTIF(Flows!$M$2:$M$1500,$A107&amp;"|"&amp;N$1&amp;"|Output"),"I/O","IN"),IF(COUNTIF(Flows!$M$2:$M$1500,$A107&amp;"|"&amp;N$1&amp;"|Output"),"OUT",""))</f>
        <v/>
      </c>
      <c r="O107" s="33" t="str">
        <f aca="false">IF(COUNTIF(Flows!$M$2:$M$1500,$A107&amp;"|"&amp;O$1&amp;"|Input"),IF(COUNTIF(Flows!$M$2:$M$1500,$A107&amp;"|"&amp;O$1&amp;"|Output"),"I/O","IN"),IF(COUNTIF(Flows!$M$2:$M$1500,$A107&amp;"|"&amp;O$1&amp;"|Output"),"OUT",""))</f>
        <v/>
      </c>
      <c r="P107" s="33" t="str">
        <f aca="false">IF(COUNTIF(Flows!$M$2:$M$1500,$A107&amp;"|"&amp;P$1&amp;"|Input"),IF(COUNTIF(Flows!$M$2:$M$1500,$A107&amp;"|"&amp;P$1&amp;"|Output"),"I/O","IN"),IF(COUNTIF(Flows!$M$2:$M$1500,$A107&amp;"|"&amp;P$1&amp;"|Output"),"OUT",""))</f>
        <v/>
      </c>
      <c r="Q107" s="33" t="str">
        <f aca="false">IF(COUNTIF(Flows!$M$2:$M$1500,$A107&amp;"|"&amp;Q$1&amp;"|Input"),IF(COUNTIF(Flows!$M$2:$M$1500,$A107&amp;"|"&amp;Q$1&amp;"|Output"),"I/O","IN"),IF(COUNTIF(Flows!$M$2:$M$1500,$A107&amp;"|"&amp;Q$1&amp;"|Output"),"OUT",""))</f>
        <v/>
      </c>
      <c r="R107" s="33" t="str">
        <f aca="false">IF(COUNTIF(Flows!$M$2:$M$1500,$A107&amp;"|"&amp;R$1&amp;"|Input"),IF(COUNTIF(Flows!$M$2:$M$1500,$A107&amp;"|"&amp;R$1&amp;"|Output"),"I/O","IN"),IF(COUNTIF(Flows!$M$2:$M$1500,$A107&amp;"|"&amp;R$1&amp;"|Output"),"OUT",""))</f>
        <v/>
      </c>
      <c r="S107" s="33" t="str">
        <f aca="false">IF(COUNTIF(Flows!$M$2:$M$1500,$A107&amp;"|"&amp;S$1&amp;"|Input"),IF(COUNTIF(Flows!$M$2:$M$1500,$A107&amp;"|"&amp;S$1&amp;"|Output"),"I/O","IN"),IF(COUNTIF(Flows!$M$2:$M$1500,$A107&amp;"|"&amp;S$1&amp;"|Output"),"OUT",""))</f>
        <v/>
      </c>
      <c r="T107" s="33" t="str">
        <f aca="false">IF(COUNTIF(Flows!$M$2:$M$1500,$A107&amp;"|"&amp;T$1&amp;"|Input"),IF(COUNTIF(Flows!$M$2:$M$1500,$A107&amp;"|"&amp;T$1&amp;"|Output"),"I/O","IN"),IF(COUNTIF(Flows!$M$2:$M$1500,$A107&amp;"|"&amp;T$1&amp;"|Output"),"OUT",""))</f>
        <v/>
      </c>
      <c r="U107" s="33" t="str">
        <f aca="false">IF(COUNTIF(Flows!$M$2:$M$1500,$A107&amp;"|"&amp;U$1&amp;"|Input"),IF(COUNTIF(Flows!$M$2:$M$1500,$A107&amp;"|"&amp;U$1&amp;"|Output"),"I/O","IN"),IF(COUNTIF(Flows!$M$2:$M$1500,$A107&amp;"|"&amp;U$1&amp;"|Output"),"OUT",""))</f>
        <v/>
      </c>
      <c r="V107" s="33" t="str">
        <f aca="false">IF(COUNTIF(Flows!$M$2:$M$1500,$A107&amp;"|"&amp;V$1&amp;"|Input"),IF(COUNTIF(Flows!$M$2:$M$1500,$A107&amp;"|"&amp;V$1&amp;"|Output"),"I/O","IN"),IF(COUNTIF(Flows!$M$2:$M$1500,$A107&amp;"|"&amp;V$1&amp;"|Output"),"OUT",""))</f>
        <v/>
      </c>
      <c r="W107" s="33" t="str">
        <f aca="false">IF(COUNTIF(Flows!$M$2:$M$1500,$A107&amp;"|"&amp;W$1&amp;"|Input"),IF(COUNTIF(Flows!$M$2:$M$1500,$A107&amp;"|"&amp;W$1&amp;"|Output"),"I/O","IN"),IF(COUNTIF(Flows!$M$2:$M$1500,$A107&amp;"|"&amp;W$1&amp;"|Output"),"OUT",""))</f>
        <v/>
      </c>
      <c r="X107" s="33" t="str">
        <f aca="false">IF(COUNTIF(Flows!$M$2:$M$1500,$A107&amp;"|"&amp;X$1&amp;"|Input"),IF(COUNTIF(Flows!$M$2:$M$1500,$A107&amp;"|"&amp;X$1&amp;"|Output"),"I/O","IN"),IF(COUNTIF(Flows!$M$2:$M$1500,$A107&amp;"|"&amp;X$1&amp;"|Output"),"OUT",""))</f>
        <v>IN</v>
      </c>
      <c r="Y107" s="33" t="str">
        <f aca="false">IF(COUNTIF(Flows!$M$2:$M$1500,$A107&amp;"|"&amp;Y$1&amp;"|Input"),IF(COUNTIF(Flows!$M$2:$M$1500,$A107&amp;"|"&amp;Y$1&amp;"|Output"),"I/O","IN"),IF(COUNTIF(Flows!$M$2:$M$1500,$A107&amp;"|"&amp;Y$1&amp;"|Output"),"OUT",""))</f>
        <v/>
      </c>
      <c r="Z107" s="33" t="str">
        <f aca="false">IF(COUNTIF(Flows!$M$2:$M$1500,$A107&amp;"|"&amp;Z$1&amp;"|Input"),IF(COUNTIF(Flows!$M$2:$M$1500,$A107&amp;"|"&amp;Z$1&amp;"|Output"),"I/O","IN"),IF(COUNTIF(Flows!$M$2:$M$1500,$A107&amp;"|"&amp;Z$1&amp;"|Output"),"OUT",""))</f>
        <v/>
      </c>
      <c r="AA107" s="33" t="str">
        <f aca="false">IF(COUNTIF(Flows!$M$2:$M$1500,$A107&amp;"|"&amp;AA$1&amp;"|Input"),IF(COUNTIF(Flows!$M$2:$M$1500,$A107&amp;"|"&amp;AA$1&amp;"|Output"),"I/O","IN"),IF(COUNTIF(Flows!$M$2:$M$1500,$A107&amp;"|"&amp;AA$1&amp;"|Output"),"OUT",""))</f>
        <v/>
      </c>
      <c r="AB107" s="33" t="str">
        <f aca="false">IF(COUNTIF(Flows!$M$2:$M$1500,$A107&amp;"|"&amp;AB$1&amp;"|Input"),IF(COUNTIF(Flows!$M$2:$M$1500,$A107&amp;"|"&amp;AB$1&amp;"|Output"),"I/O","IN"),IF(COUNTIF(Flows!$M$2:$M$1500,$A107&amp;"|"&amp;AB$1&amp;"|Output"),"OUT",""))</f>
        <v/>
      </c>
      <c r="AC107" s="33" t="str">
        <f aca="false">IF(COUNTIF(Flows!$M$2:$M$1500,$A107&amp;"|"&amp;AC$1&amp;"|Input"),IF(COUNTIF(Flows!$M$2:$M$1500,$A107&amp;"|"&amp;AC$1&amp;"|Output"),"I/O","IN"),IF(COUNTIF(Flows!$M$2:$M$1500,$A107&amp;"|"&amp;AC$1&amp;"|Output"),"OUT",""))</f>
        <v/>
      </c>
      <c r="AD107" s="33" t="str">
        <f aca="false">IF(COUNTIF(Flows!$M$2:$M$1500,$A107&amp;"|"&amp;AD$1&amp;"|Input"),IF(COUNTIF(Flows!$M$2:$M$1500,$A107&amp;"|"&amp;AD$1&amp;"|Output"),"I/O","IN"),IF(COUNTIF(Flows!$M$2:$M$1500,$A107&amp;"|"&amp;AD$1&amp;"|Output"),"OUT",""))</f>
        <v/>
      </c>
      <c r="AE107" s="33" t="str">
        <f aca="false">IF(COUNTIF(Flows!$M$2:$M$1500,$A107&amp;"|"&amp;AE$1&amp;"|Input"),IF(COUNTIF(Flows!$M$2:$M$1500,$A107&amp;"|"&amp;AE$1&amp;"|Output"),"I/O","IN"),IF(COUNTIF(Flows!$M$2:$M$1500,$A107&amp;"|"&amp;AE$1&amp;"|Output"),"OUT",""))</f>
        <v>OUT</v>
      </c>
      <c r="AF107" s="33" t="str">
        <f aca="false">IF(COUNTIF(Flows!$M$2:$M$1500,$A107&amp;"|"&amp;AF$1&amp;"|Input"),IF(COUNTIF(Flows!$M$2:$M$1500,$A107&amp;"|"&amp;AF$1&amp;"|Output"),"I/O","IN"),IF(COUNTIF(Flows!$M$2:$M$1500,$A107&amp;"|"&amp;AF$1&amp;"|Output"),"OUT",""))</f>
        <v/>
      </c>
      <c r="AG107" s="33" t="str">
        <f aca="false">IF(COUNTIF(Flows!$M$2:$M$1500,$A107&amp;"|"&amp;AG$1&amp;"|Input"),IF(COUNTIF(Flows!$M$2:$M$1500,$A107&amp;"|"&amp;AG$1&amp;"|Output"),"I/O","IN"),IF(COUNTIF(Flows!$M$2:$M$1500,$A107&amp;"|"&amp;AG$1&amp;"|Output"),"OUT",""))</f>
        <v/>
      </c>
      <c r="AH107" s="33" t="str">
        <f aca="false">IF(COUNTIF(Flows!$M$2:$M$1500,$A107&amp;"|"&amp;AH$1&amp;"|Input"),IF(COUNTIF(Flows!$M$2:$M$1500,$A107&amp;"|"&amp;AH$1&amp;"|Output"),"I/O","IN"),IF(COUNTIF(Flows!$M$2:$M$1500,$A107&amp;"|"&amp;AH$1&amp;"|Output"),"OUT",""))</f>
        <v/>
      </c>
      <c r="AI107" s="33" t="str">
        <f aca="false">IF(COUNTIF(Flows!$M$2:$M$1500,$A107&amp;"|"&amp;AI$1&amp;"|Input"),IF(COUNTIF(Flows!$M$2:$M$1500,$A107&amp;"|"&amp;AI$1&amp;"|Output"),"I/O","IN"),IF(COUNTIF(Flows!$M$2:$M$1500,$A107&amp;"|"&amp;AI$1&amp;"|Output"),"OUT",""))</f>
        <v/>
      </c>
      <c r="AJ107" s="33" t="str">
        <f aca="false">IF(COUNTIF(Flows!$M$2:$M$1500,$A107&amp;"|"&amp;AJ$1&amp;"|Input"),IF(COUNTIF(Flows!$M$2:$M$1500,$A107&amp;"|"&amp;AJ$1&amp;"|Output"),"I/O","IN"),IF(COUNTIF(Flows!$M$2:$M$1500,$A107&amp;"|"&amp;AJ$1&amp;"|Output"),"OUT",""))</f>
        <v/>
      </c>
      <c r="AK107" s="33" t="str">
        <f aca="false">IF(COUNTIF(Flows!$M$2:$M$1500,$A107&amp;"|"&amp;AK$1&amp;"|Input"),IF(COUNTIF(Flows!$M$2:$M$1500,$A107&amp;"|"&amp;AK$1&amp;"|Output"),"I/O","IN"),IF(COUNTIF(Flows!$M$2:$M$1500,$A107&amp;"|"&amp;AK$1&amp;"|Output"),"OUT",""))</f>
        <v/>
      </c>
      <c r="AL107" s="33" t="str">
        <f aca="false">IF(COUNTIF(Flows!$M$2:$M$1500,$A107&amp;"|"&amp;AL$1&amp;"|Input"),IF(COUNTIF(Flows!$M$2:$M$1500,$A107&amp;"|"&amp;AL$1&amp;"|Output"),"I/O","IN"),IF(COUNTIF(Flows!$M$2:$M$1500,$A107&amp;"|"&amp;AL$1&amp;"|Output"),"OUT",""))</f>
        <v/>
      </c>
      <c r="AM107" s="33" t="str">
        <f aca="false">IF(COUNTIF(Flows!$M$2:$M$1500,$A107&amp;"|"&amp;AM$1&amp;"|Input"),IF(COUNTIF(Flows!$M$2:$M$1500,$A107&amp;"|"&amp;AM$1&amp;"|Output"),"I/O","IN"),IF(COUNTIF(Flows!$M$2:$M$1500,$A107&amp;"|"&amp;AM$1&amp;"|Output"),"OUT",""))</f>
        <v/>
      </c>
      <c r="AN107" s="33" t="str">
        <f aca="false">IF(COUNTIF(Flows!$M$2:$M$1500,$A107&amp;"|"&amp;AN$1&amp;"|Input"),IF(COUNTIF(Flows!$M$2:$M$1500,$A107&amp;"|"&amp;AN$1&amp;"|Output"),"I/O","IN"),IF(COUNTIF(Flows!$M$2:$M$1500,$A107&amp;"|"&amp;AN$1&amp;"|Output"),"OUT",""))</f>
        <v/>
      </c>
      <c r="AO107" s="33" t="str">
        <f aca="false">IF(COUNTIF(Flows!$M$2:$M$1500,$A107&amp;"|"&amp;AO$1&amp;"|Input"),IF(COUNTIF(Flows!$M$2:$M$1500,$A107&amp;"|"&amp;AO$1&amp;"|Output"),"I/O","IN"),IF(COUNTIF(Flows!$M$2:$M$1500,$A107&amp;"|"&amp;AO$1&amp;"|Output"),"OUT",""))</f>
        <v/>
      </c>
      <c r="AP107" s="33" t="str">
        <f aca="false">IF(COUNTIF(Flows!$M$2:$M$1500,$A107&amp;"|"&amp;AP$1&amp;"|Input"),IF(COUNTIF(Flows!$M$2:$M$1500,$A107&amp;"|"&amp;AP$1&amp;"|Output"),"I/O","IN"),IF(COUNTIF(Flows!$M$2:$M$1500,$A107&amp;"|"&amp;AP$1&amp;"|Output"),"OUT",""))</f>
        <v/>
      </c>
      <c r="AQ107" s="33" t="str">
        <f aca="false">IF(COUNTIF(Flows!$M$2:$M$1500,$A107&amp;"|"&amp;AQ$1&amp;"|Input"),IF(COUNTIF(Flows!$M$2:$M$1500,$A107&amp;"|"&amp;AQ$1&amp;"|Output"),"I/O","IN"),IF(COUNTIF(Flows!$M$2:$M$1500,$A107&amp;"|"&amp;AQ$1&amp;"|Output"),"OUT",""))</f>
        <v/>
      </c>
      <c r="AR107" s="33" t="str">
        <f aca="false">IF(COUNTIF(Flows!$M$2:$M$1500,$A107&amp;"|"&amp;AR$1&amp;"|Input"),IF(COUNTIF(Flows!$M$2:$M$1500,$A107&amp;"|"&amp;AR$1&amp;"|Output"),"I/O","IN"),IF(COUNTIF(Flows!$M$2:$M$1500,$A107&amp;"|"&amp;AR$1&amp;"|Output"),"OUT",""))</f>
        <v/>
      </c>
      <c r="AS107" s="33" t="str">
        <f aca="false">IF(COUNTIF(Flows!$M$2:$M$1500,$A107&amp;"|"&amp;AS$1&amp;"|Input"),IF(COUNTIF(Flows!$M$2:$M$1500,$A107&amp;"|"&amp;AS$1&amp;"|Output"),"I/O","IN"),IF(COUNTIF(Flows!$M$2:$M$1500,$A107&amp;"|"&amp;AS$1&amp;"|Output"),"OUT",""))</f>
        <v/>
      </c>
      <c r="AT107" s="33" t="str">
        <f aca="false">IF(COUNTIF(Flows!$M$2:$M$1500,$A107&amp;"|"&amp;AT$1&amp;"|Input"),IF(COUNTIF(Flows!$M$2:$M$1500,$A107&amp;"|"&amp;AT$1&amp;"|Output"),"I/O","IN"),IF(COUNTIF(Flows!$M$2:$M$1500,$A107&amp;"|"&amp;AT$1&amp;"|Output"),"OUT",""))</f>
        <v/>
      </c>
      <c r="AU107" s="33" t="str">
        <f aca="false">IF(COUNTIF(Flows!$M$2:$M$1500,$A107&amp;"|"&amp;AU$1&amp;"|Input"),IF(COUNTIF(Flows!$M$2:$M$1500,$A107&amp;"|"&amp;AU$1&amp;"|Output"),"I/O","IN"),IF(COUNTIF(Flows!$M$2:$M$1500,$A107&amp;"|"&amp;AU$1&amp;"|Output"),"OUT",""))</f>
        <v/>
      </c>
      <c r="AV107" s="33" t="str">
        <f aca="false">IF(COUNTIF(Flows!$M$2:$M$1500,$A107&amp;"|"&amp;AV$1&amp;"|Input"),IF(COUNTIF(Flows!$M$2:$M$1500,$A107&amp;"|"&amp;AV$1&amp;"|Output"),"I/O","IN"),IF(COUNTIF(Flows!$M$2:$M$1500,$A107&amp;"|"&amp;AV$1&amp;"|Output"),"OUT",""))</f>
        <v/>
      </c>
      <c r="AW107" s="33" t="str">
        <f aca="false">IF(COUNTIF(Flows!$M$2:$M$1500,$A107&amp;"|"&amp;AW$1&amp;"|Input"),IF(COUNTIF(Flows!$M$2:$M$1500,$A107&amp;"|"&amp;AW$1&amp;"|Output"),"I/O","IN"),IF(COUNTIF(Flows!$M$2:$M$1500,$A107&amp;"|"&amp;AW$1&amp;"|Output"),"OUT",""))</f>
        <v/>
      </c>
      <c r="AX107" s="33" t="str">
        <f aca="false">IF(COUNTIF(Flows!$M$2:$M$1500,$A107&amp;"|"&amp;AX$1&amp;"|Input"),IF(COUNTIF(Flows!$M$2:$M$1500,$A107&amp;"|"&amp;AX$1&amp;"|Output"),"I/O","IN"),IF(COUNTIF(Flows!$M$2:$M$1500,$A107&amp;"|"&amp;AX$1&amp;"|Output"),"OUT",""))</f>
        <v/>
      </c>
      <c r="AY107" s="33" t="str">
        <f aca="false">IF(COUNTIF(Flows!$M$2:$M$1500,$A107&amp;"|"&amp;AY$1&amp;"|Input"),IF(COUNTIF(Flows!$M$2:$M$1500,$A107&amp;"|"&amp;AY$1&amp;"|Output"),"I/O","IN"),IF(COUNTIF(Flows!$M$2:$M$1500,$A107&amp;"|"&amp;AY$1&amp;"|Output"),"OUT",""))</f>
        <v/>
      </c>
      <c r="AZ107" s="33" t="str">
        <f aca="false">IF(COUNTIF(Flows!$M$2:$M$1500,$A107&amp;"|"&amp;AZ$1&amp;"|Input"),IF(COUNTIF(Flows!$M$2:$M$1500,$A107&amp;"|"&amp;AZ$1&amp;"|Output"),"I/O","IN"),IF(COUNTIF(Flows!$M$2:$M$1500,$A107&amp;"|"&amp;AZ$1&amp;"|Output"),"OUT",""))</f>
        <v/>
      </c>
      <c r="BA107" s="33" t="str">
        <f aca="false">IF(COUNTIF(Flows!$M$2:$M$1500,$A107&amp;"|"&amp;BA$1&amp;"|Input"),IF(COUNTIF(Flows!$M$2:$M$1500,$A107&amp;"|"&amp;BA$1&amp;"|Output"),"I/O","IN"),IF(COUNTIF(Flows!$M$2:$M$1500,$A107&amp;"|"&amp;BA$1&amp;"|Output"),"OUT",""))</f>
        <v/>
      </c>
      <c r="BB107" s="33" t="str">
        <f aca="false">IF(COUNTIF(Flows!$M$2:$M$1500,$A107&amp;"|"&amp;BB$1&amp;"|Input"),IF(COUNTIF(Flows!$M$2:$M$1500,$A107&amp;"|"&amp;BB$1&amp;"|Output"),"I/O","IN"),IF(COUNTIF(Flows!$M$2:$M$1500,$A107&amp;"|"&amp;BB$1&amp;"|Output"),"OUT",""))</f>
        <v/>
      </c>
      <c r="BC107" s="33" t="str">
        <f aca="false">IF(COUNTIF(Flows!$M$2:$M$1500,$A107&amp;"|"&amp;BC$1&amp;"|Input"),IF(COUNTIF(Flows!$M$2:$M$1500,$A107&amp;"|"&amp;BC$1&amp;"|Output"),"I/O","IN"),IF(COUNTIF(Flows!$M$2:$M$1500,$A107&amp;"|"&amp;BC$1&amp;"|Output"),"OUT",""))</f>
        <v/>
      </c>
      <c r="BD107" s="33" t="str">
        <f aca="false">IF(COUNTIF(Flows!$M$2:$M$1500,$A107&amp;"|"&amp;BD$1&amp;"|Input"),IF(COUNTIF(Flows!$M$2:$M$1500,$A107&amp;"|"&amp;BD$1&amp;"|Output"),"I/O","IN"),IF(COUNTIF(Flows!$M$2:$M$1500,$A107&amp;"|"&amp;BD$1&amp;"|Output"),"OUT",""))</f>
        <v/>
      </c>
      <c r="BE107" s="33" t="str">
        <f aca="false">IF(COUNTIF(Flows!$M$2:$M$1500,$A107&amp;"|"&amp;BE$1&amp;"|Input"),IF(COUNTIF(Flows!$M$2:$M$1500,$A107&amp;"|"&amp;BE$1&amp;"|Output"),"I/O","IN"),IF(COUNTIF(Flows!$M$2:$M$1500,$A107&amp;"|"&amp;BE$1&amp;"|Output"),"OUT",""))</f>
        <v/>
      </c>
      <c r="BF107" s="33" t="str">
        <f aca="false">IF(COUNTIF(Flows!$M$2:$M$1500,$A107&amp;"|"&amp;BF$1&amp;"|Input"),IF(COUNTIF(Flows!$M$2:$M$1500,$A107&amp;"|"&amp;BF$1&amp;"|Output"),"I/O","IN"),IF(COUNTIF(Flows!$M$2:$M$1500,$A107&amp;"|"&amp;BF$1&amp;"|Output"),"OUT",""))</f>
        <v/>
      </c>
      <c r="BG107" s="33" t="str">
        <f aca="false">IF(COUNTIF(Flows!$M$2:$M$1500,$A107&amp;"|"&amp;BG$1&amp;"|Input"),IF(COUNTIF(Flows!$M$2:$M$1500,$A107&amp;"|"&amp;BG$1&amp;"|Output"),"I/O","IN"),IF(COUNTIF(Flows!$M$2:$M$1500,$A107&amp;"|"&amp;BG$1&amp;"|Output"),"OUT",""))</f>
        <v/>
      </c>
      <c r="BH107" s="33" t="str">
        <f aca="false">IF(COUNTIF(Flows!$M$2:$M$1500,$A107&amp;"|"&amp;BH$1&amp;"|Input"),IF(COUNTIF(Flows!$M$2:$M$1500,$A107&amp;"|"&amp;BH$1&amp;"|Output"),"I/O","IN"),IF(COUNTIF(Flows!$M$2:$M$1500,$A107&amp;"|"&amp;BH$1&amp;"|Output"),"OUT",""))</f>
        <v/>
      </c>
      <c r="BI107" s="33" t="str">
        <f aca="false">IF(COUNTIF(Flows!$M$2:$M$1500,$A107&amp;"|"&amp;BI$1&amp;"|Input"),IF(COUNTIF(Flows!$M$2:$M$1500,$A107&amp;"|"&amp;BI$1&amp;"|Output"),"I/O","IN"),IF(COUNTIF(Flows!$M$2:$M$1500,$A107&amp;"|"&amp;BI$1&amp;"|Output"),"OUT",""))</f>
        <v/>
      </c>
      <c r="BJ107" s="33" t="str">
        <f aca="false">IF(COUNTIF(Flows!$M$2:$M$1500,$A107&amp;"|"&amp;BJ$1&amp;"|Input"),IF(COUNTIF(Flows!$M$2:$M$1500,$A107&amp;"|"&amp;BJ$1&amp;"|Output"),"I/O","IN"),IF(COUNTIF(Flows!$M$2:$M$1500,$A107&amp;"|"&amp;BJ$1&amp;"|Output"),"OUT",""))</f>
        <v/>
      </c>
      <c r="BK107" s="33" t="str">
        <f aca="false">IF(COUNTIF(Flows!$M$2:$M$1500,$A107&amp;"|"&amp;BK$1&amp;"|Input"),IF(COUNTIF(Flows!$M$2:$M$1500,$A107&amp;"|"&amp;BK$1&amp;"|Output"),"I/O","IN"),IF(COUNTIF(Flows!$M$2:$M$1500,$A107&amp;"|"&amp;BK$1&amp;"|Output"),"OUT",""))</f>
        <v/>
      </c>
    </row>
    <row r="108" customFormat="false" ht="15" hidden="false" customHeight="true" outlineLevel="0" collapsed="false">
      <c r="A108" s="6" t="str">
        <f aca="false">Systems!B108</f>
        <v>Swales &amp; Berms Earthworks</v>
      </c>
      <c r="B108" s="33" t="str">
        <f aca="false">IF(COUNTIF(Flows!$M$2:$M$1500,$A108&amp;"|"&amp;B$1&amp;"|Input"),IF(COUNTIF(Flows!$M$2:$M$1500,$A108&amp;"|"&amp;B$1&amp;"|Output"),"I/O","IN"),IF(COUNTIF(Flows!$M$2:$M$1500,$A108&amp;"|"&amp;B$1&amp;"|Output"),"OUT",""))</f>
        <v>OUT</v>
      </c>
      <c r="C108" s="33" t="str">
        <f aca="false">IF(COUNTIF(Flows!$M$2:$M$1500,$A108&amp;"|"&amp;C$1&amp;"|Input"),IF(COUNTIF(Flows!$M$2:$M$1500,$A108&amp;"|"&amp;C$1&amp;"|Output"),"I/O","IN"),IF(COUNTIF(Flows!$M$2:$M$1500,$A108&amp;"|"&amp;C$1&amp;"|Output"),"OUT",""))</f>
        <v/>
      </c>
      <c r="D108" s="33" t="str">
        <f aca="false">IF(COUNTIF(Flows!$M$2:$M$1500,$A108&amp;"|"&amp;D$1&amp;"|Input"),IF(COUNTIF(Flows!$M$2:$M$1500,$A108&amp;"|"&amp;D$1&amp;"|Output"),"I/O","IN"),IF(COUNTIF(Flows!$M$2:$M$1500,$A108&amp;"|"&amp;D$1&amp;"|Output"),"OUT",""))</f>
        <v/>
      </c>
      <c r="E108" s="33" t="str">
        <f aca="false">IF(COUNTIF(Flows!$M$2:$M$1500,$A108&amp;"|"&amp;E$1&amp;"|Input"),IF(COUNTIF(Flows!$M$2:$M$1500,$A108&amp;"|"&amp;E$1&amp;"|Output"),"I/O","IN"),IF(COUNTIF(Flows!$M$2:$M$1500,$A108&amp;"|"&amp;E$1&amp;"|Output"),"OUT",""))</f>
        <v/>
      </c>
      <c r="F108" s="33" t="str">
        <f aca="false">IF(COUNTIF(Flows!$M$2:$M$1500,$A108&amp;"|"&amp;F$1&amp;"|Input"),IF(COUNTIF(Flows!$M$2:$M$1500,$A108&amp;"|"&amp;F$1&amp;"|Output"),"I/O","IN"),IF(COUNTIF(Flows!$M$2:$M$1500,$A108&amp;"|"&amp;F$1&amp;"|Output"),"OUT",""))</f>
        <v/>
      </c>
      <c r="G108" s="33" t="str">
        <f aca="false">IF(COUNTIF(Flows!$M$2:$M$1500,$A108&amp;"|"&amp;G$1&amp;"|Input"),IF(COUNTIF(Flows!$M$2:$M$1500,$A108&amp;"|"&amp;G$1&amp;"|Output"),"I/O","IN"),IF(COUNTIF(Flows!$M$2:$M$1500,$A108&amp;"|"&amp;G$1&amp;"|Output"),"OUT",""))</f>
        <v/>
      </c>
      <c r="H108" s="33" t="str">
        <f aca="false">IF(COUNTIF(Flows!$M$2:$M$1500,$A108&amp;"|"&amp;H$1&amp;"|Input"),IF(COUNTIF(Flows!$M$2:$M$1500,$A108&amp;"|"&amp;H$1&amp;"|Output"),"I/O","IN"),IF(COUNTIF(Flows!$M$2:$M$1500,$A108&amp;"|"&amp;H$1&amp;"|Output"),"OUT",""))</f>
        <v/>
      </c>
      <c r="I108" s="33" t="str">
        <f aca="false">IF(COUNTIF(Flows!$M$2:$M$1500,$A108&amp;"|"&amp;I$1&amp;"|Input"),IF(COUNTIF(Flows!$M$2:$M$1500,$A108&amp;"|"&amp;I$1&amp;"|Output"),"I/O","IN"),IF(COUNTIF(Flows!$M$2:$M$1500,$A108&amp;"|"&amp;I$1&amp;"|Output"),"OUT",""))</f>
        <v/>
      </c>
      <c r="J108" s="33" t="str">
        <f aca="false">IF(COUNTIF(Flows!$M$2:$M$1500,$A108&amp;"|"&amp;J$1&amp;"|Input"),IF(COUNTIF(Flows!$M$2:$M$1500,$A108&amp;"|"&amp;J$1&amp;"|Output"),"I/O","IN"),IF(COUNTIF(Flows!$M$2:$M$1500,$A108&amp;"|"&amp;J$1&amp;"|Output"),"OUT",""))</f>
        <v/>
      </c>
      <c r="K108" s="33" t="str">
        <f aca="false">IF(COUNTIF(Flows!$M$2:$M$1500,$A108&amp;"|"&amp;K$1&amp;"|Input"),IF(COUNTIF(Flows!$M$2:$M$1500,$A108&amp;"|"&amp;K$1&amp;"|Output"),"I/O","IN"),IF(COUNTIF(Flows!$M$2:$M$1500,$A108&amp;"|"&amp;K$1&amp;"|Output"),"OUT",""))</f>
        <v/>
      </c>
      <c r="L108" s="33" t="str">
        <f aca="false">IF(COUNTIF(Flows!$M$2:$M$1500,$A108&amp;"|"&amp;L$1&amp;"|Input"),IF(COUNTIF(Flows!$M$2:$M$1500,$A108&amp;"|"&amp;L$1&amp;"|Output"),"I/O","IN"),IF(COUNTIF(Flows!$M$2:$M$1500,$A108&amp;"|"&amp;L$1&amp;"|Output"),"OUT",""))</f>
        <v/>
      </c>
      <c r="M108" s="33" t="str">
        <f aca="false">IF(COUNTIF(Flows!$M$2:$M$1500,$A108&amp;"|"&amp;M$1&amp;"|Input"),IF(COUNTIF(Flows!$M$2:$M$1500,$A108&amp;"|"&amp;M$1&amp;"|Output"),"I/O","IN"),IF(COUNTIF(Flows!$M$2:$M$1500,$A108&amp;"|"&amp;M$1&amp;"|Output"),"OUT",""))</f>
        <v/>
      </c>
      <c r="N108" s="33" t="str">
        <f aca="false">IF(COUNTIF(Flows!$M$2:$M$1500,$A108&amp;"|"&amp;N$1&amp;"|Input"),IF(COUNTIF(Flows!$M$2:$M$1500,$A108&amp;"|"&amp;N$1&amp;"|Output"),"I/O","IN"),IF(COUNTIF(Flows!$M$2:$M$1500,$A108&amp;"|"&amp;N$1&amp;"|Output"),"OUT",""))</f>
        <v/>
      </c>
      <c r="O108" s="33" t="str">
        <f aca="false">IF(COUNTIF(Flows!$M$2:$M$1500,$A108&amp;"|"&amp;O$1&amp;"|Input"),IF(COUNTIF(Flows!$M$2:$M$1500,$A108&amp;"|"&amp;O$1&amp;"|Output"),"I/O","IN"),IF(COUNTIF(Flows!$M$2:$M$1500,$A108&amp;"|"&amp;O$1&amp;"|Output"),"OUT",""))</f>
        <v/>
      </c>
      <c r="P108" s="33" t="str">
        <f aca="false">IF(COUNTIF(Flows!$M$2:$M$1500,$A108&amp;"|"&amp;P$1&amp;"|Input"),IF(COUNTIF(Flows!$M$2:$M$1500,$A108&amp;"|"&amp;P$1&amp;"|Output"),"I/O","IN"),IF(COUNTIF(Flows!$M$2:$M$1500,$A108&amp;"|"&amp;P$1&amp;"|Output"),"OUT",""))</f>
        <v/>
      </c>
      <c r="Q108" s="33" t="str">
        <f aca="false">IF(COUNTIF(Flows!$M$2:$M$1500,$A108&amp;"|"&amp;Q$1&amp;"|Input"),IF(COUNTIF(Flows!$M$2:$M$1500,$A108&amp;"|"&amp;Q$1&amp;"|Output"),"I/O","IN"),IF(COUNTIF(Flows!$M$2:$M$1500,$A108&amp;"|"&amp;Q$1&amp;"|Output"),"OUT",""))</f>
        <v/>
      </c>
      <c r="R108" s="33" t="str">
        <f aca="false">IF(COUNTIF(Flows!$M$2:$M$1500,$A108&amp;"|"&amp;R$1&amp;"|Input"),IF(COUNTIF(Flows!$M$2:$M$1500,$A108&amp;"|"&amp;R$1&amp;"|Output"),"I/O","IN"),IF(COUNTIF(Flows!$M$2:$M$1500,$A108&amp;"|"&amp;R$1&amp;"|Output"),"OUT",""))</f>
        <v/>
      </c>
      <c r="S108" s="33" t="str">
        <f aca="false">IF(COUNTIF(Flows!$M$2:$M$1500,$A108&amp;"|"&amp;S$1&amp;"|Input"),IF(COUNTIF(Flows!$M$2:$M$1500,$A108&amp;"|"&amp;S$1&amp;"|Output"),"I/O","IN"),IF(COUNTIF(Flows!$M$2:$M$1500,$A108&amp;"|"&amp;S$1&amp;"|Output"),"OUT",""))</f>
        <v/>
      </c>
      <c r="T108" s="33" t="str">
        <f aca="false">IF(COUNTIF(Flows!$M$2:$M$1500,$A108&amp;"|"&amp;T$1&amp;"|Input"),IF(COUNTIF(Flows!$M$2:$M$1500,$A108&amp;"|"&amp;T$1&amp;"|Output"),"I/O","IN"),IF(COUNTIF(Flows!$M$2:$M$1500,$A108&amp;"|"&amp;T$1&amp;"|Output"),"OUT",""))</f>
        <v/>
      </c>
      <c r="U108" s="33" t="str">
        <f aca="false">IF(COUNTIF(Flows!$M$2:$M$1500,$A108&amp;"|"&amp;U$1&amp;"|Input"),IF(COUNTIF(Flows!$M$2:$M$1500,$A108&amp;"|"&amp;U$1&amp;"|Output"),"I/O","IN"),IF(COUNTIF(Flows!$M$2:$M$1500,$A108&amp;"|"&amp;U$1&amp;"|Output"),"OUT",""))</f>
        <v/>
      </c>
      <c r="V108" s="33" t="str">
        <f aca="false">IF(COUNTIF(Flows!$M$2:$M$1500,$A108&amp;"|"&amp;V$1&amp;"|Input"),IF(COUNTIF(Flows!$M$2:$M$1500,$A108&amp;"|"&amp;V$1&amp;"|Output"),"I/O","IN"),IF(COUNTIF(Flows!$M$2:$M$1500,$A108&amp;"|"&amp;V$1&amp;"|Output"),"OUT",""))</f>
        <v/>
      </c>
      <c r="W108" s="33" t="str">
        <f aca="false">IF(COUNTIF(Flows!$M$2:$M$1500,$A108&amp;"|"&amp;W$1&amp;"|Input"),IF(COUNTIF(Flows!$M$2:$M$1500,$A108&amp;"|"&amp;W$1&amp;"|Output"),"I/O","IN"),IF(COUNTIF(Flows!$M$2:$M$1500,$A108&amp;"|"&amp;W$1&amp;"|Output"),"OUT",""))</f>
        <v/>
      </c>
      <c r="X108" s="33" t="str">
        <f aca="false">IF(COUNTIF(Flows!$M$2:$M$1500,$A108&amp;"|"&amp;X$1&amp;"|Input"),IF(COUNTIF(Flows!$M$2:$M$1500,$A108&amp;"|"&amp;X$1&amp;"|Output"),"I/O","IN"),IF(COUNTIF(Flows!$M$2:$M$1500,$A108&amp;"|"&amp;X$1&amp;"|Output"),"OUT",""))</f>
        <v>IN</v>
      </c>
      <c r="Y108" s="33" t="str">
        <f aca="false">IF(COUNTIF(Flows!$M$2:$M$1500,$A108&amp;"|"&amp;Y$1&amp;"|Input"),IF(COUNTIF(Flows!$M$2:$M$1500,$A108&amp;"|"&amp;Y$1&amp;"|Output"),"I/O","IN"),IF(COUNTIF(Flows!$M$2:$M$1500,$A108&amp;"|"&amp;Y$1&amp;"|Output"),"OUT",""))</f>
        <v/>
      </c>
      <c r="Z108" s="33" t="str">
        <f aca="false">IF(COUNTIF(Flows!$M$2:$M$1500,$A108&amp;"|"&amp;Z$1&amp;"|Input"),IF(COUNTIF(Flows!$M$2:$M$1500,$A108&amp;"|"&amp;Z$1&amp;"|Output"),"I/O","IN"),IF(COUNTIF(Flows!$M$2:$M$1500,$A108&amp;"|"&amp;Z$1&amp;"|Output"),"OUT",""))</f>
        <v/>
      </c>
      <c r="AA108" s="33" t="str">
        <f aca="false">IF(COUNTIF(Flows!$M$2:$M$1500,$A108&amp;"|"&amp;AA$1&amp;"|Input"),IF(COUNTIF(Flows!$M$2:$M$1500,$A108&amp;"|"&amp;AA$1&amp;"|Output"),"I/O","IN"),IF(COUNTIF(Flows!$M$2:$M$1500,$A108&amp;"|"&amp;AA$1&amp;"|Output"),"OUT",""))</f>
        <v>IN</v>
      </c>
      <c r="AB108" s="33" t="str">
        <f aca="false">IF(COUNTIF(Flows!$M$2:$M$1500,$A108&amp;"|"&amp;AB$1&amp;"|Input"),IF(COUNTIF(Flows!$M$2:$M$1500,$A108&amp;"|"&amp;AB$1&amp;"|Output"),"I/O","IN"),IF(COUNTIF(Flows!$M$2:$M$1500,$A108&amp;"|"&amp;AB$1&amp;"|Output"),"OUT",""))</f>
        <v/>
      </c>
      <c r="AC108" s="33" t="str">
        <f aca="false">IF(COUNTIF(Flows!$M$2:$M$1500,$A108&amp;"|"&amp;AC$1&amp;"|Input"),IF(COUNTIF(Flows!$M$2:$M$1500,$A108&amp;"|"&amp;AC$1&amp;"|Output"),"I/O","IN"),IF(COUNTIF(Flows!$M$2:$M$1500,$A108&amp;"|"&amp;AC$1&amp;"|Output"),"OUT",""))</f>
        <v/>
      </c>
      <c r="AD108" s="33" t="str">
        <f aca="false">IF(COUNTIF(Flows!$M$2:$M$1500,$A108&amp;"|"&amp;AD$1&amp;"|Input"),IF(COUNTIF(Flows!$M$2:$M$1500,$A108&amp;"|"&amp;AD$1&amp;"|Output"),"I/O","IN"),IF(COUNTIF(Flows!$M$2:$M$1500,$A108&amp;"|"&amp;AD$1&amp;"|Output"),"OUT",""))</f>
        <v/>
      </c>
      <c r="AE108" s="33" t="str">
        <f aca="false">IF(COUNTIF(Flows!$M$2:$M$1500,$A108&amp;"|"&amp;AE$1&amp;"|Input"),IF(COUNTIF(Flows!$M$2:$M$1500,$A108&amp;"|"&amp;AE$1&amp;"|Output"),"I/O","IN"),IF(COUNTIF(Flows!$M$2:$M$1500,$A108&amp;"|"&amp;AE$1&amp;"|Output"),"OUT",""))</f>
        <v/>
      </c>
      <c r="AF108" s="33" t="str">
        <f aca="false">IF(COUNTIF(Flows!$M$2:$M$1500,$A108&amp;"|"&amp;AF$1&amp;"|Input"),IF(COUNTIF(Flows!$M$2:$M$1500,$A108&amp;"|"&amp;AF$1&amp;"|Output"),"I/O","IN"),IF(COUNTIF(Flows!$M$2:$M$1500,$A108&amp;"|"&amp;AF$1&amp;"|Output"),"OUT",""))</f>
        <v/>
      </c>
      <c r="AG108" s="33" t="str">
        <f aca="false">IF(COUNTIF(Flows!$M$2:$M$1500,$A108&amp;"|"&amp;AG$1&amp;"|Input"),IF(COUNTIF(Flows!$M$2:$M$1500,$A108&amp;"|"&amp;AG$1&amp;"|Output"),"I/O","IN"),IF(COUNTIF(Flows!$M$2:$M$1500,$A108&amp;"|"&amp;AG$1&amp;"|Output"),"OUT",""))</f>
        <v/>
      </c>
      <c r="AH108" s="33" t="str">
        <f aca="false">IF(COUNTIF(Flows!$M$2:$M$1500,$A108&amp;"|"&amp;AH$1&amp;"|Input"),IF(COUNTIF(Flows!$M$2:$M$1500,$A108&amp;"|"&amp;AH$1&amp;"|Output"),"I/O","IN"),IF(COUNTIF(Flows!$M$2:$M$1500,$A108&amp;"|"&amp;AH$1&amp;"|Output"),"OUT",""))</f>
        <v/>
      </c>
      <c r="AI108" s="33" t="str">
        <f aca="false">IF(COUNTIF(Flows!$M$2:$M$1500,$A108&amp;"|"&amp;AI$1&amp;"|Input"),IF(COUNTIF(Flows!$M$2:$M$1500,$A108&amp;"|"&amp;AI$1&amp;"|Output"),"I/O","IN"),IF(COUNTIF(Flows!$M$2:$M$1500,$A108&amp;"|"&amp;AI$1&amp;"|Output"),"OUT",""))</f>
        <v/>
      </c>
      <c r="AJ108" s="33" t="str">
        <f aca="false">IF(COUNTIF(Flows!$M$2:$M$1500,$A108&amp;"|"&amp;AJ$1&amp;"|Input"),IF(COUNTIF(Flows!$M$2:$M$1500,$A108&amp;"|"&amp;AJ$1&amp;"|Output"),"I/O","IN"),IF(COUNTIF(Flows!$M$2:$M$1500,$A108&amp;"|"&amp;AJ$1&amp;"|Output"),"OUT",""))</f>
        <v/>
      </c>
      <c r="AK108" s="33" t="str">
        <f aca="false">IF(COUNTIF(Flows!$M$2:$M$1500,$A108&amp;"|"&amp;AK$1&amp;"|Input"),IF(COUNTIF(Flows!$M$2:$M$1500,$A108&amp;"|"&amp;AK$1&amp;"|Output"),"I/O","IN"),IF(COUNTIF(Flows!$M$2:$M$1500,$A108&amp;"|"&amp;AK$1&amp;"|Output"),"OUT",""))</f>
        <v/>
      </c>
      <c r="AL108" s="33" t="str">
        <f aca="false">IF(COUNTIF(Flows!$M$2:$M$1500,$A108&amp;"|"&amp;AL$1&amp;"|Input"),IF(COUNTIF(Flows!$M$2:$M$1500,$A108&amp;"|"&amp;AL$1&amp;"|Output"),"I/O","IN"),IF(COUNTIF(Flows!$M$2:$M$1500,$A108&amp;"|"&amp;AL$1&amp;"|Output"),"OUT",""))</f>
        <v/>
      </c>
      <c r="AM108" s="33" t="str">
        <f aca="false">IF(COUNTIF(Flows!$M$2:$M$1500,$A108&amp;"|"&amp;AM$1&amp;"|Input"),IF(COUNTIF(Flows!$M$2:$M$1500,$A108&amp;"|"&amp;AM$1&amp;"|Output"),"I/O","IN"),IF(COUNTIF(Flows!$M$2:$M$1500,$A108&amp;"|"&amp;AM$1&amp;"|Output"),"OUT",""))</f>
        <v/>
      </c>
      <c r="AN108" s="33" t="str">
        <f aca="false">IF(COUNTIF(Flows!$M$2:$M$1500,$A108&amp;"|"&amp;AN$1&amp;"|Input"),IF(COUNTIF(Flows!$M$2:$M$1500,$A108&amp;"|"&amp;AN$1&amp;"|Output"),"I/O","IN"),IF(COUNTIF(Flows!$M$2:$M$1500,$A108&amp;"|"&amp;AN$1&amp;"|Output"),"OUT",""))</f>
        <v/>
      </c>
      <c r="AO108" s="33" t="str">
        <f aca="false">IF(COUNTIF(Flows!$M$2:$M$1500,$A108&amp;"|"&amp;AO$1&amp;"|Input"),IF(COUNTIF(Flows!$M$2:$M$1500,$A108&amp;"|"&amp;AO$1&amp;"|Output"),"I/O","IN"),IF(COUNTIF(Flows!$M$2:$M$1500,$A108&amp;"|"&amp;AO$1&amp;"|Output"),"OUT",""))</f>
        <v/>
      </c>
      <c r="AP108" s="33" t="str">
        <f aca="false">IF(COUNTIF(Flows!$M$2:$M$1500,$A108&amp;"|"&amp;AP$1&amp;"|Input"),IF(COUNTIF(Flows!$M$2:$M$1500,$A108&amp;"|"&amp;AP$1&amp;"|Output"),"I/O","IN"),IF(COUNTIF(Flows!$M$2:$M$1500,$A108&amp;"|"&amp;AP$1&amp;"|Output"),"OUT",""))</f>
        <v/>
      </c>
      <c r="AQ108" s="33" t="str">
        <f aca="false">IF(COUNTIF(Flows!$M$2:$M$1500,$A108&amp;"|"&amp;AQ$1&amp;"|Input"),IF(COUNTIF(Flows!$M$2:$M$1500,$A108&amp;"|"&amp;AQ$1&amp;"|Output"),"I/O","IN"),IF(COUNTIF(Flows!$M$2:$M$1500,$A108&amp;"|"&amp;AQ$1&amp;"|Output"),"OUT",""))</f>
        <v/>
      </c>
      <c r="AR108" s="33" t="str">
        <f aca="false">IF(COUNTIF(Flows!$M$2:$M$1500,$A108&amp;"|"&amp;AR$1&amp;"|Input"),IF(COUNTIF(Flows!$M$2:$M$1500,$A108&amp;"|"&amp;AR$1&amp;"|Output"),"I/O","IN"),IF(COUNTIF(Flows!$M$2:$M$1500,$A108&amp;"|"&amp;AR$1&amp;"|Output"),"OUT",""))</f>
        <v/>
      </c>
      <c r="AS108" s="33" t="str">
        <f aca="false">IF(COUNTIF(Flows!$M$2:$M$1500,$A108&amp;"|"&amp;AS$1&amp;"|Input"),IF(COUNTIF(Flows!$M$2:$M$1500,$A108&amp;"|"&amp;AS$1&amp;"|Output"),"I/O","IN"),IF(COUNTIF(Flows!$M$2:$M$1500,$A108&amp;"|"&amp;AS$1&amp;"|Output"),"OUT",""))</f>
        <v/>
      </c>
      <c r="AT108" s="33" t="str">
        <f aca="false">IF(COUNTIF(Flows!$M$2:$M$1500,$A108&amp;"|"&amp;AT$1&amp;"|Input"),IF(COUNTIF(Flows!$M$2:$M$1500,$A108&amp;"|"&amp;AT$1&amp;"|Output"),"I/O","IN"),IF(COUNTIF(Flows!$M$2:$M$1500,$A108&amp;"|"&amp;AT$1&amp;"|Output"),"OUT",""))</f>
        <v/>
      </c>
      <c r="AU108" s="33" t="str">
        <f aca="false">IF(COUNTIF(Flows!$M$2:$M$1500,$A108&amp;"|"&amp;AU$1&amp;"|Input"),IF(COUNTIF(Flows!$M$2:$M$1500,$A108&amp;"|"&amp;AU$1&amp;"|Output"),"I/O","IN"),IF(COUNTIF(Flows!$M$2:$M$1500,$A108&amp;"|"&amp;AU$1&amp;"|Output"),"OUT",""))</f>
        <v/>
      </c>
      <c r="AV108" s="33" t="str">
        <f aca="false">IF(COUNTIF(Flows!$M$2:$M$1500,$A108&amp;"|"&amp;AV$1&amp;"|Input"),IF(COUNTIF(Flows!$M$2:$M$1500,$A108&amp;"|"&amp;AV$1&amp;"|Output"),"I/O","IN"),IF(COUNTIF(Flows!$M$2:$M$1500,$A108&amp;"|"&amp;AV$1&amp;"|Output"),"OUT",""))</f>
        <v/>
      </c>
      <c r="AW108" s="33" t="str">
        <f aca="false">IF(COUNTIF(Flows!$M$2:$M$1500,$A108&amp;"|"&amp;AW$1&amp;"|Input"),IF(COUNTIF(Flows!$M$2:$M$1500,$A108&amp;"|"&amp;AW$1&amp;"|Output"),"I/O","IN"),IF(COUNTIF(Flows!$M$2:$M$1500,$A108&amp;"|"&amp;AW$1&amp;"|Output"),"OUT",""))</f>
        <v/>
      </c>
      <c r="AX108" s="33" t="str">
        <f aca="false">IF(COUNTIF(Flows!$M$2:$M$1500,$A108&amp;"|"&amp;AX$1&amp;"|Input"),IF(COUNTIF(Flows!$M$2:$M$1500,$A108&amp;"|"&amp;AX$1&amp;"|Output"),"I/O","IN"),IF(COUNTIF(Flows!$M$2:$M$1500,$A108&amp;"|"&amp;AX$1&amp;"|Output"),"OUT",""))</f>
        <v/>
      </c>
      <c r="AY108" s="33" t="str">
        <f aca="false">IF(COUNTIF(Flows!$M$2:$M$1500,$A108&amp;"|"&amp;AY$1&amp;"|Input"),IF(COUNTIF(Flows!$M$2:$M$1500,$A108&amp;"|"&amp;AY$1&amp;"|Output"),"I/O","IN"),IF(COUNTIF(Flows!$M$2:$M$1500,$A108&amp;"|"&amp;AY$1&amp;"|Output"),"OUT",""))</f>
        <v/>
      </c>
      <c r="AZ108" s="33" t="str">
        <f aca="false">IF(COUNTIF(Flows!$M$2:$M$1500,$A108&amp;"|"&amp;AZ$1&amp;"|Input"),IF(COUNTIF(Flows!$M$2:$M$1500,$A108&amp;"|"&amp;AZ$1&amp;"|Output"),"I/O","IN"),IF(COUNTIF(Flows!$M$2:$M$1500,$A108&amp;"|"&amp;AZ$1&amp;"|Output"),"OUT",""))</f>
        <v/>
      </c>
      <c r="BA108" s="33" t="str">
        <f aca="false">IF(COUNTIF(Flows!$M$2:$M$1500,$A108&amp;"|"&amp;BA$1&amp;"|Input"),IF(COUNTIF(Flows!$M$2:$M$1500,$A108&amp;"|"&amp;BA$1&amp;"|Output"),"I/O","IN"),IF(COUNTIF(Flows!$M$2:$M$1500,$A108&amp;"|"&amp;BA$1&amp;"|Output"),"OUT",""))</f>
        <v/>
      </c>
      <c r="BB108" s="33" t="str">
        <f aca="false">IF(COUNTIF(Flows!$M$2:$M$1500,$A108&amp;"|"&amp;BB$1&amp;"|Input"),IF(COUNTIF(Flows!$M$2:$M$1500,$A108&amp;"|"&amp;BB$1&amp;"|Output"),"I/O","IN"),IF(COUNTIF(Flows!$M$2:$M$1500,$A108&amp;"|"&amp;BB$1&amp;"|Output"),"OUT",""))</f>
        <v/>
      </c>
      <c r="BC108" s="33" t="str">
        <f aca="false">IF(COUNTIF(Flows!$M$2:$M$1500,$A108&amp;"|"&amp;BC$1&amp;"|Input"),IF(COUNTIF(Flows!$M$2:$M$1500,$A108&amp;"|"&amp;BC$1&amp;"|Output"),"I/O","IN"),IF(COUNTIF(Flows!$M$2:$M$1500,$A108&amp;"|"&amp;BC$1&amp;"|Output"),"OUT",""))</f>
        <v/>
      </c>
      <c r="BD108" s="33" t="str">
        <f aca="false">IF(COUNTIF(Flows!$M$2:$M$1500,$A108&amp;"|"&amp;BD$1&amp;"|Input"),IF(COUNTIF(Flows!$M$2:$M$1500,$A108&amp;"|"&amp;BD$1&amp;"|Output"),"I/O","IN"),IF(COUNTIF(Flows!$M$2:$M$1500,$A108&amp;"|"&amp;BD$1&amp;"|Output"),"OUT",""))</f>
        <v/>
      </c>
      <c r="BE108" s="33" t="str">
        <f aca="false">IF(COUNTIF(Flows!$M$2:$M$1500,$A108&amp;"|"&amp;BE$1&amp;"|Input"),IF(COUNTIF(Flows!$M$2:$M$1500,$A108&amp;"|"&amp;BE$1&amp;"|Output"),"I/O","IN"),IF(COUNTIF(Flows!$M$2:$M$1500,$A108&amp;"|"&amp;BE$1&amp;"|Output"),"OUT",""))</f>
        <v/>
      </c>
      <c r="BF108" s="33" t="str">
        <f aca="false">IF(COUNTIF(Flows!$M$2:$M$1500,$A108&amp;"|"&amp;BF$1&amp;"|Input"),IF(COUNTIF(Flows!$M$2:$M$1500,$A108&amp;"|"&amp;BF$1&amp;"|Output"),"I/O","IN"),IF(COUNTIF(Flows!$M$2:$M$1500,$A108&amp;"|"&amp;BF$1&amp;"|Output"),"OUT",""))</f>
        <v/>
      </c>
      <c r="BG108" s="33" t="str">
        <f aca="false">IF(COUNTIF(Flows!$M$2:$M$1500,$A108&amp;"|"&amp;BG$1&amp;"|Input"),IF(COUNTIF(Flows!$M$2:$M$1500,$A108&amp;"|"&amp;BG$1&amp;"|Output"),"I/O","IN"),IF(COUNTIF(Flows!$M$2:$M$1500,$A108&amp;"|"&amp;BG$1&amp;"|Output"),"OUT",""))</f>
        <v/>
      </c>
      <c r="BH108" s="33" t="str">
        <f aca="false">IF(COUNTIF(Flows!$M$2:$M$1500,$A108&amp;"|"&amp;BH$1&amp;"|Input"),IF(COUNTIF(Flows!$M$2:$M$1500,$A108&amp;"|"&amp;BH$1&amp;"|Output"),"I/O","IN"),IF(COUNTIF(Flows!$M$2:$M$1500,$A108&amp;"|"&amp;BH$1&amp;"|Output"),"OUT",""))</f>
        <v/>
      </c>
      <c r="BI108" s="33" t="str">
        <f aca="false">IF(COUNTIF(Flows!$M$2:$M$1500,$A108&amp;"|"&amp;BI$1&amp;"|Input"),IF(COUNTIF(Flows!$M$2:$M$1500,$A108&amp;"|"&amp;BI$1&amp;"|Output"),"I/O","IN"),IF(COUNTIF(Flows!$M$2:$M$1500,$A108&amp;"|"&amp;BI$1&amp;"|Output"),"OUT",""))</f>
        <v/>
      </c>
      <c r="BJ108" s="33" t="str">
        <f aca="false">IF(COUNTIF(Flows!$M$2:$M$1500,$A108&amp;"|"&amp;BJ$1&amp;"|Input"),IF(COUNTIF(Flows!$M$2:$M$1500,$A108&amp;"|"&amp;BJ$1&amp;"|Output"),"I/O","IN"),IF(COUNTIF(Flows!$M$2:$M$1500,$A108&amp;"|"&amp;BJ$1&amp;"|Output"),"OUT",""))</f>
        <v/>
      </c>
      <c r="BK108" s="33" t="str">
        <f aca="false">IF(COUNTIF(Flows!$M$2:$M$1500,$A108&amp;"|"&amp;BK$1&amp;"|Input"),IF(COUNTIF(Flows!$M$2:$M$1500,$A108&amp;"|"&amp;BK$1&amp;"|Output"),"I/O","IN"),IF(COUNTIF(Flows!$M$2:$M$1500,$A108&amp;"|"&amp;BK$1&amp;"|Output"),"OUT",""))</f>
        <v>OUT</v>
      </c>
    </row>
    <row r="109" customFormat="false" ht="15" hidden="false" customHeight="true" outlineLevel="0" collapsed="false">
      <c r="A109" s="6" t="str">
        <f aca="false">Systems!B109</f>
        <v>Municipal Water Hookup</v>
      </c>
      <c r="B109" s="33" t="str">
        <f aca="false">IF(COUNTIF(Flows!$M$2:$M$1500,$A109&amp;"|"&amp;B$1&amp;"|Input"),IF(COUNTIF(Flows!$M$2:$M$1500,$A109&amp;"|"&amp;B$1&amp;"|Output"),"I/O","IN"),IF(COUNTIF(Flows!$M$2:$M$1500,$A109&amp;"|"&amp;B$1&amp;"|Output"),"OUT",""))</f>
        <v>OUT</v>
      </c>
      <c r="C109" s="33" t="str">
        <f aca="false">IF(COUNTIF(Flows!$M$2:$M$1500,$A109&amp;"|"&amp;C$1&amp;"|Input"),IF(COUNTIF(Flows!$M$2:$M$1500,$A109&amp;"|"&amp;C$1&amp;"|Output"),"I/O","IN"),IF(COUNTIF(Flows!$M$2:$M$1500,$A109&amp;"|"&amp;C$1&amp;"|Output"),"OUT",""))</f>
        <v>OUT</v>
      </c>
      <c r="D109" s="33" t="str">
        <f aca="false">IF(COUNTIF(Flows!$M$2:$M$1500,$A109&amp;"|"&amp;D$1&amp;"|Input"),IF(COUNTIF(Flows!$M$2:$M$1500,$A109&amp;"|"&amp;D$1&amp;"|Output"),"I/O","IN"),IF(COUNTIF(Flows!$M$2:$M$1500,$A109&amp;"|"&amp;D$1&amp;"|Output"),"OUT",""))</f>
        <v/>
      </c>
      <c r="E109" s="33" t="str">
        <f aca="false">IF(COUNTIF(Flows!$M$2:$M$1500,$A109&amp;"|"&amp;E$1&amp;"|Input"),IF(COUNTIF(Flows!$M$2:$M$1500,$A109&amp;"|"&amp;E$1&amp;"|Output"),"I/O","IN"),IF(COUNTIF(Flows!$M$2:$M$1500,$A109&amp;"|"&amp;E$1&amp;"|Output"),"OUT",""))</f>
        <v/>
      </c>
      <c r="F109" s="33" t="str">
        <f aca="false">IF(COUNTIF(Flows!$M$2:$M$1500,$A109&amp;"|"&amp;F$1&amp;"|Input"),IF(COUNTIF(Flows!$M$2:$M$1500,$A109&amp;"|"&amp;F$1&amp;"|Output"),"I/O","IN"),IF(COUNTIF(Flows!$M$2:$M$1500,$A109&amp;"|"&amp;F$1&amp;"|Output"),"OUT",""))</f>
        <v/>
      </c>
      <c r="G109" s="33" t="str">
        <f aca="false">IF(COUNTIF(Flows!$M$2:$M$1500,$A109&amp;"|"&amp;G$1&amp;"|Input"),IF(COUNTIF(Flows!$M$2:$M$1500,$A109&amp;"|"&amp;G$1&amp;"|Output"),"I/O","IN"),IF(COUNTIF(Flows!$M$2:$M$1500,$A109&amp;"|"&amp;G$1&amp;"|Output"),"OUT",""))</f>
        <v/>
      </c>
      <c r="H109" s="33" t="str">
        <f aca="false">IF(COUNTIF(Flows!$M$2:$M$1500,$A109&amp;"|"&amp;H$1&amp;"|Input"),IF(COUNTIF(Flows!$M$2:$M$1500,$A109&amp;"|"&amp;H$1&amp;"|Output"),"I/O","IN"),IF(COUNTIF(Flows!$M$2:$M$1500,$A109&amp;"|"&amp;H$1&amp;"|Output"),"OUT",""))</f>
        <v/>
      </c>
      <c r="I109" s="33" t="str">
        <f aca="false">IF(COUNTIF(Flows!$M$2:$M$1500,$A109&amp;"|"&amp;I$1&amp;"|Input"),IF(COUNTIF(Flows!$M$2:$M$1500,$A109&amp;"|"&amp;I$1&amp;"|Output"),"I/O","IN"),IF(COUNTIF(Flows!$M$2:$M$1500,$A109&amp;"|"&amp;I$1&amp;"|Output"),"OUT",""))</f>
        <v/>
      </c>
      <c r="J109" s="33" t="str">
        <f aca="false">IF(COUNTIF(Flows!$M$2:$M$1500,$A109&amp;"|"&amp;J$1&amp;"|Input"),IF(COUNTIF(Flows!$M$2:$M$1500,$A109&amp;"|"&amp;J$1&amp;"|Output"),"I/O","IN"),IF(COUNTIF(Flows!$M$2:$M$1500,$A109&amp;"|"&amp;J$1&amp;"|Output"),"OUT",""))</f>
        <v/>
      </c>
      <c r="K109" s="33" t="str">
        <f aca="false">IF(COUNTIF(Flows!$M$2:$M$1500,$A109&amp;"|"&amp;K$1&amp;"|Input"),IF(COUNTIF(Flows!$M$2:$M$1500,$A109&amp;"|"&amp;K$1&amp;"|Output"),"I/O","IN"),IF(COUNTIF(Flows!$M$2:$M$1500,$A109&amp;"|"&amp;K$1&amp;"|Output"),"OUT",""))</f>
        <v/>
      </c>
      <c r="L109" s="33" t="str">
        <f aca="false">IF(COUNTIF(Flows!$M$2:$M$1500,$A109&amp;"|"&amp;L$1&amp;"|Input"),IF(COUNTIF(Flows!$M$2:$M$1500,$A109&amp;"|"&amp;L$1&amp;"|Output"),"I/O","IN"),IF(COUNTIF(Flows!$M$2:$M$1500,$A109&amp;"|"&amp;L$1&amp;"|Output"),"OUT",""))</f>
        <v/>
      </c>
      <c r="M109" s="33" t="str">
        <f aca="false">IF(COUNTIF(Flows!$M$2:$M$1500,$A109&amp;"|"&amp;M$1&amp;"|Input"),IF(COUNTIF(Flows!$M$2:$M$1500,$A109&amp;"|"&amp;M$1&amp;"|Output"),"I/O","IN"),IF(COUNTIF(Flows!$M$2:$M$1500,$A109&amp;"|"&amp;M$1&amp;"|Output"),"OUT",""))</f>
        <v/>
      </c>
      <c r="N109" s="33" t="str">
        <f aca="false">IF(COUNTIF(Flows!$M$2:$M$1500,$A109&amp;"|"&amp;N$1&amp;"|Input"),IF(COUNTIF(Flows!$M$2:$M$1500,$A109&amp;"|"&amp;N$1&amp;"|Output"),"I/O","IN"),IF(COUNTIF(Flows!$M$2:$M$1500,$A109&amp;"|"&amp;N$1&amp;"|Output"),"OUT",""))</f>
        <v/>
      </c>
      <c r="O109" s="33" t="str">
        <f aca="false">IF(COUNTIF(Flows!$M$2:$M$1500,$A109&amp;"|"&amp;O$1&amp;"|Input"),IF(COUNTIF(Flows!$M$2:$M$1500,$A109&amp;"|"&amp;O$1&amp;"|Output"),"I/O","IN"),IF(COUNTIF(Flows!$M$2:$M$1500,$A109&amp;"|"&amp;O$1&amp;"|Output"),"OUT",""))</f>
        <v/>
      </c>
      <c r="P109" s="33" t="str">
        <f aca="false">IF(COUNTIF(Flows!$M$2:$M$1500,$A109&amp;"|"&amp;P$1&amp;"|Input"),IF(COUNTIF(Flows!$M$2:$M$1500,$A109&amp;"|"&amp;P$1&amp;"|Output"),"I/O","IN"),IF(COUNTIF(Flows!$M$2:$M$1500,$A109&amp;"|"&amp;P$1&amp;"|Output"),"OUT",""))</f>
        <v/>
      </c>
      <c r="Q109" s="33" t="str">
        <f aca="false">IF(COUNTIF(Flows!$M$2:$M$1500,$A109&amp;"|"&amp;Q$1&amp;"|Input"),IF(COUNTIF(Flows!$M$2:$M$1500,$A109&amp;"|"&amp;Q$1&amp;"|Output"),"I/O","IN"),IF(COUNTIF(Flows!$M$2:$M$1500,$A109&amp;"|"&amp;Q$1&amp;"|Output"),"OUT",""))</f>
        <v/>
      </c>
      <c r="R109" s="33" t="str">
        <f aca="false">IF(COUNTIF(Flows!$M$2:$M$1500,$A109&amp;"|"&amp;R$1&amp;"|Input"),IF(COUNTIF(Flows!$M$2:$M$1500,$A109&amp;"|"&amp;R$1&amp;"|Output"),"I/O","IN"),IF(COUNTIF(Flows!$M$2:$M$1500,$A109&amp;"|"&amp;R$1&amp;"|Output"),"OUT",""))</f>
        <v/>
      </c>
      <c r="S109" s="33" t="str">
        <f aca="false">IF(COUNTIF(Flows!$M$2:$M$1500,$A109&amp;"|"&amp;S$1&amp;"|Input"),IF(COUNTIF(Flows!$M$2:$M$1500,$A109&amp;"|"&amp;S$1&amp;"|Output"),"I/O","IN"),IF(COUNTIF(Flows!$M$2:$M$1500,$A109&amp;"|"&amp;S$1&amp;"|Output"),"OUT",""))</f>
        <v/>
      </c>
      <c r="T109" s="33" t="str">
        <f aca="false">IF(COUNTIF(Flows!$M$2:$M$1500,$A109&amp;"|"&amp;T$1&amp;"|Input"),IF(COUNTIF(Flows!$M$2:$M$1500,$A109&amp;"|"&amp;T$1&amp;"|Output"),"I/O","IN"),IF(COUNTIF(Flows!$M$2:$M$1500,$A109&amp;"|"&amp;T$1&amp;"|Output"),"OUT",""))</f>
        <v/>
      </c>
      <c r="U109" s="33" t="str">
        <f aca="false">IF(COUNTIF(Flows!$M$2:$M$1500,$A109&amp;"|"&amp;U$1&amp;"|Input"),IF(COUNTIF(Flows!$M$2:$M$1500,$A109&amp;"|"&amp;U$1&amp;"|Output"),"I/O","IN"),IF(COUNTIF(Flows!$M$2:$M$1500,$A109&amp;"|"&amp;U$1&amp;"|Output"),"OUT",""))</f>
        <v/>
      </c>
      <c r="V109" s="33" t="str">
        <f aca="false">IF(COUNTIF(Flows!$M$2:$M$1500,$A109&amp;"|"&amp;V$1&amp;"|Input"),IF(COUNTIF(Flows!$M$2:$M$1500,$A109&amp;"|"&amp;V$1&amp;"|Output"),"I/O","IN"),IF(COUNTIF(Flows!$M$2:$M$1500,$A109&amp;"|"&amp;V$1&amp;"|Output"),"OUT",""))</f>
        <v/>
      </c>
      <c r="W109" s="33" t="str">
        <f aca="false">IF(COUNTIF(Flows!$M$2:$M$1500,$A109&amp;"|"&amp;W$1&amp;"|Input"),IF(COUNTIF(Flows!$M$2:$M$1500,$A109&amp;"|"&amp;W$1&amp;"|Output"),"I/O","IN"),IF(COUNTIF(Flows!$M$2:$M$1500,$A109&amp;"|"&amp;W$1&amp;"|Output"),"OUT",""))</f>
        <v/>
      </c>
      <c r="X109" s="33" t="str">
        <f aca="false">IF(COUNTIF(Flows!$M$2:$M$1500,$A109&amp;"|"&amp;X$1&amp;"|Input"),IF(COUNTIF(Flows!$M$2:$M$1500,$A109&amp;"|"&amp;X$1&amp;"|Output"),"I/O","IN"),IF(COUNTIF(Flows!$M$2:$M$1500,$A109&amp;"|"&amp;X$1&amp;"|Output"),"OUT",""))</f>
        <v/>
      </c>
      <c r="Y109" s="33" t="str">
        <f aca="false">IF(COUNTIF(Flows!$M$2:$M$1500,$A109&amp;"|"&amp;Y$1&amp;"|Input"),IF(COUNTIF(Flows!$M$2:$M$1500,$A109&amp;"|"&amp;Y$1&amp;"|Output"),"I/O","IN"),IF(COUNTIF(Flows!$M$2:$M$1500,$A109&amp;"|"&amp;Y$1&amp;"|Output"),"OUT",""))</f>
        <v>IN</v>
      </c>
      <c r="Z109" s="33" t="str">
        <f aca="false">IF(COUNTIF(Flows!$M$2:$M$1500,$A109&amp;"|"&amp;Z$1&amp;"|Input"),IF(COUNTIF(Flows!$M$2:$M$1500,$A109&amp;"|"&amp;Z$1&amp;"|Output"),"I/O","IN"),IF(COUNTIF(Flows!$M$2:$M$1500,$A109&amp;"|"&amp;Z$1&amp;"|Output"),"OUT",""))</f>
        <v/>
      </c>
      <c r="AA109" s="33" t="str">
        <f aca="false">IF(COUNTIF(Flows!$M$2:$M$1500,$A109&amp;"|"&amp;AA$1&amp;"|Input"),IF(COUNTIF(Flows!$M$2:$M$1500,$A109&amp;"|"&amp;AA$1&amp;"|Output"),"I/O","IN"),IF(COUNTIF(Flows!$M$2:$M$1500,$A109&amp;"|"&amp;AA$1&amp;"|Output"),"OUT",""))</f>
        <v/>
      </c>
      <c r="AB109" s="33" t="str">
        <f aca="false">IF(COUNTIF(Flows!$M$2:$M$1500,$A109&amp;"|"&amp;AB$1&amp;"|Input"),IF(COUNTIF(Flows!$M$2:$M$1500,$A109&amp;"|"&amp;AB$1&amp;"|Output"),"I/O","IN"),IF(COUNTIF(Flows!$M$2:$M$1500,$A109&amp;"|"&amp;AB$1&amp;"|Output"),"OUT",""))</f>
        <v/>
      </c>
      <c r="AC109" s="33" t="str">
        <f aca="false">IF(COUNTIF(Flows!$M$2:$M$1500,$A109&amp;"|"&amp;AC$1&amp;"|Input"),IF(COUNTIF(Flows!$M$2:$M$1500,$A109&amp;"|"&amp;AC$1&amp;"|Output"),"I/O","IN"),IF(COUNTIF(Flows!$M$2:$M$1500,$A109&amp;"|"&amp;AC$1&amp;"|Output"),"OUT",""))</f>
        <v/>
      </c>
      <c r="AD109" s="33" t="str">
        <f aca="false">IF(COUNTIF(Flows!$M$2:$M$1500,$A109&amp;"|"&amp;AD$1&amp;"|Input"),IF(COUNTIF(Flows!$M$2:$M$1500,$A109&amp;"|"&amp;AD$1&amp;"|Output"),"I/O","IN"),IF(COUNTIF(Flows!$M$2:$M$1500,$A109&amp;"|"&amp;AD$1&amp;"|Output"),"OUT",""))</f>
        <v/>
      </c>
      <c r="AE109" s="33" t="str">
        <f aca="false">IF(COUNTIF(Flows!$M$2:$M$1500,$A109&amp;"|"&amp;AE$1&amp;"|Input"),IF(COUNTIF(Flows!$M$2:$M$1500,$A109&amp;"|"&amp;AE$1&amp;"|Output"),"I/O","IN"),IF(COUNTIF(Flows!$M$2:$M$1500,$A109&amp;"|"&amp;AE$1&amp;"|Output"),"OUT",""))</f>
        <v/>
      </c>
      <c r="AF109" s="33" t="str">
        <f aca="false">IF(COUNTIF(Flows!$M$2:$M$1500,$A109&amp;"|"&amp;AF$1&amp;"|Input"),IF(COUNTIF(Flows!$M$2:$M$1500,$A109&amp;"|"&amp;AF$1&amp;"|Output"),"I/O","IN"),IF(COUNTIF(Flows!$M$2:$M$1500,$A109&amp;"|"&amp;AF$1&amp;"|Output"),"OUT",""))</f>
        <v/>
      </c>
      <c r="AG109" s="33" t="str">
        <f aca="false">IF(COUNTIF(Flows!$M$2:$M$1500,$A109&amp;"|"&amp;AG$1&amp;"|Input"),IF(COUNTIF(Flows!$M$2:$M$1500,$A109&amp;"|"&amp;AG$1&amp;"|Output"),"I/O","IN"),IF(COUNTIF(Flows!$M$2:$M$1500,$A109&amp;"|"&amp;AG$1&amp;"|Output"),"OUT",""))</f>
        <v/>
      </c>
      <c r="AH109" s="33" t="str">
        <f aca="false">IF(COUNTIF(Flows!$M$2:$M$1500,$A109&amp;"|"&amp;AH$1&amp;"|Input"),IF(COUNTIF(Flows!$M$2:$M$1500,$A109&amp;"|"&amp;AH$1&amp;"|Output"),"I/O","IN"),IF(COUNTIF(Flows!$M$2:$M$1500,$A109&amp;"|"&amp;AH$1&amp;"|Output"),"OUT",""))</f>
        <v/>
      </c>
      <c r="AI109" s="33" t="str">
        <f aca="false">IF(COUNTIF(Flows!$M$2:$M$1500,$A109&amp;"|"&amp;AI$1&amp;"|Input"),IF(COUNTIF(Flows!$M$2:$M$1500,$A109&amp;"|"&amp;AI$1&amp;"|Output"),"I/O","IN"),IF(COUNTIF(Flows!$M$2:$M$1500,$A109&amp;"|"&amp;AI$1&amp;"|Output"),"OUT",""))</f>
        <v/>
      </c>
      <c r="AJ109" s="33" t="str">
        <f aca="false">IF(COUNTIF(Flows!$M$2:$M$1500,$A109&amp;"|"&amp;AJ$1&amp;"|Input"),IF(COUNTIF(Flows!$M$2:$M$1500,$A109&amp;"|"&amp;AJ$1&amp;"|Output"),"I/O","IN"),IF(COUNTIF(Flows!$M$2:$M$1500,$A109&amp;"|"&amp;AJ$1&amp;"|Output"),"OUT",""))</f>
        <v/>
      </c>
      <c r="AK109" s="33" t="str">
        <f aca="false">IF(COUNTIF(Flows!$M$2:$M$1500,$A109&amp;"|"&amp;AK$1&amp;"|Input"),IF(COUNTIF(Flows!$M$2:$M$1500,$A109&amp;"|"&amp;AK$1&amp;"|Output"),"I/O","IN"),IF(COUNTIF(Flows!$M$2:$M$1500,$A109&amp;"|"&amp;AK$1&amp;"|Output"),"OUT",""))</f>
        <v/>
      </c>
      <c r="AL109" s="33" t="str">
        <f aca="false">IF(COUNTIF(Flows!$M$2:$M$1500,$A109&amp;"|"&amp;AL$1&amp;"|Input"),IF(COUNTIF(Flows!$M$2:$M$1500,$A109&amp;"|"&amp;AL$1&amp;"|Output"),"I/O","IN"),IF(COUNTIF(Flows!$M$2:$M$1500,$A109&amp;"|"&amp;AL$1&amp;"|Output"),"OUT",""))</f>
        <v/>
      </c>
      <c r="AM109" s="33" t="str">
        <f aca="false">IF(COUNTIF(Flows!$M$2:$M$1500,$A109&amp;"|"&amp;AM$1&amp;"|Input"),IF(COUNTIF(Flows!$M$2:$M$1500,$A109&amp;"|"&amp;AM$1&amp;"|Output"),"I/O","IN"),IF(COUNTIF(Flows!$M$2:$M$1500,$A109&amp;"|"&amp;AM$1&amp;"|Output"),"OUT",""))</f>
        <v/>
      </c>
      <c r="AN109" s="33" t="str">
        <f aca="false">IF(COUNTIF(Flows!$M$2:$M$1500,$A109&amp;"|"&amp;AN$1&amp;"|Input"),IF(COUNTIF(Flows!$M$2:$M$1500,$A109&amp;"|"&amp;AN$1&amp;"|Output"),"I/O","IN"),IF(COUNTIF(Flows!$M$2:$M$1500,$A109&amp;"|"&amp;AN$1&amp;"|Output"),"OUT",""))</f>
        <v/>
      </c>
      <c r="AO109" s="33" t="str">
        <f aca="false">IF(COUNTIF(Flows!$M$2:$M$1500,$A109&amp;"|"&amp;AO$1&amp;"|Input"),IF(COUNTIF(Flows!$M$2:$M$1500,$A109&amp;"|"&amp;AO$1&amp;"|Output"),"I/O","IN"),IF(COUNTIF(Flows!$M$2:$M$1500,$A109&amp;"|"&amp;AO$1&amp;"|Output"),"OUT",""))</f>
        <v/>
      </c>
      <c r="AP109" s="33" t="str">
        <f aca="false">IF(COUNTIF(Flows!$M$2:$M$1500,$A109&amp;"|"&amp;AP$1&amp;"|Input"),IF(COUNTIF(Flows!$M$2:$M$1500,$A109&amp;"|"&amp;AP$1&amp;"|Output"),"I/O","IN"),IF(COUNTIF(Flows!$M$2:$M$1500,$A109&amp;"|"&amp;AP$1&amp;"|Output"),"OUT",""))</f>
        <v/>
      </c>
      <c r="AQ109" s="33" t="str">
        <f aca="false">IF(COUNTIF(Flows!$M$2:$M$1500,$A109&amp;"|"&amp;AQ$1&amp;"|Input"),IF(COUNTIF(Flows!$M$2:$M$1500,$A109&amp;"|"&amp;AQ$1&amp;"|Output"),"I/O","IN"),IF(COUNTIF(Flows!$M$2:$M$1500,$A109&amp;"|"&amp;AQ$1&amp;"|Output"),"OUT",""))</f>
        <v/>
      </c>
      <c r="AR109" s="33" t="str">
        <f aca="false">IF(COUNTIF(Flows!$M$2:$M$1500,$A109&amp;"|"&amp;AR$1&amp;"|Input"),IF(COUNTIF(Flows!$M$2:$M$1500,$A109&amp;"|"&amp;AR$1&amp;"|Output"),"I/O","IN"),IF(COUNTIF(Flows!$M$2:$M$1500,$A109&amp;"|"&amp;AR$1&amp;"|Output"),"OUT",""))</f>
        <v/>
      </c>
      <c r="AS109" s="33" t="str">
        <f aca="false">IF(COUNTIF(Flows!$M$2:$M$1500,$A109&amp;"|"&amp;AS$1&amp;"|Input"),IF(COUNTIF(Flows!$M$2:$M$1500,$A109&amp;"|"&amp;AS$1&amp;"|Output"),"I/O","IN"),IF(COUNTIF(Flows!$M$2:$M$1500,$A109&amp;"|"&amp;AS$1&amp;"|Output"),"OUT",""))</f>
        <v/>
      </c>
      <c r="AT109" s="33" t="str">
        <f aca="false">IF(COUNTIF(Flows!$M$2:$M$1500,$A109&amp;"|"&amp;AT$1&amp;"|Input"),IF(COUNTIF(Flows!$M$2:$M$1500,$A109&amp;"|"&amp;AT$1&amp;"|Output"),"I/O","IN"),IF(COUNTIF(Flows!$M$2:$M$1500,$A109&amp;"|"&amp;AT$1&amp;"|Output"),"OUT",""))</f>
        <v/>
      </c>
      <c r="AU109" s="33" t="str">
        <f aca="false">IF(COUNTIF(Flows!$M$2:$M$1500,$A109&amp;"|"&amp;AU$1&amp;"|Input"),IF(COUNTIF(Flows!$M$2:$M$1500,$A109&amp;"|"&amp;AU$1&amp;"|Output"),"I/O","IN"),IF(COUNTIF(Flows!$M$2:$M$1500,$A109&amp;"|"&amp;AU$1&amp;"|Output"),"OUT",""))</f>
        <v/>
      </c>
      <c r="AV109" s="33" t="str">
        <f aca="false">IF(COUNTIF(Flows!$M$2:$M$1500,$A109&amp;"|"&amp;AV$1&amp;"|Input"),IF(COUNTIF(Flows!$M$2:$M$1500,$A109&amp;"|"&amp;AV$1&amp;"|Output"),"I/O","IN"),IF(COUNTIF(Flows!$M$2:$M$1500,$A109&amp;"|"&amp;AV$1&amp;"|Output"),"OUT",""))</f>
        <v/>
      </c>
      <c r="AW109" s="33" t="str">
        <f aca="false">IF(COUNTIF(Flows!$M$2:$M$1500,$A109&amp;"|"&amp;AW$1&amp;"|Input"),IF(COUNTIF(Flows!$M$2:$M$1500,$A109&amp;"|"&amp;AW$1&amp;"|Output"),"I/O","IN"),IF(COUNTIF(Flows!$M$2:$M$1500,$A109&amp;"|"&amp;AW$1&amp;"|Output"),"OUT",""))</f>
        <v/>
      </c>
      <c r="AX109" s="33" t="str">
        <f aca="false">IF(COUNTIF(Flows!$M$2:$M$1500,$A109&amp;"|"&amp;AX$1&amp;"|Input"),IF(COUNTIF(Flows!$M$2:$M$1500,$A109&amp;"|"&amp;AX$1&amp;"|Output"),"I/O","IN"),IF(COUNTIF(Flows!$M$2:$M$1500,$A109&amp;"|"&amp;AX$1&amp;"|Output"),"OUT",""))</f>
        <v/>
      </c>
      <c r="AY109" s="33" t="str">
        <f aca="false">IF(COUNTIF(Flows!$M$2:$M$1500,$A109&amp;"|"&amp;AY$1&amp;"|Input"),IF(COUNTIF(Flows!$M$2:$M$1500,$A109&amp;"|"&amp;AY$1&amp;"|Output"),"I/O","IN"),IF(COUNTIF(Flows!$M$2:$M$1500,$A109&amp;"|"&amp;AY$1&amp;"|Output"),"OUT",""))</f>
        <v/>
      </c>
      <c r="AZ109" s="33" t="str">
        <f aca="false">IF(COUNTIF(Flows!$M$2:$M$1500,$A109&amp;"|"&amp;AZ$1&amp;"|Input"),IF(COUNTIF(Flows!$M$2:$M$1500,$A109&amp;"|"&amp;AZ$1&amp;"|Output"),"I/O","IN"),IF(COUNTIF(Flows!$M$2:$M$1500,$A109&amp;"|"&amp;AZ$1&amp;"|Output"),"OUT",""))</f>
        <v/>
      </c>
      <c r="BA109" s="33" t="str">
        <f aca="false">IF(COUNTIF(Flows!$M$2:$M$1500,$A109&amp;"|"&amp;BA$1&amp;"|Input"),IF(COUNTIF(Flows!$M$2:$M$1500,$A109&amp;"|"&amp;BA$1&amp;"|Output"),"I/O","IN"),IF(COUNTIF(Flows!$M$2:$M$1500,$A109&amp;"|"&amp;BA$1&amp;"|Output"),"OUT",""))</f>
        <v/>
      </c>
      <c r="BB109" s="33" t="str">
        <f aca="false">IF(COUNTIF(Flows!$M$2:$M$1500,$A109&amp;"|"&amp;BB$1&amp;"|Input"),IF(COUNTIF(Flows!$M$2:$M$1500,$A109&amp;"|"&amp;BB$1&amp;"|Output"),"I/O","IN"),IF(COUNTIF(Flows!$M$2:$M$1500,$A109&amp;"|"&amp;BB$1&amp;"|Output"),"OUT",""))</f>
        <v/>
      </c>
      <c r="BC109" s="33" t="str">
        <f aca="false">IF(COUNTIF(Flows!$M$2:$M$1500,$A109&amp;"|"&amp;BC$1&amp;"|Input"),IF(COUNTIF(Flows!$M$2:$M$1500,$A109&amp;"|"&amp;BC$1&amp;"|Output"),"I/O","IN"),IF(COUNTIF(Flows!$M$2:$M$1500,$A109&amp;"|"&amp;BC$1&amp;"|Output"),"OUT",""))</f>
        <v/>
      </c>
      <c r="BD109" s="33" t="str">
        <f aca="false">IF(COUNTIF(Flows!$M$2:$M$1500,$A109&amp;"|"&amp;BD$1&amp;"|Input"),IF(COUNTIF(Flows!$M$2:$M$1500,$A109&amp;"|"&amp;BD$1&amp;"|Output"),"I/O","IN"),IF(COUNTIF(Flows!$M$2:$M$1500,$A109&amp;"|"&amp;BD$1&amp;"|Output"),"OUT",""))</f>
        <v/>
      </c>
      <c r="BE109" s="33" t="str">
        <f aca="false">IF(COUNTIF(Flows!$M$2:$M$1500,$A109&amp;"|"&amp;BE$1&amp;"|Input"),IF(COUNTIF(Flows!$M$2:$M$1500,$A109&amp;"|"&amp;BE$1&amp;"|Output"),"I/O","IN"),IF(COUNTIF(Flows!$M$2:$M$1500,$A109&amp;"|"&amp;BE$1&amp;"|Output"),"OUT",""))</f>
        <v/>
      </c>
      <c r="BF109" s="33" t="str">
        <f aca="false">IF(COUNTIF(Flows!$M$2:$M$1500,$A109&amp;"|"&amp;BF$1&amp;"|Input"),IF(COUNTIF(Flows!$M$2:$M$1500,$A109&amp;"|"&amp;BF$1&amp;"|Output"),"I/O","IN"),IF(COUNTIF(Flows!$M$2:$M$1500,$A109&amp;"|"&amp;BF$1&amp;"|Output"),"OUT",""))</f>
        <v/>
      </c>
      <c r="BG109" s="33" t="str">
        <f aca="false">IF(COUNTIF(Flows!$M$2:$M$1500,$A109&amp;"|"&amp;BG$1&amp;"|Input"),IF(COUNTIF(Flows!$M$2:$M$1500,$A109&amp;"|"&amp;BG$1&amp;"|Output"),"I/O","IN"),IF(COUNTIF(Flows!$M$2:$M$1500,$A109&amp;"|"&amp;BG$1&amp;"|Output"),"OUT",""))</f>
        <v/>
      </c>
      <c r="BH109" s="33" t="str">
        <f aca="false">IF(COUNTIF(Flows!$M$2:$M$1500,$A109&amp;"|"&amp;BH$1&amp;"|Input"),IF(COUNTIF(Flows!$M$2:$M$1500,$A109&amp;"|"&amp;BH$1&amp;"|Output"),"I/O","IN"),IF(COUNTIF(Flows!$M$2:$M$1500,$A109&amp;"|"&amp;BH$1&amp;"|Output"),"OUT",""))</f>
        <v/>
      </c>
      <c r="BI109" s="33" t="str">
        <f aca="false">IF(COUNTIF(Flows!$M$2:$M$1500,$A109&amp;"|"&amp;BI$1&amp;"|Input"),IF(COUNTIF(Flows!$M$2:$M$1500,$A109&amp;"|"&amp;BI$1&amp;"|Output"),"I/O","IN"),IF(COUNTIF(Flows!$M$2:$M$1500,$A109&amp;"|"&amp;BI$1&amp;"|Output"),"OUT",""))</f>
        <v/>
      </c>
      <c r="BJ109" s="33" t="str">
        <f aca="false">IF(COUNTIF(Flows!$M$2:$M$1500,$A109&amp;"|"&amp;BJ$1&amp;"|Input"),IF(COUNTIF(Flows!$M$2:$M$1500,$A109&amp;"|"&amp;BJ$1&amp;"|Output"),"I/O","IN"),IF(COUNTIF(Flows!$M$2:$M$1500,$A109&amp;"|"&amp;BJ$1&amp;"|Output"),"OUT",""))</f>
        <v/>
      </c>
      <c r="BK109" s="33" t="str">
        <f aca="false">IF(COUNTIF(Flows!$M$2:$M$1500,$A109&amp;"|"&amp;BK$1&amp;"|Input"),IF(COUNTIF(Flows!$M$2:$M$1500,$A109&amp;"|"&amp;BK$1&amp;"|Output"),"I/O","IN"),IF(COUNTIF(Flows!$M$2:$M$1500,$A109&amp;"|"&amp;BK$1&amp;"|Output"),"OUT",""))</f>
        <v/>
      </c>
    </row>
    <row r="110" customFormat="false" ht="15" hidden="false" customHeight="true" outlineLevel="0" collapsed="false">
      <c r="A110" s="6" t="str">
        <f aca="false">Systems!B110</f>
        <v>UV Sterilizer</v>
      </c>
      <c r="B110" s="33" t="str">
        <f aca="false">IF(COUNTIF(Flows!$M$2:$M$1500,$A110&amp;"|"&amp;B$1&amp;"|Input"),IF(COUNTIF(Flows!$M$2:$M$1500,$A110&amp;"|"&amp;B$1&amp;"|Output"),"I/O","IN"),IF(COUNTIF(Flows!$M$2:$M$1500,$A110&amp;"|"&amp;B$1&amp;"|Output"),"OUT",""))</f>
        <v>IN</v>
      </c>
      <c r="C110" s="33" t="str">
        <f aca="false">IF(COUNTIF(Flows!$M$2:$M$1500,$A110&amp;"|"&amp;C$1&amp;"|Input"),IF(COUNTIF(Flows!$M$2:$M$1500,$A110&amp;"|"&amp;C$1&amp;"|Output"),"I/O","IN"),IF(COUNTIF(Flows!$M$2:$M$1500,$A110&amp;"|"&amp;C$1&amp;"|Output"),"OUT",""))</f>
        <v>OUT</v>
      </c>
      <c r="D110" s="33" t="str">
        <f aca="false">IF(COUNTIF(Flows!$M$2:$M$1500,$A110&amp;"|"&amp;D$1&amp;"|Input"),IF(COUNTIF(Flows!$M$2:$M$1500,$A110&amp;"|"&amp;D$1&amp;"|Output"),"I/O","IN"),IF(COUNTIF(Flows!$M$2:$M$1500,$A110&amp;"|"&amp;D$1&amp;"|Output"),"OUT",""))</f>
        <v/>
      </c>
      <c r="E110" s="33" t="str">
        <f aca="false">IF(COUNTIF(Flows!$M$2:$M$1500,$A110&amp;"|"&amp;E$1&amp;"|Input"),IF(COUNTIF(Flows!$M$2:$M$1500,$A110&amp;"|"&amp;E$1&amp;"|Output"),"I/O","IN"),IF(COUNTIF(Flows!$M$2:$M$1500,$A110&amp;"|"&amp;E$1&amp;"|Output"),"OUT",""))</f>
        <v/>
      </c>
      <c r="F110" s="33" t="str">
        <f aca="false">IF(COUNTIF(Flows!$M$2:$M$1500,$A110&amp;"|"&amp;F$1&amp;"|Input"),IF(COUNTIF(Flows!$M$2:$M$1500,$A110&amp;"|"&amp;F$1&amp;"|Output"),"I/O","IN"),IF(COUNTIF(Flows!$M$2:$M$1500,$A110&amp;"|"&amp;F$1&amp;"|Output"),"OUT",""))</f>
        <v/>
      </c>
      <c r="G110" s="33" t="str">
        <f aca="false">IF(COUNTIF(Flows!$M$2:$M$1500,$A110&amp;"|"&amp;G$1&amp;"|Input"),IF(COUNTIF(Flows!$M$2:$M$1500,$A110&amp;"|"&amp;G$1&amp;"|Output"),"I/O","IN"),IF(COUNTIF(Flows!$M$2:$M$1500,$A110&amp;"|"&amp;G$1&amp;"|Output"),"OUT",""))</f>
        <v/>
      </c>
      <c r="H110" s="33" t="str">
        <f aca="false">IF(COUNTIF(Flows!$M$2:$M$1500,$A110&amp;"|"&amp;H$1&amp;"|Input"),IF(COUNTIF(Flows!$M$2:$M$1500,$A110&amp;"|"&amp;H$1&amp;"|Output"),"I/O","IN"),IF(COUNTIF(Flows!$M$2:$M$1500,$A110&amp;"|"&amp;H$1&amp;"|Output"),"OUT",""))</f>
        <v/>
      </c>
      <c r="I110" s="33" t="str">
        <f aca="false">IF(COUNTIF(Flows!$M$2:$M$1500,$A110&amp;"|"&amp;I$1&amp;"|Input"),IF(COUNTIF(Flows!$M$2:$M$1500,$A110&amp;"|"&amp;I$1&amp;"|Output"),"I/O","IN"),IF(COUNTIF(Flows!$M$2:$M$1500,$A110&amp;"|"&amp;I$1&amp;"|Output"),"OUT",""))</f>
        <v/>
      </c>
      <c r="J110" s="33" t="str">
        <f aca="false">IF(COUNTIF(Flows!$M$2:$M$1500,$A110&amp;"|"&amp;J$1&amp;"|Input"),IF(COUNTIF(Flows!$M$2:$M$1500,$A110&amp;"|"&amp;J$1&amp;"|Output"),"I/O","IN"),IF(COUNTIF(Flows!$M$2:$M$1500,$A110&amp;"|"&amp;J$1&amp;"|Output"),"OUT",""))</f>
        <v/>
      </c>
      <c r="K110" s="33" t="str">
        <f aca="false">IF(COUNTIF(Flows!$M$2:$M$1500,$A110&amp;"|"&amp;K$1&amp;"|Input"),IF(COUNTIF(Flows!$M$2:$M$1500,$A110&amp;"|"&amp;K$1&amp;"|Output"),"I/O","IN"),IF(COUNTIF(Flows!$M$2:$M$1500,$A110&amp;"|"&amp;K$1&amp;"|Output"),"OUT",""))</f>
        <v/>
      </c>
      <c r="L110" s="33" t="str">
        <f aca="false">IF(COUNTIF(Flows!$M$2:$M$1500,$A110&amp;"|"&amp;L$1&amp;"|Input"),IF(COUNTIF(Flows!$M$2:$M$1500,$A110&amp;"|"&amp;L$1&amp;"|Output"),"I/O","IN"),IF(COUNTIF(Flows!$M$2:$M$1500,$A110&amp;"|"&amp;L$1&amp;"|Output"),"OUT",""))</f>
        <v/>
      </c>
      <c r="M110" s="33" t="str">
        <f aca="false">IF(COUNTIF(Flows!$M$2:$M$1500,$A110&amp;"|"&amp;M$1&amp;"|Input"),IF(COUNTIF(Flows!$M$2:$M$1500,$A110&amp;"|"&amp;M$1&amp;"|Output"),"I/O","IN"),IF(COUNTIF(Flows!$M$2:$M$1500,$A110&amp;"|"&amp;M$1&amp;"|Output"),"OUT",""))</f>
        <v/>
      </c>
      <c r="N110" s="33" t="str">
        <f aca="false">IF(COUNTIF(Flows!$M$2:$M$1500,$A110&amp;"|"&amp;N$1&amp;"|Input"),IF(COUNTIF(Flows!$M$2:$M$1500,$A110&amp;"|"&amp;N$1&amp;"|Output"),"I/O","IN"),IF(COUNTIF(Flows!$M$2:$M$1500,$A110&amp;"|"&amp;N$1&amp;"|Output"),"OUT",""))</f>
        <v/>
      </c>
      <c r="O110" s="33" t="str">
        <f aca="false">IF(COUNTIF(Flows!$M$2:$M$1500,$A110&amp;"|"&amp;O$1&amp;"|Input"),IF(COUNTIF(Flows!$M$2:$M$1500,$A110&amp;"|"&amp;O$1&amp;"|Output"),"I/O","IN"),IF(COUNTIF(Flows!$M$2:$M$1500,$A110&amp;"|"&amp;O$1&amp;"|Output"),"OUT",""))</f>
        <v/>
      </c>
      <c r="P110" s="33" t="str">
        <f aca="false">IF(COUNTIF(Flows!$M$2:$M$1500,$A110&amp;"|"&amp;P$1&amp;"|Input"),IF(COUNTIF(Flows!$M$2:$M$1500,$A110&amp;"|"&amp;P$1&amp;"|Output"),"I/O","IN"),IF(COUNTIF(Flows!$M$2:$M$1500,$A110&amp;"|"&amp;P$1&amp;"|Output"),"OUT",""))</f>
        <v/>
      </c>
      <c r="Q110" s="33" t="str">
        <f aca="false">IF(COUNTIF(Flows!$M$2:$M$1500,$A110&amp;"|"&amp;Q$1&amp;"|Input"),IF(COUNTIF(Flows!$M$2:$M$1500,$A110&amp;"|"&amp;Q$1&amp;"|Output"),"I/O","IN"),IF(COUNTIF(Flows!$M$2:$M$1500,$A110&amp;"|"&amp;Q$1&amp;"|Output"),"OUT",""))</f>
        <v/>
      </c>
      <c r="R110" s="33" t="str">
        <f aca="false">IF(COUNTIF(Flows!$M$2:$M$1500,$A110&amp;"|"&amp;R$1&amp;"|Input"),IF(COUNTIF(Flows!$M$2:$M$1500,$A110&amp;"|"&amp;R$1&amp;"|Output"),"I/O","IN"),IF(COUNTIF(Flows!$M$2:$M$1500,$A110&amp;"|"&amp;R$1&amp;"|Output"),"OUT",""))</f>
        <v/>
      </c>
      <c r="S110" s="33" t="str">
        <f aca="false">IF(COUNTIF(Flows!$M$2:$M$1500,$A110&amp;"|"&amp;S$1&amp;"|Input"),IF(COUNTIF(Flows!$M$2:$M$1500,$A110&amp;"|"&amp;S$1&amp;"|Output"),"I/O","IN"),IF(COUNTIF(Flows!$M$2:$M$1500,$A110&amp;"|"&amp;S$1&amp;"|Output"),"OUT",""))</f>
        <v>IN</v>
      </c>
      <c r="T110" s="33" t="str">
        <f aca="false">IF(COUNTIF(Flows!$M$2:$M$1500,$A110&amp;"|"&amp;T$1&amp;"|Input"),IF(COUNTIF(Flows!$M$2:$M$1500,$A110&amp;"|"&amp;T$1&amp;"|Output"),"I/O","IN"),IF(COUNTIF(Flows!$M$2:$M$1500,$A110&amp;"|"&amp;T$1&amp;"|Output"),"OUT",""))</f>
        <v/>
      </c>
      <c r="U110" s="33" t="str">
        <f aca="false">IF(COUNTIF(Flows!$M$2:$M$1500,$A110&amp;"|"&amp;U$1&amp;"|Input"),IF(COUNTIF(Flows!$M$2:$M$1500,$A110&amp;"|"&amp;U$1&amp;"|Output"),"I/O","IN"),IF(COUNTIF(Flows!$M$2:$M$1500,$A110&amp;"|"&amp;U$1&amp;"|Output"),"OUT",""))</f>
        <v/>
      </c>
      <c r="V110" s="33" t="str">
        <f aca="false">IF(COUNTIF(Flows!$M$2:$M$1500,$A110&amp;"|"&amp;V$1&amp;"|Input"),IF(COUNTIF(Flows!$M$2:$M$1500,$A110&amp;"|"&amp;V$1&amp;"|Output"),"I/O","IN"),IF(COUNTIF(Flows!$M$2:$M$1500,$A110&amp;"|"&amp;V$1&amp;"|Output"),"OUT",""))</f>
        <v/>
      </c>
      <c r="W110" s="33" t="str">
        <f aca="false">IF(COUNTIF(Flows!$M$2:$M$1500,$A110&amp;"|"&amp;W$1&amp;"|Input"),IF(COUNTIF(Flows!$M$2:$M$1500,$A110&amp;"|"&amp;W$1&amp;"|Output"),"I/O","IN"),IF(COUNTIF(Flows!$M$2:$M$1500,$A110&amp;"|"&amp;W$1&amp;"|Output"),"OUT",""))</f>
        <v/>
      </c>
      <c r="X110" s="33" t="str">
        <f aca="false">IF(COUNTIF(Flows!$M$2:$M$1500,$A110&amp;"|"&amp;X$1&amp;"|Input"),IF(COUNTIF(Flows!$M$2:$M$1500,$A110&amp;"|"&amp;X$1&amp;"|Output"),"I/O","IN"),IF(COUNTIF(Flows!$M$2:$M$1500,$A110&amp;"|"&amp;X$1&amp;"|Output"),"OUT",""))</f>
        <v>IN</v>
      </c>
      <c r="Y110" s="33" t="str">
        <f aca="false">IF(COUNTIF(Flows!$M$2:$M$1500,$A110&amp;"|"&amp;Y$1&amp;"|Input"),IF(COUNTIF(Flows!$M$2:$M$1500,$A110&amp;"|"&amp;Y$1&amp;"|Output"),"I/O","IN"),IF(COUNTIF(Flows!$M$2:$M$1500,$A110&amp;"|"&amp;Y$1&amp;"|Output"),"OUT",""))</f>
        <v/>
      </c>
      <c r="Z110" s="33" t="str">
        <f aca="false">IF(COUNTIF(Flows!$M$2:$M$1500,$A110&amp;"|"&amp;Z$1&amp;"|Input"),IF(COUNTIF(Flows!$M$2:$M$1500,$A110&amp;"|"&amp;Z$1&amp;"|Output"),"I/O","IN"),IF(COUNTIF(Flows!$M$2:$M$1500,$A110&amp;"|"&amp;Z$1&amp;"|Output"),"OUT",""))</f>
        <v/>
      </c>
      <c r="AA110" s="33" t="str">
        <f aca="false">IF(COUNTIF(Flows!$M$2:$M$1500,$A110&amp;"|"&amp;AA$1&amp;"|Input"),IF(COUNTIF(Flows!$M$2:$M$1500,$A110&amp;"|"&amp;AA$1&amp;"|Output"),"I/O","IN"),IF(COUNTIF(Flows!$M$2:$M$1500,$A110&amp;"|"&amp;AA$1&amp;"|Output"),"OUT",""))</f>
        <v/>
      </c>
      <c r="AB110" s="33" t="str">
        <f aca="false">IF(COUNTIF(Flows!$M$2:$M$1500,$A110&amp;"|"&amp;AB$1&amp;"|Input"),IF(COUNTIF(Flows!$M$2:$M$1500,$A110&amp;"|"&amp;AB$1&amp;"|Output"),"I/O","IN"),IF(COUNTIF(Flows!$M$2:$M$1500,$A110&amp;"|"&amp;AB$1&amp;"|Output"),"OUT",""))</f>
        <v/>
      </c>
      <c r="AC110" s="33" t="str">
        <f aca="false">IF(COUNTIF(Flows!$M$2:$M$1500,$A110&amp;"|"&amp;AC$1&amp;"|Input"),IF(COUNTIF(Flows!$M$2:$M$1500,$A110&amp;"|"&amp;AC$1&amp;"|Output"),"I/O","IN"),IF(COUNTIF(Flows!$M$2:$M$1500,$A110&amp;"|"&amp;AC$1&amp;"|Output"),"OUT",""))</f>
        <v/>
      </c>
      <c r="AD110" s="33" t="str">
        <f aca="false">IF(COUNTIF(Flows!$M$2:$M$1500,$A110&amp;"|"&amp;AD$1&amp;"|Input"),IF(COUNTIF(Flows!$M$2:$M$1500,$A110&amp;"|"&amp;AD$1&amp;"|Output"),"I/O","IN"),IF(COUNTIF(Flows!$M$2:$M$1500,$A110&amp;"|"&amp;AD$1&amp;"|Output"),"OUT",""))</f>
        <v/>
      </c>
      <c r="AE110" s="33" t="str">
        <f aca="false">IF(COUNTIF(Flows!$M$2:$M$1500,$A110&amp;"|"&amp;AE$1&amp;"|Input"),IF(COUNTIF(Flows!$M$2:$M$1500,$A110&amp;"|"&amp;AE$1&amp;"|Output"),"I/O","IN"),IF(COUNTIF(Flows!$M$2:$M$1500,$A110&amp;"|"&amp;AE$1&amp;"|Output"),"OUT",""))</f>
        <v/>
      </c>
      <c r="AF110" s="33" t="str">
        <f aca="false">IF(COUNTIF(Flows!$M$2:$M$1500,$A110&amp;"|"&amp;AF$1&amp;"|Input"),IF(COUNTIF(Flows!$M$2:$M$1500,$A110&amp;"|"&amp;AF$1&amp;"|Output"),"I/O","IN"),IF(COUNTIF(Flows!$M$2:$M$1500,$A110&amp;"|"&amp;AF$1&amp;"|Output"),"OUT",""))</f>
        <v/>
      </c>
      <c r="AG110" s="33" t="str">
        <f aca="false">IF(COUNTIF(Flows!$M$2:$M$1500,$A110&amp;"|"&amp;AG$1&amp;"|Input"),IF(COUNTIF(Flows!$M$2:$M$1500,$A110&amp;"|"&amp;AG$1&amp;"|Output"),"I/O","IN"),IF(COUNTIF(Flows!$M$2:$M$1500,$A110&amp;"|"&amp;AG$1&amp;"|Output"),"OUT",""))</f>
        <v/>
      </c>
      <c r="AH110" s="33" t="str">
        <f aca="false">IF(COUNTIF(Flows!$M$2:$M$1500,$A110&amp;"|"&amp;AH$1&amp;"|Input"),IF(COUNTIF(Flows!$M$2:$M$1500,$A110&amp;"|"&amp;AH$1&amp;"|Output"),"I/O","IN"),IF(COUNTIF(Flows!$M$2:$M$1500,$A110&amp;"|"&amp;AH$1&amp;"|Output"),"OUT",""))</f>
        <v/>
      </c>
      <c r="AI110" s="33" t="str">
        <f aca="false">IF(COUNTIF(Flows!$M$2:$M$1500,$A110&amp;"|"&amp;AI$1&amp;"|Input"),IF(COUNTIF(Flows!$M$2:$M$1500,$A110&amp;"|"&amp;AI$1&amp;"|Output"),"I/O","IN"),IF(COUNTIF(Flows!$M$2:$M$1500,$A110&amp;"|"&amp;AI$1&amp;"|Output"),"OUT",""))</f>
        <v/>
      </c>
      <c r="AJ110" s="33" t="str">
        <f aca="false">IF(COUNTIF(Flows!$M$2:$M$1500,$A110&amp;"|"&amp;AJ$1&amp;"|Input"),IF(COUNTIF(Flows!$M$2:$M$1500,$A110&amp;"|"&amp;AJ$1&amp;"|Output"),"I/O","IN"),IF(COUNTIF(Flows!$M$2:$M$1500,$A110&amp;"|"&amp;AJ$1&amp;"|Output"),"OUT",""))</f>
        <v/>
      </c>
      <c r="AK110" s="33" t="str">
        <f aca="false">IF(COUNTIF(Flows!$M$2:$M$1500,$A110&amp;"|"&amp;AK$1&amp;"|Input"),IF(COUNTIF(Flows!$M$2:$M$1500,$A110&amp;"|"&amp;AK$1&amp;"|Output"),"I/O","IN"),IF(COUNTIF(Flows!$M$2:$M$1500,$A110&amp;"|"&amp;AK$1&amp;"|Output"),"OUT",""))</f>
        <v/>
      </c>
      <c r="AL110" s="33" t="str">
        <f aca="false">IF(COUNTIF(Flows!$M$2:$M$1500,$A110&amp;"|"&amp;AL$1&amp;"|Input"),IF(COUNTIF(Flows!$M$2:$M$1500,$A110&amp;"|"&amp;AL$1&amp;"|Output"),"I/O","IN"),IF(COUNTIF(Flows!$M$2:$M$1500,$A110&amp;"|"&amp;AL$1&amp;"|Output"),"OUT",""))</f>
        <v/>
      </c>
      <c r="AM110" s="33" t="str">
        <f aca="false">IF(COUNTIF(Flows!$M$2:$M$1500,$A110&amp;"|"&amp;AM$1&amp;"|Input"),IF(COUNTIF(Flows!$M$2:$M$1500,$A110&amp;"|"&amp;AM$1&amp;"|Output"),"I/O","IN"),IF(COUNTIF(Flows!$M$2:$M$1500,$A110&amp;"|"&amp;AM$1&amp;"|Output"),"OUT",""))</f>
        <v/>
      </c>
      <c r="AN110" s="33" t="str">
        <f aca="false">IF(COUNTIF(Flows!$M$2:$M$1500,$A110&amp;"|"&amp;AN$1&amp;"|Input"),IF(COUNTIF(Flows!$M$2:$M$1500,$A110&amp;"|"&amp;AN$1&amp;"|Output"),"I/O","IN"),IF(COUNTIF(Flows!$M$2:$M$1500,$A110&amp;"|"&amp;AN$1&amp;"|Output"),"OUT",""))</f>
        <v/>
      </c>
      <c r="AO110" s="33" t="str">
        <f aca="false">IF(COUNTIF(Flows!$M$2:$M$1500,$A110&amp;"|"&amp;AO$1&amp;"|Input"),IF(COUNTIF(Flows!$M$2:$M$1500,$A110&amp;"|"&amp;AO$1&amp;"|Output"),"I/O","IN"),IF(COUNTIF(Flows!$M$2:$M$1500,$A110&amp;"|"&amp;AO$1&amp;"|Output"),"OUT",""))</f>
        <v/>
      </c>
      <c r="AP110" s="33" t="str">
        <f aca="false">IF(COUNTIF(Flows!$M$2:$M$1500,$A110&amp;"|"&amp;AP$1&amp;"|Input"),IF(COUNTIF(Flows!$M$2:$M$1500,$A110&amp;"|"&amp;AP$1&amp;"|Output"),"I/O","IN"),IF(COUNTIF(Flows!$M$2:$M$1500,$A110&amp;"|"&amp;AP$1&amp;"|Output"),"OUT",""))</f>
        <v/>
      </c>
      <c r="AQ110" s="33" t="str">
        <f aca="false">IF(COUNTIF(Flows!$M$2:$M$1500,$A110&amp;"|"&amp;AQ$1&amp;"|Input"),IF(COUNTIF(Flows!$M$2:$M$1500,$A110&amp;"|"&amp;AQ$1&amp;"|Output"),"I/O","IN"),IF(COUNTIF(Flows!$M$2:$M$1500,$A110&amp;"|"&amp;AQ$1&amp;"|Output"),"OUT",""))</f>
        <v/>
      </c>
      <c r="AR110" s="33" t="str">
        <f aca="false">IF(COUNTIF(Flows!$M$2:$M$1500,$A110&amp;"|"&amp;AR$1&amp;"|Input"),IF(COUNTIF(Flows!$M$2:$M$1500,$A110&amp;"|"&amp;AR$1&amp;"|Output"),"I/O","IN"),IF(COUNTIF(Flows!$M$2:$M$1500,$A110&amp;"|"&amp;AR$1&amp;"|Output"),"OUT",""))</f>
        <v/>
      </c>
      <c r="AS110" s="33" t="str">
        <f aca="false">IF(COUNTIF(Flows!$M$2:$M$1500,$A110&amp;"|"&amp;AS$1&amp;"|Input"),IF(COUNTIF(Flows!$M$2:$M$1500,$A110&amp;"|"&amp;AS$1&amp;"|Output"),"I/O","IN"),IF(COUNTIF(Flows!$M$2:$M$1500,$A110&amp;"|"&amp;AS$1&amp;"|Output"),"OUT",""))</f>
        <v/>
      </c>
      <c r="AT110" s="33" t="str">
        <f aca="false">IF(COUNTIF(Flows!$M$2:$M$1500,$A110&amp;"|"&amp;AT$1&amp;"|Input"),IF(COUNTIF(Flows!$M$2:$M$1500,$A110&amp;"|"&amp;AT$1&amp;"|Output"),"I/O","IN"),IF(COUNTIF(Flows!$M$2:$M$1500,$A110&amp;"|"&amp;AT$1&amp;"|Output"),"OUT",""))</f>
        <v/>
      </c>
      <c r="AU110" s="33" t="str">
        <f aca="false">IF(COUNTIF(Flows!$M$2:$M$1500,$A110&amp;"|"&amp;AU$1&amp;"|Input"),IF(COUNTIF(Flows!$M$2:$M$1500,$A110&amp;"|"&amp;AU$1&amp;"|Output"),"I/O","IN"),IF(COUNTIF(Flows!$M$2:$M$1500,$A110&amp;"|"&amp;AU$1&amp;"|Output"),"OUT",""))</f>
        <v/>
      </c>
      <c r="AV110" s="33" t="str">
        <f aca="false">IF(COUNTIF(Flows!$M$2:$M$1500,$A110&amp;"|"&amp;AV$1&amp;"|Input"),IF(COUNTIF(Flows!$M$2:$M$1500,$A110&amp;"|"&amp;AV$1&amp;"|Output"),"I/O","IN"),IF(COUNTIF(Flows!$M$2:$M$1500,$A110&amp;"|"&amp;AV$1&amp;"|Output"),"OUT",""))</f>
        <v/>
      </c>
      <c r="AW110" s="33" t="str">
        <f aca="false">IF(COUNTIF(Flows!$M$2:$M$1500,$A110&amp;"|"&amp;AW$1&amp;"|Input"),IF(COUNTIF(Flows!$M$2:$M$1500,$A110&amp;"|"&amp;AW$1&amp;"|Output"),"I/O","IN"),IF(COUNTIF(Flows!$M$2:$M$1500,$A110&amp;"|"&amp;AW$1&amp;"|Output"),"OUT",""))</f>
        <v/>
      </c>
      <c r="AX110" s="33" t="str">
        <f aca="false">IF(COUNTIF(Flows!$M$2:$M$1500,$A110&amp;"|"&amp;AX$1&amp;"|Input"),IF(COUNTIF(Flows!$M$2:$M$1500,$A110&amp;"|"&amp;AX$1&amp;"|Output"),"I/O","IN"),IF(COUNTIF(Flows!$M$2:$M$1500,$A110&amp;"|"&amp;AX$1&amp;"|Output"),"OUT",""))</f>
        <v/>
      </c>
      <c r="AY110" s="33" t="str">
        <f aca="false">IF(COUNTIF(Flows!$M$2:$M$1500,$A110&amp;"|"&amp;AY$1&amp;"|Input"),IF(COUNTIF(Flows!$M$2:$M$1500,$A110&amp;"|"&amp;AY$1&amp;"|Output"),"I/O","IN"),IF(COUNTIF(Flows!$M$2:$M$1500,$A110&amp;"|"&amp;AY$1&amp;"|Output"),"OUT",""))</f>
        <v/>
      </c>
      <c r="AZ110" s="33" t="str">
        <f aca="false">IF(COUNTIF(Flows!$M$2:$M$1500,$A110&amp;"|"&amp;AZ$1&amp;"|Input"),IF(COUNTIF(Flows!$M$2:$M$1500,$A110&amp;"|"&amp;AZ$1&amp;"|Output"),"I/O","IN"),IF(COUNTIF(Flows!$M$2:$M$1500,$A110&amp;"|"&amp;AZ$1&amp;"|Output"),"OUT",""))</f>
        <v/>
      </c>
      <c r="BA110" s="33" t="str">
        <f aca="false">IF(COUNTIF(Flows!$M$2:$M$1500,$A110&amp;"|"&amp;BA$1&amp;"|Input"),IF(COUNTIF(Flows!$M$2:$M$1500,$A110&amp;"|"&amp;BA$1&amp;"|Output"),"I/O","IN"),IF(COUNTIF(Flows!$M$2:$M$1500,$A110&amp;"|"&amp;BA$1&amp;"|Output"),"OUT",""))</f>
        <v/>
      </c>
      <c r="BB110" s="33" t="str">
        <f aca="false">IF(COUNTIF(Flows!$M$2:$M$1500,$A110&amp;"|"&amp;BB$1&amp;"|Input"),IF(COUNTIF(Flows!$M$2:$M$1500,$A110&amp;"|"&amp;BB$1&amp;"|Output"),"I/O","IN"),IF(COUNTIF(Flows!$M$2:$M$1500,$A110&amp;"|"&amp;BB$1&amp;"|Output"),"OUT",""))</f>
        <v/>
      </c>
      <c r="BC110" s="33" t="str">
        <f aca="false">IF(COUNTIF(Flows!$M$2:$M$1500,$A110&amp;"|"&amp;BC$1&amp;"|Input"),IF(COUNTIF(Flows!$M$2:$M$1500,$A110&amp;"|"&amp;BC$1&amp;"|Output"),"I/O","IN"),IF(COUNTIF(Flows!$M$2:$M$1500,$A110&amp;"|"&amp;BC$1&amp;"|Output"),"OUT",""))</f>
        <v/>
      </c>
      <c r="BD110" s="33" t="str">
        <f aca="false">IF(COUNTIF(Flows!$M$2:$M$1500,$A110&amp;"|"&amp;BD$1&amp;"|Input"),IF(COUNTIF(Flows!$M$2:$M$1500,$A110&amp;"|"&amp;BD$1&amp;"|Output"),"I/O","IN"),IF(COUNTIF(Flows!$M$2:$M$1500,$A110&amp;"|"&amp;BD$1&amp;"|Output"),"OUT",""))</f>
        <v/>
      </c>
      <c r="BE110" s="33" t="str">
        <f aca="false">IF(COUNTIF(Flows!$M$2:$M$1500,$A110&amp;"|"&amp;BE$1&amp;"|Input"),IF(COUNTIF(Flows!$M$2:$M$1500,$A110&amp;"|"&amp;BE$1&amp;"|Output"),"I/O","IN"),IF(COUNTIF(Flows!$M$2:$M$1500,$A110&amp;"|"&amp;BE$1&amp;"|Output"),"OUT",""))</f>
        <v/>
      </c>
      <c r="BF110" s="33" t="str">
        <f aca="false">IF(COUNTIF(Flows!$M$2:$M$1500,$A110&amp;"|"&amp;BF$1&amp;"|Input"),IF(COUNTIF(Flows!$M$2:$M$1500,$A110&amp;"|"&amp;BF$1&amp;"|Output"),"I/O","IN"),IF(COUNTIF(Flows!$M$2:$M$1500,$A110&amp;"|"&amp;BF$1&amp;"|Output"),"OUT",""))</f>
        <v/>
      </c>
      <c r="BG110" s="33" t="str">
        <f aca="false">IF(COUNTIF(Flows!$M$2:$M$1500,$A110&amp;"|"&amp;BG$1&amp;"|Input"),IF(COUNTIF(Flows!$M$2:$M$1500,$A110&amp;"|"&amp;BG$1&amp;"|Output"),"I/O","IN"),IF(COUNTIF(Flows!$M$2:$M$1500,$A110&amp;"|"&amp;BG$1&amp;"|Output"),"OUT",""))</f>
        <v/>
      </c>
      <c r="BH110" s="33" t="str">
        <f aca="false">IF(COUNTIF(Flows!$M$2:$M$1500,$A110&amp;"|"&amp;BH$1&amp;"|Input"),IF(COUNTIF(Flows!$M$2:$M$1500,$A110&amp;"|"&amp;BH$1&amp;"|Output"),"I/O","IN"),IF(COUNTIF(Flows!$M$2:$M$1500,$A110&amp;"|"&amp;BH$1&amp;"|Output"),"OUT",""))</f>
        <v/>
      </c>
      <c r="BI110" s="33" t="str">
        <f aca="false">IF(COUNTIF(Flows!$M$2:$M$1500,$A110&amp;"|"&amp;BI$1&amp;"|Input"),IF(COUNTIF(Flows!$M$2:$M$1500,$A110&amp;"|"&amp;BI$1&amp;"|Output"),"I/O","IN"),IF(COUNTIF(Flows!$M$2:$M$1500,$A110&amp;"|"&amp;BI$1&amp;"|Output"),"OUT",""))</f>
        <v/>
      </c>
      <c r="BJ110" s="33" t="str">
        <f aca="false">IF(COUNTIF(Flows!$M$2:$M$1500,$A110&amp;"|"&amp;BJ$1&amp;"|Input"),IF(COUNTIF(Flows!$M$2:$M$1500,$A110&amp;"|"&amp;BJ$1&amp;"|Output"),"I/O","IN"),IF(COUNTIF(Flows!$M$2:$M$1500,$A110&amp;"|"&amp;BJ$1&amp;"|Output"),"OUT",""))</f>
        <v/>
      </c>
      <c r="BK110" s="33" t="str">
        <f aca="false">IF(COUNTIF(Flows!$M$2:$M$1500,$A110&amp;"|"&amp;BK$1&amp;"|Input"),IF(COUNTIF(Flows!$M$2:$M$1500,$A110&amp;"|"&amp;BK$1&amp;"|Output"),"I/O","IN"),IF(COUNTIF(Flows!$M$2:$M$1500,$A110&amp;"|"&amp;BK$1&amp;"|Output"),"OUT",""))</f>
        <v/>
      </c>
    </row>
    <row r="111" customFormat="false" ht="15" hidden="false" customHeight="true" outlineLevel="0" collapsed="false">
      <c r="A111" s="6" t="str">
        <f aca="false">Systems!B111</f>
        <v>Slow Sand Filter</v>
      </c>
      <c r="B111" s="33" t="str">
        <f aca="false">IF(COUNTIF(Flows!$M$2:$M$1500,$A111&amp;"|"&amp;B$1&amp;"|Input"),IF(COUNTIF(Flows!$M$2:$M$1500,$A111&amp;"|"&amp;B$1&amp;"|Output"),"I/O","IN"),IF(COUNTIF(Flows!$M$2:$M$1500,$A111&amp;"|"&amp;B$1&amp;"|Output"),"OUT",""))</f>
        <v>IN</v>
      </c>
      <c r="C111" s="33" t="str">
        <f aca="false">IF(COUNTIF(Flows!$M$2:$M$1500,$A111&amp;"|"&amp;C$1&amp;"|Input"),IF(COUNTIF(Flows!$M$2:$M$1500,$A111&amp;"|"&amp;C$1&amp;"|Output"),"I/O","IN"),IF(COUNTIF(Flows!$M$2:$M$1500,$A111&amp;"|"&amp;C$1&amp;"|Output"),"OUT",""))</f>
        <v>OUT</v>
      </c>
      <c r="D111" s="33" t="str">
        <f aca="false">IF(COUNTIF(Flows!$M$2:$M$1500,$A111&amp;"|"&amp;D$1&amp;"|Input"),IF(COUNTIF(Flows!$M$2:$M$1500,$A111&amp;"|"&amp;D$1&amp;"|Output"),"I/O","IN"),IF(COUNTIF(Flows!$M$2:$M$1500,$A111&amp;"|"&amp;D$1&amp;"|Output"),"OUT",""))</f>
        <v/>
      </c>
      <c r="E111" s="33" t="str">
        <f aca="false">IF(COUNTIF(Flows!$M$2:$M$1500,$A111&amp;"|"&amp;E$1&amp;"|Input"),IF(COUNTIF(Flows!$M$2:$M$1500,$A111&amp;"|"&amp;E$1&amp;"|Output"),"I/O","IN"),IF(COUNTIF(Flows!$M$2:$M$1500,$A111&amp;"|"&amp;E$1&amp;"|Output"),"OUT",""))</f>
        <v/>
      </c>
      <c r="F111" s="33" t="str">
        <f aca="false">IF(COUNTIF(Flows!$M$2:$M$1500,$A111&amp;"|"&amp;F$1&amp;"|Input"),IF(COUNTIF(Flows!$M$2:$M$1500,$A111&amp;"|"&amp;F$1&amp;"|Output"),"I/O","IN"),IF(COUNTIF(Flows!$M$2:$M$1500,$A111&amp;"|"&amp;F$1&amp;"|Output"),"OUT",""))</f>
        <v/>
      </c>
      <c r="G111" s="33" t="str">
        <f aca="false">IF(COUNTIF(Flows!$M$2:$M$1500,$A111&amp;"|"&amp;G$1&amp;"|Input"),IF(COUNTIF(Flows!$M$2:$M$1500,$A111&amp;"|"&amp;G$1&amp;"|Output"),"I/O","IN"),IF(COUNTIF(Flows!$M$2:$M$1500,$A111&amp;"|"&amp;G$1&amp;"|Output"),"OUT",""))</f>
        <v/>
      </c>
      <c r="H111" s="33" t="str">
        <f aca="false">IF(COUNTIF(Flows!$M$2:$M$1500,$A111&amp;"|"&amp;H$1&amp;"|Input"),IF(COUNTIF(Flows!$M$2:$M$1500,$A111&amp;"|"&amp;H$1&amp;"|Output"),"I/O","IN"),IF(COUNTIF(Flows!$M$2:$M$1500,$A111&amp;"|"&amp;H$1&amp;"|Output"),"OUT",""))</f>
        <v/>
      </c>
      <c r="I111" s="33" t="str">
        <f aca="false">IF(COUNTIF(Flows!$M$2:$M$1500,$A111&amp;"|"&amp;I$1&amp;"|Input"),IF(COUNTIF(Flows!$M$2:$M$1500,$A111&amp;"|"&amp;I$1&amp;"|Output"),"I/O","IN"),IF(COUNTIF(Flows!$M$2:$M$1500,$A111&amp;"|"&amp;I$1&amp;"|Output"),"OUT",""))</f>
        <v/>
      </c>
      <c r="J111" s="33" t="str">
        <f aca="false">IF(COUNTIF(Flows!$M$2:$M$1500,$A111&amp;"|"&amp;J$1&amp;"|Input"),IF(COUNTIF(Flows!$M$2:$M$1500,$A111&amp;"|"&amp;J$1&amp;"|Output"),"I/O","IN"),IF(COUNTIF(Flows!$M$2:$M$1500,$A111&amp;"|"&amp;J$1&amp;"|Output"),"OUT",""))</f>
        <v/>
      </c>
      <c r="K111" s="33" t="str">
        <f aca="false">IF(COUNTIF(Flows!$M$2:$M$1500,$A111&amp;"|"&amp;K$1&amp;"|Input"),IF(COUNTIF(Flows!$M$2:$M$1500,$A111&amp;"|"&amp;K$1&amp;"|Output"),"I/O","IN"),IF(COUNTIF(Flows!$M$2:$M$1500,$A111&amp;"|"&amp;K$1&amp;"|Output"),"OUT",""))</f>
        <v/>
      </c>
      <c r="L111" s="33" t="str">
        <f aca="false">IF(COUNTIF(Flows!$M$2:$M$1500,$A111&amp;"|"&amp;L$1&amp;"|Input"),IF(COUNTIF(Flows!$M$2:$M$1500,$A111&amp;"|"&amp;L$1&amp;"|Output"),"I/O","IN"),IF(COUNTIF(Flows!$M$2:$M$1500,$A111&amp;"|"&amp;L$1&amp;"|Output"),"OUT",""))</f>
        <v/>
      </c>
      <c r="M111" s="33" t="str">
        <f aca="false">IF(COUNTIF(Flows!$M$2:$M$1500,$A111&amp;"|"&amp;M$1&amp;"|Input"),IF(COUNTIF(Flows!$M$2:$M$1500,$A111&amp;"|"&amp;M$1&amp;"|Output"),"I/O","IN"),IF(COUNTIF(Flows!$M$2:$M$1500,$A111&amp;"|"&amp;M$1&amp;"|Output"),"OUT",""))</f>
        <v/>
      </c>
      <c r="N111" s="33" t="str">
        <f aca="false">IF(COUNTIF(Flows!$M$2:$M$1500,$A111&amp;"|"&amp;N$1&amp;"|Input"),IF(COUNTIF(Flows!$M$2:$M$1500,$A111&amp;"|"&amp;N$1&amp;"|Output"),"I/O","IN"),IF(COUNTIF(Flows!$M$2:$M$1500,$A111&amp;"|"&amp;N$1&amp;"|Output"),"OUT",""))</f>
        <v/>
      </c>
      <c r="O111" s="33" t="str">
        <f aca="false">IF(COUNTIF(Flows!$M$2:$M$1500,$A111&amp;"|"&amp;O$1&amp;"|Input"),IF(COUNTIF(Flows!$M$2:$M$1500,$A111&amp;"|"&amp;O$1&amp;"|Output"),"I/O","IN"),IF(COUNTIF(Flows!$M$2:$M$1500,$A111&amp;"|"&amp;O$1&amp;"|Output"),"OUT",""))</f>
        <v/>
      </c>
      <c r="P111" s="33" t="str">
        <f aca="false">IF(COUNTIF(Flows!$M$2:$M$1500,$A111&amp;"|"&amp;P$1&amp;"|Input"),IF(COUNTIF(Flows!$M$2:$M$1500,$A111&amp;"|"&amp;P$1&amp;"|Output"),"I/O","IN"),IF(COUNTIF(Flows!$M$2:$M$1500,$A111&amp;"|"&amp;P$1&amp;"|Output"),"OUT",""))</f>
        <v/>
      </c>
      <c r="Q111" s="33" t="str">
        <f aca="false">IF(COUNTIF(Flows!$M$2:$M$1500,$A111&amp;"|"&amp;Q$1&amp;"|Input"),IF(COUNTIF(Flows!$M$2:$M$1500,$A111&amp;"|"&amp;Q$1&amp;"|Output"),"I/O","IN"),IF(COUNTIF(Flows!$M$2:$M$1500,$A111&amp;"|"&amp;Q$1&amp;"|Output"),"OUT",""))</f>
        <v/>
      </c>
      <c r="R111" s="33" t="str">
        <f aca="false">IF(COUNTIF(Flows!$M$2:$M$1500,$A111&amp;"|"&amp;R$1&amp;"|Input"),IF(COUNTIF(Flows!$M$2:$M$1500,$A111&amp;"|"&amp;R$1&amp;"|Output"),"I/O","IN"),IF(COUNTIF(Flows!$M$2:$M$1500,$A111&amp;"|"&amp;R$1&amp;"|Output"),"OUT",""))</f>
        <v/>
      </c>
      <c r="S111" s="33" t="str">
        <f aca="false">IF(COUNTIF(Flows!$M$2:$M$1500,$A111&amp;"|"&amp;S$1&amp;"|Input"),IF(COUNTIF(Flows!$M$2:$M$1500,$A111&amp;"|"&amp;S$1&amp;"|Output"),"I/O","IN"),IF(COUNTIF(Flows!$M$2:$M$1500,$A111&amp;"|"&amp;S$1&amp;"|Output"),"OUT",""))</f>
        <v/>
      </c>
      <c r="T111" s="33" t="str">
        <f aca="false">IF(COUNTIF(Flows!$M$2:$M$1500,$A111&amp;"|"&amp;T$1&amp;"|Input"),IF(COUNTIF(Flows!$M$2:$M$1500,$A111&amp;"|"&amp;T$1&amp;"|Output"),"I/O","IN"),IF(COUNTIF(Flows!$M$2:$M$1500,$A111&amp;"|"&amp;T$1&amp;"|Output"),"OUT",""))</f>
        <v/>
      </c>
      <c r="U111" s="33" t="str">
        <f aca="false">IF(COUNTIF(Flows!$M$2:$M$1500,$A111&amp;"|"&amp;U$1&amp;"|Input"),IF(COUNTIF(Flows!$M$2:$M$1500,$A111&amp;"|"&amp;U$1&amp;"|Output"),"I/O","IN"),IF(COUNTIF(Flows!$M$2:$M$1500,$A111&amp;"|"&amp;U$1&amp;"|Output"),"OUT",""))</f>
        <v/>
      </c>
      <c r="V111" s="33" t="str">
        <f aca="false">IF(COUNTIF(Flows!$M$2:$M$1500,$A111&amp;"|"&amp;V$1&amp;"|Input"),IF(COUNTIF(Flows!$M$2:$M$1500,$A111&amp;"|"&amp;V$1&amp;"|Output"),"I/O","IN"),IF(COUNTIF(Flows!$M$2:$M$1500,$A111&amp;"|"&amp;V$1&amp;"|Output"),"OUT",""))</f>
        <v/>
      </c>
      <c r="W111" s="33" t="str">
        <f aca="false">IF(COUNTIF(Flows!$M$2:$M$1500,$A111&amp;"|"&amp;W$1&amp;"|Input"),IF(COUNTIF(Flows!$M$2:$M$1500,$A111&amp;"|"&amp;W$1&amp;"|Output"),"I/O","IN"),IF(COUNTIF(Flows!$M$2:$M$1500,$A111&amp;"|"&amp;W$1&amp;"|Output"),"OUT",""))</f>
        <v/>
      </c>
      <c r="X111" s="33" t="str">
        <f aca="false">IF(COUNTIF(Flows!$M$2:$M$1500,$A111&amp;"|"&amp;X$1&amp;"|Input"),IF(COUNTIF(Flows!$M$2:$M$1500,$A111&amp;"|"&amp;X$1&amp;"|Output"),"I/O","IN"),IF(COUNTIF(Flows!$M$2:$M$1500,$A111&amp;"|"&amp;X$1&amp;"|Output"),"OUT",""))</f>
        <v>IN</v>
      </c>
      <c r="Y111" s="33" t="str">
        <f aca="false">IF(COUNTIF(Flows!$M$2:$M$1500,$A111&amp;"|"&amp;Y$1&amp;"|Input"),IF(COUNTIF(Flows!$M$2:$M$1500,$A111&amp;"|"&amp;Y$1&amp;"|Output"),"I/O","IN"),IF(COUNTIF(Flows!$M$2:$M$1500,$A111&amp;"|"&amp;Y$1&amp;"|Output"),"OUT",""))</f>
        <v/>
      </c>
      <c r="Z111" s="33" t="str">
        <f aca="false">IF(COUNTIF(Flows!$M$2:$M$1500,$A111&amp;"|"&amp;Z$1&amp;"|Input"),IF(COUNTIF(Flows!$M$2:$M$1500,$A111&amp;"|"&amp;Z$1&amp;"|Output"),"I/O","IN"),IF(COUNTIF(Flows!$M$2:$M$1500,$A111&amp;"|"&amp;Z$1&amp;"|Output"),"OUT",""))</f>
        <v/>
      </c>
      <c r="AA111" s="33" t="str">
        <f aca="false">IF(COUNTIF(Flows!$M$2:$M$1500,$A111&amp;"|"&amp;AA$1&amp;"|Input"),IF(COUNTIF(Flows!$M$2:$M$1500,$A111&amp;"|"&amp;AA$1&amp;"|Output"),"I/O","IN"),IF(COUNTIF(Flows!$M$2:$M$1500,$A111&amp;"|"&amp;AA$1&amp;"|Output"),"OUT",""))</f>
        <v/>
      </c>
      <c r="AB111" s="33" t="str">
        <f aca="false">IF(COUNTIF(Flows!$M$2:$M$1500,$A111&amp;"|"&amp;AB$1&amp;"|Input"),IF(COUNTIF(Flows!$M$2:$M$1500,$A111&amp;"|"&amp;AB$1&amp;"|Output"),"I/O","IN"),IF(COUNTIF(Flows!$M$2:$M$1500,$A111&amp;"|"&amp;AB$1&amp;"|Output"),"OUT",""))</f>
        <v/>
      </c>
      <c r="AC111" s="33" t="str">
        <f aca="false">IF(COUNTIF(Flows!$M$2:$M$1500,$A111&amp;"|"&amp;AC$1&amp;"|Input"),IF(COUNTIF(Flows!$M$2:$M$1500,$A111&amp;"|"&amp;AC$1&amp;"|Output"),"I/O","IN"),IF(COUNTIF(Flows!$M$2:$M$1500,$A111&amp;"|"&amp;AC$1&amp;"|Output"),"OUT",""))</f>
        <v/>
      </c>
      <c r="AD111" s="33" t="str">
        <f aca="false">IF(COUNTIF(Flows!$M$2:$M$1500,$A111&amp;"|"&amp;AD$1&amp;"|Input"),IF(COUNTIF(Flows!$M$2:$M$1500,$A111&amp;"|"&amp;AD$1&amp;"|Output"),"I/O","IN"),IF(COUNTIF(Flows!$M$2:$M$1500,$A111&amp;"|"&amp;AD$1&amp;"|Output"),"OUT",""))</f>
        <v/>
      </c>
      <c r="AE111" s="33" t="str">
        <f aca="false">IF(COUNTIF(Flows!$M$2:$M$1500,$A111&amp;"|"&amp;AE$1&amp;"|Input"),IF(COUNTIF(Flows!$M$2:$M$1500,$A111&amp;"|"&amp;AE$1&amp;"|Output"),"I/O","IN"),IF(COUNTIF(Flows!$M$2:$M$1500,$A111&amp;"|"&amp;AE$1&amp;"|Output"),"OUT",""))</f>
        <v/>
      </c>
      <c r="AF111" s="33" t="str">
        <f aca="false">IF(COUNTIF(Flows!$M$2:$M$1500,$A111&amp;"|"&amp;AF$1&amp;"|Input"),IF(COUNTIF(Flows!$M$2:$M$1500,$A111&amp;"|"&amp;AF$1&amp;"|Output"),"I/O","IN"),IF(COUNTIF(Flows!$M$2:$M$1500,$A111&amp;"|"&amp;AF$1&amp;"|Output"),"OUT",""))</f>
        <v/>
      </c>
      <c r="AG111" s="33" t="str">
        <f aca="false">IF(COUNTIF(Flows!$M$2:$M$1500,$A111&amp;"|"&amp;AG$1&amp;"|Input"),IF(COUNTIF(Flows!$M$2:$M$1500,$A111&amp;"|"&amp;AG$1&amp;"|Output"),"I/O","IN"),IF(COUNTIF(Flows!$M$2:$M$1500,$A111&amp;"|"&amp;AG$1&amp;"|Output"),"OUT",""))</f>
        <v/>
      </c>
      <c r="AH111" s="33" t="str">
        <f aca="false">IF(COUNTIF(Flows!$M$2:$M$1500,$A111&amp;"|"&amp;AH$1&amp;"|Input"),IF(COUNTIF(Flows!$M$2:$M$1500,$A111&amp;"|"&amp;AH$1&amp;"|Output"),"I/O","IN"),IF(COUNTIF(Flows!$M$2:$M$1500,$A111&amp;"|"&amp;AH$1&amp;"|Output"),"OUT",""))</f>
        <v/>
      </c>
      <c r="AI111" s="33" t="str">
        <f aca="false">IF(COUNTIF(Flows!$M$2:$M$1500,$A111&amp;"|"&amp;AI$1&amp;"|Input"),IF(COUNTIF(Flows!$M$2:$M$1500,$A111&amp;"|"&amp;AI$1&amp;"|Output"),"I/O","IN"),IF(COUNTIF(Flows!$M$2:$M$1500,$A111&amp;"|"&amp;AI$1&amp;"|Output"),"OUT",""))</f>
        <v/>
      </c>
      <c r="AJ111" s="33" t="str">
        <f aca="false">IF(COUNTIF(Flows!$M$2:$M$1500,$A111&amp;"|"&amp;AJ$1&amp;"|Input"),IF(COUNTIF(Flows!$M$2:$M$1500,$A111&amp;"|"&amp;AJ$1&amp;"|Output"),"I/O","IN"),IF(COUNTIF(Flows!$M$2:$M$1500,$A111&amp;"|"&amp;AJ$1&amp;"|Output"),"OUT",""))</f>
        <v/>
      </c>
      <c r="AK111" s="33" t="str">
        <f aca="false">IF(COUNTIF(Flows!$M$2:$M$1500,$A111&amp;"|"&amp;AK$1&amp;"|Input"),IF(COUNTIF(Flows!$M$2:$M$1500,$A111&amp;"|"&amp;AK$1&amp;"|Output"),"I/O","IN"),IF(COUNTIF(Flows!$M$2:$M$1500,$A111&amp;"|"&amp;AK$1&amp;"|Output"),"OUT",""))</f>
        <v/>
      </c>
      <c r="AL111" s="33" t="str">
        <f aca="false">IF(COUNTIF(Flows!$M$2:$M$1500,$A111&amp;"|"&amp;AL$1&amp;"|Input"),IF(COUNTIF(Flows!$M$2:$M$1500,$A111&amp;"|"&amp;AL$1&amp;"|Output"),"I/O","IN"),IF(COUNTIF(Flows!$M$2:$M$1500,$A111&amp;"|"&amp;AL$1&amp;"|Output"),"OUT",""))</f>
        <v/>
      </c>
      <c r="AM111" s="33" t="str">
        <f aca="false">IF(COUNTIF(Flows!$M$2:$M$1500,$A111&amp;"|"&amp;AM$1&amp;"|Input"),IF(COUNTIF(Flows!$M$2:$M$1500,$A111&amp;"|"&amp;AM$1&amp;"|Output"),"I/O","IN"),IF(COUNTIF(Flows!$M$2:$M$1500,$A111&amp;"|"&amp;AM$1&amp;"|Output"),"OUT",""))</f>
        <v/>
      </c>
      <c r="AN111" s="33" t="str">
        <f aca="false">IF(COUNTIF(Flows!$M$2:$M$1500,$A111&amp;"|"&amp;AN$1&amp;"|Input"),IF(COUNTIF(Flows!$M$2:$M$1500,$A111&amp;"|"&amp;AN$1&amp;"|Output"),"I/O","IN"),IF(COUNTIF(Flows!$M$2:$M$1500,$A111&amp;"|"&amp;AN$1&amp;"|Output"),"OUT",""))</f>
        <v/>
      </c>
      <c r="AO111" s="33" t="str">
        <f aca="false">IF(COUNTIF(Flows!$M$2:$M$1500,$A111&amp;"|"&amp;AO$1&amp;"|Input"),IF(COUNTIF(Flows!$M$2:$M$1500,$A111&amp;"|"&amp;AO$1&amp;"|Output"),"I/O","IN"),IF(COUNTIF(Flows!$M$2:$M$1500,$A111&amp;"|"&amp;AO$1&amp;"|Output"),"OUT",""))</f>
        <v/>
      </c>
      <c r="AP111" s="33" t="str">
        <f aca="false">IF(COUNTIF(Flows!$M$2:$M$1500,$A111&amp;"|"&amp;AP$1&amp;"|Input"),IF(COUNTIF(Flows!$M$2:$M$1500,$A111&amp;"|"&amp;AP$1&amp;"|Output"),"I/O","IN"),IF(COUNTIF(Flows!$M$2:$M$1500,$A111&amp;"|"&amp;AP$1&amp;"|Output"),"OUT",""))</f>
        <v/>
      </c>
      <c r="AQ111" s="33" t="str">
        <f aca="false">IF(COUNTIF(Flows!$M$2:$M$1500,$A111&amp;"|"&amp;AQ$1&amp;"|Input"),IF(COUNTIF(Flows!$M$2:$M$1500,$A111&amp;"|"&amp;AQ$1&amp;"|Output"),"I/O","IN"),IF(COUNTIF(Flows!$M$2:$M$1500,$A111&amp;"|"&amp;AQ$1&amp;"|Output"),"OUT",""))</f>
        <v/>
      </c>
      <c r="AR111" s="33" t="str">
        <f aca="false">IF(COUNTIF(Flows!$M$2:$M$1500,$A111&amp;"|"&amp;AR$1&amp;"|Input"),IF(COUNTIF(Flows!$M$2:$M$1500,$A111&amp;"|"&amp;AR$1&amp;"|Output"),"I/O","IN"),IF(COUNTIF(Flows!$M$2:$M$1500,$A111&amp;"|"&amp;AR$1&amp;"|Output"),"OUT",""))</f>
        <v/>
      </c>
      <c r="AS111" s="33" t="str">
        <f aca="false">IF(COUNTIF(Flows!$M$2:$M$1500,$A111&amp;"|"&amp;AS$1&amp;"|Input"),IF(COUNTIF(Flows!$M$2:$M$1500,$A111&amp;"|"&amp;AS$1&amp;"|Output"),"I/O","IN"),IF(COUNTIF(Flows!$M$2:$M$1500,$A111&amp;"|"&amp;AS$1&amp;"|Output"),"OUT",""))</f>
        <v/>
      </c>
      <c r="AT111" s="33" t="str">
        <f aca="false">IF(COUNTIF(Flows!$M$2:$M$1500,$A111&amp;"|"&amp;AT$1&amp;"|Input"),IF(COUNTIF(Flows!$M$2:$M$1500,$A111&amp;"|"&amp;AT$1&amp;"|Output"),"I/O","IN"),IF(COUNTIF(Flows!$M$2:$M$1500,$A111&amp;"|"&amp;AT$1&amp;"|Output"),"OUT",""))</f>
        <v/>
      </c>
      <c r="AU111" s="33" t="str">
        <f aca="false">IF(COUNTIF(Flows!$M$2:$M$1500,$A111&amp;"|"&amp;AU$1&amp;"|Input"),IF(COUNTIF(Flows!$M$2:$M$1500,$A111&amp;"|"&amp;AU$1&amp;"|Output"),"I/O","IN"),IF(COUNTIF(Flows!$M$2:$M$1500,$A111&amp;"|"&amp;AU$1&amp;"|Output"),"OUT",""))</f>
        <v/>
      </c>
      <c r="AV111" s="33" t="str">
        <f aca="false">IF(COUNTIF(Flows!$M$2:$M$1500,$A111&amp;"|"&amp;AV$1&amp;"|Input"),IF(COUNTIF(Flows!$M$2:$M$1500,$A111&amp;"|"&amp;AV$1&amp;"|Output"),"I/O","IN"),IF(COUNTIF(Flows!$M$2:$M$1500,$A111&amp;"|"&amp;AV$1&amp;"|Output"),"OUT",""))</f>
        <v/>
      </c>
      <c r="AW111" s="33" t="str">
        <f aca="false">IF(COUNTIF(Flows!$M$2:$M$1500,$A111&amp;"|"&amp;AW$1&amp;"|Input"),IF(COUNTIF(Flows!$M$2:$M$1500,$A111&amp;"|"&amp;AW$1&amp;"|Output"),"I/O","IN"),IF(COUNTIF(Flows!$M$2:$M$1500,$A111&amp;"|"&amp;AW$1&amp;"|Output"),"OUT",""))</f>
        <v/>
      </c>
      <c r="AX111" s="33" t="str">
        <f aca="false">IF(COUNTIF(Flows!$M$2:$M$1500,$A111&amp;"|"&amp;AX$1&amp;"|Input"),IF(COUNTIF(Flows!$M$2:$M$1500,$A111&amp;"|"&amp;AX$1&amp;"|Output"),"I/O","IN"),IF(COUNTIF(Flows!$M$2:$M$1500,$A111&amp;"|"&amp;AX$1&amp;"|Output"),"OUT",""))</f>
        <v/>
      </c>
      <c r="AY111" s="33" t="str">
        <f aca="false">IF(COUNTIF(Flows!$M$2:$M$1500,$A111&amp;"|"&amp;AY$1&amp;"|Input"),IF(COUNTIF(Flows!$M$2:$M$1500,$A111&amp;"|"&amp;AY$1&amp;"|Output"),"I/O","IN"),IF(COUNTIF(Flows!$M$2:$M$1500,$A111&amp;"|"&amp;AY$1&amp;"|Output"),"OUT",""))</f>
        <v/>
      </c>
      <c r="AZ111" s="33" t="str">
        <f aca="false">IF(COUNTIF(Flows!$M$2:$M$1500,$A111&amp;"|"&amp;AZ$1&amp;"|Input"),IF(COUNTIF(Flows!$M$2:$M$1500,$A111&amp;"|"&amp;AZ$1&amp;"|Output"),"I/O","IN"),IF(COUNTIF(Flows!$M$2:$M$1500,$A111&amp;"|"&amp;AZ$1&amp;"|Output"),"OUT",""))</f>
        <v/>
      </c>
      <c r="BA111" s="33" t="str">
        <f aca="false">IF(COUNTIF(Flows!$M$2:$M$1500,$A111&amp;"|"&amp;BA$1&amp;"|Input"),IF(COUNTIF(Flows!$M$2:$M$1500,$A111&amp;"|"&amp;BA$1&amp;"|Output"),"I/O","IN"),IF(COUNTIF(Flows!$M$2:$M$1500,$A111&amp;"|"&amp;BA$1&amp;"|Output"),"OUT",""))</f>
        <v/>
      </c>
      <c r="BB111" s="33" t="str">
        <f aca="false">IF(COUNTIF(Flows!$M$2:$M$1500,$A111&amp;"|"&amp;BB$1&amp;"|Input"),IF(COUNTIF(Flows!$M$2:$M$1500,$A111&amp;"|"&amp;BB$1&amp;"|Output"),"I/O","IN"),IF(COUNTIF(Flows!$M$2:$M$1500,$A111&amp;"|"&amp;BB$1&amp;"|Output"),"OUT",""))</f>
        <v/>
      </c>
      <c r="BC111" s="33" t="str">
        <f aca="false">IF(COUNTIF(Flows!$M$2:$M$1500,$A111&amp;"|"&amp;BC$1&amp;"|Input"),IF(COUNTIF(Flows!$M$2:$M$1500,$A111&amp;"|"&amp;BC$1&amp;"|Output"),"I/O","IN"),IF(COUNTIF(Flows!$M$2:$M$1500,$A111&amp;"|"&amp;BC$1&amp;"|Output"),"OUT",""))</f>
        <v/>
      </c>
      <c r="BD111" s="33" t="str">
        <f aca="false">IF(COUNTIF(Flows!$M$2:$M$1500,$A111&amp;"|"&amp;BD$1&amp;"|Input"),IF(COUNTIF(Flows!$M$2:$M$1500,$A111&amp;"|"&amp;BD$1&amp;"|Output"),"I/O","IN"),IF(COUNTIF(Flows!$M$2:$M$1500,$A111&amp;"|"&amp;BD$1&amp;"|Output"),"OUT",""))</f>
        <v/>
      </c>
      <c r="BE111" s="33" t="str">
        <f aca="false">IF(COUNTIF(Flows!$M$2:$M$1500,$A111&amp;"|"&amp;BE$1&amp;"|Input"),IF(COUNTIF(Flows!$M$2:$M$1500,$A111&amp;"|"&amp;BE$1&amp;"|Output"),"I/O","IN"),IF(COUNTIF(Flows!$M$2:$M$1500,$A111&amp;"|"&amp;BE$1&amp;"|Output"),"OUT",""))</f>
        <v/>
      </c>
      <c r="BF111" s="33" t="str">
        <f aca="false">IF(COUNTIF(Flows!$M$2:$M$1500,$A111&amp;"|"&amp;BF$1&amp;"|Input"),IF(COUNTIF(Flows!$M$2:$M$1500,$A111&amp;"|"&amp;BF$1&amp;"|Output"),"I/O","IN"),IF(COUNTIF(Flows!$M$2:$M$1500,$A111&amp;"|"&amp;BF$1&amp;"|Output"),"OUT",""))</f>
        <v/>
      </c>
      <c r="BG111" s="33" t="str">
        <f aca="false">IF(COUNTIF(Flows!$M$2:$M$1500,$A111&amp;"|"&amp;BG$1&amp;"|Input"),IF(COUNTIF(Flows!$M$2:$M$1500,$A111&amp;"|"&amp;BG$1&amp;"|Output"),"I/O","IN"),IF(COUNTIF(Flows!$M$2:$M$1500,$A111&amp;"|"&amp;BG$1&amp;"|Output"),"OUT",""))</f>
        <v/>
      </c>
      <c r="BH111" s="33" t="str">
        <f aca="false">IF(COUNTIF(Flows!$M$2:$M$1500,$A111&amp;"|"&amp;BH$1&amp;"|Input"),IF(COUNTIF(Flows!$M$2:$M$1500,$A111&amp;"|"&amp;BH$1&amp;"|Output"),"I/O","IN"),IF(COUNTIF(Flows!$M$2:$M$1500,$A111&amp;"|"&amp;BH$1&amp;"|Output"),"OUT",""))</f>
        <v/>
      </c>
      <c r="BI111" s="33" t="str">
        <f aca="false">IF(COUNTIF(Flows!$M$2:$M$1500,$A111&amp;"|"&amp;BI$1&amp;"|Input"),IF(COUNTIF(Flows!$M$2:$M$1500,$A111&amp;"|"&amp;BI$1&amp;"|Output"),"I/O","IN"),IF(COUNTIF(Flows!$M$2:$M$1500,$A111&amp;"|"&amp;BI$1&amp;"|Output"),"OUT",""))</f>
        <v/>
      </c>
      <c r="BJ111" s="33" t="str">
        <f aca="false">IF(COUNTIF(Flows!$M$2:$M$1500,$A111&amp;"|"&amp;BJ$1&amp;"|Input"),IF(COUNTIF(Flows!$M$2:$M$1500,$A111&amp;"|"&amp;BJ$1&amp;"|Output"),"I/O","IN"),IF(COUNTIF(Flows!$M$2:$M$1500,$A111&amp;"|"&amp;BJ$1&amp;"|Output"),"OUT",""))</f>
        <v/>
      </c>
      <c r="BK111" s="33" t="str">
        <f aca="false">IF(COUNTIF(Flows!$M$2:$M$1500,$A111&amp;"|"&amp;BK$1&amp;"|Input"),IF(COUNTIF(Flows!$M$2:$M$1500,$A111&amp;"|"&amp;BK$1&amp;"|Output"),"I/O","IN"),IF(COUNTIF(Flows!$M$2:$M$1500,$A111&amp;"|"&amp;BK$1&amp;"|Output"),"OUT",""))</f>
        <v/>
      </c>
    </row>
    <row r="112" customFormat="false" ht="15" hidden="false" customHeight="true" outlineLevel="0" collapsed="false">
      <c r="A112" s="6" t="str">
        <f aca="false">Systems!B112</f>
        <v>Solar Water Distiller</v>
      </c>
      <c r="B112" s="33" t="str">
        <f aca="false">IF(COUNTIF(Flows!$M$2:$M$1500,$A112&amp;"|"&amp;B$1&amp;"|Input"),IF(COUNTIF(Flows!$M$2:$M$1500,$A112&amp;"|"&amp;B$1&amp;"|Output"),"I/O","IN"),IF(COUNTIF(Flows!$M$2:$M$1500,$A112&amp;"|"&amp;B$1&amp;"|Output"),"OUT",""))</f>
        <v>IN</v>
      </c>
      <c r="C112" s="33" t="str">
        <f aca="false">IF(COUNTIF(Flows!$M$2:$M$1500,$A112&amp;"|"&amp;C$1&amp;"|Input"),IF(COUNTIF(Flows!$M$2:$M$1500,$A112&amp;"|"&amp;C$1&amp;"|Output"),"I/O","IN"),IF(COUNTIF(Flows!$M$2:$M$1500,$A112&amp;"|"&amp;C$1&amp;"|Output"),"OUT",""))</f>
        <v>OUT</v>
      </c>
      <c r="D112" s="33" t="str">
        <f aca="false">IF(COUNTIF(Flows!$M$2:$M$1500,$A112&amp;"|"&amp;D$1&amp;"|Input"),IF(COUNTIF(Flows!$M$2:$M$1500,$A112&amp;"|"&amp;D$1&amp;"|Output"),"I/O","IN"),IF(COUNTIF(Flows!$M$2:$M$1500,$A112&amp;"|"&amp;D$1&amp;"|Output"),"OUT",""))</f>
        <v/>
      </c>
      <c r="E112" s="33" t="str">
        <f aca="false">IF(COUNTIF(Flows!$M$2:$M$1500,$A112&amp;"|"&amp;E$1&amp;"|Input"),IF(COUNTIF(Flows!$M$2:$M$1500,$A112&amp;"|"&amp;E$1&amp;"|Output"),"I/O","IN"),IF(COUNTIF(Flows!$M$2:$M$1500,$A112&amp;"|"&amp;E$1&amp;"|Output"),"OUT",""))</f>
        <v/>
      </c>
      <c r="F112" s="33" t="str">
        <f aca="false">IF(COUNTIF(Flows!$M$2:$M$1500,$A112&amp;"|"&amp;F$1&amp;"|Input"),IF(COUNTIF(Flows!$M$2:$M$1500,$A112&amp;"|"&amp;F$1&amp;"|Output"),"I/O","IN"),IF(COUNTIF(Flows!$M$2:$M$1500,$A112&amp;"|"&amp;F$1&amp;"|Output"),"OUT",""))</f>
        <v/>
      </c>
      <c r="G112" s="33" t="str">
        <f aca="false">IF(COUNTIF(Flows!$M$2:$M$1500,$A112&amp;"|"&amp;G$1&amp;"|Input"),IF(COUNTIF(Flows!$M$2:$M$1500,$A112&amp;"|"&amp;G$1&amp;"|Output"),"I/O","IN"),IF(COUNTIF(Flows!$M$2:$M$1500,$A112&amp;"|"&amp;G$1&amp;"|Output"),"OUT",""))</f>
        <v/>
      </c>
      <c r="H112" s="33" t="str">
        <f aca="false">IF(COUNTIF(Flows!$M$2:$M$1500,$A112&amp;"|"&amp;H$1&amp;"|Input"),IF(COUNTIF(Flows!$M$2:$M$1500,$A112&amp;"|"&amp;H$1&amp;"|Output"),"I/O","IN"),IF(COUNTIF(Flows!$M$2:$M$1500,$A112&amp;"|"&amp;H$1&amp;"|Output"),"OUT",""))</f>
        <v/>
      </c>
      <c r="I112" s="33" t="str">
        <f aca="false">IF(COUNTIF(Flows!$M$2:$M$1500,$A112&amp;"|"&amp;I$1&amp;"|Input"),IF(COUNTIF(Flows!$M$2:$M$1500,$A112&amp;"|"&amp;I$1&amp;"|Output"),"I/O","IN"),IF(COUNTIF(Flows!$M$2:$M$1500,$A112&amp;"|"&amp;I$1&amp;"|Output"),"OUT",""))</f>
        <v/>
      </c>
      <c r="J112" s="33" t="str">
        <f aca="false">IF(COUNTIF(Flows!$M$2:$M$1500,$A112&amp;"|"&amp;J$1&amp;"|Input"),IF(COUNTIF(Flows!$M$2:$M$1500,$A112&amp;"|"&amp;J$1&amp;"|Output"),"I/O","IN"),IF(COUNTIF(Flows!$M$2:$M$1500,$A112&amp;"|"&amp;J$1&amp;"|Output"),"OUT",""))</f>
        <v/>
      </c>
      <c r="K112" s="33" t="str">
        <f aca="false">IF(COUNTIF(Flows!$M$2:$M$1500,$A112&amp;"|"&amp;K$1&amp;"|Input"),IF(COUNTIF(Flows!$M$2:$M$1500,$A112&amp;"|"&amp;K$1&amp;"|Output"),"I/O","IN"),IF(COUNTIF(Flows!$M$2:$M$1500,$A112&amp;"|"&amp;K$1&amp;"|Output"),"OUT",""))</f>
        <v/>
      </c>
      <c r="L112" s="33" t="str">
        <f aca="false">IF(COUNTIF(Flows!$M$2:$M$1500,$A112&amp;"|"&amp;L$1&amp;"|Input"),IF(COUNTIF(Flows!$M$2:$M$1500,$A112&amp;"|"&amp;L$1&amp;"|Output"),"I/O","IN"),IF(COUNTIF(Flows!$M$2:$M$1500,$A112&amp;"|"&amp;L$1&amp;"|Output"),"OUT",""))</f>
        <v/>
      </c>
      <c r="M112" s="33" t="str">
        <f aca="false">IF(COUNTIF(Flows!$M$2:$M$1500,$A112&amp;"|"&amp;M$1&amp;"|Input"),IF(COUNTIF(Flows!$M$2:$M$1500,$A112&amp;"|"&amp;M$1&amp;"|Output"),"I/O","IN"),IF(COUNTIF(Flows!$M$2:$M$1500,$A112&amp;"|"&amp;M$1&amp;"|Output"),"OUT",""))</f>
        <v/>
      </c>
      <c r="N112" s="33" t="str">
        <f aca="false">IF(COUNTIF(Flows!$M$2:$M$1500,$A112&amp;"|"&amp;N$1&amp;"|Input"),IF(COUNTIF(Flows!$M$2:$M$1500,$A112&amp;"|"&amp;N$1&amp;"|Output"),"I/O","IN"),IF(COUNTIF(Flows!$M$2:$M$1500,$A112&amp;"|"&amp;N$1&amp;"|Output"),"OUT",""))</f>
        <v/>
      </c>
      <c r="O112" s="33" t="str">
        <f aca="false">IF(COUNTIF(Flows!$M$2:$M$1500,$A112&amp;"|"&amp;O$1&amp;"|Input"),IF(COUNTIF(Flows!$M$2:$M$1500,$A112&amp;"|"&amp;O$1&amp;"|Output"),"I/O","IN"),IF(COUNTIF(Flows!$M$2:$M$1500,$A112&amp;"|"&amp;O$1&amp;"|Output"),"OUT",""))</f>
        <v/>
      </c>
      <c r="P112" s="33" t="str">
        <f aca="false">IF(COUNTIF(Flows!$M$2:$M$1500,$A112&amp;"|"&amp;P$1&amp;"|Input"),IF(COUNTIF(Flows!$M$2:$M$1500,$A112&amp;"|"&amp;P$1&amp;"|Output"),"I/O","IN"),IF(COUNTIF(Flows!$M$2:$M$1500,$A112&amp;"|"&amp;P$1&amp;"|Output"),"OUT",""))</f>
        <v/>
      </c>
      <c r="Q112" s="33" t="str">
        <f aca="false">IF(COUNTIF(Flows!$M$2:$M$1500,$A112&amp;"|"&amp;Q$1&amp;"|Input"),IF(COUNTIF(Flows!$M$2:$M$1500,$A112&amp;"|"&amp;Q$1&amp;"|Output"),"I/O","IN"),IF(COUNTIF(Flows!$M$2:$M$1500,$A112&amp;"|"&amp;Q$1&amp;"|Output"),"OUT",""))</f>
        <v/>
      </c>
      <c r="R112" s="33" t="str">
        <f aca="false">IF(COUNTIF(Flows!$M$2:$M$1500,$A112&amp;"|"&amp;R$1&amp;"|Input"),IF(COUNTIF(Flows!$M$2:$M$1500,$A112&amp;"|"&amp;R$1&amp;"|Output"),"I/O","IN"),IF(COUNTIF(Flows!$M$2:$M$1500,$A112&amp;"|"&amp;R$1&amp;"|Output"),"OUT",""))</f>
        <v/>
      </c>
      <c r="S112" s="33" t="str">
        <f aca="false">IF(COUNTIF(Flows!$M$2:$M$1500,$A112&amp;"|"&amp;S$1&amp;"|Input"),IF(COUNTIF(Flows!$M$2:$M$1500,$A112&amp;"|"&amp;S$1&amp;"|Output"),"I/O","IN"),IF(COUNTIF(Flows!$M$2:$M$1500,$A112&amp;"|"&amp;S$1&amp;"|Output"),"OUT",""))</f>
        <v/>
      </c>
      <c r="T112" s="33" t="str">
        <f aca="false">IF(COUNTIF(Flows!$M$2:$M$1500,$A112&amp;"|"&amp;T$1&amp;"|Input"),IF(COUNTIF(Flows!$M$2:$M$1500,$A112&amp;"|"&amp;T$1&amp;"|Output"),"I/O","IN"),IF(COUNTIF(Flows!$M$2:$M$1500,$A112&amp;"|"&amp;T$1&amp;"|Output"),"OUT",""))</f>
        <v/>
      </c>
      <c r="U112" s="33" t="str">
        <f aca="false">IF(COUNTIF(Flows!$M$2:$M$1500,$A112&amp;"|"&amp;U$1&amp;"|Input"),IF(COUNTIF(Flows!$M$2:$M$1500,$A112&amp;"|"&amp;U$1&amp;"|Output"),"I/O","IN"),IF(COUNTIF(Flows!$M$2:$M$1500,$A112&amp;"|"&amp;U$1&amp;"|Output"),"OUT",""))</f>
        <v/>
      </c>
      <c r="V112" s="33" t="str">
        <f aca="false">IF(COUNTIF(Flows!$M$2:$M$1500,$A112&amp;"|"&amp;V$1&amp;"|Input"),IF(COUNTIF(Flows!$M$2:$M$1500,$A112&amp;"|"&amp;V$1&amp;"|Output"),"I/O","IN"),IF(COUNTIF(Flows!$M$2:$M$1500,$A112&amp;"|"&amp;V$1&amp;"|Output"),"OUT",""))</f>
        <v/>
      </c>
      <c r="W112" s="33" t="str">
        <f aca="false">IF(COUNTIF(Flows!$M$2:$M$1500,$A112&amp;"|"&amp;W$1&amp;"|Input"),IF(COUNTIF(Flows!$M$2:$M$1500,$A112&amp;"|"&amp;W$1&amp;"|Output"),"I/O","IN"),IF(COUNTIF(Flows!$M$2:$M$1500,$A112&amp;"|"&amp;W$1&amp;"|Output"),"OUT",""))</f>
        <v/>
      </c>
      <c r="X112" s="33" t="str">
        <f aca="false">IF(COUNTIF(Flows!$M$2:$M$1500,$A112&amp;"|"&amp;X$1&amp;"|Input"),IF(COUNTIF(Flows!$M$2:$M$1500,$A112&amp;"|"&amp;X$1&amp;"|Output"),"I/O","IN"),IF(COUNTIF(Flows!$M$2:$M$1500,$A112&amp;"|"&amp;X$1&amp;"|Output"),"OUT",""))</f>
        <v>IN</v>
      </c>
      <c r="Y112" s="33" t="str">
        <f aca="false">IF(COUNTIF(Flows!$M$2:$M$1500,$A112&amp;"|"&amp;Y$1&amp;"|Input"),IF(COUNTIF(Flows!$M$2:$M$1500,$A112&amp;"|"&amp;Y$1&amp;"|Output"),"I/O","IN"),IF(COUNTIF(Flows!$M$2:$M$1500,$A112&amp;"|"&amp;Y$1&amp;"|Output"),"OUT",""))</f>
        <v/>
      </c>
      <c r="Z112" s="33" t="str">
        <f aca="false">IF(COUNTIF(Flows!$M$2:$M$1500,$A112&amp;"|"&amp;Z$1&amp;"|Input"),IF(COUNTIF(Flows!$M$2:$M$1500,$A112&amp;"|"&amp;Z$1&amp;"|Output"),"I/O","IN"),IF(COUNTIF(Flows!$M$2:$M$1500,$A112&amp;"|"&amp;Z$1&amp;"|Output"),"OUT",""))</f>
        <v>IN</v>
      </c>
      <c r="AA112" s="33" t="str">
        <f aca="false">IF(COUNTIF(Flows!$M$2:$M$1500,$A112&amp;"|"&amp;AA$1&amp;"|Input"),IF(COUNTIF(Flows!$M$2:$M$1500,$A112&amp;"|"&amp;AA$1&amp;"|Output"),"I/O","IN"),IF(COUNTIF(Flows!$M$2:$M$1500,$A112&amp;"|"&amp;AA$1&amp;"|Output"),"OUT",""))</f>
        <v/>
      </c>
      <c r="AB112" s="33" t="str">
        <f aca="false">IF(COUNTIF(Flows!$M$2:$M$1500,$A112&amp;"|"&amp;AB$1&amp;"|Input"),IF(COUNTIF(Flows!$M$2:$M$1500,$A112&amp;"|"&amp;AB$1&amp;"|Output"),"I/O","IN"),IF(COUNTIF(Flows!$M$2:$M$1500,$A112&amp;"|"&amp;AB$1&amp;"|Output"),"OUT",""))</f>
        <v/>
      </c>
      <c r="AC112" s="33" t="str">
        <f aca="false">IF(COUNTIF(Flows!$M$2:$M$1500,$A112&amp;"|"&amp;AC$1&amp;"|Input"),IF(COUNTIF(Flows!$M$2:$M$1500,$A112&amp;"|"&amp;AC$1&amp;"|Output"),"I/O","IN"),IF(COUNTIF(Flows!$M$2:$M$1500,$A112&amp;"|"&amp;AC$1&amp;"|Output"),"OUT",""))</f>
        <v/>
      </c>
      <c r="AD112" s="33" t="str">
        <f aca="false">IF(COUNTIF(Flows!$M$2:$M$1500,$A112&amp;"|"&amp;AD$1&amp;"|Input"),IF(COUNTIF(Flows!$M$2:$M$1500,$A112&amp;"|"&amp;AD$1&amp;"|Output"),"I/O","IN"),IF(COUNTIF(Flows!$M$2:$M$1500,$A112&amp;"|"&amp;AD$1&amp;"|Output"),"OUT",""))</f>
        <v/>
      </c>
      <c r="AE112" s="33" t="str">
        <f aca="false">IF(COUNTIF(Flows!$M$2:$M$1500,$A112&amp;"|"&amp;AE$1&amp;"|Input"),IF(COUNTIF(Flows!$M$2:$M$1500,$A112&amp;"|"&amp;AE$1&amp;"|Output"),"I/O","IN"),IF(COUNTIF(Flows!$M$2:$M$1500,$A112&amp;"|"&amp;AE$1&amp;"|Output"),"OUT",""))</f>
        <v/>
      </c>
      <c r="AF112" s="33" t="str">
        <f aca="false">IF(COUNTIF(Flows!$M$2:$M$1500,$A112&amp;"|"&amp;AF$1&amp;"|Input"),IF(COUNTIF(Flows!$M$2:$M$1500,$A112&amp;"|"&amp;AF$1&amp;"|Output"),"I/O","IN"),IF(COUNTIF(Flows!$M$2:$M$1500,$A112&amp;"|"&amp;AF$1&amp;"|Output"),"OUT",""))</f>
        <v/>
      </c>
      <c r="AG112" s="33" t="str">
        <f aca="false">IF(COUNTIF(Flows!$M$2:$M$1500,$A112&amp;"|"&amp;AG$1&amp;"|Input"),IF(COUNTIF(Flows!$M$2:$M$1500,$A112&amp;"|"&amp;AG$1&amp;"|Output"),"I/O","IN"),IF(COUNTIF(Flows!$M$2:$M$1500,$A112&amp;"|"&amp;AG$1&amp;"|Output"),"OUT",""))</f>
        <v/>
      </c>
      <c r="AH112" s="33" t="str">
        <f aca="false">IF(COUNTIF(Flows!$M$2:$M$1500,$A112&amp;"|"&amp;AH$1&amp;"|Input"),IF(COUNTIF(Flows!$M$2:$M$1500,$A112&amp;"|"&amp;AH$1&amp;"|Output"),"I/O","IN"),IF(COUNTIF(Flows!$M$2:$M$1500,$A112&amp;"|"&amp;AH$1&amp;"|Output"),"OUT",""))</f>
        <v/>
      </c>
      <c r="AI112" s="33" t="str">
        <f aca="false">IF(COUNTIF(Flows!$M$2:$M$1500,$A112&amp;"|"&amp;AI$1&amp;"|Input"),IF(COUNTIF(Flows!$M$2:$M$1500,$A112&amp;"|"&amp;AI$1&amp;"|Output"),"I/O","IN"),IF(COUNTIF(Flows!$M$2:$M$1500,$A112&amp;"|"&amp;AI$1&amp;"|Output"),"OUT",""))</f>
        <v/>
      </c>
      <c r="AJ112" s="33" t="str">
        <f aca="false">IF(COUNTIF(Flows!$M$2:$M$1500,$A112&amp;"|"&amp;AJ$1&amp;"|Input"),IF(COUNTIF(Flows!$M$2:$M$1500,$A112&amp;"|"&amp;AJ$1&amp;"|Output"),"I/O","IN"),IF(COUNTIF(Flows!$M$2:$M$1500,$A112&amp;"|"&amp;AJ$1&amp;"|Output"),"OUT",""))</f>
        <v/>
      </c>
      <c r="AK112" s="33" t="str">
        <f aca="false">IF(COUNTIF(Flows!$M$2:$M$1500,$A112&amp;"|"&amp;AK$1&amp;"|Input"),IF(COUNTIF(Flows!$M$2:$M$1500,$A112&amp;"|"&amp;AK$1&amp;"|Output"),"I/O","IN"),IF(COUNTIF(Flows!$M$2:$M$1500,$A112&amp;"|"&amp;AK$1&amp;"|Output"),"OUT",""))</f>
        <v/>
      </c>
      <c r="AL112" s="33" t="str">
        <f aca="false">IF(COUNTIF(Flows!$M$2:$M$1500,$A112&amp;"|"&amp;AL$1&amp;"|Input"),IF(COUNTIF(Flows!$M$2:$M$1500,$A112&amp;"|"&amp;AL$1&amp;"|Output"),"I/O","IN"),IF(COUNTIF(Flows!$M$2:$M$1500,$A112&amp;"|"&amp;AL$1&amp;"|Output"),"OUT",""))</f>
        <v/>
      </c>
      <c r="AM112" s="33" t="str">
        <f aca="false">IF(COUNTIF(Flows!$M$2:$M$1500,$A112&amp;"|"&amp;AM$1&amp;"|Input"),IF(COUNTIF(Flows!$M$2:$M$1500,$A112&amp;"|"&amp;AM$1&amp;"|Output"),"I/O","IN"),IF(COUNTIF(Flows!$M$2:$M$1500,$A112&amp;"|"&amp;AM$1&amp;"|Output"),"OUT",""))</f>
        <v/>
      </c>
      <c r="AN112" s="33" t="str">
        <f aca="false">IF(COUNTIF(Flows!$M$2:$M$1500,$A112&amp;"|"&amp;AN$1&amp;"|Input"),IF(COUNTIF(Flows!$M$2:$M$1500,$A112&amp;"|"&amp;AN$1&amp;"|Output"),"I/O","IN"),IF(COUNTIF(Flows!$M$2:$M$1500,$A112&amp;"|"&amp;AN$1&amp;"|Output"),"OUT",""))</f>
        <v/>
      </c>
      <c r="AO112" s="33" t="str">
        <f aca="false">IF(COUNTIF(Flows!$M$2:$M$1500,$A112&amp;"|"&amp;AO$1&amp;"|Input"),IF(COUNTIF(Flows!$M$2:$M$1500,$A112&amp;"|"&amp;AO$1&amp;"|Output"),"I/O","IN"),IF(COUNTIF(Flows!$M$2:$M$1500,$A112&amp;"|"&amp;AO$1&amp;"|Output"),"OUT",""))</f>
        <v/>
      </c>
      <c r="AP112" s="33" t="str">
        <f aca="false">IF(COUNTIF(Flows!$M$2:$M$1500,$A112&amp;"|"&amp;AP$1&amp;"|Input"),IF(COUNTIF(Flows!$M$2:$M$1500,$A112&amp;"|"&amp;AP$1&amp;"|Output"),"I/O","IN"),IF(COUNTIF(Flows!$M$2:$M$1500,$A112&amp;"|"&amp;AP$1&amp;"|Output"),"OUT",""))</f>
        <v/>
      </c>
      <c r="AQ112" s="33" t="str">
        <f aca="false">IF(COUNTIF(Flows!$M$2:$M$1500,$A112&amp;"|"&amp;AQ$1&amp;"|Input"),IF(COUNTIF(Flows!$M$2:$M$1500,$A112&amp;"|"&amp;AQ$1&amp;"|Output"),"I/O","IN"),IF(COUNTIF(Flows!$M$2:$M$1500,$A112&amp;"|"&amp;AQ$1&amp;"|Output"),"OUT",""))</f>
        <v/>
      </c>
      <c r="AR112" s="33" t="str">
        <f aca="false">IF(COUNTIF(Flows!$M$2:$M$1500,$A112&amp;"|"&amp;AR$1&amp;"|Input"),IF(COUNTIF(Flows!$M$2:$M$1500,$A112&amp;"|"&amp;AR$1&amp;"|Output"),"I/O","IN"),IF(COUNTIF(Flows!$M$2:$M$1500,$A112&amp;"|"&amp;AR$1&amp;"|Output"),"OUT",""))</f>
        <v/>
      </c>
      <c r="AS112" s="33" t="str">
        <f aca="false">IF(COUNTIF(Flows!$M$2:$M$1500,$A112&amp;"|"&amp;AS$1&amp;"|Input"),IF(COUNTIF(Flows!$M$2:$M$1500,$A112&amp;"|"&amp;AS$1&amp;"|Output"),"I/O","IN"),IF(COUNTIF(Flows!$M$2:$M$1500,$A112&amp;"|"&amp;AS$1&amp;"|Output"),"OUT",""))</f>
        <v/>
      </c>
      <c r="AT112" s="33" t="str">
        <f aca="false">IF(COUNTIF(Flows!$M$2:$M$1500,$A112&amp;"|"&amp;AT$1&amp;"|Input"),IF(COUNTIF(Flows!$M$2:$M$1500,$A112&amp;"|"&amp;AT$1&amp;"|Output"),"I/O","IN"),IF(COUNTIF(Flows!$M$2:$M$1500,$A112&amp;"|"&amp;AT$1&amp;"|Output"),"OUT",""))</f>
        <v/>
      </c>
      <c r="AU112" s="33" t="str">
        <f aca="false">IF(COUNTIF(Flows!$M$2:$M$1500,$A112&amp;"|"&amp;AU$1&amp;"|Input"),IF(COUNTIF(Flows!$M$2:$M$1500,$A112&amp;"|"&amp;AU$1&amp;"|Output"),"I/O","IN"),IF(COUNTIF(Flows!$M$2:$M$1500,$A112&amp;"|"&amp;AU$1&amp;"|Output"),"OUT",""))</f>
        <v/>
      </c>
      <c r="AV112" s="33" t="str">
        <f aca="false">IF(COUNTIF(Flows!$M$2:$M$1500,$A112&amp;"|"&amp;AV$1&amp;"|Input"),IF(COUNTIF(Flows!$M$2:$M$1500,$A112&amp;"|"&amp;AV$1&amp;"|Output"),"I/O","IN"),IF(COUNTIF(Flows!$M$2:$M$1500,$A112&amp;"|"&amp;AV$1&amp;"|Output"),"OUT",""))</f>
        <v/>
      </c>
      <c r="AW112" s="33" t="str">
        <f aca="false">IF(COUNTIF(Flows!$M$2:$M$1500,$A112&amp;"|"&amp;AW$1&amp;"|Input"),IF(COUNTIF(Flows!$M$2:$M$1500,$A112&amp;"|"&amp;AW$1&amp;"|Output"),"I/O","IN"),IF(COUNTIF(Flows!$M$2:$M$1500,$A112&amp;"|"&amp;AW$1&amp;"|Output"),"OUT",""))</f>
        <v/>
      </c>
      <c r="AX112" s="33" t="str">
        <f aca="false">IF(COUNTIF(Flows!$M$2:$M$1500,$A112&amp;"|"&amp;AX$1&amp;"|Input"),IF(COUNTIF(Flows!$M$2:$M$1500,$A112&amp;"|"&amp;AX$1&amp;"|Output"),"I/O","IN"),IF(COUNTIF(Flows!$M$2:$M$1500,$A112&amp;"|"&amp;AX$1&amp;"|Output"),"OUT",""))</f>
        <v/>
      </c>
      <c r="AY112" s="33" t="str">
        <f aca="false">IF(COUNTIF(Flows!$M$2:$M$1500,$A112&amp;"|"&amp;AY$1&amp;"|Input"),IF(COUNTIF(Flows!$M$2:$M$1500,$A112&amp;"|"&amp;AY$1&amp;"|Output"),"I/O","IN"),IF(COUNTIF(Flows!$M$2:$M$1500,$A112&amp;"|"&amp;AY$1&amp;"|Output"),"OUT",""))</f>
        <v/>
      </c>
      <c r="AZ112" s="33" t="str">
        <f aca="false">IF(COUNTIF(Flows!$M$2:$M$1500,$A112&amp;"|"&amp;AZ$1&amp;"|Input"),IF(COUNTIF(Flows!$M$2:$M$1500,$A112&amp;"|"&amp;AZ$1&amp;"|Output"),"I/O","IN"),IF(COUNTIF(Flows!$M$2:$M$1500,$A112&amp;"|"&amp;AZ$1&amp;"|Output"),"OUT",""))</f>
        <v/>
      </c>
      <c r="BA112" s="33" t="str">
        <f aca="false">IF(COUNTIF(Flows!$M$2:$M$1500,$A112&amp;"|"&amp;BA$1&amp;"|Input"),IF(COUNTIF(Flows!$M$2:$M$1500,$A112&amp;"|"&amp;BA$1&amp;"|Output"),"I/O","IN"),IF(COUNTIF(Flows!$M$2:$M$1500,$A112&amp;"|"&amp;BA$1&amp;"|Output"),"OUT",""))</f>
        <v/>
      </c>
      <c r="BB112" s="33" t="str">
        <f aca="false">IF(COUNTIF(Flows!$M$2:$M$1500,$A112&amp;"|"&amp;BB$1&amp;"|Input"),IF(COUNTIF(Flows!$M$2:$M$1500,$A112&amp;"|"&amp;BB$1&amp;"|Output"),"I/O","IN"),IF(COUNTIF(Flows!$M$2:$M$1500,$A112&amp;"|"&amp;BB$1&amp;"|Output"),"OUT",""))</f>
        <v/>
      </c>
      <c r="BC112" s="33" t="str">
        <f aca="false">IF(COUNTIF(Flows!$M$2:$M$1500,$A112&amp;"|"&amp;BC$1&amp;"|Input"),IF(COUNTIF(Flows!$M$2:$M$1500,$A112&amp;"|"&amp;BC$1&amp;"|Output"),"I/O","IN"),IF(COUNTIF(Flows!$M$2:$M$1500,$A112&amp;"|"&amp;BC$1&amp;"|Output"),"OUT",""))</f>
        <v/>
      </c>
      <c r="BD112" s="33" t="str">
        <f aca="false">IF(COUNTIF(Flows!$M$2:$M$1500,$A112&amp;"|"&amp;BD$1&amp;"|Input"),IF(COUNTIF(Flows!$M$2:$M$1500,$A112&amp;"|"&amp;BD$1&amp;"|Output"),"I/O","IN"),IF(COUNTIF(Flows!$M$2:$M$1500,$A112&amp;"|"&amp;BD$1&amp;"|Output"),"OUT",""))</f>
        <v/>
      </c>
      <c r="BE112" s="33" t="str">
        <f aca="false">IF(COUNTIF(Flows!$M$2:$M$1500,$A112&amp;"|"&amp;BE$1&amp;"|Input"),IF(COUNTIF(Flows!$M$2:$M$1500,$A112&amp;"|"&amp;BE$1&amp;"|Output"),"I/O","IN"),IF(COUNTIF(Flows!$M$2:$M$1500,$A112&amp;"|"&amp;BE$1&amp;"|Output"),"OUT",""))</f>
        <v/>
      </c>
      <c r="BF112" s="33" t="str">
        <f aca="false">IF(COUNTIF(Flows!$M$2:$M$1500,$A112&amp;"|"&amp;BF$1&amp;"|Input"),IF(COUNTIF(Flows!$M$2:$M$1500,$A112&amp;"|"&amp;BF$1&amp;"|Output"),"I/O","IN"),IF(COUNTIF(Flows!$M$2:$M$1500,$A112&amp;"|"&amp;BF$1&amp;"|Output"),"OUT",""))</f>
        <v/>
      </c>
      <c r="BG112" s="33" t="str">
        <f aca="false">IF(COUNTIF(Flows!$M$2:$M$1500,$A112&amp;"|"&amp;BG$1&amp;"|Input"),IF(COUNTIF(Flows!$M$2:$M$1500,$A112&amp;"|"&amp;BG$1&amp;"|Output"),"I/O","IN"),IF(COUNTIF(Flows!$M$2:$M$1500,$A112&amp;"|"&amp;BG$1&amp;"|Output"),"OUT",""))</f>
        <v/>
      </c>
      <c r="BH112" s="33" t="str">
        <f aca="false">IF(COUNTIF(Flows!$M$2:$M$1500,$A112&amp;"|"&amp;BH$1&amp;"|Input"),IF(COUNTIF(Flows!$M$2:$M$1500,$A112&amp;"|"&amp;BH$1&amp;"|Output"),"I/O","IN"),IF(COUNTIF(Flows!$M$2:$M$1500,$A112&amp;"|"&amp;BH$1&amp;"|Output"),"OUT",""))</f>
        <v/>
      </c>
      <c r="BI112" s="33" t="str">
        <f aca="false">IF(COUNTIF(Flows!$M$2:$M$1500,$A112&amp;"|"&amp;BI$1&amp;"|Input"),IF(COUNTIF(Flows!$M$2:$M$1500,$A112&amp;"|"&amp;BI$1&amp;"|Output"),"I/O","IN"),IF(COUNTIF(Flows!$M$2:$M$1500,$A112&amp;"|"&amp;BI$1&amp;"|Output"),"OUT",""))</f>
        <v/>
      </c>
      <c r="BJ112" s="33" t="str">
        <f aca="false">IF(COUNTIF(Flows!$M$2:$M$1500,$A112&amp;"|"&amp;BJ$1&amp;"|Input"),IF(COUNTIF(Flows!$M$2:$M$1500,$A112&amp;"|"&amp;BJ$1&amp;"|Output"),"I/O","IN"),IF(COUNTIF(Flows!$M$2:$M$1500,$A112&amp;"|"&amp;BJ$1&amp;"|Output"),"OUT",""))</f>
        <v/>
      </c>
      <c r="BK112" s="33" t="str">
        <f aca="false">IF(COUNTIF(Flows!$M$2:$M$1500,$A112&amp;"|"&amp;BK$1&amp;"|Input"),IF(COUNTIF(Flows!$M$2:$M$1500,$A112&amp;"|"&amp;BK$1&amp;"|Output"),"I/O","IN"),IF(COUNTIF(Flows!$M$2:$M$1500,$A112&amp;"|"&amp;BK$1&amp;"|Output"),"OUT",""))</f>
        <v/>
      </c>
    </row>
    <row r="113" customFormat="false" ht="15" hidden="false" customHeight="true" outlineLevel="0" collapsed="false">
      <c r="A113" s="6" t="str">
        <f aca="false">Systems!B113</f>
        <v>Constructed Wetland</v>
      </c>
      <c r="B113" s="33" t="str">
        <f aca="false">IF(COUNTIF(Flows!$M$2:$M$1500,$A113&amp;"|"&amp;B$1&amp;"|Input"),IF(COUNTIF(Flows!$M$2:$M$1500,$A113&amp;"|"&amp;B$1&amp;"|Output"),"I/O","IN"),IF(COUNTIF(Flows!$M$2:$M$1500,$A113&amp;"|"&amp;B$1&amp;"|Output"),"OUT",""))</f>
        <v>OUT</v>
      </c>
      <c r="C113" s="33" t="str">
        <f aca="false">IF(COUNTIF(Flows!$M$2:$M$1500,$A113&amp;"|"&amp;C$1&amp;"|Input"),IF(COUNTIF(Flows!$M$2:$M$1500,$A113&amp;"|"&amp;C$1&amp;"|Output"),"I/O","IN"),IF(COUNTIF(Flows!$M$2:$M$1500,$A113&amp;"|"&amp;C$1&amp;"|Output"),"OUT",""))</f>
        <v/>
      </c>
      <c r="D113" s="33" t="str">
        <f aca="false">IF(COUNTIF(Flows!$M$2:$M$1500,$A113&amp;"|"&amp;D$1&amp;"|Input"),IF(COUNTIF(Flows!$M$2:$M$1500,$A113&amp;"|"&amp;D$1&amp;"|Output"),"I/O","IN"),IF(COUNTIF(Flows!$M$2:$M$1500,$A113&amp;"|"&amp;D$1&amp;"|Output"),"OUT",""))</f>
        <v/>
      </c>
      <c r="E113" s="33" t="str">
        <f aca="false">IF(COUNTIF(Flows!$M$2:$M$1500,$A113&amp;"|"&amp;E$1&amp;"|Input"),IF(COUNTIF(Flows!$M$2:$M$1500,$A113&amp;"|"&amp;E$1&amp;"|Output"),"I/O","IN"),IF(COUNTIF(Flows!$M$2:$M$1500,$A113&amp;"|"&amp;E$1&amp;"|Output"),"OUT",""))</f>
        <v>IN</v>
      </c>
      <c r="F113" s="33" t="str">
        <f aca="false">IF(COUNTIF(Flows!$M$2:$M$1500,$A113&amp;"|"&amp;F$1&amp;"|Input"),IF(COUNTIF(Flows!$M$2:$M$1500,$A113&amp;"|"&amp;F$1&amp;"|Output"),"I/O","IN"),IF(COUNTIF(Flows!$M$2:$M$1500,$A113&amp;"|"&amp;F$1&amp;"|Output"),"OUT",""))</f>
        <v/>
      </c>
      <c r="G113" s="33" t="str">
        <f aca="false">IF(COUNTIF(Flows!$M$2:$M$1500,$A113&amp;"|"&amp;G$1&amp;"|Input"),IF(COUNTIF(Flows!$M$2:$M$1500,$A113&amp;"|"&amp;G$1&amp;"|Output"),"I/O","IN"),IF(COUNTIF(Flows!$M$2:$M$1500,$A113&amp;"|"&amp;G$1&amp;"|Output"),"OUT",""))</f>
        <v/>
      </c>
      <c r="H113" s="33" t="str">
        <f aca="false">IF(COUNTIF(Flows!$M$2:$M$1500,$A113&amp;"|"&amp;H$1&amp;"|Input"),IF(COUNTIF(Flows!$M$2:$M$1500,$A113&amp;"|"&amp;H$1&amp;"|Output"),"I/O","IN"),IF(COUNTIF(Flows!$M$2:$M$1500,$A113&amp;"|"&amp;H$1&amp;"|Output"),"OUT",""))</f>
        <v/>
      </c>
      <c r="I113" s="33" t="str">
        <f aca="false">IF(COUNTIF(Flows!$M$2:$M$1500,$A113&amp;"|"&amp;I$1&amp;"|Input"),IF(COUNTIF(Flows!$M$2:$M$1500,$A113&amp;"|"&amp;I$1&amp;"|Output"),"I/O","IN"),IF(COUNTIF(Flows!$M$2:$M$1500,$A113&amp;"|"&amp;I$1&amp;"|Output"),"OUT",""))</f>
        <v/>
      </c>
      <c r="J113" s="33" t="str">
        <f aca="false">IF(COUNTIF(Flows!$M$2:$M$1500,$A113&amp;"|"&amp;J$1&amp;"|Input"),IF(COUNTIF(Flows!$M$2:$M$1500,$A113&amp;"|"&amp;J$1&amp;"|Output"),"I/O","IN"),IF(COUNTIF(Flows!$M$2:$M$1500,$A113&amp;"|"&amp;J$1&amp;"|Output"),"OUT",""))</f>
        <v/>
      </c>
      <c r="K113" s="33" t="str">
        <f aca="false">IF(COUNTIF(Flows!$M$2:$M$1500,$A113&amp;"|"&amp;K$1&amp;"|Input"),IF(COUNTIF(Flows!$M$2:$M$1500,$A113&amp;"|"&amp;K$1&amp;"|Output"),"I/O","IN"),IF(COUNTIF(Flows!$M$2:$M$1500,$A113&amp;"|"&amp;K$1&amp;"|Output"),"OUT",""))</f>
        <v/>
      </c>
      <c r="L113" s="33" t="str">
        <f aca="false">IF(COUNTIF(Flows!$M$2:$M$1500,$A113&amp;"|"&amp;L$1&amp;"|Input"),IF(COUNTIF(Flows!$M$2:$M$1500,$A113&amp;"|"&amp;L$1&amp;"|Output"),"I/O","IN"),IF(COUNTIF(Flows!$M$2:$M$1500,$A113&amp;"|"&amp;L$1&amp;"|Output"),"OUT",""))</f>
        <v/>
      </c>
      <c r="M113" s="33" t="str">
        <f aca="false">IF(COUNTIF(Flows!$M$2:$M$1500,$A113&amp;"|"&amp;M$1&amp;"|Input"),IF(COUNTIF(Flows!$M$2:$M$1500,$A113&amp;"|"&amp;M$1&amp;"|Output"),"I/O","IN"),IF(COUNTIF(Flows!$M$2:$M$1500,$A113&amp;"|"&amp;M$1&amp;"|Output"),"OUT",""))</f>
        <v/>
      </c>
      <c r="N113" s="33" t="str">
        <f aca="false">IF(COUNTIF(Flows!$M$2:$M$1500,$A113&amp;"|"&amp;N$1&amp;"|Input"),IF(COUNTIF(Flows!$M$2:$M$1500,$A113&amp;"|"&amp;N$1&amp;"|Output"),"I/O","IN"),IF(COUNTIF(Flows!$M$2:$M$1500,$A113&amp;"|"&amp;N$1&amp;"|Output"),"OUT",""))</f>
        <v/>
      </c>
      <c r="O113" s="33" t="str">
        <f aca="false">IF(COUNTIF(Flows!$M$2:$M$1500,$A113&amp;"|"&amp;O$1&amp;"|Input"),IF(COUNTIF(Flows!$M$2:$M$1500,$A113&amp;"|"&amp;O$1&amp;"|Output"),"I/O","IN"),IF(COUNTIF(Flows!$M$2:$M$1500,$A113&amp;"|"&amp;O$1&amp;"|Output"),"OUT",""))</f>
        <v/>
      </c>
      <c r="P113" s="33" t="str">
        <f aca="false">IF(COUNTIF(Flows!$M$2:$M$1500,$A113&amp;"|"&amp;P$1&amp;"|Input"),IF(COUNTIF(Flows!$M$2:$M$1500,$A113&amp;"|"&amp;P$1&amp;"|Output"),"I/O","IN"),IF(COUNTIF(Flows!$M$2:$M$1500,$A113&amp;"|"&amp;P$1&amp;"|Output"),"OUT",""))</f>
        <v/>
      </c>
      <c r="Q113" s="33" t="str">
        <f aca="false">IF(COUNTIF(Flows!$M$2:$M$1500,$A113&amp;"|"&amp;Q$1&amp;"|Input"),IF(COUNTIF(Flows!$M$2:$M$1500,$A113&amp;"|"&amp;Q$1&amp;"|Output"),"I/O","IN"),IF(COUNTIF(Flows!$M$2:$M$1500,$A113&amp;"|"&amp;Q$1&amp;"|Output"),"OUT",""))</f>
        <v/>
      </c>
      <c r="R113" s="33" t="str">
        <f aca="false">IF(COUNTIF(Flows!$M$2:$M$1500,$A113&amp;"|"&amp;R$1&amp;"|Input"),IF(COUNTIF(Flows!$M$2:$M$1500,$A113&amp;"|"&amp;R$1&amp;"|Output"),"I/O","IN"),IF(COUNTIF(Flows!$M$2:$M$1500,$A113&amp;"|"&amp;R$1&amp;"|Output"),"OUT",""))</f>
        <v/>
      </c>
      <c r="S113" s="33" t="str">
        <f aca="false">IF(COUNTIF(Flows!$M$2:$M$1500,$A113&amp;"|"&amp;S$1&amp;"|Input"),IF(COUNTIF(Flows!$M$2:$M$1500,$A113&amp;"|"&amp;S$1&amp;"|Output"),"I/O","IN"),IF(COUNTIF(Flows!$M$2:$M$1500,$A113&amp;"|"&amp;S$1&amp;"|Output"),"OUT",""))</f>
        <v/>
      </c>
      <c r="T113" s="33" t="str">
        <f aca="false">IF(COUNTIF(Flows!$M$2:$M$1500,$A113&amp;"|"&amp;T$1&amp;"|Input"),IF(COUNTIF(Flows!$M$2:$M$1500,$A113&amp;"|"&amp;T$1&amp;"|Output"),"I/O","IN"),IF(COUNTIF(Flows!$M$2:$M$1500,$A113&amp;"|"&amp;T$1&amp;"|Output"),"OUT",""))</f>
        <v/>
      </c>
      <c r="U113" s="33" t="str">
        <f aca="false">IF(COUNTIF(Flows!$M$2:$M$1500,$A113&amp;"|"&amp;U$1&amp;"|Input"),IF(COUNTIF(Flows!$M$2:$M$1500,$A113&amp;"|"&amp;U$1&amp;"|Output"),"I/O","IN"),IF(COUNTIF(Flows!$M$2:$M$1500,$A113&amp;"|"&amp;U$1&amp;"|Output"),"OUT",""))</f>
        <v/>
      </c>
      <c r="V113" s="33" t="str">
        <f aca="false">IF(COUNTIF(Flows!$M$2:$M$1500,$A113&amp;"|"&amp;V$1&amp;"|Input"),IF(COUNTIF(Flows!$M$2:$M$1500,$A113&amp;"|"&amp;V$1&amp;"|Output"),"I/O","IN"),IF(COUNTIF(Flows!$M$2:$M$1500,$A113&amp;"|"&amp;V$1&amp;"|Output"),"OUT",""))</f>
        <v/>
      </c>
      <c r="W113" s="33" t="str">
        <f aca="false">IF(COUNTIF(Flows!$M$2:$M$1500,$A113&amp;"|"&amp;W$1&amp;"|Input"),IF(COUNTIF(Flows!$M$2:$M$1500,$A113&amp;"|"&amp;W$1&amp;"|Output"),"I/O","IN"),IF(COUNTIF(Flows!$M$2:$M$1500,$A113&amp;"|"&amp;W$1&amp;"|Output"),"OUT",""))</f>
        <v/>
      </c>
      <c r="X113" s="33" t="str">
        <f aca="false">IF(COUNTIF(Flows!$M$2:$M$1500,$A113&amp;"|"&amp;X$1&amp;"|Input"),IF(COUNTIF(Flows!$M$2:$M$1500,$A113&amp;"|"&amp;X$1&amp;"|Output"),"I/O","IN"),IF(COUNTIF(Flows!$M$2:$M$1500,$A113&amp;"|"&amp;X$1&amp;"|Output"),"OUT",""))</f>
        <v>IN</v>
      </c>
      <c r="Y113" s="33" t="str">
        <f aca="false">IF(COUNTIF(Flows!$M$2:$M$1500,$A113&amp;"|"&amp;Y$1&amp;"|Input"),IF(COUNTIF(Flows!$M$2:$M$1500,$A113&amp;"|"&amp;Y$1&amp;"|Output"),"I/O","IN"),IF(COUNTIF(Flows!$M$2:$M$1500,$A113&amp;"|"&amp;Y$1&amp;"|Output"),"OUT",""))</f>
        <v/>
      </c>
      <c r="Z113" s="33" t="str">
        <f aca="false">IF(COUNTIF(Flows!$M$2:$M$1500,$A113&amp;"|"&amp;Z$1&amp;"|Input"),IF(COUNTIF(Flows!$M$2:$M$1500,$A113&amp;"|"&amp;Z$1&amp;"|Output"),"I/O","IN"),IF(COUNTIF(Flows!$M$2:$M$1500,$A113&amp;"|"&amp;Z$1&amp;"|Output"),"OUT",""))</f>
        <v/>
      </c>
      <c r="AA113" s="33" t="str">
        <f aca="false">IF(COUNTIF(Flows!$M$2:$M$1500,$A113&amp;"|"&amp;AA$1&amp;"|Input"),IF(COUNTIF(Flows!$M$2:$M$1500,$A113&amp;"|"&amp;AA$1&amp;"|Output"),"I/O","IN"),IF(COUNTIF(Flows!$M$2:$M$1500,$A113&amp;"|"&amp;AA$1&amp;"|Output"),"OUT",""))</f>
        <v/>
      </c>
      <c r="AB113" s="33" t="str">
        <f aca="false">IF(COUNTIF(Flows!$M$2:$M$1500,$A113&amp;"|"&amp;AB$1&amp;"|Input"),IF(COUNTIF(Flows!$M$2:$M$1500,$A113&amp;"|"&amp;AB$1&amp;"|Output"),"I/O","IN"),IF(COUNTIF(Flows!$M$2:$M$1500,$A113&amp;"|"&amp;AB$1&amp;"|Output"),"OUT",""))</f>
        <v/>
      </c>
      <c r="AC113" s="33" t="str">
        <f aca="false">IF(COUNTIF(Flows!$M$2:$M$1500,$A113&amp;"|"&amp;AC$1&amp;"|Input"),IF(COUNTIF(Flows!$M$2:$M$1500,$A113&amp;"|"&amp;AC$1&amp;"|Output"),"I/O","IN"),IF(COUNTIF(Flows!$M$2:$M$1500,$A113&amp;"|"&amp;AC$1&amp;"|Output"),"OUT",""))</f>
        <v/>
      </c>
      <c r="AD113" s="33" t="str">
        <f aca="false">IF(COUNTIF(Flows!$M$2:$M$1500,$A113&amp;"|"&amp;AD$1&amp;"|Input"),IF(COUNTIF(Flows!$M$2:$M$1500,$A113&amp;"|"&amp;AD$1&amp;"|Output"),"I/O","IN"),IF(COUNTIF(Flows!$M$2:$M$1500,$A113&amp;"|"&amp;AD$1&amp;"|Output"),"OUT",""))</f>
        <v/>
      </c>
      <c r="AE113" s="33" t="str">
        <f aca="false">IF(COUNTIF(Flows!$M$2:$M$1500,$A113&amp;"|"&amp;AE$1&amp;"|Input"),IF(COUNTIF(Flows!$M$2:$M$1500,$A113&amp;"|"&amp;AE$1&amp;"|Output"),"I/O","IN"),IF(COUNTIF(Flows!$M$2:$M$1500,$A113&amp;"|"&amp;AE$1&amp;"|Output"),"OUT",""))</f>
        <v/>
      </c>
      <c r="AF113" s="33" t="str">
        <f aca="false">IF(COUNTIF(Flows!$M$2:$M$1500,$A113&amp;"|"&amp;AF$1&amp;"|Input"),IF(COUNTIF(Flows!$M$2:$M$1500,$A113&amp;"|"&amp;AF$1&amp;"|Output"),"I/O","IN"),IF(COUNTIF(Flows!$M$2:$M$1500,$A113&amp;"|"&amp;AF$1&amp;"|Output"),"OUT",""))</f>
        <v/>
      </c>
      <c r="AG113" s="33" t="str">
        <f aca="false">IF(COUNTIF(Flows!$M$2:$M$1500,$A113&amp;"|"&amp;AG$1&amp;"|Input"),IF(COUNTIF(Flows!$M$2:$M$1500,$A113&amp;"|"&amp;AG$1&amp;"|Output"),"I/O","IN"),IF(COUNTIF(Flows!$M$2:$M$1500,$A113&amp;"|"&amp;AG$1&amp;"|Output"),"OUT",""))</f>
        <v/>
      </c>
      <c r="AH113" s="33" t="str">
        <f aca="false">IF(COUNTIF(Flows!$M$2:$M$1500,$A113&amp;"|"&amp;AH$1&amp;"|Input"),IF(COUNTIF(Flows!$M$2:$M$1500,$A113&amp;"|"&amp;AH$1&amp;"|Output"),"I/O","IN"),IF(COUNTIF(Flows!$M$2:$M$1500,$A113&amp;"|"&amp;AH$1&amp;"|Output"),"OUT",""))</f>
        <v/>
      </c>
      <c r="AI113" s="33" t="str">
        <f aca="false">IF(COUNTIF(Flows!$M$2:$M$1500,$A113&amp;"|"&amp;AI$1&amp;"|Input"),IF(COUNTIF(Flows!$M$2:$M$1500,$A113&amp;"|"&amp;AI$1&amp;"|Output"),"I/O","IN"),IF(COUNTIF(Flows!$M$2:$M$1500,$A113&amp;"|"&amp;AI$1&amp;"|Output"),"OUT",""))</f>
        <v/>
      </c>
      <c r="AJ113" s="33" t="str">
        <f aca="false">IF(COUNTIF(Flows!$M$2:$M$1500,$A113&amp;"|"&amp;AJ$1&amp;"|Input"),IF(COUNTIF(Flows!$M$2:$M$1500,$A113&amp;"|"&amp;AJ$1&amp;"|Output"),"I/O","IN"),IF(COUNTIF(Flows!$M$2:$M$1500,$A113&amp;"|"&amp;AJ$1&amp;"|Output"),"OUT",""))</f>
        <v/>
      </c>
      <c r="AK113" s="33" t="str">
        <f aca="false">IF(COUNTIF(Flows!$M$2:$M$1500,$A113&amp;"|"&amp;AK$1&amp;"|Input"),IF(COUNTIF(Flows!$M$2:$M$1500,$A113&amp;"|"&amp;AK$1&amp;"|Output"),"I/O","IN"),IF(COUNTIF(Flows!$M$2:$M$1500,$A113&amp;"|"&amp;AK$1&amp;"|Output"),"OUT",""))</f>
        <v/>
      </c>
      <c r="AL113" s="33" t="str">
        <f aca="false">IF(COUNTIF(Flows!$M$2:$M$1500,$A113&amp;"|"&amp;AL$1&amp;"|Input"),IF(COUNTIF(Flows!$M$2:$M$1500,$A113&amp;"|"&amp;AL$1&amp;"|Output"),"I/O","IN"),IF(COUNTIF(Flows!$M$2:$M$1500,$A113&amp;"|"&amp;AL$1&amp;"|Output"),"OUT",""))</f>
        <v/>
      </c>
      <c r="AM113" s="33" t="str">
        <f aca="false">IF(COUNTIF(Flows!$M$2:$M$1500,$A113&amp;"|"&amp;AM$1&amp;"|Input"),IF(COUNTIF(Flows!$M$2:$M$1500,$A113&amp;"|"&amp;AM$1&amp;"|Output"),"I/O","IN"),IF(COUNTIF(Flows!$M$2:$M$1500,$A113&amp;"|"&amp;AM$1&amp;"|Output"),"OUT",""))</f>
        <v/>
      </c>
      <c r="AN113" s="33" t="str">
        <f aca="false">IF(COUNTIF(Flows!$M$2:$M$1500,$A113&amp;"|"&amp;AN$1&amp;"|Input"),IF(COUNTIF(Flows!$M$2:$M$1500,$A113&amp;"|"&amp;AN$1&amp;"|Output"),"I/O","IN"),IF(COUNTIF(Flows!$M$2:$M$1500,$A113&amp;"|"&amp;AN$1&amp;"|Output"),"OUT",""))</f>
        <v/>
      </c>
      <c r="AO113" s="33" t="str">
        <f aca="false">IF(COUNTIF(Flows!$M$2:$M$1500,$A113&amp;"|"&amp;AO$1&amp;"|Input"),IF(COUNTIF(Flows!$M$2:$M$1500,$A113&amp;"|"&amp;AO$1&amp;"|Output"),"I/O","IN"),IF(COUNTIF(Flows!$M$2:$M$1500,$A113&amp;"|"&amp;AO$1&amp;"|Output"),"OUT",""))</f>
        <v/>
      </c>
      <c r="AP113" s="33" t="str">
        <f aca="false">IF(COUNTIF(Flows!$M$2:$M$1500,$A113&amp;"|"&amp;AP$1&amp;"|Input"),IF(COUNTIF(Flows!$M$2:$M$1500,$A113&amp;"|"&amp;AP$1&amp;"|Output"),"I/O","IN"),IF(COUNTIF(Flows!$M$2:$M$1500,$A113&amp;"|"&amp;AP$1&amp;"|Output"),"OUT",""))</f>
        <v/>
      </c>
      <c r="AQ113" s="33" t="str">
        <f aca="false">IF(COUNTIF(Flows!$M$2:$M$1500,$A113&amp;"|"&amp;AQ$1&amp;"|Input"),IF(COUNTIF(Flows!$M$2:$M$1500,$A113&amp;"|"&amp;AQ$1&amp;"|Output"),"I/O","IN"),IF(COUNTIF(Flows!$M$2:$M$1500,$A113&amp;"|"&amp;AQ$1&amp;"|Output"),"OUT",""))</f>
        <v/>
      </c>
      <c r="AR113" s="33" t="str">
        <f aca="false">IF(COUNTIF(Flows!$M$2:$M$1500,$A113&amp;"|"&amp;AR$1&amp;"|Input"),IF(COUNTIF(Flows!$M$2:$M$1500,$A113&amp;"|"&amp;AR$1&amp;"|Output"),"I/O","IN"),IF(COUNTIF(Flows!$M$2:$M$1500,$A113&amp;"|"&amp;AR$1&amp;"|Output"),"OUT",""))</f>
        <v/>
      </c>
      <c r="AS113" s="33" t="str">
        <f aca="false">IF(COUNTIF(Flows!$M$2:$M$1500,$A113&amp;"|"&amp;AS$1&amp;"|Input"),IF(COUNTIF(Flows!$M$2:$M$1500,$A113&amp;"|"&amp;AS$1&amp;"|Output"),"I/O","IN"),IF(COUNTIF(Flows!$M$2:$M$1500,$A113&amp;"|"&amp;AS$1&amp;"|Output"),"OUT",""))</f>
        <v/>
      </c>
      <c r="AT113" s="33" t="str">
        <f aca="false">IF(COUNTIF(Flows!$M$2:$M$1500,$A113&amp;"|"&amp;AT$1&amp;"|Input"),IF(COUNTIF(Flows!$M$2:$M$1500,$A113&amp;"|"&amp;AT$1&amp;"|Output"),"I/O","IN"),IF(COUNTIF(Flows!$M$2:$M$1500,$A113&amp;"|"&amp;AT$1&amp;"|Output"),"OUT",""))</f>
        <v/>
      </c>
      <c r="AU113" s="33" t="str">
        <f aca="false">IF(COUNTIF(Flows!$M$2:$M$1500,$A113&amp;"|"&amp;AU$1&amp;"|Input"),IF(COUNTIF(Flows!$M$2:$M$1500,$A113&amp;"|"&amp;AU$1&amp;"|Output"),"I/O","IN"),IF(COUNTIF(Flows!$M$2:$M$1500,$A113&amp;"|"&amp;AU$1&amp;"|Output"),"OUT",""))</f>
        <v/>
      </c>
      <c r="AV113" s="33" t="str">
        <f aca="false">IF(COUNTIF(Flows!$M$2:$M$1500,$A113&amp;"|"&amp;AV$1&amp;"|Input"),IF(COUNTIF(Flows!$M$2:$M$1500,$A113&amp;"|"&amp;AV$1&amp;"|Output"),"I/O","IN"),IF(COUNTIF(Flows!$M$2:$M$1500,$A113&amp;"|"&amp;AV$1&amp;"|Output"),"OUT",""))</f>
        <v/>
      </c>
      <c r="AW113" s="33" t="str">
        <f aca="false">IF(COUNTIF(Flows!$M$2:$M$1500,$A113&amp;"|"&amp;AW$1&amp;"|Input"),IF(COUNTIF(Flows!$M$2:$M$1500,$A113&amp;"|"&amp;AW$1&amp;"|Output"),"I/O","IN"),IF(COUNTIF(Flows!$M$2:$M$1500,$A113&amp;"|"&amp;AW$1&amp;"|Output"),"OUT",""))</f>
        <v/>
      </c>
      <c r="AX113" s="33" t="str">
        <f aca="false">IF(COUNTIF(Flows!$M$2:$M$1500,$A113&amp;"|"&amp;AX$1&amp;"|Input"),IF(COUNTIF(Flows!$M$2:$M$1500,$A113&amp;"|"&amp;AX$1&amp;"|Output"),"I/O","IN"),IF(COUNTIF(Flows!$M$2:$M$1500,$A113&amp;"|"&amp;AX$1&amp;"|Output"),"OUT",""))</f>
        <v/>
      </c>
      <c r="AY113" s="33" t="str">
        <f aca="false">IF(COUNTIF(Flows!$M$2:$M$1500,$A113&amp;"|"&amp;AY$1&amp;"|Input"),IF(COUNTIF(Flows!$M$2:$M$1500,$A113&amp;"|"&amp;AY$1&amp;"|Output"),"I/O","IN"),IF(COUNTIF(Flows!$M$2:$M$1500,$A113&amp;"|"&amp;AY$1&amp;"|Output"),"OUT",""))</f>
        <v/>
      </c>
      <c r="AZ113" s="33" t="str">
        <f aca="false">IF(COUNTIF(Flows!$M$2:$M$1500,$A113&amp;"|"&amp;AZ$1&amp;"|Input"),IF(COUNTIF(Flows!$M$2:$M$1500,$A113&amp;"|"&amp;AZ$1&amp;"|Output"),"I/O","IN"),IF(COUNTIF(Flows!$M$2:$M$1500,$A113&amp;"|"&amp;AZ$1&amp;"|Output"),"OUT",""))</f>
        <v/>
      </c>
      <c r="BA113" s="33" t="str">
        <f aca="false">IF(COUNTIF(Flows!$M$2:$M$1500,$A113&amp;"|"&amp;BA$1&amp;"|Input"),IF(COUNTIF(Flows!$M$2:$M$1500,$A113&amp;"|"&amp;BA$1&amp;"|Output"),"I/O","IN"),IF(COUNTIF(Flows!$M$2:$M$1500,$A113&amp;"|"&amp;BA$1&amp;"|Output"),"OUT",""))</f>
        <v/>
      </c>
      <c r="BB113" s="33" t="str">
        <f aca="false">IF(COUNTIF(Flows!$M$2:$M$1500,$A113&amp;"|"&amp;BB$1&amp;"|Input"),IF(COUNTIF(Flows!$M$2:$M$1500,$A113&amp;"|"&amp;BB$1&amp;"|Output"),"I/O","IN"),IF(COUNTIF(Flows!$M$2:$M$1500,$A113&amp;"|"&amp;BB$1&amp;"|Output"),"OUT",""))</f>
        <v/>
      </c>
      <c r="BC113" s="33" t="str">
        <f aca="false">IF(COUNTIF(Flows!$M$2:$M$1500,$A113&amp;"|"&amp;BC$1&amp;"|Input"),IF(COUNTIF(Flows!$M$2:$M$1500,$A113&amp;"|"&amp;BC$1&amp;"|Output"),"I/O","IN"),IF(COUNTIF(Flows!$M$2:$M$1500,$A113&amp;"|"&amp;BC$1&amp;"|Output"),"OUT",""))</f>
        <v/>
      </c>
      <c r="BD113" s="33" t="str">
        <f aca="false">IF(COUNTIF(Flows!$M$2:$M$1500,$A113&amp;"|"&amp;BD$1&amp;"|Input"),IF(COUNTIF(Flows!$M$2:$M$1500,$A113&amp;"|"&amp;BD$1&amp;"|Output"),"I/O","IN"),IF(COUNTIF(Flows!$M$2:$M$1500,$A113&amp;"|"&amp;BD$1&amp;"|Output"),"OUT",""))</f>
        <v/>
      </c>
      <c r="BE113" s="33" t="str">
        <f aca="false">IF(COUNTIF(Flows!$M$2:$M$1500,$A113&amp;"|"&amp;BE$1&amp;"|Input"),IF(COUNTIF(Flows!$M$2:$M$1500,$A113&amp;"|"&amp;BE$1&amp;"|Output"),"I/O","IN"),IF(COUNTIF(Flows!$M$2:$M$1500,$A113&amp;"|"&amp;BE$1&amp;"|Output"),"OUT",""))</f>
        <v/>
      </c>
      <c r="BF113" s="33" t="str">
        <f aca="false">IF(COUNTIF(Flows!$M$2:$M$1500,$A113&amp;"|"&amp;BF$1&amp;"|Input"),IF(COUNTIF(Flows!$M$2:$M$1500,$A113&amp;"|"&amp;BF$1&amp;"|Output"),"I/O","IN"),IF(COUNTIF(Flows!$M$2:$M$1500,$A113&amp;"|"&amp;BF$1&amp;"|Output"),"OUT",""))</f>
        <v/>
      </c>
      <c r="BG113" s="33" t="str">
        <f aca="false">IF(COUNTIF(Flows!$M$2:$M$1500,$A113&amp;"|"&amp;BG$1&amp;"|Input"),IF(COUNTIF(Flows!$M$2:$M$1500,$A113&amp;"|"&amp;BG$1&amp;"|Output"),"I/O","IN"),IF(COUNTIF(Flows!$M$2:$M$1500,$A113&amp;"|"&amp;BG$1&amp;"|Output"),"OUT",""))</f>
        <v/>
      </c>
      <c r="BH113" s="33" t="str">
        <f aca="false">IF(COUNTIF(Flows!$M$2:$M$1500,$A113&amp;"|"&amp;BH$1&amp;"|Input"),IF(COUNTIF(Flows!$M$2:$M$1500,$A113&amp;"|"&amp;BH$1&amp;"|Output"),"I/O","IN"),IF(COUNTIF(Flows!$M$2:$M$1500,$A113&amp;"|"&amp;BH$1&amp;"|Output"),"OUT",""))</f>
        <v/>
      </c>
      <c r="BI113" s="33" t="str">
        <f aca="false">IF(COUNTIF(Flows!$M$2:$M$1500,$A113&amp;"|"&amp;BI$1&amp;"|Input"),IF(COUNTIF(Flows!$M$2:$M$1500,$A113&amp;"|"&amp;BI$1&amp;"|Output"),"I/O","IN"),IF(COUNTIF(Flows!$M$2:$M$1500,$A113&amp;"|"&amp;BI$1&amp;"|Output"),"OUT",""))</f>
        <v>OUT</v>
      </c>
      <c r="BJ113" s="33" t="str">
        <f aca="false">IF(COUNTIF(Flows!$M$2:$M$1500,$A113&amp;"|"&amp;BJ$1&amp;"|Input"),IF(COUNTIF(Flows!$M$2:$M$1500,$A113&amp;"|"&amp;BJ$1&amp;"|Output"),"I/O","IN"),IF(COUNTIF(Flows!$M$2:$M$1500,$A113&amp;"|"&amp;BJ$1&amp;"|Output"),"OUT",""))</f>
        <v/>
      </c>
      <c r="BK113" s="33" t="str">
        <f aca="false">IF(COUNTIF(Flows!$M$2:$M$1500,$A113&amp;"|"&amp;BK$1&amp;"|Input"),IF(COUNTIF(Flows!$M$2:$M$1500,$A113&amp;"|"&amp;BK$1&amp;"|Output"),"I/O","IN"),IF(COUNTIF(Flows!$M$2:$M$1500,$A113&amp;"|"&amp;BK$1&amp;"|Output"),"OUT",""))</f>
        <v>OUT</v>
      </c>
    </row>
    <row r="114" customFormat="false" ht="15" hidden="false" customHeight="true" outlineLevel="0" collapsed="false">
      <c r="A114" s="6" t="str">
        <f aca="false">Systems!B114</f>
        <v>Septic Tank &amp; Drain Field</v>
      </c>
      <c r="B114" s="33" t="str">
        <f aca="false">IF(COUNTIF(Flows!$M$2:$M$1500,$A114&amp;"|"&amp;B$1&amp;"|Input"),IF(COUNTIF(Flows!$M$2:$M$1500,$A114&amp;"|"&amp;B$1&amp;"|Output"),"I/O","IN"),IF(COUNTIF(Flows!$M$2:$M$1500,$A114&amp;"|"&amp;B$1&amp;"|Output"),"OUT",""))</f>
        <v/>
      </c>
      <c r="C114" s="33" t="str">
        <f aca="false">IF(COUNTIF(Flows!$M$2:$M$1500,$A114&amp;"|"&amp;C$1&amp;"|Input"),IF(COUNTIF(Flows!$M$2:$M$1500,$A114&amp;"|"&amp;C$1&amp;"|Output"),"I/O","IN"),IF(COUNTIF(Flows!$M$2:$M$1500,$A114&amp;"|"&amp;C$1&amp;"|Output"),"OUT",""))</f>
        <v/>
      </c>
      <c r="D114" s="33" t="str">
        <f aca="false">IF(COUNTIF(Flows!$M$2:$M$1500,$A114&amp;"|"&amp;D$1&amp;"|Input"),IF(COUNTIF(Flows!$M$2:$M$1500,$A114&amp;"|"&amp;D$1&amp;"|Output"),"I/O","IN"),IF(COUNTIF(Flows!$M$2:$M$1500,$A114&amp;"|"&amp;D$1&amp;"|Output"),"OUT",""))</f>
        <v/>
      </c>
      <c r="E114" s="33" t="str">
        <f aca="false">IF(COUNTIF(Flows!$M$2:$M$1500,$A114&amp;"|"&amp;E$1&amp;"|Input"),IF(COUNTIF(Flows!$M$2:$M$1500,$A114&amp;"|"&amp;E$1&amp;"|Output"),"I/O","IN"),IF(COUNTIF(Flows!$M$2:$M$1500,$A114&amp;"|"&amp;E$1&amp;"|Output"),"OUT",""))</f>
        <v>IN</v>
      </c>
      <c r="F114" s="33" t="str">
        <f aca="false">IF(COUNTIF(Flows!$M$2:$M$1500,$A114&amp;"|"&amp;F$1&amp;"|Input"),IF(COUNTIF(Flows!$M$2:$M$1500,$A114&amp;"|"&amp;F$1&amp;"|Output"),"I/O","IN"),IF(COUNTIF(Flows!$M$2:$M$1500,$A114&amp;"|"&amp;F$1&amp;"|Output"),"OUT",""))</f>
        <v/>
      </c>
      <c r="G114" s="33" t="str">
        <f aca="false">IF(COUNTIF(Flows!$M$2:$M$1500,$A114&amp;"|"&amp;G$1&amp;"|Input"),IF(COUNTIF(Flows!$M$2:$M$1500,$A114&amp;"|"&amp;G$1&amp;"|Output"),"I/O","IN"),IF(COUNTIF(Flows!$M$2:$M$1500,$A114&amp;"|"&amp;G$1&amp;"|Output"),"OUT",""))</f>
        <v/>
      </c>
      <c r="H114" s="33" t="str">
        <f aca="false">IF(COUNTIF(Flows!$M$2:$M$1500,$A114&amp;"|"&amp;H$1&amp;"|Input"),IF(COUNTIF(Flows!$M$2:$M$1500,$A114&amp;"|"&amp;H$1&amp;"|Output"),"I/O","IN"),IF(COUNTIF(Flows!$M$2:$M$1500,$A114&amp;"|"&amp;H$1&amp;"|Output"),"OUT",""))</f>
        <v/>
      </c>
      <c r="I114" s="33" t="str">
        <f aca="false">IF(COUNTIF(Flows!$M$2:$M$1500,$A114&amp;"|"&amp;I$1&amp;"|Input"),IF(COUNTIF(Flows!$M$2:$M$1500,$A114&amp;"|"&amp;I$1&amp;"|Output"),"I/O","IN"),IF(COUNTIF(Flows!$M$2:$M$1500,$A114&amp;"|"&amp;I$1&amp;"|Output"),"OUT",""))</f>
        <v/>
      </c>
      <c r="J114" s="33" t="str">
        <f aca="false">IF(COUNTIF(Flows!$M$2:$M$1500,$A114&amp;"|"&amp;J$1&amp;"|Input"),IF(COUNTIF(Flows!$M$2:$M$1500,$A114&amp;"|"&amp;J$1&amp;"|Output"),"I/O","IN"),IF(COUNTIF(Flows!$M$2:$M$1500,$A114&amp;"|"&amp;J$1&amp;"|Output"),"OUT",""))</f>
        <v/>
      </c>
      <c r="K114" s="33" t="str">
        <f aca="false">IF(COUNTIF(Flows!$M$2:$M$1500,$A114&amp;"|"&amp;K$1&amp;"|Input"),IF(COUNTIF(Flows!$M$2:$M$1500,$A114&amp;"|"&amp;K$1&amp;"|Output"),"I/O","IN"),IF(COUNTIF(Flows!$M$2:$M$1500,$A114&amp;"|"&amp;K$1&amp;"|Output"),"OUT",""))</f>
        <v/>
      </c>
      <c r="L114" s="33" t="str">
        <f aca="false">IF(COUNTIF(Flows!$M$2:$M$1500,$A114&amp;"|"&amp;L$1&amp;"|Input"),IF(COUNTIF(Flows!$M$2:$M$1500,$A114&amp;"|"&amp;L$1&amp;"|Output"),"I/O","IN"),IF(COUNTIF(Flows!$M$2:$M$1500,$A114&amp;"|"&amp;L$1&amp;"|Output"),"OUT",""))</f>
        <v/>
      </c>
      <c r="M114" s="33" t="str">
        <f aca="false">IF(COUNTIF(Flows!$M$2:$M$1500,$A114&amp;"|"&amp;M$1&amp;"|Input"),IF(COUNTIF(Flows!$M$2:$M$1500,$A114&amp;"|"&amp;M$1&amp;"|Output"),"I/O","IN"),IF(COUNTIF(Flows!$M$2:$M$1500,$A114&amp;"|"&amp;M$1&amp;"|Output"),"OUT",""))</f>
        <v/>
      </c>
      <c r="N114" s="33" t="str">
        <f aca="false">IF(COUNTIF(Flows!$M$2:$M$1500,$A114&amp;"|"&amp;N$1&amp;"|Input"),IF(COUNTIF(Flows!$M$2:$M$1500,$A114&amp;"|"&amp;N$1&amp;"|Output"),"I/O","IN"),IF(COUNTIF(Flows!$M$2:$M$1500,$A114&amp;"|"&amp;N$1&amp;"|Output"),"OUT",""))</f>
        <v/>
      </c>
      <c r="O114" s="33" t="str">
        <f aca="false">IF(COUNTIF(Flows!$M$2:$M$1500,$A114&amp;"|"&amp;O$1&amp;"|Input"),IF(COUNTIF(Flows!$M$2:$M$1500,$A114&amp;"|"&amp;O$1&amp;"|Output"),"I/O","IN"),IF(COUNTIF(Flows!$M$2:$M$1500,$A114&amp;"|"&amp;O$1&amp;"|Output"),"OUT",""))</f>
        <v/>
      </c>
      <c r="P114" s="33" t="str">
        <f aca="false">IF(COUNTIF(Flows!$M$2:$M$1500,$A114&amp;"|"&amp;P$1&amp;"|Input"),IF(COUNTIF(Flows!$M$2:$M$1500,$A114&amp;"|"&amp;P$1&amp;"|Output"),"I/O","IN"),IF(COUNTIF(Flows!$M$2:$M$1500,$A114&amp;"|"&amp;P$1&amp;"|Output"),"OUT",""))</f>
        <v/>
      </c>
      <c r="Q114" s="33" t="str">
        <f aca="false">IF(COUNTIF(Flows!$M$2:$M$1500,$A114&amp;"|"&amp;Q$1&amp;"|Input"),IF(COUNTIF(Flows!$M$2:$M$1500,$A114&amp;"|"&amp;Q$1&amp;"|Output"),"I/O","IN"),IF(COUNTIF(Flows!$M$2:$M$1500,$A114&amp;"|"&amp;Q$1&amp;"|Output"),"OUT",""))</f>
        <v/>
      </c>
      <c r="R114" s="33" t="str">
        <f aca="false">IF(COUNTIF(Flows!$M$2:$M$1500,$A114&amp;"|"&amp;R$1&amp;"|Input"),IF(COUNTIF(Flows!$M$2:$M$1500,$A114&amp;"|"&amp;R$1&amp;"|Output"),"I/O","IN"),IF(COUNTIF(Flows!$M$2:$M$1500,$A114&amp;"|"&amp;R$1&amp;"|Output"),"OUT",""))</f>
        <v>OUT</v>
      </c>
      <c r="S114" s="33" t="str">
        <f aca="false">IF(COUNTIF(Flows!$M$2:$M$1500,$A114&amp;"|"&amp;S$1&amp;"|Input"),IF(COUNTIF(Flows!$M$2:$M$1500,$A114&amp;"|"&amp;S$1&amp;"|Output"),"I/O","IN"),IF(COUNTIF(Flows!$M$2:$M$1500,$A114&amp;"|"&amp;S$1&amp;"|Output"),"OUT",""))</f>
        <v/>
      </c>
      <c r="T114" s="33" t="str">
        <f aca="false">IF(COUNTIF(Flows!$M$2:$M$1500,$A114&amp;"|"&amp;T$1&amp;"|Input"),IF(COUNTIF(Flows!$M$2:$M$1500,$A114&amp;"|"&amp;T$1&amp;"|Output"),"I/O","IN"),IF(COUNTIF(Flows!$M$2:$M$1500,$A114&amp;"|"&amp;T$1&amp;"|Output"),"OUT",""))</f>
        <v/>
      </c>
      <c r="U114" s="33" t="str">
        <f aca="false">IF(COUNTIF(Flows!$M$2:$M$1500,$A114&amp;"|"&amp;U$1&amp;"|Input"),IF(COUNTIF(Flows!$M$2:$M$1500,$A114&amp;"|"&amp;U$1&amp;"|Output"),"I/O","IN"),IF(COUNTIF(Flows!$M$2:$M$1500,$A114&amp;"|"&amp;U$1&amp;"|Output"),"OUT",""))</f>
        <v/>
      </c>
      <c r="V114" s="33" t="str">
        <f aca="false">IF(COUNTIF(Flows!$M$2:$M$1500,$A114&amp;"|"&amp;V$1&amp;"|Input"),IF(COUNTIF(Flows!$M$2:$M$1500,$A114&amp;"|"&amp;V$1&amp;"|Output"),"I/O","IN"),IF(COUNTIF(Flows!$M$2:$M$1500,$A114&amp;"|"&amp;V$1&amp;"|Output"),"OUT",""))</f>
        <v/>
      </c>
      <c r="W114" s="33" t="str">
        <f aca="false">IF(COUNTIF(Flows!$M$2:$M$1500,$A114&amp;"|"&amp;W$1&amp;"|Input"),IF(COUNTIF(Flows!$M$2:$M$1500,$A114&amp;"|"&amp;W$1&amp;"|Output"),"I/O","IN"),IF(COUNTIF(Flows!$M$2:$M$1500,$A114&amp;"|"&amp;W$1&amp;"|Output"),"OUT",""))</f>
        <v/>
      </c>
      <c r="X114" s="33" t="str">
        <f aca="false">IF(COUNTIF(Flows!$M$2:$M$1500,$A114&amp;"|"&amp;X$1&amp;"|Input"),IF(COUNTIF(Flows!$M$2:$M$1500,$A114&amp;"|"&amp;X$1&amp;"|Output"),"I/O","IN"),IF(COUNTIF(Flows!$M$2:$M$1500,$A114&amp;"|"&amp;X$1&amp;"|Output"),"OUT",""))</f>
        <v>IN</v>
      </c>
      <c r="Y114" s="33" t="str">
        <f aca="false">IF(COUNTIF(Flows!$M$2:$M$1500,$A114&amp;"|"&amp;Y$1&amp;"|Input"),IF(COUNTIF(Flows!$M$2:$M$1500,$A114&amp;"|"&amp;Y$1&amp;"|Output"),"I/O","IN"),IF(COUNTIF(Flows!$M$2:$M$1500,$A114&amp;"|"&amp;Y$1&amp;"|Output"),"OUT",""))</f>
        <v>IN</v>
      </c>
      <c r="Z114" s="33" t="str">
        <f aca="false">IF(COUNTIF(Flows!$M$2:$M$1500,$A114&amp;"|"&amp;Z$1&amp;"|Input"),IF(COUNTIF(Flows!$M$2:$M$1500,$A114&amp;"|"&amp;Z$1&amp;"|Output"),"I/O","IN"),IF(COUNTIF(Flows!$M$2:$M$1500,$A114&amp;"|"&amp;Z$1&amp;"|Output"),"OUT",""))</f>
        <v/>
      </c>
      <c r="AA114" s="33" t="str">
        <f aca="false">IF(COUNTIF(Flows!$M$2:$M$1500,$A114&amp;"|"&amp;AA$1&amp;"|Input"),IF(COUNTIF(Flows!$M$2:$M$1500,$A114&amp;"|"&amp;AA$1&amp;"|Output"),"I/O","IN"),IF(COUNTIF(Flows!$M$2:$M$1500,$A114&amp;"|"&amp;AA$1&amp;"|Output"),"OUT",""))</f>
        <v/>
      </c>
      <c r="AB114" s="33" t="str">
        <f aca="false">IF(COUNTIF(Flows!$M$2:$M$1500,$A114&amp;"|"&amp;AB$1&amp;"|Input"),IF(COUNTIF(Flows!$M$2:$M$1500,$A114&amp;"|"&amp;AB$1&amp;"|Output"),"I/O","IN"),IF(COUNTIF(Flows!$M$2:$M$1500,$A114&amp;"|"&amp;AB$1&amp;"|Output"),"OUT",""))</f>
        <v/>
      </c>
      <c r="AC114" s="33" t="str">
        <f aca="false">IF(COUNTIF(Flows!$M$2:$M$1500,$A114&amp;"|"&amp;AC$1&amp;"|Input"),IF(COUNTIF(Flows!$M$2:$M$1500,$A114&amp;"|"&amp;AC$1&amp;"|Output"),"I/O","IN"),IF(COUNTIF(Flows!$M$2:$M$1500,$A114&amp;"|"&amp;AC$1&amp;"|Output"),"OUT",""))</f>
        <v/>
      </c>
      <c r="AD114" s="33" t="str">
        <f aca="false">IF(COUNTIF(Flows!$M$2:$M$1500,$A114&amp;"|"&amp;AD$1&amp;"|Input"),IF(COUNTIF(Flows!$M$2:$M$1500,$A114&amp;"|"&amp;AD$1&amp;"|Output"),"I/O","IN"),IF(COUNTIF(Flows!$M$2:$M$1500,$A114&amp;"|"&amp;AD$1&amp;"|Output"),"OUT",""))</f>
        <v/>
      </c>
      <c r="AE114" s="33" t="str">
        <f aca="false">IF(COUNTIF(Flows!$M$2:$M$1500,$A114&amp;"|"&amp;AE$1&amp;"|Input"),IF(COUNTIF(Flows!$M$2:$M$1500,$A114&amp;"|"&amp;AE$1&amp;"|Output"),"I/O","IN"),IF(COUNTIF(Flows!$M$2:$M$1500,$A114&amp;"|"&amp;AE$1&amp;"|Output"),"OUT",""))</f>
        <v/>
      </c>
      <c r="AF114" s="33" t="str">
        <f aca="false">IF(COUNTIF(Flows!$M$2:$M$1500,$A114&amp;"|"&amp;AF$1&amp;"|Input"),IF(COUNTIF(Flows!$M$2:$M$1500,$A114&amp;"|"&amp;AF$1&amp;"|Output"),"I/O","IN"),IF(COUNTIF(Flows!$M$2:$M$1500,$A114&amp;"|"&amp;AF$1&amp;"|Output"),"OUT",""))</f>
        <v/>
      </c>
      <c r="AG114" s="33" t="str">
        <f aca="false">IF(COUNTIF(Flows!$M$2:$M$1500,$A114&amp;"|"&amp;AG$1&amp;"|Input"),IF(COUNTIF(Flows!$M$2:$M$1500,$A114&amp;"|"&amp;AG$1&amp;"|Output"),"I/O","IN"),IF(COUNTIF(Flows!$M$2:$M$1500,$A114&amp;"|"&amp;AG$1&amp;"|Output"),"OUT",""))</f>
        <v/>
      </c>
      <c r="AH114" s="33" t="str">
        <f aca="false">IF(COUNTIF(Flows!$M$2:$M$1500,$A114&amp;"|"&amp;AH$1&amp;"|Input"),IF(COUNTIF(Flows!$M$2:$M$1500,$A114&amp;"|"&amp;AH$1&amp;"|Output"),"I/O","IN"),IF(COUNTIF(Flows!$M$2:$M$1500,$A114&amp;"|"&amp;AH$1&amp;"|Output"),"OUT",""))</f>
        <v/>
      </c>
      <c r="AI114" s="33" t="str">
        <f aca="false">IF(COUNTIF(Flows!$M$2:$M$1500,$A114&amp;"|"&amp;AI$1&amp;"|Input"),IF(COUNTIF(Flows!$M$2:$M$1500,$A114&amp;"|"&amp;AI$1&amp;"|Output"),"I/O","IN"),IF(COUNTIF(Flows!$M$2:$M$1500,$A114&amp;"|"&amp;AI$1&amp;"|Output"),"OUT",""))</f>
        <v/>
      </c>
      <c r="AJ114" s="33" t="str">
        <f aca="false">IF(COUNTIF(Flows!$M$2:$M$1500,$A114&amp;"|"&amp;AJ$1&amp;"|Input"),IF(COUNTIF(Flows!$M$2:$M$1500,$A114&amp;"|"&amp;AJ$1&amp;"|Output"),"I/O","IN"),IF(COUNTIF(Flows!$M$2:$M$1500,$A114&amp;"|"&amp;AJ$1&amp;"|Output"),"OUT",""))</f>
        <v/>
      </c>
      <c r="AK114" s="33" t="str">
        <f aca="false">IF(COUNTIF(Flows!$M$2:$M$1500,$A114&amp;"|"&amp;AK$1&amp;"|Input"),IF(COUNTIF(Flows!$M$2:$M$1500,$A114&amp;"|"&amp;AK$1&amp;"|Output"),"I/O","IN"),IF(COUNTIF(Flows!$M$2:$M$1500,$A114&amp;"|"&amp;AK$1&amp;"|Output"),"OUT",""))</f>
        <v/>
      </c>
      <c r="AL114" s="33" t="str">
        <f aca="false">IF(COUNTIF(Flows!$M$2:$M$1500,$A114&amp;"|"&amp;AL$1&amp;"|Input"),IF(COUNTIF(Flows!$M$2:$M$1500,$A114&amp;"|"&amp;AL$1&amp;"|Output"),"I/O","IN"),IF(COUNTIF(Flows!$M$2:$M$1500,$A114&amp;"|"&amp;AL$1&amp;"|Output"),"OUT",""))</f>
        <v/>
      </c>
      <c r="AM114" s="33" t="str">
        <f aca="false">IF(COUNTIF(Flows!$M$2:$M$1500,$A114&amp;"|"&amp;AM$1&amp;"|Input"),IF(COUNTIF(Flows!$M$2:$M$1500,$A114&amp;"|"&amp;AM$1&amp;"|Output"),"I/O","IN"),IF(COUNTIF(Flows!$M$2:$M$1500,$A114&amp;"|"&amp;AM$1&amp;"|Output"),"OUT",""))</f>
        <v/>
      </c>
      <c r="AN114" s="33" t="str">
        <f aca="false">IF(COUNTIF(Flows!$M$2:$M$1500,$A114&amp;"|"&amp;AN$1&amp;"|Input"),IF(COUNTIF(Flows!$M$2:$M$1500,$A114&amp;"|"&amp;AN$1&amp;"|Output"),"I/O","IN"),IF(COUNTIF(Flows!$M$2:$M$1500,$A114&amp;"|"&amp;AN$1&amp;"|Output"),"OUT",""))</f>
        <v/>
      </c>
      <c r="AO114" s="33" t="str">
        <f aca="false">IF(COUNTIF(Flows!$M$2:$M$1500,$A114&amp;"|"&amp;AO$1&amp;"|Input"),IF(COUNTIF(Flows!$M$2:$M$1500,$A114&amp;"|"&amp;AO$1&amp;"|Output"),"I/O","IN"),IF(COUNTIF(Flows!$M$2:$M$1500,$A114&amp;"|"&amp;AO$1&amp;"|Output"),"OUT",""))</f>
        <v/>
      </c>
      <c r="AP114" s="33" t="str">
        <f aca="false">IF(COUNTIF(Flows!$M$2:$M$1500,$A114&amp;"|"&amp;AP$1&amp;"|Input"),IF(COUNTIF(Flows!$M$2:$M$1500,$A114&amp;"|"&amp;AP$1&amp;"|Output"),"I/O","IN"),IF(COUNTIF(Flows!$M$2:$M$1500,$A114&amp;"|"&amp;AP$1&amp;"|Output"),"OUT",""))</f>
        <v/>
      </c>
      <c r="AQ114" s="33" t="str">
        <f aca="false">IF(COUNTIF(Flows!$M$2:$M$1500,$A114&amp;"|"&amp;AQ$1&amp;"|Input"),IF(COUNTIF(Flows!$M$2:$M$1500,$A114&amp;"|"&amp;AQ$1&amp;"|Output"),"I/O","IN"),IF(COUNTIF(Flows!$M$2:$M$1500,$A114&amp;"|"&amp;AQ$1&amp;"|Output"),"OUT",""))</f>
        <v/>
      </c>
      <c r="AR114" s="33" t="str">
        <f aca="false">IF(COUNTIF(Flows!$M$2:$M$1500,$A114&amp;"|"&amp;AR$1&amp;"|Input"),IF(COUNTIF(Flows!$M$2:$M$1500,$A114&amp;"|"&amp;AR$1&amp;"|Output"),"I/O","IN"),IF(COUNTIF(Flows!$M$2:$M$1500,$A114&amp;"|"&amp;AR$1&amp;"|Output"),"OUT",""))</f>
        <v/>
      </c>
      <c r="AS114" s="33" t="str">
        <f aca="false">IF(COUNTIF(Flows!$M$2:$M$1500,$A114&amp;"|"&amp;AS$1&amp;"|Input"),IF(COUNTIF(Flows!$M$2:$M$1500,$A114&amp;"|"&amp;AS$1&amp;"|Output"),"I/O","IN"),IF(COUNTIF(Flows!$M$2:$M$1500,$A114&amp;"|"&amp;AS$1&amp;"|Output"),"OUT",""))</f>
        <v/>
      </c>
      <c r="AT114" s="33" t="str">
        <f aca="false">IF(COUNTIF(Flows!$M$2:$M$1500,$A114&amp;"|"&amp;AT$1&amp;"|Input"),IF(COUNTIF(Flows!$M$2:$M$1500,$A114&amp;"|"&amp;AT$1&amp;"|Output"),"I/O","IN"),IF(COUNTIF(Flows!$M$2:$M$1500,$A114&amp;"|"&amp;AT$1&amp;"|Output"),"OUT",""))</f>
        <v/>
      </c>
      <c r="AU114" s="33" t="str">
        <f aca="false">IF(COUNTIF(Flows!$M$2:$M$1500,$A114&amp;"|"&amp;AU$1&amp;"|Input"),IF(COUNTIF(Flows!$M$2:$M$1500,$A114&amp;"|"&amp;AU$1&amp;"|Output"),"I/O","IN"),IF(COUNTIF(Flows!$M$2:$M$1500,$A114&amp;"|"&amp;AU$1&amp;"|Output"),"OUT",""))</f>
        <v/>
      </c>
      <c r="AV114" s="33" t="str">
        <f aca="false">IF(COUNTIF(Flows!$M$2:$M$1500,$A114&amp;"|"&amp;AV$1&amp;"|Input"),IF(COUNTIF(Flows!$M$2:$M$1500,$A114&amp;"|"&amp;AV$1&amp;"|Output"),"I/O","IN"),IF(COUNTIF(Flows!$M$2:$M$1500,$A114&amp;"|"&amp;AV$1&amp;"|Output"),"OUT",""))</f>
        <v/>
      </c>
      <c r="AW114" s="33" t="str">
        <f aca="false">IF(COUNTIF(Flows!$M$2:$M$1500,$A114&amp;"|"&amp;AW$1&amp;"|Input"),IF(COUNTIF(Flows!$M$2:$M$1500,$A114&amp;"|"&amp;AW$1&amp;"|Output"),"I/O","IN"),IF(COUNTIF(Flows!$M$2:$M$1500,$A114&amp;"|"&amp;AW$1&amp;"|Output"),"OUT",""))</f>
        <v>IN</v>
      </c>
      <c r="AX114" s="33" t="str">
        <f aca="false">IF(COUNTIF(Flows!$M$2:$M$1500,$A114&amp;"|"&amp;AX$1&amp;"|Input"),IF(COUNTIF(Flows!$M$2:$M$1500,$A114&amp;"|"&amp;AX$1&amp;"|Output"),"I/O","IN"),IF(COUNTIF(Flows!$M$2:$M$1500,$A114&amp;"|"&amp;AX$1&amp;"|Output"),"OUT",""))</f>
        <v/>
      </c>
      <c r="AY114" s="33" t="str">
        <f aca="false">IF(COUNTIF(Flows!$M$2:$M$1500,$A114&amp;"|"&amp;AY$1&amp;"|Input"),IF(COUNTIF(Flows!$M$2:$M$1500,$A114&amp;"|"&amp;AY$1&amp;"|Output"),"I/O","IN"),IF(COUNTIF(Flows!$M$2:$M$1500,$A114&amp;"|"&amp;AY$1&amp;"|Output"),"OUT",""))</f>
        <v/>
      </c>
      <c r="AZ114" s="33" t="str">
        <f aca="false">IF(COUNTIF(Flows!$M$2:$M$1500,$A114&amp;"|"&amp;AZ$1&amp;"|Input"),IF(COUNTIF(Flows!$M$2:$M$1500,$A114&amp;"|"&amp;AZ$1&amp;"|Output"),"I/O","IN"),IF(COUNTIF(Flows!$M$2:$M$1500,$A114&amp;"|"&amp;AZ$1&amp;"|Output"),"OUT",""))</f>
        <v/>
      </c>
      <c r="BA114" s="33" t="str">
        <f aca="false">IF(COUNTIF(Flows!$M$2:$M$1500,$A114&amp;"|"&amp;BA$1&amp;"|Input"),IF(COUNTIF(Flows!$M$2:$M$1500,$A114&amp;"|"&amp;BA$1&amp;"|Output"),"I/O","IN"),IF(COUNTIF(Flows!$M$2:$M$1500,$A114&amp;"|"&amp;BA$1&amp;"|Output"),"OUT",""))</f>
        <v/>
      </c>
      <c r="BB114" s="33" t="str">
        <f aca="false">IF(COUNTIF(Flows!$M$2:$M$1500,$A114&amp;"|"&amp;BB$1&amp;"|Input"),IF(COUNTIF(Flows!$M$2:$M$1500,$A114&amp;"|"&amp;BB$1&amp;"|Output"),"I/O","IN"),IF(COUNTIF(Flows!$M$2:$M$1500,$A114&amp;"|"&amp;BB$1&amp;"|Output"),"OUT",""))</f>
        <v/>
      </c>
      <c r="BC114" s="33" t="str">
        <f aca="false">IF(COUNTIF(Flows!$M$2:$M$1500,$A114&amp;"|"&amp;BC$1&amp;"|Input"),IF(COUNTIF(Flows!$M$2:$M$1500,$A114&amp;"|"&amp;BC$1&amp;"|Output"),"I/O","IN"),IF(COUNTIF(Flows!$M$2:$M$1500,$A114&amp;"|"&amp;BC$1&amp;"|Output"),"OUT",""))</f>
        <v/>
      </c>
      <c r="BD114" s="33" t="str">
        <f aca="false">IF(COUNTIF(Flows!$M$2:$M$1500,$A114&amp;"|"&amp;BD$1&amp;"|Input"),IF(COUNTIF(Flows!$M$2:$M$1500,$A114&amp;"|"&amp;BD$1&amp;"|Output"),"I/O","IN"),IF(COUNTIF(Flows!$M$2:$M$1500,$A114&amp;"|"&amp;BD$1&amp;"|Output"),"OUT",""))</f>
        <v/>
      </c>
      <c r="BE114" s="33" t="str">
        <f aca="false">IF(COUNTIF(Flows!$M$2:$M$1500,$A114&amp;"|"&amp;BE$1&amp;"|Input"),IF(COUNTIF(Flows!$M$2:$M$1500,$A114&amp;"|"&amp;BE$1&amp;"|Output"),"I/O","IN"),IF(COUNTIF(Flows!$M$2:$M$1500,$A114&amp;"|"&amp;BE$1&amp;"|Output"),"OUT",""))</f>
        <v/>
      </c>
      <c r="BF114" s="33" t="str">
        <f aca="false">IF(COUNTIF(Flows!$M$2:$M$1500,$A114&amp;"|"&amp;BF$1&amp;"|Input"),IF(COUNTIF(Flows!$M$2:$M$1500,$A114&amp;"|"&amp;BF$1&amp;"|Output"),"I/O","IN"),IF(COUNTIF(Flows!$M$2:$M$1500,$A114&amp;"|"&amp;BF$1&amp;"|Output"),"OUT",""))</f>
        <v/>
      </c>
      <c r="BG114" s="33" t="str">
        <f aca="false">IF(COUNTIF(Flows!$M$2:$M$1500,$A114&amp;"|"&amp;BG$1&amp;"|Input"),IF(COUNTIF(Flows!$M$2:$M$1500,$A114&amp;"|"&amp;BG$1&amp;"|Output"),"I/O","IN"),IF(COUNTIF(Flows!$M$2:$M$1500,$A114&amp;"|"&amp;BG$1&amp;"|Output"),"OUT",""))</f>
        <v/>
      </c>
      <c r="BH114" s="33" t="str">
        <f aca="false">IF(COUNTIF(Flows!$M$2:$M$1500,$A114&amp;"|"&amp;BH$1&amp;"|Input"),IF(COUNTIF(Flows!$M$2:$M$1500,$A114&amp;"|"&amp;BH$1&amp;"|Output"),"I/O","IN"),IF(COUNTIF(Flows!$M$2:$M$1500,$A114&amp;"|"&amp;BH$1&amp;"|Output"),"OUT",""))</f>
        <v/>
      </c>
      <c r="BI114" s="33" t="str">
        <f aca="false">IF(COUNTIF(Flows!$M$2:$M$1500,$A114&amp;"|"&amp;BI$1&amp;"|Input"),IF(COUNTIF(Flows!$M$2:$M$1500,$A114&amp;"|"&amp;BI$1&amp;"|Output"),"I/O","IN"),IF(COUNTIF(Flows!$M$2:$M$1500,$A114&amp;"|"&amp;BI$1&amp;"|Output"),"OUT",""))</f>
        <v/>
      </c>
      <c r="BJ114" s="33" t="str">
        <f aca="false">IF(COUNTIF(Flows!$M$2:$M$1500,$A114&amp;"|"&amp;BJ$1&amp;"|Input"),IF(COUNTIF(Flows!$M$2:$M$1500,$A114&amp;"|"&amp;BJ$1&amp;"|Output"),"I/O","IN"),IF(COUNTIF(Flows!$M$2:$M$1500,$A114&amp;"|"&amp;BJ$1&amp;"|Output"),"OUT",""))</f>
        <v/>
      </c>
      <c r="BK114" s="33" t="str">
        <f aca="false">IF(COUNTIF(Flows!$M$2:$M$1500,$A114&amp;"|"&amp;BK$1&amp;"|Input"),IF(COUNTIF(Flows!$M$2:$M$1500,$A114&amp;"|"&amp;BK$1&amp;"|Output"),"I/O","IN"),IF(COUNTIF(Flows!$M$2:$M$1500,$A114&amp;"|"&amp;BK$1&amp;"|Output"),"OUT",""))</f>
        <v/>
      </c>
    </row>
    <row r="115" customFormat="false" ht="15" hidden="false" customHeight="true" outlineLevel="0" collapsed="false">
      <c r="A115" s="6" t="str">
        <f aca="false">Systems!B115</f>
        <v>Farm &amp; Feed Store</v>
      </c>
      <c r="B115" s="33" t="str">
        <f aca="false">IF(COUNTIF(Flows!$M$2:$M$1500,$A115&amp;"|"&amp;B$1&amp;"|Input"),IF(COUNTIF(Flows!$M$2:$M$1500,$A115&amp;"|"&amp;B$1&amp;"|Output"),"I/O","IN"),IF(COUNTIF(Flows!$M$2:$M$1500,$A115&amp;"|"&amp;B$1&amp;"|Output"),"OUT",""))</f>
        <v/>
      </c>
      <c r="C115" s="33" t="str">
        <f aca="false">IF(COUNTIF(Flows!$M$2:$M$1500,$A115&amp;"|"&amp;C$1&amp;"|Input"),IF(COUNTIF(Flows!$M$2:$M$1500,$A115&amp;"|"&amp;C$1&amp;"|Output"),"I/O","IN"),IF(COUNTIF(Flows!$M$2:$M$1500,$A115&amp;"|"&amp;C$1&amp;"|Output"),"OUT",""))</f>
        <v/>
      </c>
      <c r="D115" s="33" t="str">
        <f aca="false">IF(COUNTIF(Flows!$M$2:$M$1500,$A115&amp;"|"&amp;D$1&amp;"|Input"),IF(COUNTIF(Flows!$M$2:$M$1500,$A115&amp;"|"&amp;D$1&amp;"|Output"),"I/O","IN"),IF(COUNTIF(Flows!$M$2:$M$1500,$A115&amp;"|"&amp;D$1&amp;"|Output"),"OUT",""))</f>
        <v/>
      </c>
      <c r="E115" s="33" t="str">
        <f aca="false">IF(COUNTIF(Flows!$M$2:$M$1500,$A115&amp;"|"&amp;E$1&amp;"|Input"),IF(COUNTIF(Flows!$M$2:$M$1500,$A115&amp;"|"&amp;E$1&amp;"|Output"),"I/O","IN"),IF(COUNTIF(Flows!$M$2:$M$1500,$A115&amp;"|"&amp;E$1&amp;"|Output"),"OUT",""))</f>
        <v/>
      </c>
      <c r="F115" s="33" t="str">
        <f aca="false">IF(COUNTIF(Flows!$M$2:$M$1500,$A115&amp;"|"&amp;F$1&amp;"|Input"),IF(COUNTIF(Flows!$M$2:$M$1500,$A115&amp;"|"&amp;F$1&amp;"|Output"),"I/O","IN"),IF(COUNTIF(Flows!$M$2:$M$1500,$A115&amp;"|"&amp;F$1&amp;"|Output"),"OUT",""))</f>
        <v/>
      </c>
      <c r="G115" s="33" t="str">
        <f aca="false">IF(COUNTIF(Flows!$M$2:$M$1500,$A115&amp;"|"&amp;G$1&amp;"|Input"),IF(COUNTIF(Flows!$M$2:$M$1500,$A115&amp;"|"&amp;G$1&amp;"|Output"),"I/O","IN"),IF(COUNTIF(Flows!$M$2:$M$1500,$A115&amp;"|"&amp;G$1&amp;"|Output"),"OUT",""))</f>
        <v/>
      </c>
      <c r="H115" s="33" t="str">
        <f aca="false">IF(COUNTIF(Flows!$M$2:$M$1500,$A115&amp;"|"&amp;H$1&amp;"|Input"),IF(COUNTIF(Flows!$M$2:$M$1500,$A115&amp;"|"&amp;H$1&amp;"|Output"),"I/O","IN"),IF(COUNTIF(Flows!$M$2:$M$1500,$A115&amp;"|"&amp;H$1&amp;"|Output"),"OUT",""))</f>
        <v/>
      </c>
      <c r="I115" s="33" t="str">
        <f aca="false">IF(COUNTIF(Flows!$M$2:$M$1500,$A115&amp;"|"&amp;I$1&amp;"|Input"),IF(COUNTIF(Flows!$M$2:$M$1500,$A115&amp;"|"&amp;I$1&amp;"|Output"),"I/O","IN"),IF(COUNTIF(Flows!$M$2:$M$1500,$A115&amp;"|"&amp;I$1&amp;"|Output"),"OUT",""))</f>
        <v/>
      </c>
      <c r="J115" s="33" t="str">
        <f aca="false">IF(COUNTIF(Flows!$M$2:$M$1500,$A115&amp;"|"&amp;J$1&amp;"|Input"),IF(COUNTIF(Flows!$M$2:$M$1500,$A115&amp;"|"&amp;J$1&amp;"|Output"),"I/O","IN"),IF(COUNTIF(Flows!$M$2:$M$1500,$A115&amp;"|"&amp;J$1&amp;"|Output"),"OUT",""))</f>
        <v/>
      </c>
      <c r="K115" s="33" t="str">
        <f aca="false">IF(COUNTIF(Flows!$M$2:$M$1500,$A115&amp;"|"&amp;K$1&amp;"|Input"),IF(COUNTIF(Flows!$M$2:$M$1500,$A115&amp;"|"&amp;K$1&amp;"|Output"),"I/O","IN"),IF(COUNTIF(Flows!$M$2:$M$1500,$A115&amp;"|"&amp;K$1&amp;"|Output"),"OUT",""))</f>
        <v/>
      </c>
      <c r="L115" s="33" t="str">
        <f aca="false">IF(COUNTIF(Flows!$M$2:$M$1500,$A115&amp;"|"&amp;L$1&amp;"|Input"),IF(COUNTIF(Flows!$M$2:$M$1500,$A115&amp;"|"&amp;L$1&amp;"|Output"),"I/O","IN"),IF(COUNTIF(Flows!$M$2:$M$1500,$A115&amp;"|"&amp;L$1&amp;"|Output"),"OUT",""))</f>
        <v/>
      </c>
      <c r="M115" s="33" t="str">
        <f aca="false">IF(COUNTIF(Flows!$M$2:$M$1500,$A115&amp;"|"&amp;M$1&amp;"|Input"),IF(COUNTIF(Flows!$M$2:$M$1500,$A115&amp;"|"&amp;M$1&amp;"|Output"),"I/O","IN"),IF(COUNTIF(Flows!$M$2:$M$1500,$A115&amp;"|"&amp;M$1&amp;"|Output"),"OUT",""))</f>
        <v/>
      </c>
      <c r="N115" s="33" t="str">
        <f aca="false">IF(COUNTIF(Flows!$M$2:$M$1500,$A115&amp;"|"&amp;N$1&amp;"|Input"),IF(COUNTIF(Flows!$M$2:$M$1500,$A115&amp;"|"&amp;N$1&amp;"|Output"),"I/O","IN"),IF(COUNTIF(Flows!$M$2:$M$1500,$A115&amp;"|"&amp;N$1&amp;"|Output"),"OUT",""))</f>
        <v/>
      </c>
      <c r="O115" s="33" t="str">
        <f aca="false">IF(COUNTIF(Flows!$M$2:$M$1500,$A115&amp;"|"&amp;O$1&amp;"|Input"),IF(COUNTIF(Flows!$M$2:$M$1500,$A115&amp;"|"&amp;O$1&amp;"|Output"),"I/O","IN"),IF(COUNTIF(Flows!$M$2:$M$1500,$A115&amp;"|"&amp;O$1&amp;"|Output"),"OUT",""))</f>
        <v/>
      </c>
      <c r="P115" s="33" t="str">
        <f aca="false">IF(COUNTIF(Flows!$M$2:$M$1500,$A115&amp;"|"&amp;P$1&amp;"|Input"),IF(COUNTIF(Flows!$M$2:$M$1500,$A115&amp;"|"&amp;P$1&amp;"|Output"),"I/O","IN"),IF(COUNTIF(Flows!$M$2:$M$1500,$A115&amp;"|"&amp;P$1&amp;"|Output"),"OUT",""))</f>
        <v/>
      </c>
      <c r="Q115" s="33" t="str">
        <f aca="false">IF(COUNTIF(Flows!$M$2:$M$1500,$A115&amp;"|"&amp;Q$1&amp;"|Input"),IF(COUNTIF(Flows!$M$2:$M$1500,$A115&amp;"|"&amp;Q$1&amp;"|Output"),"I/O","IN"),IF(COUNTIF(Flows!$M$2:$M$1500,$A115&amp;"|"&amp;Q$1&amp;"|Output"),"OUT",""))</f>
        <v/>
      </c>
      <c r="R115" s="33" t="str">
        <f aca="false">IF(COUNTIF(Flows!$M$2:$M$1500,$A115&amp;"|"&amp;R$1&amp;"|Input"),IF(COUNTIF(Flows!$M$2:$M$1500,$A115&amp;"|"&amp;R$1&amp;"|Output"),"I/O","IN"),IF(COUNTIF(Flows!$M$2:$M$1500,$A115&amp;"|"&amp;R$1&amp;"|Output"),"OUT",""))</f>
        <v/>
      </c>
      <c r="S115" s="33" t="str">
        <f aca="false">IF(COUNTIF(Flows!$M$2:$M$1500,$A115&amp;"|"&amp;S$1&amp;"|Input"),IF(COUNTIF(Flows!$M$2:$M$1500,$A115&amp;"|"&amp;S$1&amp;"|Output"),"I/O","IN"),IF(COUNTIF(Flows!$M$2:$M$1500,$A115&amp;"|"&amp;S$1&amp;"|Output"),"OUT",""))</f>
        <v/>
      </c>
      <c r="T115" s="33" t="str">
        <f aca="false">IF(COUNTIF(Flows!$M$2:$M$1500,$A115&amp;"|"&amp;T$1&amp;"|Input"),IF(COUNTIF(Flows!$M$2:$M$1500,$A115&amp;"|"&amp;T$1&amp;"|Output"),"I/O","IN"),IF(COUNTIF(Flows!$M$2:$M$1500,$A115&amp;"|"&amp;T$1&amp;"|Output"),"OUT",""))</f>
        <v>IN</v>
      </c>
      <c r="U115" s="33" t="str">
        <f aca="false">IF(COUNTIF(Flows!$M$2:$M$1500,$A115&amp;"|"&amp;U$1&amp;"|Input"),IF(COUNTIF(Flows!$M$2:$M$1500,$A115&amp;"|"&amp;U$1&amp;"|Output"),"I/O","IN"),IF(COUNTIF(Flows!$M$2:$M$1500,$A115&amp;"|"&amp;U$1&amp;"|Output"),"OUT",""))</f>
        <v/>
      </c>
      <c r="V115" s="33" t="str">
        <f aca="false">IF(COUNTIF(Flows!$M$2:$M$1500,$A115&amp;"|"&amp;V$1&amp;"|Input"),IF(COUNTIF(Flows!$M$2:$M$1500,$A115&amp;"|"&amp;V$1&amp;"|Output"),"I/O","IN"),IF(COUNTIF(Flows!$M$2:$M$1500,$A115&amp;"|"&amp;V$1&amp;"|Output"),"OUT",""))</f>
        <v/>
      </c>
      <c r="W115" s="33" t="str">
        <f aca="false">IF(COUNTIF(Flows!$M$2:$M$1500,$A115&amp;"|"&amp;W$1&amp;"|Input"),IF(COUNTIF(Flows!$M$2:$M$1500,$A115&amp;"|"&amp;W$1&amp;"|Output"),"I/O","IN"),IF(COUNTIF(Flows!$M$2:$M$1500,$A115&amp;"|"&amp;W$1&amp;"|Output"),"OUT",""))</f>
        <v/>
      </c>
      <c r="X115" s="33" t="str">
        <f aca="false">IF(COUNTIF(Flows!$M$2:$M$1500,$A115&amp;"|"&amp;X$1&amp;"|Input"),IF(COUNTIF(Flows!$M$2:$M$1500,$A115&amp;"|"&amp;X$1&amp;"|Output"),"I/O","IN"),IF(COUNTIF(Flows!$M$2:$M$1500,$A115&amp;"|"&amp;X$1&amp;"|Output"),"OUT",""))</f>
        <v/>
      </c>
      <c r="Y115" s="33" t="str">
        <f aca="false">IF(COUNTIF(Flows!$M$2:$M$1500,$A115&amp;"|"&amp;Y$1&amp;"|Input"),IF(COUNTIF(Flows!$M$2:$M$1500,$A115&amp;"|"&amp;Y$1&amp;"|Output"),"I/O","IN"),IF(COUNTIF(Flows!$M$2:$M$1500,$A115&amp;"|"&amp;Y$1&amp;"|Output"),"OUT",""))</f>
        <v>IN</v>
      </c>
      <c r="Z115" s="33" t="str">
        <f aca="false">IF(COUNTIF(Flows!$M$2:$M$1500,$A115&amp;"|"&amp;Z$1&amp;"|Input"),IF(COUNTIF(Flows!$M$2:$M$1500,$A115&amp;"|"&amp;Z$1&amp;"|Output"),"I/O","IN"),IF(COUNTIF(Flows!$M$2:$M$1500,$A115&amp;"|"&amp;Z$1&amp;"|Output"),"OUT",""))</f>
        <v/>
      </c>
      <c r="AA115" s="33" t="str">
        <f aca="false">IF(COUNTIF(Flows!$M$2:$M$1500,$A115&amp;"|"&amp;AA$1&amp;"|Input"),IF(COUNTIF(Flows!$M$2:$M$1500,$A115&amp;"|"&amp;AA$1&amp;"|Output"),"I/O","IN"),IF(COUNTIF(Flows!$M$2:$M$1500,$A115&amp;"|"&amp;AA$1&amp;"|Output"),"OUT",""))</f>
        <v/>
      </c>
      <c r="AB115" s="33" t="str">
        <f aca="false">IF(COUNTIF(Flows!$M$2:$M$1500,$A115&amp;"|"&amp;AB$1&amp;"|Input"),IF(COUNTIF(Flows!$M$2:$M$1500,$A115&amp;"|"&amp;AB$1&amp;"|Output"),"I/O","IN"),IF(COUNTIF(Flows!$M$2:$M$1500,$A115&amp;"|"&amp;AB$1&amp;"|Output"),"OUT",""))</f>
        <v/>
      </c>
      <c r="AC115" s="33" t="str">
        <f aca="false">IF(COUNTIF(Flows!$M$2:$M$1500,$A115&amp;"|"&amp;AC$1&amp;"|Input"),IF(COUNTIF(Flows!$M$2:$M$1500,$A115&amp;"|"&amp;AC$1&amp;"|Output"),"I/O","IN"),IF(COUNTIF(Flows!$M$2:$M$1500,$A115&amp;"|"&amp;AC$1&amp;"|Output"),"OUT",""))</f>
        <v/>
      </c>
      <c r="AD115" s="33" t="str">
        <f aca="false">IF(COUNTIF(Flows!$M$2:$M$1500,$A115&amp;"|"&amp;AD$1&amp;"|Input"),IF(COUNTIF(Flows!$M$2:$M$1500,$A115&amp;"|"&amp;AD$1&amp;"|Output"),"I/O","IN"),IF(COUNTIF(Flows!$M$2:$M$1500,$A115&amp;"|"&amp;AD$1&amp;"|Output"),"OUT",""))</f>
        <v/>
      </c>
      <c r="AE115" s="33" t="str">
        <f aca="false">IF(COUNTIF(Flows!$M$2:$M$1500,$A115&amp;"|"&amp;AE$1&amp;"|Input"),IF(COUNTIF(Flows!$M$2:$M$1500,$A115&amp;"|"&amp;AE$1&amp;"|Output"),"I/O","IN"),IF(COUNTIF(Flows!$M$2:$M$1500,$A115&amp;"|"&amp;AE$1&amp;"|Output"),"OUT",""))</f>
        <v/>
      </c>
      <c r="AF115" s="33" t="str">
        <f aca="false">IF(COUNTIF(Flows!$M$2:$M$1500,$A115&amp;"|"&amp;AF$1&amp;"|Input"),IF(COUNTIF(Flows!$M$2:$M$1500,$A115&amp;"|"&amp;AF$1&amp;"|Output"),"I/O","IN"),IF(COUNTIF(Flows!$M$2:$M$1500,$A115&amp;"|"&amp;AF$1&amp;"|Output"),"OUT",""))</f>
        <v/>
      </c>
      <c r="AG115" s="33" t="str">
        <f aca="false">IF(COUNTIF(Flows!$M$2:$M$1500,$A115&amp;"|"&amp;AG$1&amp;"|Input"),IF(COUNTIF(Flows!$M$2:$M$1500,$A115&amp;"|"&amp;AG$1&amp;"|Output"),"I/O","IN"),IF(COUNTIF(Flows!$M$2:$M$1500,$A115&amp;"|"&amp;AG$1&amp;"|Output"),"OUT",""))</f>
        <v/>
      </c>
      <c r="AH115" s="33" t="str">
        <f aca="false">IF(COUNTIF(Flows!$M$2:$M$1500,$A115&amp;"|"&amp;AH$1&amp;"|Input"),IF(COUNTIF(Flows!$M$2:$M$1500,$A115&amp;"|"&amp;AH$1&amp;"|Output"),"I/O","IN"),IF(COUNTIF(Flows!$M$2:$M$1500,$A115&amp;"|"&amp;AH$1&amp;"|Output"),"OUT",""))</f>
        <v/>
      </c>
      <c r="AI115" s="33" t="str">
        <f aca="false">IF(COUNTIF(Flows!$M$2:$M$1500,$A115&amp;"|"&amp;AI$1&amp;"|Input"),IF(COUNTIF(Flows!$M$2:$M$1500,$A115&amp;"|"&amp;AI$1&amp;"|Output"),"I/O","IN"),IF(COUNTIF(Flows!$M$2:$M$1500,$A115&amp;"|"&amp;AI$1&amp;"|Output"),"OUT",""))</f>
        <v/>
      </c>
      <c r="AJ115" s="33" t="str">
        <f aca="false">IF(COUNTIF(Flows!$M$2:$M$1500,$A115&amp;"|"&amp;AJ$1&amp;"|Input"),IF(COUNTIF(Flows!$M$2:$M$1500,$A115&amp;"|"&amp;AJ$1&amp;"|Output"),"I/O","IN"),IF(COUNTIF(Flows!$M$2:$M$1500,$A115&amp;"|"&amp;AJ$1&amp;"|Output"),"OUT",""))</f>
        <v/>
      </c>
      <c r="AK115" s="33" t="str">
        <f aca="false">IF(COUNTIF(Flows!$M$2:$M$1500,$A115&amp;"|"&amp;AK$1&amp;"|Input"),IF(COUNTIF(Flows!$M$2:$M$1500,$A115&amp;"|"&amp;AK$1&amp;"|Output"),"I/O","IN"),IF(COUNTIF(Flows!$M$2:$M$1500,$A115&amp;"|"&amp;AK$1&amp;"|Output"),"OUT",""))</f>
        <v/>
      </c>
      <c r="AL115" s="33" t="str">
        <f aca="false">IF(COUNTIF(Flows!$M$2:$M$1500,$A115&amp;"|"&amp;AL$1&amp;"|Input"),IF(COUNTIF(Flows!$M$2:$M$1500,$A115&amp;"|"&amp;AL$1&amp;"|Output"),"I/O","IN"),IF(COUNTIF(Flows!$M$2:$M$1500,$A115&amp;"|"&amp;AL$1&amp;"|Output"),"OUT",""))</f>
        <v/>
      </c>
      <c r="AM115" s="33" t="str">
        <f aca="false">IF(COUNTIF(Flows!$M$2:$M$1500,$A115&amp;"|"&amp;AM$1&amp;"|Input"),IF(COUNTIF(Flows!$M$2:$M$1500,$A115&amp;"|"&amp;AM$1&amp;"|Output"),"I/O","IN"),IF(COUNTIF(Flows!$M$2:$M$1500,$A115&amp;"|"&amp;AM$1&amp;"|Output"),"OUT",""))</f>
        <v/>
      </c>
      <c r="AN115" s="33" t="str">
        <f aca="false">IF(COUNTIF(Flows!$M$2:$M$1500,$A115&amp;"|"&amp;AN$1&amp;"|Input"),IF(COUNTIF(Flows!$M$2:$M$1500,$A115&amp;"|"&amp;AN$1&amp;"|Output"),"I/O","IN"),IF(COUNTIF(Flows!$M$2:$M$1500,$A115&amp;"|"&amp;AN$1&amp;"|Output"),"OUT",""))</f>
        <v>OUT</v>
      </c>
      <c r="AO115" s="33" t="str">
        <f aca="false">IF(COUNTIF(Flows!$M$2:$M$1500,$A115&amp;"|"&amp;AO$1&amp;"|Input"),IF(COUNTIF(Flows!$M$2:$M$1500,$A115&amp;"|"&amp;AO$1&amp;"|Output"),"I/O","IN"),IF(COUNTIF(Flows!$M$2:$M$1500,$A115&amp;"|"&amp;AO$1&amp;"|Output"),"OUT",""))</f>
        <v/>
      </c>
      <c r="AP115" s="33" t="str">
        <f aca="false">IF(COUNTIF(Flows!$M$2:$M$1500,$A115&amp;"|"&amp;AP$1&amp;"|Input"),IF(COUNTIF(Flows!$M$2:$M$1500,$A115&amp;"|"&amp;AP$1&amp;"|Output"),"I/O","IN"),IF(COUNTIF(Flows!$M$2:$M$1500,$A115&amp;"|"&amp;AP$1&amp;"|Output"),"OUT",""))</f>
        <v/>
      </c>
      <c r="AQ115" s="33" t="str">
        <f aca="false">IF(COUNTIF(Flows!$M$2:$M$1500,$A115&amp;"|"&amp;AQ$1&amp;"|Input"),IF(COUNTIF(Flows!$M$2:$M$1500,$A115&amp;"|"&amp;AQ$1&amp;"|Output"),"I/O","IN"),IF(COUNTIF(Flows!$M$2:$M$1500,$A115&amp;"|"&amp;AQ$1&amp;"|Output"),"OUT",""))</f>
        <v>OUT</v>
      </c>
      <c r="AR115" s="33" t="str">
        <f aca="false">IF(COUNTIF(Flows!$M$2:$M$1500,$A115&amp;"|"&amp;AR$1&amp;"|Input"),IF(COUNTIF(Flows!$M$2:$M$1500,$A115&amp;"|"&amp;AR$1&amp;"|Output"),"I/O","IN"),IF(COUNTIF(Flows!$M$2:$M$1500,$A115&amp;"|"&amp;AR$1&amp;"|Output"),"OUT",""))</f>
        <v/>
      </c>
      <c r="AS115" s="33" t="str">
        <f aca="false">IF(COUNTIF(Flows!$M$2:$M$1500,$A115&amp;"|"&amp;AS$1&amp;"|Input"),IF(COUNTIF(Flows!$M$2:$M$1500,$A115&amp;"|"&amp;AS$1&amp;"|Output"),"I/O","IN"),IF(COUNTIF(Flows!$M$2:$M$1500,$A115&amp;"|"&amp;AS$1&amp;"|Output"),"OUT",""))</f>
        <v/>
      </c>
      <c r="AT115" s="33" t="str">
        <f aca="false">IF(COUNTIF(Flows!$M$2:$M$1500,$A115&amp;"|"&amp;AT$1&amp;"|Input"),IF(COUNTIF(Flows!$M$2:$M$1500,$A115&amp;"|"&amp;AT$1&amp;"|Output"),"I/O","IN"),IF(COUNTIF(Flows!$M$2:$M$1500,$A115&amp;"|"&amp;AT$1&amp;"|Output"),"OUT",""))</f>
        <v/>
      </c>
      <c r="AU115" s="33" t="str">
        <f aca="false">IF(COUNTIF(Flows!$M$2:$M$1500,$A115&amp;"|"&amp;AU$1&amp;"|Input"),IF(COUNTIF(Flows!$M$2:$M$1500,$A115&amp;"|"&amp;AU$1&amp;"|Output"),"I/O","IN"),IF(COUNTIF(Flows!$M$2:$M$1500,$A115&amp;"|"&amp;AU$1&amp;"|Output"),"OUT",""))</f>
        <v/>
      </c>
      <c r="AV115" s="33" t="str">
        <f aca="false">IF(COUNTIF(Flows!$M$2:$M$1500,$A115&amp;"|"&amp;AV$1&amp;"|Input"),IF(COUNTIF(Flows!$M$2:$M$1500,$A115&amp;"|"&amp;AV$1&amp;"|Output"),"I/O","IN"),IF(COUNTIF(Flows!$M$2:$M$1500,$A115&amp;"|"&amp;AV$1&amp;"|Output"),"OUT",""))</f>
        <v/>
      </c>
      <c r="AW115" s="33" t="str">
        <f aca="false">IF(COUNTIF(Flows!$M$2:$M$1500,$A115&amp;"|"&amp;AW$1&amp;"|Input"),IF(COUNTIF(Flows!$M$2:$M$1500,$A115&amp;"|"&amp;AW$1&amp;"|Output"),"I/O","IN"),IF(COUNTIF(Flows!$M$2:$M$1500,$A115&amp;"|"&amp;AW$1&amp;"|Output"),"OUT",""))</f>
        <v/>
      </c>
      <c r="AX115" s="33" t="str">
        <f aca="false">IF(COUNTIF(Flows!$M$2:$M$1500,$A115&amp;"|"&amp;AX$1&amp;"|Input"),IF(COUNTIF(Flows!$M$2:$M$1500,$A115&amp;"|"&amp;AX$1&amp;"|Output"),"I/O","IN"),IF(COUNTIF(Flows!$M$2:$M$1500,$A115&amp;"|"&amp;AX$1&amp;"|Output"),"OUT",""))</f>
        <v/>
      </c>
      <c r="AY115" s="33" t="str">
        <f aca="false">IF(COUNTIF(Flows!$M$2:$M$1500,$A115&amp;"|"&amp;AY$1&amp;"|Input"),IF(COUNTIF(Flows!$M$2:$M$1500,$A115&amp;"|"&amp;AY$1&amp;"|Output"),"I/O","IN"),IF(COUNTIF(Flows!$M$2:$M$1500,$A115&amp;"|"&amp;AY$1&amp;"|Output"),"OUT",""))</f>
        <v/>
      </c>
      <c r="AZ115" s="33" t="str">
        <f aca="false">IF(COUNTIF(Flows!$M$2:$M$1500,$A115&amp;"|"&amp;AZ$1&amp;"|Input"),IF(COUNTIF(Flows!$M$2:$M$1500,$A115&amp;"|"&amp;AZ$1&amp;"|Output"),"I/O","IN"),IF(COUNTIF(Flows!$M$2:$M$1500,$A115&amp;"|"&amp;AZ$1&amp;"|Output"),"OUT",""))</f>
        <v>OUT</v>
      </c>
      <c r="BA115" s="33" t="str">
        <f aca="false">IF(COUNTIF(Flows!$M$2:$M$1500,$A115&amp;"|"&amp;BA$1&amp;"|Input"),IF(COUNTIF(Flows!$M$2:$M$1500,$A115&amp;"|"&amp;BA$1&amp;"|Output"),"I/O","IN"),IF(COUNTIF(Flows!$M$2:$M$1500,$A115&amp;"|"&amp;BA$1&amp;"|Output"),"OUT",""))</f>
        <v/>
      </c>
      <c r="BB115" s="33" t="str">
        <f aca="false">IF(COUNTIF(Flows!$M$2:$M$1500,$A115&amp;"|"&amp;BB$1&amp;"|Input"),IF(COUNTIF(Flows!$M$2:$M$1500,$A115&amp;"|"&amp;BB$1&amp;"|Output"),"I/O","IN"),IF(COUNTIF(Flows!$M$2:$M$1500,$A115&amp;"|"&amp;BB$1&amp;"|Output"),"OUT",""))</f>
        <v>OUT</v>
      </c>
      <c r="BC115" s="33" t="str">
        <f aca="false">IF(COUNTIF(Flows!$M$2:$M$1500,$A115&amp;"|"&amp;BC$1&amp;"|Input"),IF(COUNTIF(Flows!$M$2:$M$1500,$A115&amp;"|"&amp;BC$1&amp;"|Output"),"I/O","IN"),IF(COUNTIF(Flows!$M$2:$M$1500,$A115&amp;"|"&amp;BC$1&amp;"|Output"),"OUT",""))</f>
        <v>OUT</v>
      </c>
      <c r="BD115" s="33" t="str">
        <f aca="false">IF(COUNTIF(Flows!$M$2:$M$1500,$A115&amp;"|"&amp;BD$1&amp;"|Input"),IF(COUNTIF(Flows!$M$2:$M$1500,$A115&amp;"|"&amp;BD$1&amp;"|Output"),"I/O","IN"),IF(COUNTIF(Flows!$M$2:$M$1500,$A115&amp;"|"&amp;BD$1&amp;"|Output"),"OUT",""))</f>
        <v/>
      </c>
      <c r="BE115" s="33" t="str">
        <f aca="false">IF(COUNTIF(Flows!$M$2:$M$1500,$A115&amp;"|"&amp;BE$1&amp;"|Input"),IF(COUNTIF(Flows!$M$2:$M$1500,$A115&amp;"|"&amp;BE$1&amp;"|Output"),"I/O","IN"),IF(COUNTIF(Flows!$M$2:$M$1500,$A115&amp;"|"&amp;BE$1&amp;"|Output"),"OUT",""))</f>
        <v/>
      </c>
      <c r="BF115" s="33" t="str">
        <f aca="false">IF(COUNTIF(Flows!$M$2:$M$1500,$A115&amp;"|"&amp;BF$1&amp;"|Input"),IF(COUNTIF(Flows!$M$2:$M$1500,$A115&amp;"|"&amp;BF$1&amp;"|Output"),"I/O","IN"),IF(COUNTIF(Flows!$M$2:$M$1500,$A115&amp;"|"&amp;BF$1&amp;"|Output"),"OUT",""))</f>
        <v/>
      </c>
      <c r="BG115" s="33" t="str">
        <f aca="false">IF(COUNTIF(Flows!$M$2:$M$1500,$A115&amp;"|"&amp;BG$1&amp;"|Input"),IF(COUNTIF(Flows!$M$2:$M$1500,$A115&amp;"|"&amp;BG$1&amp;"|Output"),"I/O","IN"),IF(COUNTIF(Flows!$M$2:$M$1500,$A115&amp;"|"&amp;BG$1&amp;"|Output"),"OUT",""))</f>
        <v/>
      </c>
      <c r="BH115" s="33" t="str">
        <f aca="false">IF(COUNTIF(Flows!$M$2:$M$1500,$A115&amp;"|"&amp;BH$1&amp;"|Input"),IF(COUNTIF(Flows!$M$2:$M$1500,$A115&amp;"|"&amp;BH$1&amp;"|Output"),"I/O","IN"),IF(COUNTIF(Flows!$M$2:$M$1500,$A115&amp;"|"&amp;BH$1&amp;"|Output"),"OUT",""))</f>
        <v/>
      </c>
      <c r="BI115" s="33" t="str">
        <f aca="false">IF(COUNTIF(Flows!$M$2:$M$1500,$A115&amp;"|"&amp;BI$1&amp;"|Input"),IF(COUNTIF(Flows!$M$2:$M$1500,$A115&amp;"|"&amp;BI$1&amp;"|Output"),"I/O","IN"),IF(COUNTIF(Flows!$M$2:$M$1500,$A115&amp;"|"&amp;BI$1&amp;"|Output"),"OUT",""))</f>
        <v/>
      </c>
      <c r="BJ115" s="33" t="str">
        <f aca="false">IF(COUNTIF(Flows!$M$2:$M$1500,$A115&amp;"|"&amp;BJ$1&amp;"|Input"),IF(COUNTIF(Flows!$M$2:$M$1500,$A115&amp;"|"&amp;BJ$1&amp;"|Output"),"I/O","IN"),IF(COUNTIF(Flows!$M$2:$M$1500,$A115&amp;"|"&amp;BJ$1&amp;"|Output"),"OUT",""))</f>
        <v/>
      </c>
      <c r="BK115" s="33" t="str">
        <f aca="false">IF(COUNTIF(Flows!$M$2:$M$1500,$A115&amp;"|"&amp;BK$1&amp;"|Input"),IF(COUNTIF(Flows!$M$2:$M$1500,$A115&amp;"|"&amp;BK$1&amp;"|Output"),"I/O","IN"),IF(COUNTIF(Flows!$M$2:$M$1500,$A115&amp;"|"&amp;BK$1&amp;"|Output"),"OUT",""))</f>
        <v/>
      </c>
    </row>
    <row r="116" customFormat="false" ht="15" hidden="false" customHeight="true" outlineLevel="0" collapsed="false">
      <c r="A116" s="6" t="str">
        <f aca="false">Systems!B116</f>
        <v>Gas Station</v>
      </c>
      <c r="B116" s="33" t="str">
        <f aca="false">IF(COUNTIF(Flows!$M$2:$M$1500,$A116&amp;"|"&amp;B$1&amp;"|Input"),IF(COUNTIF(Flows!$M$2:$M$1500,$A116&amp;"|"&amp;B$1&amp;"|Output"),"I/O","IN"),IF(COUNTIF(Flows!$M$2:$M$1500,$A116&amp;"|"&amp;B$1&amp;"|Output"),"OUT",""))</f>
        <v/>
      </c>
      <c r="C116" s="33" t="str">
        <f aca="false">IF(COUNTIF(Flows!$M$2:$M$1500,$A116&amp;"|"&amp;C$1&amp;"|Input"),IF(COUNTIF(Flows!$M$2:$M$1500,$A116&amp;"|"&amp;C$1&amp;"|Output"),"I/O","IN"),IF(COUNTIF(Flows!$M$2:$M$1500,$A116&amp;"|"&amp;C$1&amp;"|Output"),"OUT",""))</f>
        <v/>
      </c>
      <c r="D116" s="33" t="str">
        <f aca="false">IF(COUNTIF(Flows!$M$2:$M$1500,$A116&amp;"|"&amp;D$1&amp;"|Input"),IF(COUNTIF(Flows!$M$2:$M$1500,$A116&amp;"|"&amp;D$1&amp;"|Output"),"I/O","IN"),IF(COUNTIF(Flows!$M$2:$M$1500,$A116&amp;"|"&amp;D$1&amp;"|Output"),"OUT",""))</f>
        <v/>
      </c>
      <c r="E116" s="33" t="str">
        <f aca="false">IF(COUNTIF(Flows!$M$2:$M$1500,$A116&amp;"|"&amp;E$1&amp;"|Input"),IF(COUNTIF(Flows!$M$2:$M$1500,$A116&amp;"|"&amp;E$1&amp;"|Output"),"I/O","IN"),IF(COUNTIF(Flows!$M$2:$M$1500,$A116&amp;"|"&amp;E$1&amp;"|Output"),"OUT",""))</f>
        <v/>
      </c>
      <c r="F116" s="33" t="str">
        <f aca="false">IF(COUNTIF(Flows!$M$2:$M$1500,$A116&amp;"|"&amp;F$1&amp;"|Input"),IF(COUNTIF(Flows!$M$2:$M$1500,$A116&amp;"|"&amp;F$1&amp;"|Output"),"I/O","IN"),IF(COUNTIF(Flows!$M$2:$M$1500,$A116&amp;"|"&amp;F$1&amp;"|Output"),"OUT",""))</f>
        <v/>
      </c>
      <c r="G116" s="33" t="str">
        <f aca="false">IF(COUNTIF(Flows!$M$2:$M$1500,$A116&amp;"|"&amp;G$1&amp;"|Input"),IF(COUNTIF(Flows!$M$2:$M$1500,$A116&amp;"|"&amp;G$1&amp;"|Output"),"I/O","IN"),IF(COUNTIF(Flows!$M$2:$M$1500,$A116&amp;"|"&amp;G$1&amp;"|Output"),"OUT",""))</f>
        <v/>
      </c>
      <c r="H116" s="33" t="str">
        <f aca="false">IF(COUNTIF(Flows!$M$2:$M$1500,$A116&amp;"|"&amp;H$1&amp;"|Input"),IF(COUNTIF(Flows!$M$2:$M$1500,$A116&amp;"|"&amp;H$1&amp;"|Output"),"I/O","IN"),IF(COUNTIF(Flows!$M$2:$M$1500,$A116&amp;"|"&amp;H$1&amp;"|Output"),"OUT",""))</f>
        <v/>
      </c>
      <c r="I116" s="33" t="str">
        <f aca="false">IF(COUNTIF(Flows!$M$2:$M$1500,$A116&amp;"|"&amp;I$1&amp;"|Input"),IF(COUNTIF(Flows!$M$2:$M$1500,$A116&amp;"|"&amp;I$1&amp;"|Output"),"I/O","IN"),IF(COUNTIF(Flows!$M$2:$M$1500,$A116&amp;"|"&amp;I$1&amp;"|Output"),"OUT",""))</f>
        <v/>
      </c>
      <c r="J116" s="33" t="str">
        <f aca="false">IF(COUNTIF(Flows!$M$2:$M$1500,$A116&amp;"|"&amp;J$1&amp;"|Input"),IF(COUNTIF(Flows!$M$2:$M$1500,$A116&amp;"|"&amp;J$1&amp;"|Output"),"I/O","IN"),IF(COUNTIF(Flows!$M$2:$M$1500,$A116&amp;"|"&amp;J$1&amp;"|Output"),"OUT",""))</f>
        <v/>
      </c>
      <c r="K116" s="33" t="str">
        <f aca="false">IF(COUNTIF(Flows!$M$2:$M$1500,$A116&amp;"|"&amp;K$1&amp;"|Input"),IF(COUNTIF(Flows!$M$2:$M$1500,$A116&amp;"|"&amp;K$1&amp;"|Output"),"I/O","IN"),IF(COUNTIF(Flows!$M$2:$M$1500,$A116&amp;"|"&amp;K$1&amp;"|Output"),"OUT",""))</f>
        <v/>
      </c>
      <c r="L116" s="33" t="str">
        <f aca="false">IF(COUNTIF(Flows!$M$2:$M$1500,$A116&amp;"|"&amp;L$1&amp;"|Input"),IF(COUNTIF(Flows!$M$2:$M$1500,$A116&amp;"|"&amp;L$1&amp;"|Output"),"I/O","IN"),IF(COUNTIF(Flows!$M$2:$M$1500,$A116&amp;"|"&amp;L$1&amp;"|Output"),"OUT",""))</f>
        <v/>
      </c>
      <c r="M116" s="33" t="str">
        <f aca="false">IF(COUNTIF(Flows!$M$2:$M$1500,$A116&amp;"|"&amp;M$1&amp;"|Input"),IF(COUNTIF(Flows!$M$2:$M$1500,$A116&amp;"|"&amp;M$1&amp;"|Output"),"I/O","IN"),IF(COUNTIF(Flows!$M$2:$M$1500,$A116&amp;"|"&amp;M$1&amp;"|Output"),"OUT",""))</f>
        <v/>
      </c>
      <c r="N116" s="33" t="str">
        <f aca="false">IF(COUNTIF(Flows!$M$2:$M$1500,$A116&amp;"|"&amp;N$1&amp;"|Input"),IF(COUNTIF(Flows!$M$2:$M$1500,$A116&amp;"|"&amp;N$1&amp;"|Output"),"I/O","IN"),IF(COUNTIF(Flows!$M$2:$M$1500,$A116&amp;"|"&amp;N$1&amp;"|Output"),"OUT",""))</f>
        <v/>
      </c>
      <c r="O116" s="33" t="str">
        <f aca="false">IF(COUNTIF(Flows!$M$2:$M$1500,$A116&amp;"|"&amp;O$1&amp;"|Input"),IF(COUNTIF(Flows!$M$2:$M$1500,$A116&amp;"|"&amp;O$1&amp;"|Output"),"I/O","IN"),IF(COUNTIF(Flows!$M$2:$M$1500,$A116&amp;"|"&amp;O$1&amp;"|Output"),"OUT",""))</f>
        <v/>
      </c>
      <c r="P116" s="33" t="str">
        <f aca="false">IF(COUNTIF(Flows!$M$2:$M$1500,$A116&amp;"|"&amp;P$1&amp;"|Input"),IF(COUNTIF(Flows!$M$2:$M$1500,$A116&amp;"|"&amp;P$1&amp;"|Output"),"I/O","IN"),IF(COUNTIF(Flows!$M$2:$M$1500,$A116&amp;"|"&amp;P$1&amp;"|Output"),"OUT",""))</f>
        <v/>
      </c>
      <c r="Q116" s="33" t="str">
        <f aca="false">IF(COUNTIF(Flows!$M$2:$M$1500,$A116&amp;"|"&amp;Q$1&amp;"|Input"),IF(COUNTIF(Flows!$M$2:$M$1500,$A116&amp;"|"&amp;Q$1&amp;"|Output"),"I/O","IN"),IF(COUNTIF(Flows!$M$2:$M$1500,$A116&amp;"|"&amp;Q$1&amp;"|Output"),"OUT",""))</f>
        <v/>
      </c>
      <c r="R116" s="33" t="str">
        <f aca="false">IF(COUNTIF(Flows!$M$2:$M$1500,$A116&amp;"|"&amp;R$1&amp;"|Input"),IF(COUNTIF(Flows!$M$2:$M$1500,$A116&amp;"|"&amp;R$1&amp;"|Output"),"I/O","IN"),IF(COUNTIF(Flows!$M$2:$M$1500,$A116&amp;"|"&amp;R$1&amp;"|Output"),"OUT",""))</f>
        <v/>
      </c>
      <c r="S116" s="33" t="str">
        <f aca="false">IF(COUNTIF(Flows!$M$2:$M$1500,$A116&amp;"|"&amp;S$1&amp;"|Input"),IF(COUNTIF(Flows!$M$2:$M$1500,$A116&amp;"|"&amp;S$1&amp;"|Output"),"I/O","IN"),IF(COUNTIF(Flows!$M$2:$M$1500,$A116&amp;"|"&amp;S$1&amp;"|Output"),"OUT",""))</f>
        <v/>
      </c>
      <c r="T116" s="33" t="str">
        <f aca="false">IF(COUNTIF(Flows!$M$2:$M$1500,$A116&amp;"|"&amp;T$1&amp;"|Input"),IF(COUNTIF(Flows!$M$2:$M$1500,$A116&amp;"|"&amp;T$1&amp;"|Output"),"I/O","IN"),IF(COUNTIF(Flows!$M$2:$M$1500,$A116&amp;"|"&amp;T$1&amp;"|Output"),"OUT",""))</f>
        <v/>
      </c>
      <c r="U116" s="33" t="str">
        <f aca="false">IF(COUNTIF(Flows!$M$2:$M$1500,$A116&amp;"|"&amp;U$1&amp;"|Input"),IF(COUNTIF(Flows!$M$2:$M$1500,$A116&amp;"|"&amp;U$1&amp;"|Output"),"I/O","IN"),IF(COUNTIF(Flows!$M$2:$M$1500,$A116&amp;"|"&amp;U$1&amp;"|Output"),"OUT",""))</f>
        <v/>
      </c>
      <c r="V116" s="33" t="str">
        <f aca="false">IF(COUNTIF(Flows!$M$2:$M$1500,$A116&amp;"|"&amp;V$1&amp;"|Input"),IF(COUNTIF(Flows!$M$2:$M$1500,$A116&amp;"|"&amp;V$1&amp;"|Output"),"I/O","IN"),IF(COUNTIF(Flows!$M$2:$M$1500,$A116&amp;"|"&amp;V$1&amp;"|Output"),"OUT",""))</f>
        <v/>
      </c>
      <c r="W116" s="33" t="str">
        <f aca="false">IF(COUNTIF(Flows!$M$2:$M$1500,$A116&amp;"|"&amp;W$1&amp;"|Input"),IF(COUNTIF(Flows!$M$2:$M$1500,$A116&amp;"|"&amp;W$1&amp;"|Output"),"I/O","IN"),IF(COUNTIF(Flows!$M$2:$M$1500,$A116&amp;"|"&amp;W$1&amp;"|Output"),"OUT",""))</f>
        <v/>
      </c>
      <c r="X116" s="33" t="str">
        <f aca="false">IF(COUNTIF(Flows!$M$2:$M$1500,$A116&amp;"|"&amp;X$1&amp;"|Input"),IF(COUNTIF(Flows!$M$2:$M$1500,$A116&amp;"|"&amp;X$1&amp;"|Output"),"I/O","IN"),IF(COUNTIF(Flows!$M$2:$M$1500,$A116&amp;"|"&amp;X$1&amp;"|Output"),"OUT",""))</f>
        <v/>
      </c>
      <c r="Y116" s="33" t="str">
        <f aca="false">IF(COUNTIF(Flows!$M$2:$M$1500,$A116&amp;"|"&amp;Y$1&amp;"|Input"),IF(COUNTIF(Flows!$M$2:$M$1500,$A116&amp;"|"&amp;Y$1&amp;"|Output"),"I/O","IN"),IF(COUNTIF(Flows!$M$2:$M$1500,$A116&amp;"|"&amp;Y$1&amp;"|Output"),"OUT",""))</f>
        <v>IN</v>
      </c>
      <c r="Z116" s="33" t="str">
        <f aca="false">IF(COUNTIF(Flows!$M$2:$M$1500,$A116&amp;"|"&amp;Z$1&amp;"|Input"),IF(COUNTIF(Flows!$M$2:$M$1500,$A116&amp;"|"&amp;Z$1&amp;"|Output"),"I/O","IN"),IF(COUNTIF(Flows!$M$2:$M$1500,$A116&amp;"|"&amp;Z$1&amp;"|Output"),"OUT",""))</f>
        <v/>
      </c>
      <c r="AA116" s="33" t="str">
        <f aca="false">IF(COUNTIF(Flows!$M$2:$M$1500,$A116&amp;"|"&amp;AA$1&amp;"|Input"),IF(COUNTIF(Flows!$M$2:$M$1500,$A116&amp;"|"&amp;AA$1&amp;"|Output"),"I/O","IN"),IF(COUNTIF(Flows!$M$2:$M$1500,$A116&amp;"|"&amp;AA$1&amp;"|Output"),"OUT",""))</f>
        <v/>
      </c>
      <c r="AB116" s="33" t="str">
        <f aca="false">IF(COUNTIF(Flows!$M$2:$M$1500,$A116&amp;"|"&amp;AB$1&amp;"|Input"),IF(COUNTIF(Flows!$M$2:$M$1500,$A116&amp;"|"&amp;AB$1&amp;"|Output"),"I/O","IN"),IF(COUNTIF(Flows!$M$2:$M$1500,$A116&amp;"|"&amp;AB$1&amp;"|Output"),"OUT",""))</f>
        <v/>
      </c>
      <c r="AC116" s="33" t="str">
        <f aca="false">IF(COUNTIF(Flows!$M$2:$M$1500,$A116&amp;"|"&amp;AC$1&amp;"|Input"),IF(COUNTIF(Flows!$M$2:$M$1500,$A116&amp;"|"&amp;AC$1&amp;"|Output"),"I/O","IN"),IF(COUNTIF(Flows!$M$2:$M$1500,$A116&amp;"|"&amp;AC$1&amp;"|Output"),"OUT",""))</f>
        <v/>
      </c>
      <c r="AD116" s="33" t="str">
        <f aca="false">IF(COUNTIF(Flows!$M$2:$M$1500,$A116&amp;"|"&amp;AD$1&amp;"|Input"),IF(COUNTIF(Flows!$M$2:$M$1500,$A116&amp;"|"&amp;AD$1&amp;"|Output"),"I/O","IN"),IF(COUNTIF(Flows!$M$2:$M$1500,$A116&amp;"|"&amp;AD$1&amp;"|Output"),"OUT",""))</f>
        <v/>
      </c>
      <c r="AE116" s="33" t="str">
        <f aca="false">IF(COUNTIF(Flows!$M$2:$M$1500,$A116&amp;"|"&amp;AE$1&amp;"|Input"),IF(COUNTIF(Flows!$M$2:$M$1500,$A116&amp;"|"&amp;AE$1&amp;"|Output"),"I/O","IN"),IF(COUNTIF(Flows!$M$2:$M$1500,$A116&amp;"|"&amp;AE$1&amp;"|Output"),"OUT",""))</f>
        <v/>
      </c>
      <c r="AF116" s="33" t="str">
        <f aca="false">IF(COUNTIF(Flows!$M$2:$M$1500,$A116&amp;"|"&amp;AF$1&amp;"|Input"),IF(COUNTIF(Flows!$M$2:$M$1500,$A116&amp;"|"&amp;AF$1&amp;"|Output"),"I/O","IN"),IF(COUNTIF(Flows!$M$2:$M$1500,$A116&amp;"|"&amp;AF$1&amp;"|Output"),"OUT",""))</f>
        <v/>
      </c>
      <c r="AG116" s="33" t="str">
        <f aca="false">IF(COUNTIF(Flows!$M$2:$M$1500,$A116&amp;"|"&amp;AG$1&amp;"|Input"),IF(COUNTIF(Flows!$M$2:$M$1500,$A116&amp;"|"&amp;AG$1&amp;"|Output"),"I/O","IN"),IF(COUNTIF(Flows!$M$2:$M$1500,$A116&amp;"|"&amp;AG$1&amp;"|Output"),"OUT",""))</f>
        <v/>
      </c>
      <c r="AH116" s="33" t="str">
        <f aca="false">IF(COUNTIF(Flows!$M$2:$M$1500,$A116&amp;"|"&amp;AH$1&amp;"|Input"),IF(COUNTIF(Flows!$M$2:$M$1500,$A116&amp;"|"&amp;AH$1&amp;"|Output"),"I/O","IN"),IF(COUNTIF(Flows!$M$2:$M$1500,$A116&amp;"|"&amp;AH$1&amp;"|Output"),"OUT",""))</f>
        <v/>
      </c>
      <c r="AI116" s="33" t="str">
        <f aca="false">IF(COUNTIF(Flows!$M$2:$M$1500,$A116&amp;"|"&amp;AI$1&amp;"|Input"),IF(COUNTIF(Flows!$M$2:$M$1500,$A116&amp;"|"&amp;AI$1&amp;"|Output"),"I/O","IN"),IF(COUNTIF(Flows!$M$2:$M$1500,$A116&amp;"|"&amp;AI$1&amp;"|Output"),"OUT",""))</f>
        <v/>
      </c>
      <c r="AJ116" s="33" t="str">
        <f aca="false">IF(COUNTIF(Flows!$M$2:$M$1500,$A116&amp;"|"&amp;AJ$1&amp;"|Input"),IF(COUNTIF(Flows!$M$2:$M$1500,$A116&amp;"|"&amp;AJ$1&amp;"|Output"),"I/O","IN"),IF(COUNTIF(Flows!$M$2:$M$1500,$A116&amp;"|"&amp;AJ$1&amp;"|Output"),"OUT",""))</f>
        <v/>
      </c>
      <c r="AK116" s="33" t="str">
        <f aca="false">IF(COUNTIF(Flows!$M$2:$M$1500,$A116&amp;"|"&amp;AK$1&amp;"|Input"),IF(COUNTIF(Flows!$M$2:$M$1500,$A116&amp;"|"&amp;AK$1&amp;"|Output"),"I/O","IN"),IF(COUNTIF(Flows!$M$2:$M$1500,$A116&amp;"|"&amp;AK$1&amp;"|Output"),"OUT",""))</f>
        <v/>
      </c>
      <c r="AL116" s="33" t="str">
        <f aca="false">IF(COUNTIF(Flows!$M$2:$M$1500,$A116&amp;"|"&amp;AL$1&amp;"|Input"),IF(COUNTIF(Flows!$M$2:$M$1500,$A116&amp;"|"&amp;AL$1&amp;"|Output"),"I/O","IN"),IF(COUNTIF(Flows!$M$2:$M$1500,$A116&amp;"|"&amp;AL$1&amp;"|Output"),"OUT",""))</f>
        <v/>
      </c>
      <c r="AM116" s="33" t="str">
        <f aca="false">IF(COUNTIF(Flows!$M$2:$M$1500,$A116&amp;"|"&amp;AM$1&amp;"|Input"),IF(COUNTIF(Flows!$M$2:$M$1500,$A116&amp;"|"&amp;AM$1&amp;"|Output"),"I/O","IN"),IF(COUNTIF(Flows!$M$2:$M$1500,$A116&amp;"|"&amp;AM$1&amp;"|Output"),"OUT",""))</f>
        <v/>
      </c>
      <c r="AN116" s="33" t="str">
        <f aca="false">IF(COUNTIF(Flows!$M$2:$M$1500,$A116&amp;"|"&amp;AN$1&amp;"|Input"),IF(COUNTIF(Flows!$M$2:$M$1500,$A116&amp;"|"&amp;AN$1&amp;"|Output"),"I/O","IN"),IF(COUNTIF(Flows!$M$2:$M$1500,$A116&amp;"|"&amp;AN$1&amp;"|Output"),"OUT",""))</f>
        <v/>
      </c>
      <c r="AO116" s="33" t="str">
        <f aca="false">IF(COUNTIF(Flows!$M$2:$M$1500,$A116&amp;"|"&amp;AO$1&amp;"|Input"),IF(COUNTIF(Flows!$M$2:$M$1500,$A116&amp;"|"&amp;AO$1&amp;"|Output"),"I/O","IN"),IF(COUNTIF(Flows!$M$2:$M$1500,$A116&amp;"|"&amp;AO$1&amp;"|Output"),"OUT",""))</f>
        <v/>
      </c>
      <c r="AP116" s="33" t="str">
        <f aca="false">IF(COUNTIF(Flows!$M$2:$M$1500,$A116&amp;"|"&amp;AP$1&amp;"|Input"),IF(COUNTIF(Flows!$M$2:$M$1500,$A116&amp;"|"&amp;AP$1&amp;"|Output"),"I/O","IN"),IF(COUNTIF(Flows!$M$2:$M$1500,$A116&amp;"|"&amp;AP$1&amp;"|Output"),"OUT",""))</f>
        <v/>
      </c>
      <c r="AQ116" s="33" t="str">
        <f aca="false">IF(COUNTIF(Flows!$M$2:$M$1500,$A116&amp;"|"&amp;AQ$1&amp;"|Input"),IF(COUNTIF(Flows!$M$2:$M$1500,$A116&amp;"|"&amp;AQ$1&amp;"|Output"),"I/O","IN"),IF(COUNTIF(Flows!$M$2:$M$1500,$A116&amp;"|"&amp;AQ$1&amp;"|Output"),"OUT",""))</f>
        <v/>
      </c>
      <c r="AR116" s="33" t="str">
        <f aca="false">IF(COUNTIF(Flows!$M$2:$M$1500,$A116&amp;"|"&amp;AR$1&amp;"|Input"),IF(COUNTIF(Flows!$M$2:$M$1500,$A116&amp;"|"&amp;AR$1&amp;"|Output"),"I/O","IN"),IF(COUNTIF(Flows!$M$2:$M$1500,$A116&amp;"|"&amp;AR$1&amp;"|Output"),"OUT",""))</f>
        <v/>
      </c>
      <c r="AS116" s="33" t="str">
        <f aca="false">IF(COUNTIF(Flows!$M$2:$M$1500,$A116&amp;"|"&amp;AS$1&amp;"|Input"),IF(COUNTIF(Flows!$M$2:$M$1500,$A116&amp;"|"&amp;AS$1&amp;"|Output"),"I/O","IN"),IF(COUNTIF(Flows!$M$2:$M$1500,$A116&amp;"|"&amp;AS$1&amp;"|Output"),"OUT",""))</f>
        <v/>
      </c>
      <c r="AT116" s="33" t="str">
        <f aca="false">IF(COUNTIF(Flows!$M$2:$M$1500,$A116&amp;"|"&amp;AT$1&amp;"|Input"),IF(COUNTIF(Flows!$M$2:$M$1500,$A116&amp;"|"&amp;AT$1&amp;"|Output"),"I/O","IN"),IF(COUNTIF(Flows!$M$2:$M$1500,$A116&amp;"|"&amp;AT$1&amp;"|Output"),"OUT",""))</f>
        <v/>
      </c>
      <c r="AU116" s="33" t="str">
        <f aca="false">IF(COUNTIF(Flows!$M$2:$M$1500,$A116&amp;"|"&amp;AU$1&amp;"|Input"),IF(COUNTIF(Flows!$M$2:$M$1500,$A116&amp;"|"&amp;AU$1&amp;"|Output"),"I/O","IN"),IF(COUNTIF(Flows!$M$2:$M$1500,$A116&amp;"|"&amp;AU$1&amp;"|Output"),"OUT",""))</f>
        <v/>
      </c>
      <c r="AV116" s="33" t="str">
        <f aca="false">IF(COUNTIF(Flows!$M$2:$M$1500,$A116&amp;"|"&amp;AV$1&amp;"|Input"),IF(COUNTIF(Flows!$M$2:$M$1500,$A116&amp;"|"&amp;AV$1&amp;"|Output"),"I/O","IN"),IF(COUNTIF(Flows!$M$2:$M$1500,$A116&amp;"|"&amp;AV$1&amp;"|Output"),"OUT",""))</f>
        <v/>
      </c>
      <c r="AW116" s="33" t="str">
        <f aca="false">IF(COUNTIF(Flows!$M$2:$M$1500,$A116&amp;"|"&amp;AW$1&amp;"|Input"),IF(COUNTIF(Flows!$M$2:$M$1500,$A116&amp;"|"&amp;AW$1&amp;"|Output"),"I/O","IN"),IF(COUNTIF(Flows!$M$2:$M$1500,$A116&amp;"|"&amp;AW$1&amp;"|Output"),"OUT",""))</f>
        <v/>
      </c>
      <c r="AX116" s="33" t="str">
        <f aca="false">IF(COUNTIF(Flows!$M$2:$M$1500,$A116&amp;"|"&amp;AX$1&amp;"|Input"),IF(COUNTIF(Flows!$M$2:$M$1500,$A116&amp;"|"&amp;AX$1&amp;"|Output"),"I/O","IN"),IF(COUNTIF(Flows!$M$2:$M$1500,$A116&amp;"|"&amp;AX$1&amp;"|Output"),"OUT",""))</f>
        <v/>
      </c>
      <c r="AY116" s="33" t="str">
        <f aca="false">IF(COUNTIF(Flows!$M$2:$M$1500,$A116&amp;"|"&amp;AY$1&amp;"|Input"),IF(COUNTIF(Flows!$M$2:$M$1500,$A116&amp;"|"&amp;AY$1&amp;"|Output"),"I/O","IN"),IF(COUNTIF(Flows!$M$2:$M$1500,$A116&amp;"|"&amp;AY$1&amp;"|Output"),"OUT",""))</f>
        <v/>
      </c>
      <c r="AZ116" s="33" t="str">
        <f aca="false">IF(COUNTIF(Flows!$M$2:$M$1500,$A116&amp;"|"&amp;AZ$1&amp;"|Input"),IF(COUNTIF(Flows!$M$2:$M$1500,$A116&amp;"|"&amp;AZ$1&amp;"|Output"),"I/O","IN"),IF(COUNTIF(Flows!$M$2:$M$1500,$A116&amp;"|"&amp;AZ$1&amp;"|Output"),"OUT",""))</f>
        <v/>
      </c>
      <c r="BA116" s="33" t="str">
        <f aca="false">IF(COUNTIF(Flows!$M$2:$M$1500,$A116&amp;"|"&amp;BA$1&amp;"|Input"),IF(COUNTIF(Flows!$M$2:$M$1500,$A116&amp;"|"&amp;BA$1&amp;"|Output"),"I/O","IN"),IF(COUNTIF(Flows!$M$2:$M$1500,$A116&amp;"|"&amp;BA$1&amp;"|Output"),"OUT",""))</f>
        <v/>
      </c>
      <c r="BB116" s="33" t="str">
        <f aca="false">IF(COUNTIF(Flows!$M$2:$M$1500,$A116&amp;"|"&amp;BB$1&amp;"|Input"),IF(COUNTIF(Flows!$M$2:$M$1500,$A116&amp;"|"&amp;BB$1&amp;"|Output"),"I/O","IN"),IF(COUNTIF(Flows!$M$2:$M$1500,$A116&amp;"|"&amp;BB$1&amp;"|Output"),"OUT",""))</f>
        <v/>
      </c>
      <c r="BC116" s="33" t="str">
        <f aca="false">IF(COUNTIF(Flows!$M$2:$M$1500,$A116&amp;"|"&amp;BC$1&amp;"|Input"),IF(COUNTIF(Flows!$M$2:$M$1500,$A116&amp;"|"&amp;BC$1&amp;"|Output"),"I/O","IN"),IF(COUNTIF(Flows!$M$2:$M$1500,$A116&amp;"|"&amp;BC$1&amp;"|Output"),"OUT",""))</f>
        <v/>
      </c>
      <c r="BD116" s="33" t="str">
        <f aca="false">IF(COUNTIF(Flows!$M$2:$M$1500,$A116&amp;"|"&amp;BD$1&amp;"|Input"),IF(COUNTIF(Flows!$M$2:$M$1500,$A116&amp;"|"&amp;BD$1&amp;"|Output"),"I/O","IN"),IF(COUNTIF(Flows!$M$2:$M$1500,$A116&amp;"|"&amp;BD$1&amp;"|Output"),"OUT",""))</f>
        <v/>
      </c>
      <c r="BE116" s="33" t="str">
        <f aca="false">IF(COUNTIF(Flows!$M$2:$M$1500,$A116&amp;"|"&amp;BE$1&amp;"|Input"),IF(COUNTIF(Flows!$M$2:$M$1500,$A116&amp;"|"&amp;BE$1&amp;"|Output"),"I/O","IN"),IF(COUNTIF(Flows!$M$2:$M$1500,$A116&amp;"|"&amp;BE$1&amp;"|Output"),"OUT",""))</f>
        <v>OUT</v>
      </c>
      <c r="BF116" s="33" t="str">
        <f aca="false">IF(COUNTIF(Flows!$M$2:$M$1500,$A116&amp;"|"&amp;BF$1&amp;"|Input"),IF(COUNTIF(Flows!$M$2:$M$1500,$A116&amp;"|"&amp;BF$1&amp;"|Output"),"I/O","IN"),IF(COUNTIF(Flows!$M$2:$M$1500,$A116&amp;"|"&amp;BF$1&amp;"|Output"),"OUT",""))</f>
        <v/>
      </c>
      <c r="BG116" s="33" t="str">
        <f aca="false">IF(COUNTIF(Flows!$M$2:$M$1500,$A116&amp;"|"&amp;BG$1&amp;"|Input"),IF(COUNTIF(Flows!$M$2:$M$1500,$A116&amp;"|"&amp;BG$1&amp;"|Output"),"I/O","IN"),IF(COUNTIF(Flows!$M$2:$M$1500,$A116&amp;"|"&amp;BG$1&amp;"|Output"),"OUT",""))</f>
        <v/>
      </c>
      <c r="BH116" s="33" t="str">
        <f aca="false">IF(COUNTIF(Flows!$M$2:$M$1500,$A116&amp;"|"&amp;BH$1&amp;"|Input"),IF(COUNTIF(Flows!$M$2:$M$1500,$A116&amp;"|"&amp;BH$1&amp;"|Output"),"I/O","IN"),IF(COUNTIF(Flows!$M$2:$M$1500,$A116&amp;"|"&amp;BH$1&amp;"|Output"),"OUT",""))</f>
        <v/>
      </c>
      <c r="BI116" s="33" t="str">
        <f aca="false">IF(COUNTIF(Flows!$M$2:$M$1500,$A116&amp;"|"&amp;BI$1&amp;"|Input"),IF(COUNTIF(Flows!$M$2:$M$1500,$A116&amp;"|"&amp;BI$1&amp;"|Output"),"I/O","IN"),IF(COUNTIF(Flows!$M$2:$M$1500,$A116&amp;"|"&amp;BI$1&amp;"|Output"),"OUT",""))</f>
        <v/>
      </c>
      <c r="BJ116" s="33" t="str">
        <f aca="false">IF(COUNTIF(Flows!$M$2:$M$1500,$A116&amp;"|"&amp;BJ$1&amp;"|Input"),IF(COUNTIF(Flows!$M$2:$M$1500,$A116&amp;"|"&amp;BJ$1&amp;"|Output"),"I/O","IN"),IF(COUNTIF(Flows!$M$2:$M$1500,$A116&amp;"|"&amp;BJ$1&amp;"|Output"),"OUT",""))</f>
        <v/>
      </c>
      <c r="BK116" s="33" t="str">
        <f aca="false">IF(COUNTIF(Flows!$M$2:$M$1500,$A116&amp;"|"&amp;BK$1&amp;"|Input"),IF(COUNTIF(Flows!$M$2:$M$1500,$A116&amp;"|"&amp;BK$1&amp;"|Output"),"I/O","IN"),IF(COUNTIF(Flows!$M$2:$M$1500,$A116&amp;"|"&amp;BK$1&amp;"|Output"),"OUT",""))</f>
        <v/>
      </c>
    </row>
    <row r="117" customFormat="false" ht="15" hidden="false" customHeight="true" outlineLevel="0" collapsed="false">
      <c r="A117" s="6" t="str">
        <f aca="false">Systems!B117</f>
        <v>Root Cellar</v>
      </c>
      <c r="B117" s="33" t="str">
        <f aca="false">IF(COUNTIF(Flows!$M$2:$M$1500,$A117&amp;"|"&amp;B$1&amp;"|Input"),IF(COUNTIF(Flows!$M$2:$M$1500,$A117&amp;"|"&amp;B$1&amp;"|Output"),"I/O","IN"),IF(COUNTIF(Flows!$M$2:$M$1500,$A117&amp;"|"&amp;B$1&amp;"|Output"),"OUT",""))</f>
        <v/>
      </c>
      <c r="C117" s="33" t="str">
        <f aca="false">IF(COUNTIF(Flows!$M$2:$M$1500,$A117&amp;"|"&amp;C$1&amp;"|Input"),IF(COUNTIF(Flows!$M$2:$M$1500,$A117&amp;"|"&amp;C$1&amp;"|Output"),"I/O","IN"),IF(COUNTIF(Flows!$M$2:$M$1500,$A117&amp;"|"&amp;C$1&amp;"|Output"),"OUT",""))</f>
        <v/>
      </c>
      <c r="D117" s="33" t="str">
        <f aca="false">IF(COUNTIF(Flows!$M$2:$M$1500,$A117&amp;"|"&amp;D$1&amp;"|Input"),IF(COUNTIF(Flows!$M$2:$M$1500,$A117&amp;"|"&amp;D$1&amp;"|Output"),"I/O","IN"),IF(COUNTIF(Flows!$M$2:$M$1500,$A117&amp;"|"&amp;D$1&amp;"|Output"),"OUT",""))</f>
        <v/>
      </c>
      <c r="E117" s="33" t="str">
        <f aca="false">IF(COUNTIF(Flows!$M$2:$M$1500,$A117&amp;"|"&amp;E$1&amp;"|Input"),IF(COUNTIF(Flows!$M$2:$M$1500,$A117&amp;"|"&amp;E$1&amp;"|Output"),"I/O","IN"),IF(COUNTIF(Flows!$M$2:$M$1500,$A117&amp;"|"&amp;E$1&amp;"|Output"),"OUT",""))</f>
        <v/>
      </c>
      <c r="F117" s="33" t="str">
        <f aca="false">IF(COUNTIF(Flows!$M$2:$M$1500,$A117&amp;"|"&amp;F$1&amp;"|Input"),IF(COUNTIF(Flows!$M$2:$M$1500,$A117&amp;"|"&amp;F$1&amp;"|Output"),"I/O","IN"),IF(COUNTIF(Flows!$M$2:$M$1500,$A117&amp;"|"&amp;F$1&amp;"|Output"),"OUT",""))</f>
        <v/>
      </c>
      <c r="G117" s="33" t="str">
        <f aca="false">IF(COUNTIF(Flows!$M$2:$M$1500,$A117&amp;"|"&amp;G$1&amp;"|Input"),IF(COUNTIF(Flows!$M$2:$M$1500,$A117&amp;"|"&amp;G$1&amp;"|Output"),"I/O","IN"),IF(COUNTIF(Flows!$M$2:$M$1500,$A117&amp;"|"&amp;G$1&amp;"|Output"),"OUT",""))</f>
        <v/>
      </c>
      <c r="H117" s="33" t="str">
        <f aca="false">IF(COUNTIF(Flows!$M$2:$M$1500,$A117&amp;"|"&amp;H$1&amp;"|Input"),IF(COUNTIF(Flows!$M$2:$M$1500,$A117&amp;"|"&amp;H$1&amp;"|Output"),"I/O","IN"),IF(COUNTIF(Flows!$M$2:$M$1500,$A117&amp;"|"&amp;H$1&amp;"|Output"),"OUT",""))</f>
        <v/>
      </c>
      <c r="I117" s="33" t="str">
        <f aca="false">IF(COUNTIF(Flows!$M$2:$M$1500,$A117&amp;"|"&amp;I$1&amp;"|Input"),IF(COUNTIF(Flows!$M$2:$M$1500,$A117&amp;"|"&amp;I$1&amp;"|Output"),"I/O","IN"),IF(COUNTIF(Flows!$M$2:$M$1500,$A117&amp;"|"&amp;I$1&amp;"|Output"),"OUT",""))</f>
        <v/>
      </c>
      <c r="J117" s="33" t="str">
        <f aca="false">IF(COUNTIF(Flows!$M$2:$M$1500,$A117&amp;"|"&amp;J$1&amp;"|Input"),IF(COUNTIF(Flows!$M$2:$M$1500,$A117&amp;"|"&amp;J$1&amp;"|Output"),"I/O","IN"),IF(COUNTIF(Flows!$M$2:$M$1500,$A117&amp;"|"&amp;J$1&amp;"|Output"),"OUT",""))</f>
        <v/>
      </c>
      <c r="K117" s="33" t="str">
        <f aca="false">IF(COUNTIF(Flows!$M$2:$M$1500,$A117&amp;"|"&amp;K$1&amp;"|Input"),IF(COUNTIF(Flows!$M$2:$M$1500,$A117&amp;"|"&amp;K$1&amp;"|Output"),"I/O","IN"),IF(COUNTIF(Flows!$M$2:$M$1500,$A117&amp;"|"&amp;K$1&amp;"|Output"),"OUT",""))</f>
        <v/>
      </c>
      <c r="L117" s="33" t="str">
        <f aca="false">IF(COUNTIF(Flows!$M$2:$M$1500,$A117&amp;"|"&amp;L$1&amp;"|Input"),IF(COUNTIF(Flows!$M$2:$M$1500,$A117&amp;"|"&amp;L$1&amp;"|Output"),"I/O","IN"),IF(COUNTIF(Flows!$M$2:$M$1500,$A117&amp;"|"&amp;L$1&amp;"|Output"),"OUT",""))</f>
        <v/>
      </c>
      <c r="M117" s="33" t="str">
        <f aca="false">IF(COUNTIF(Flows!$M$2:$M$1500,$A117&amp;"|"&amp;M$1&amp;"|Input"),IF(COUNTIF(Flows!$M$2:$M$1500,$A117&amp;"|"&amp;M$1&amp;"|Output"),"I/O","IN"),IF(COUNTIF(Flows!$M$2:$M$1500,$A117&amp;"|"&amp;M$1&amp;"|Output"),"OUT",""))</f>
        <v/>
      </c>
      <c r="N117" s="33" t="str">
        <f aca="false">IF(COUNTIF(Flows!$M$2:$M$1500,$A117&amp;"|"&amp;N$1&amp;"|Input"),IF(COUNTIF(Flows!$M$2:$M$1500,$A117&amp;"|"&amp;N$1&amp;"|Output"),"I/O","IN"),IF(COUNTIF(Flows!$M$2:$M$1500,$A117&amp;"|"&amp;N$1&amp;"|Output"),"OUT",""))</f>
        <v/>
      </c>
      <c r="O117" s="33" t="str">
        <f aca="false">IF(COUNTIF(Flows!$M$2:$M$1500,$A117&amp;"|"&amp;O$1&amp;"|Input"),IF(COUNTIF(Flows!$M$2:$M$1500,$A117&amp;"|"&amp;O$1&amp;"|Output"),"I/O","IN"),IF(COUNTIF(Flows!$M$2:$M$1500,$A117&amp;"|"&amp;O$1&amp;"|Output"),"OUT",""))</f>
        <v/>
      </c>
      <c r="P117" s="33" t="str">
        <f aca="false">IF(COUNTIF(Flows!$M$2:$M$1500,$A117&amp;"|"&amp;P$1&amp;"|Input"),IF(COUNTIF(Flows!$M$2:$M$1500,$A117&amp;"|"&amp;P$1&amp;"|Output"),"I/O","IN"),IF(COUNTIF(Flows!$M$2:$M$1500,$A117&amp;"|"&amp;P$1&amp;"|Output"),"OUT",""))</f>
        <v/>
      </c>
      <c r="Q117" s="33" t="str">
        <f aca="false">IF(COUNTIF(Flows!$M$2:$M$1500,$A117&amp;"|"&amp;Q$1&amp;"|Input"),IF(COUNTIF(Flows!$M$2:$M$1500,$A117&amp;"|"&amp;Q$1&amp;"|Output"),"I/O","IN"),IF(COUNTIF(Flows!$M$2:$M$1500,$A117&amp;"|"&amp;Q$1&amp;"|Output"),"OUT",""))</f>
        <v/>
      </c>
      <c r="R117" s="33" t="str">
        <f aca="false">IF(COUNTIF(Flows!$M$2:$M$1500,$A117&amp;"|"&amp;R$1&amp;"|Input"),IF(COUNTIF(Flows!$M$2:$M$1500,$A117&amp;"|"&amp;R$1&amp;"|Output"),"I/O","IN"),IF(COUNTIF(Flows!$M$2:$M$1500,$A117&amp;"|"&amp;R$1&amp;"|Output"),"OUT",""))</f>
        <v/>
      </c>
      <c r="S117" s="33" t="str">
        <f aca="false">IF(COUNTIF(Flows!$M$2:$M$1500,$A117&amp;"|"&amp;S$1&amp;"|Input"),IF(COUNTIF(Flows!$M$2:$M$1500,$A117&amp;"|"&amp;S$1&amp;"|Output"),"I/O","IN"),IF(COUNTIF(Flows!$M$2:$M$1500,$A117&amp;"|"&amp;S$1&amp;"|Output"),"OUT",""))</f>
        <v/>
      </c>
      <c r="T117" s="33" t="str">
        <f aca="false">IF(COUNTIF(Flows!$M$2:$M$1500,$A117&amp;"|"&amp;T$1&amp;"|Input"),IF(COUNTIF(Flows!$M$2:$M$1500,$A117&amp;"|"&amp;T$1&amp;"|Output"),"I/O","IN"),IF(COUNTIF(Flows!$M$2:$M$1500,$A117&amp;"|"&amp;T$1&amp;"|Output"),"OUT",""))</f>
        <v/>
      </c>
      <c r="U117" s="33" t="str">
        <f aca="false">IF(COUNTIF(Flows!$M$2:$M$1500,$A117&amp;"|"&amp;U$1&amp;"|Input"),IF(COUNTIF(Flows!$M$2:$M$1500,$A117&amp;"|"&amp;U$1&amp;"|Output"),"I/O","IN"),IF(COUNTIF(Flows!$M$2:$M$1500,$A117&amp;"|"&amp;U$1&amp;"|Output"),"OUT",""))</f>
        <v/>
      </c>
      <c r="V117" s="33" t="str">
        <f aca="false">IF(COUNTIF(Flows!$M$2:$M$1500,$A117&amp;"|"&amp;V$1&amp;"|Input"),IF(COUNTIF(Flows!$M$2:$M$1500,$A117&amp;"|"&amp;V$1&amp;"|Output"),"I/O","IN"),IF(COUNTIF(Flows!$M$2:$M$1500,$A117&amp;"|"&amp;V$1&amp;"|Output"),"OUT",""))</f>
        <v/>
      </c>
      <c r="W117" s="33" t="str">
        <f aca="false">IF(COUNTIF(Flows!$M$2:$M$1500,$A117&amp;"|"&amp;W$1&amp;"|Input"),IF(COUNTIF(Flows!$M$2:$M$1500,$A117&amp;"|"&amp;W$1&amp;"|Output"),"I/O","IN"),IF(COUNTIF(Flows!$M$2:$M$1500,$A117&amp;"|"&amp;W$1&amp;"|Output"),"OUT",""))</f>
        <v/>
      </c>
      <c r="X117" s="33" t="str">
        <f aca="false">IF(COUNTIF(Flows!$M$2:$M$1500,$A117&amp;"|"&amp;X$1&amp;"|Input"),IF(COUNTIF(Flows!$M$2:$M$1500,$A117&amp;"|"&amp;X$1&amp;"|Output"),"I/O","IN"),IF(COUNTIF(Flows!$M$2:$M$1500,$A117&amp;"|"&amp;X$1&amp;"|Output"),"OUT",""))</f>
        <v>IN</v>
      </c>
      <c r="Y117" s="33" t="str">
        <f aca="false">IF(COUNTIF(Flows!$M$2:$M$1500,$A117&amp;"|"&amp;Y$1&amp;"|Input"),IF(COUNTIF(Flows!$M$2:$M$1500,$A117&amp;"|"&amp;Y$1&amp;"|Output"),"I/O","IN"),IF(COUNTIF(Flows!$M$2:$M$1500,$A117&amp;"|"&amp;Y$1&amp;"|Output"),"OUT",""))</f>
        <v/>
      </c>
      <c r="Z117" s="33" t="str">
        <f aca="false">IF(COUNTIF(Flows!$M$2:$M$1500,$A117&amp;"|"&amp;Z$1&amp;"|Input"),IF(COUNTIF(Flows!$M$2:$M$1500,$A117&amp;"|"&amp;Z$1&amp;"|Output"),"I/O","IN"),IF(COUNTIF(Flows!$M$2:$M$1500,$A117&amp;"|"&amp;Z$1&amp;"|Output"),"OUT",""))</f>
        <v/>
      </c>
      <c r="AA117" s="33" t="str">
        <f aca="false">IF(COUNTIF(Flows!$M$2:$M$1500,$A117&amp;"|"&amp;AA$1&amp;"|Input"),IF(COUNTIF(Flows!$M$2:$M$1500,$A117&amp;"|"&amp;AA$1&amp;"|Output"),"I/O","IN"),IF(COUNTIF(Flows!$M$2:$M$1500,$A117&amp;"|"&amp;AA$1&amp;"|Output"),"OUT",""))</f>
        <v/>
      </c>
      <c r="AB117" s="33" t="str">
        <f aca="false">IF(COUNTIF(Flows!$M$2:$M$1500,$A117&amp;"|"&amp;AB$1&amp;"|Input"),IF(COUNTIF(Flows!$M$2:$M$1500,$A117&amp;"|"&amp;AB$1&amp;"|Output"),"I/O","IN"),IF(COUNTIF(Flows!$M$2:$M$1500,$A117&amp;"|"&amp;AB$1&amp;"|Output"),"OUT",""))</f>
        <v/>
      </c>
      <c r="AC117" s="33" t="str">
        <f aca="false">IF(COUNTIF(Flows!$M$2:$M$1500,$A117&amp;"|"&amp;AC$1&amp;"|Input"),IF(COUNTIF(Flows!$M$2:$M$1500,$A117&amp;"|"&amp;AC$1&amp;"|Output"),"I/O","IN"),IF(COUNTIF(Flows!$M$2:$M$1500,$A117&amp;"|"&amp;AC$1&amp;"|Output"),"OUT",""))</f>
        <v/>
      </c>
      <c r="AD117" s="33" t="str">
        <f aca="false">IF(COUNTIF(Flows!$M$2:$M$1500,$A117&amp;"|"&amp;AD$1&amp;"|Input"),IF(COUNTIF(Flows!$M$2:$M$1500,$A117&amp;"|"&amp;AD$1&amp;"|Output"),"I/O","IN"),IF(COUNTIF(Flows!$M$2:$M$1500,$A117&amp;"|"&amp;AD$1&amp;"|Output"),"OUT",""))</f>
        <v/>
      </c>
      <c r="AE117" s="33" t="str">
        <f aca="false">IF(COUNTIF(Flows!$M$2:$M$1500,$A117&amp;"|"&amp;AE$1&amp;"|Input"),IF(COUNTIF(Flows!$M$2:$M$1500,$A117&amp;"|"&amp;AE$1&amp;"|Output"),"I/O","IN"),IF(COUNTIF(Flows!$M$2:$M$1500,$A117&amp;"|"&amp;AE$1&amp;"|Output"),"OUT",""))</f>
        <v/>
      </c>
      <c r="AF117" s="33" t="str">
        <f aca="false">IF(COUNTIF(Flows!$M$2:$M$1500,$A117&amp;"|"&amp;AF$1&amp;"|Input"),IF(COUNTIF(Flows!$M$2:$M$1500,$A117&amp;"|"&amp;AF$1&amp;"|Output"),"I/O","IN"),IF(COUNTIF(Flows!$M$2:$M$1500,$A117&amp;"|"&amp;AF$1&amp;"|Output"),"OUT",""))</f>
        <v/>
      </c>
      <c r="AG117" s="33" t="str">
        <f aca="false">IF(COUNTIF(Flows!$M$2:$M$1500,$A117&amp;"|"&amp;AG$1&amp;"|Input"),IF(COUNTIF(Flows!$M$2:$M$1500,$A117&amp;"|"&amp;AG$1&amp;"|Output"),"I/O","IN"),IF(COUNTIF(Flows!$M$2:$M$1500,$A117&amp;"|"&amp;AG$1&amp;"|Output"),"OUT",""))</f>
        <v>OUT</v>
      </c>
      <c r="AH117" s="33" t="str">
        <f aca="false">IF(COUNTIF(Flows!$M$2:$M$1500,$A117&amp;"|"&amp;AH$1&amp;"|Input"),IF(COUNTIF(Flows!$M$2:$M$1500,$A117&amp;"|"&amp;AH$1&amp;"|Output"),"I/O","IN"),IF(COUNTIF(Flows!$M$2:$M$1500,$A117&amp;"|"&amp;AH$1&amp;"|Output"),"OUT",""))</f>
        <v/>
      </c>
      <c r="AI117" s="33" t="str">
        <f aca="false">IF(COUNTIF(Flows!$M$2:$M$1500,$A117&amp;"|"&amp;AI$1&amp;"|Input"),IF(COUNTIF(Flows!$M$2:$M$1500,$A117&amp;"|"&amp;AI$1&amp;"|Output"),"I/O","IN"),IF(COUNTIF(Flows!$M$2:$M$1500,$A117&amp;"|"&amp;AI$1&amp;"|Output"),"OUT",""))</f>
        <v/>
      </c>
      <c r="AJ117" s="33" t="str">
        <f aca="false">IF(COUNTIF(Flows!$M$2:$M$1500,$A117&amp;"|"&amp;AJ$1&amp;"|Input"),IF(COUNTIF(Flows!$M$2:$M$1500,$A117&amp;"|"&amp;AJ$1&amp;"|Output"),"I/O","IN"),IF(COUNTIF(Flows!$M$2:$M$1500,$A117&amp;"|"&amp;AJ$1&amp;"|Output"),"OUT",""))</f>
        <v/>
      </c>
      <c r="AK117" s="33" t="str">
        <f aca="false">IF(COUNTIF(Flows!$M$2:$M$1500,$A117&amp;"|"&amp;AK$1&amp;"|Input"),IF(COUNTIF(Flows!$M$2:$M$1500,$A117&amp;"|"&amp;AK$1&amp;"|Output"),"I/O","IN"),IF(COUNTIF(Flows!$M$2:$M$1500,$A117&amp;"|"&amp;AK$1&amp;"|Output"),"OUT",""))</f>
        <v/>
      </c>
      <c r="AL117" s="33" t="str">
        <f aca="false">IF(COUNTIF(Flows!$M$2:$M$1500,$A117&amp;"|"&amp;AL$1&amp;"|Input"),IF(COUNTIF(Flows!$M$2:$M$1500,$A117&amp;"|"&amp;AL$1&amp;"|Output"),"I/O","IN"),IF(COUNTIF(Flows!$M$2:$M$1500,$A117&amp;"|"&amp;AL$1&amp;"|Output"),"OUT",""))</f>
        <v/>
      </c>
      <c r="AM117" s="33" t="str">
        <f aca="false">IF(COUNTIF(Flows!$M$2:$M$1500,$A117&amp;"|"&amp;AM$1&amp;"|Input"),IF(COUNTIF(Flows!$M$2:$M$1500,$A117&amp;"|"&amp;AM$1&amp;"|Output"),"I/O","IN"),IF(COUNTIF(Flows!$M$2:$M$1500,$A117&amp;"|"&amp;AM$1&amp;"|Output"),"OUT",""))</f>
        <v/>
      </c>
      <c r="AN117" s="33" t="str">
        <f aca="false">IF(COUNTIF(Flows!$M$2:$M$1500,$A117&amp;"|"&amp;AN$1&amp;"|Input"),IF(COUNTIF(Flows!$M$2:$M$1500,$A117&amp;"|"&amp;AN$1&amp;"|Output"),"I/O","IN"),IF(COUNTIF(Flows!$M$2:$M$1500,$A117&amp;"|"&amp;AN$1&amp;"|Output"),"OUT",""))</f>
        <v/>
      </c>
      <c r="AO117" s="33" t="str">
        <f aca="false">IF(COUNTIF(Flows!$M$2:$M$1500,$A117&amp;"|"&amp;AO$1&amp;"|Input"),IF(COUNTIF(Flows!$M$2:$M$1500,$A117&amp;"|"&amp;AO$1&amp;"|Output"),"I/O","IN"),IF(COUNTIF(Flows!$M$2:$M$1500,$A117&amp;"|"&amp;AO$1&amp;"|Output"),"OUT",""))</f>
        <v/>
      </c>
      <c r="AP117" s="33" t="str">
        <f aca="false">IF(COUNTIF(Flows!$M$2:$M$1500,$A117&amp;"|"&amp;AP$1&amp;"|Input"),IF(COUNTIF(Flows!$M$2:$M$1500,$A117&amp;"|"&amp;AP$1&amp;"|Output"),"I/O","IN"),IF(COUNTIF(Flows!$M$2:$M$1500,$A117&amp;"|"&amp;AP$1&amp;"|Output"),"OUT",""))</f>
        <v/>
      </c>
      <c r="AQ117" s="33" t="str">
        <f aca="false">IF(COUNTIF(Flows!$M$2:$M$1500,$A117&amp;"|"&amp;AQ$1&amp;"|Input"),IF(COUNTIF(Flows!$M$2:$M$1500,$A117&amp;"|"&amp;AQ$1&amp;"|Output"),"I/O","IN"),IF(COUNTIF(Flows!$M$2:$M$1500,$A117&amp;"|"&amp;AQ$1&amp;"|Output"),"OUT",""))</f>
        <v/>
      </c>
      <c r="AR117" s="33" t="str">
        <f aca="false">IF(COUNTIF(Flows!$M$2:$M$1500,$A117&amp;"|"&amp;AR$1&amp;"|Input"),IF(COUNTIF(Flows!$M$2:$M$1500,$A117&amp;"|"&amp;AR$1&amp;"|Output"),"I/O","IN"),IF(COUNTIF(Flows!$M$2:$M$1500,$A117&amp;"|"&amp;AR$1&amp;"|Output"),"OUT",""))</f>
        <v/>
      </c>
      <c r="AS117" s="33" t="str">
        <f aca="false">IF(COUNTIF(Flows!$M$2:$M$1500,$A117&amp;"|"&amp;AS$1&amp;"|Input"),IF(COUNTIF(Flows!$M$2:$M$1500,$A117&amp;"|"&amp;AS$1&amp;"|Output"),"I/O","IN"),IF(COUNTIF(Flows!$M$2:$M$1500,$A117&amp;"|"&amp;AS$1&amp;"|Output"),"OUT",""))</f>
        <v/>
      </c>
      <c r="AT117" s="33" t="str">
        <f aca="false">IF(COUNTIF(Flows!$M$2:$M$1500,$A117&amp;"|"&amp;AT$1&amp;"|Input"),IF(COUNTIF(Flows!$M$2:$M$1500,$A117&amp;"|"&amp;AT$1&amp;"|Output"),"I/O","IN"),IF(COUNTIF(Flows!$M$2:$M$1500,$A117&amp;"|"&amp;AT$1&amp;"|Output"),"OUT",""))</f>
        <v/>
      </c>
      <c r="AU117" s="33" t="str">
        <f aca="false">IF(COUNTIF(Flows!$M$2:$M$1500,$A117&amp;"|"&amp;AU$1&amp;"|Input"),IF(COUNTIF(Flows!$M$2:$M$1500,$A117&amp;"|"&amp;AU$1&amp;"|Output"),"I/O","IN"),IF(COUNTIF(Flows!$M$2:$M$1500,$A117&amp;"|"&amp;AU$1&amp;"|Output"),"OUT",""))</f>
        <v/>
      </c>
      <c r="AV117" s="33" t="str">
        <f aca="false">IF(COUNTIF(Flows!$M$2:$M$1500,$A117&amp;"|"&amp;AV$1&amp;"|Input"),IF(COUNTIF(Flows!$M$2:$M$1500,$A117&amp;"|"&amp;AV$1&amp;"|Output"),"I/O","IN"),IF(COUNTIF(Flows!$M$2:$M$1500,$A117&amp;"|"&amp;AV$1&amp;"|Output"),"OUT",""))</f>
        <v/>
      </c>
      <c r="AW117" s="33" t="str">
        <f aca="false">IF(COUNTIF(Flows!$M$2:$M$1500,$A117&amp;"|"&amp;AW$1&amp;"|Input"),IF(COUNTIF(Flows!$M$2:$M$1500,$A117&amp;"|"&amp;AW$1&amp;"|Output"),"I/O","IN"),IF(COUNTIF(Flows!$M$2:$M$1500,$A117&amp;"|"&amp;AW$1&amp;"|Output"),"OUT",""))</f>
        <v/>
      </c>
      <c r="AX117" s="33" t="str">
        <f aca="false">IF(COUNTIF(Flows!$M$2:$M$1500,$A117&amp;"|"&amp;AX$1&amp;"|Input"),IF(COUNTIF(Flows!$M$2:$M$1500,$A117&amp;"|"&amp;AX$1&amp;"|Output"),"I/O","IN"),IF(COUNTIF(Flows!$M$2:$M$1500,$A117&amp;"|"&amp;AX$1&amp;"|Output"),"OUT",""))</f>
        <v/>
      </c>
      <c r="AY117" s="33" t="str">
        <f aca="false">IF(COUNTIF(Flows!$M$2:$M$1500,$A117&amp;"|"&amp;AY$1&amp;"|Input"),IF(COUNTIF(Flows!$M$2:$M$1500,$A117&amp;"|"&amp;AY$1&amp;"|Output"),"I/O","IN"),IF(COUNTIF(Flows!$M$2:$M$1500,$A117&amp;"|"&amp;AY$1&amp;"|Output"),"OUT",""))</f>
        <v/>
      </c>
      <c r="AZ117" s="33" t="str">
        <f aca="false">IF(COUNTIF(Flows!$M$2:$M$1500,$A117&amp;"|"&amp;AZ$1&amp;"|Input"),IF(COUNTIF(Flows!$M$2:$M$1500,$A117&amp;"|"&amp;AZ$1&amp;"|Output"),"I/O","IN"),IF(COUNTIF(Flows!$M$2:$M$1500,$A117&amp;"|"&amp;AZ$1&amp;"|Output"),"OUT",""))</f>
        <v/>
      </c>
      <c r="BA117" s="33" t="str">
        <f aca="false">IF(COUNTIF(Flows!$M$2:$M$1500,$A117&amp;"|"&amp;BA$1&amp;"|Input"),IF(COUNTIF(Flows!$M$2:$M$1500,$A117&amp;"|"&amp;BA$1&amp;"|Output"),"I/O","IN"),IF(COUNTIF(Flows!$M$2:$M$1500,$A117&amp;"|"&amp;BA$1&amp;"|Output"),"OUT",""))</f>
        <v/>
      </c>
      <c r="BB117" s="33" t="str">
        <f aca="false">IF(COUNTIF(Flows!$M$2:$M$1500,$A117&amp;"|"&amp;BB$1&amp;"|Input"),IF(COUNTIF(Flows!$M$2:$M$1500,$A117&amp;"|"&amp;BB$1&amp;"|Output"),"I/O","IN"),IF(COUNTIF(Flows!$M$2:$M$1500,$A117&amp;"|"&amp;BB$1&amp;"|Output"),"OUT",""))</f>
        <v/>
      </c>
      <c r="BC117" s="33" t="str">
        <f aca="false">IF(COUNTIF(Flows!$M$2:$M$1500,$A117&amp;"|"&amp;BC$1&amp;"|Input"),IF(COUNTIF(Flows!$M$2:$M$1500,$A117&amp;"|"&amp;BC$1&amp;"|Output"),"I/O","IN"),IF(COUNTIF(Flows!$M$2:$M$1500,$A117&amp;"|"&amp;BC$1&amp;"|Output"),"OUT",""))</f>
        <v/>
      </c>
      <c r="BD117" s="33" t="str">
        <f aca="false">IF(COUNTIF(Flows!$M$2:$M$1500,$A117&amp;"|"&amp;BD$1&amp;"|Input"),IF(COUNTIF(Flows!$M$2:$M$1500,$A117&amp;"|"&amp;BD$1&amp;"|Output"),"I/O","IN"),IF(COUNTIF(Flows!$M$2:$M$1500,$A117&amp;"|"&amp;BD$1&amp;"|Output"),"OUT",""))</f>
        <v/>
      </c>
      <c r="BE117" s="33" t="str">
        <f aca="false">IF(COUNTIF(Flows!$M$2:$M$1500,$A117&amp;"|"&amp;BE$1&amp;"|Input"),IF(COUNTIF(Flows!$M$2:$M$1500,$A117&amp;"|"&amp;BE$1&amp;"|Output"),"I/O","IN"),IF(COUNTIF(Flows!$M$2:$M$1500,$A117&amp;"|"&amp;BE$1&amp;"|Output"),"OUT",""))</f>
        <v/>
      </c>
      <c r="BF117" s="33" t="str">
        <f aca="false">IF(COUNTIF(Flows!$M$2:$M$1500,$A117&amp;"|"&amp;BF$1&amp;"|Input"),IF(COUNTIF(Flows!$M$2:$M$1500,$A117&amp;"|"&amp;BF$1&amp;"|Output"),"I/O","IN"),IF(COUNTIF(Flows!$M$2:$M$1500,$A117&amp;"|"&amp;BF$1&amp;"|Output"),"OUT",""))</f>
        <v/>
      </c>
      <c r="BG117" s="33" t="str">
        <f aca="false">IF(COUNTIF(Flows!$M$2:$M$1500,$A117&amp;"|"&amp;BG$1&amp;"|Input"),IF(COUNTIF(Flows!$M$2:$M$1500,$A117&amp;"|"&amp;BG$1&amp;"|Output"),"I/O","IN"),IF(COUNTIF(Flows!$M$2:$M$1500,$A117&amp;"|"&amp;BG$1&amp;"|Output"),"OUT",""))</f>
        <v/>
      </c>
      <c r="BH117" s="33" t="str">
        <f aca="false">IF(COUNTIF(Flows!$M$2:$M$1500,$A117&amp;"|"&amp;BH$1&amp;"|Input"),IF(COUNTIF(Flows!$M$2:$M$1500,$A117&amp;"|"&amp;BH$1&amp;"|Output"),"I/O","IN"),IF(COUNTIF(Flows!$M$2:$M$1500,$A117&amp;"|"&amp;BH$1&amp;"|Output"),"OUT",""))</f>
        <v/>
      </c>
      <c r="BI117" s="33" t="str">
        <f aca="false">IF(COUNTIF(Flows!$M$2:$M$1500,$A117&amp;"|"&amp;BI$1&amp;"|Input"),IF(COUNTIF(Flows!$M$2:$M$1500,$A117&amp;"|"&amp;BI$1&amp;"|Output"),"I/O","IN"),IF(COUNTIF(Flows!$M$2:$M$1500,$A117&amp;"|"&amp;BI$1&amp;"|Output"),"OUT",""))</f>
        <v/>
      </c>
      <c r="BJ117" s="33" t="str">
        <f aca="false">IF(COUNTIF(Flows!$M$2:$M$1500,$A117&amp;"|"&amp;BJ$1&amp;"|Input"),IF(COUNTIF(Flows!$M$2:$M$1500,$A117&amp;"|"&amp;BJ$1&amp;"|Output"),"I/O","IN"),IF(COUNTIF(Flows!$M$2:$M$1500,$A117&amp;"|"&amp;BJ$1&amp;"|Output"),"OUT",""))</f>
        <v/>
      </c>
      <c r="BK117" s="33" t="str">
        <f aca="false">IF(COUNTIF(Flows!$M$2:$M$1500,$A117&amp;"|"&amp;BK$1&amp;"|Input"),IF(COUNTIF(Flows!$M$2:$M$1500,$A117&amp;"|"&amp;BK$1&amp;"|Output"),"I/O","IN"),IF(COUNTIF(Flows!$M$2:$M$1500,$A117&amp;"|"&amp;BK$1&amp;"|Output"),"OUT",""))</f>
        <v/>
      </c>
    </row>
    <row r="118" customFormat="false" ht="15" hidden="false" customHeight="true" outlineLevel="0" collapsed="false">
      <c r="A118" s="6" t="str">
        <f aca="false">Systems!B118</f>
        <v>Solar Dehydrator</v>
      </c>
      <c r="B118" s="33" t="str">
        <f aca="false">IF(COUNTIF(Flows!$M$2:$M$1500,$A118&amp;"|"&amp;B$1&amp;"|Input"),IF(COUNTIF(Flows!$M$2:$M$1500,$A118&amp;"|"&amp;B$1&amp;"|Output"),"I/O","IN"),IF(COUNTIF(Flows!$M$2:$M$1500,$A118&amp;"|"&amp;B$1&amp;"|Output"),"OUT",""))</f>
        <v/>
      </c>
      <c r="C118" s="33" t="str">
        <f aca="false">IF(COUNTIF(Flows!$M$2:$M$1500,$A118&amp;"|"&amp;C$1&amp;"|Input"),IF(COUNTIF(Flows!$M$2:$M$1500,$A118&amp;"|"&amp;C$1&amp;"|Output"),"I/O","IN"),IF(COUNTIF(Flows!$M$2:$M$1500,$A118&amp;"|"&amp;C$1&amp;"|Output"),"OUT",""))</f>
        <v/>
      </c>
      <c r="D118" s="33" t="str">
        <f aca="false">IF(COUNTIF(Flows!$M$2:$M$1500,$A118&amp;"|"&amp;D$1&amp;"|Input"),IF(COUNTIF(Flows!$M$2:$M$1500,$A118&amp;"|"&amp;D$1&amp;"|Output"),"I/O","IN"),IF(COUNTIF(Flows!$M$2:$M$1500,$A118&amp;"|"&amp;D$1&amp;"|Output"),"OUT",""))</f>
        <v/>
      </c>
      <c r="E118" s="33" t="str">
        <f aca="false">IF(COUNTIF(Flows!$M$2:$M$1500,$A118&amp;"|"&amp;E$1&amp;"|Input"),IF(COUNTIF(Flows!$M$2:$M$1500,$A118&amp;"|"&amp;E$1&amp;"|Output"),"I/O","IN"),IF(COUNTIF(Flows!$M$2:$M$1500,$A118&amp;"|"&amp;E$1&amp;"|Output"),"OUT",""))</f>
        <v/>
      </c>
      <c r="F118" s="33" t="str">
        <f aca="false">IF(COUNTIF(Flows!$M$2:$M$1500,$A118&amp;"|"&amp;F$1&amp;"|Input"),IF(COUNTIF(Flows!$M$2:$M$1500,$A118&amp;"|"&amp;F$1&amp;"|Output"),"I/O","IN"),IF(COUNTIF(Flows!$M$2:$M$1500,$A118&amp;"|"&amp;F$1&amp;"|Output"),"OUT",""))</f>
        <v/>
      </c>
      <c r="G118" s="33" t="str">
        <f aca="false">IF(COUNTIF(Flows!$M$2:$M$1500,$A118&amp;"|"&amp;G$1&amp;"|Input"),IF(COUNTIF(Flows!$M$2:$M$1500,$A118&amp;"|"&amp;G$1&amp;"|Output"),"I/O","IN"),IF(COUNTIF(Flows!$M$2:$M$1500,$A118&amp;"|"&amp;G$1&amp;"|Output"),"OUT",""))</f>
        <v/>
      </c>
      <c r="H118" s="33" t="str">
        <f aca="false">IF(COUNTIF(Flows!$M$2:$M$1500,$A118&amp;"|"&amp;H$1&amp;"|Input"),IF(COUNTIF(Flows!$M$2:$M$1500,$A118&amp;"|"&amp;H$1&amp;"|Output"),"I/O","IN"),IF(COUNTIF(Flows!$M$2:$M$1500,$A118&amp;"|"&amp;H$1&amp;"|Output"),"OUT",""))</f>
        <v/>
      </c>
      <c r="I118" s="33" t="str">
        <f aca="false">IF(COUNTIF(Flows!$M$2:$M$1500,$A118&amp;"|"&amp;I$1&amp;"|Input"),IF(COUNTIF(Flows!$M$2:$M$1500,$A118&amp;"|"&amp;I$1&amp;"|Output"),"I/O","IN"),IF(COUNTIF(Flows!$M$2:$M$1500,$A118&amp;"|"&amp;I$1&amp;"|Output"),"OUT",""))</f>
        <v/>
      </c>
      <c r="J118" s="33" t="str">
        <f aca="false">IF(COUNTIF(Flows!$M$2:$M$1500,$A118&amp;"|"&amp;J$1&amp;"|Input"),IF(COUNTIF(Flows!$M$2:$M$1500,$A118&amp;"|"&amp;J$1&amp;"|Output"),"I/O","IN"),IF(COUNTIF(Flows!$M$2:$M$1500,$A118&amp;"|"&amp;J$1&amp;"|Output"),"OUT",""))</f>
        <v/>
      </c>
      <c r="K118" s="33" t="str">
        <f aca="false">IF(COUNTIF(Flows!$M$2:$M$1500,$A118&amp;"|"&amp;K$1&amp;"|Input"),IF(COUNTIF(Flows!$M$2:$M$1500,$A118&amp;"|"&amp;K$1&amp;"|Output"),"I/O","IN"),IF(COUNTIF(Flows!$M$2:$M$1500,$A118&amp;"|"&amp;K$1&amp;"|Output"),"OUT",""))</f>
        <v/>
      </c>
      <c r="L118" s="33" t="str">
        <f aca="false">IF(COUNTIF(Flows!$M$2:$M$1500,$A118&amp;"|"&amp;L$1&amp;"|Input"),IF(COUNTIF(Flows!$M$2:$M$1500,$A118&amp;"|"&amp;L$1&amp;"|Output"),"I/O","IN"),IF(COUNTIF(Flows!$M$2:$M$1500,$A118&amp;"|"&amp;L$1&amp;"|Output"),"OUT",""))</f>
        <v/>
      </c>
      <c r="M118" s="33" t="str">
        <f aca="false">IF(COUNTIF(Flows!$M$2:$M$1500,$A118&amp;"|"&amp;M$1&amp;"|Input"),IF(COUNTIF(Flows!$M$2:$M$1500,$A118&amp;"|"&amp;M$1&amp;"|Output"),"I/O","IN"),IF(COUNTIF(Flows!$M$2:$M$1500,$A118&amp;"|"&amp;M$1&amp;"|Output"),"OUT",""))</f>
        <v/>
      </c>
      <c r="N118" s="33" t="str">
        <f aca="false">IF(COUNTIF(Flows!$M$2:$M$1500,$A118&amp;"|"&amp;N$1&amp;"|Input"),IF(COUNTIF(Flows!$M$2:$M$1500,$A118&amp;"|"&amp;N$1&amp;"|Output"),"I/O","IN"),IF(COUNTIF(Flows!$M$2:$M$1500,$A118&amp;"|"&amp;N$1&amp;"|Output"),"OUT",""))</f>
        <v/>
      </c>
      <c r="O118" s="33" t="str">
        <f aca="false">IF(COUNTIF(Flows!$M$2:$M$1500,$A118&amp;"|"&amp;O$1&amp;"|Input"),IF(COUNTIF(Flows!$M$2:$M$1500,$A118&amp;"|"&amp;O$1&amp;"|Output"),"I/O","IN"),IF(COUNTIF(Flows!$M$2:$M$1500,$A118&amp;"|"&amp;O$1&amp;"|Output"),"OUT",""))</f>
        <v/>
      </c>
      <c r="P118" s="33" t="str">
        <f aca="false">IF(COUNTIF(Flows!$M$2:$M$1500,$A118&amp;"|"&amp;P$1&amp;"|Input"),IF(COUNTIF(Flows!$M$2:$M$1500,$A118&amp;"|"&amp;P$1&amp;"|Output"),"I/O","IN"),IF(COUNTIF(Flows!$M$2:$M$1500,$A118&amp;"|"&amp;P$1&amp;"|Output"),"OUT",""))</f>
        <v/>
      </c>
      <c r="Q118" s="33" t="str">
        <f aca="false">IF(COUNTIF(Flows!$M$2:$M$1500,$A118&amp;"|"&amp;Q$1&amp;"|Input"),IF(COUNTIF(Flows!$M$2:$M$1500,$A118&amp;"|"&amp;Q$1&amp;"|Output"),"I/O","IN"),IF(COUNTIF(Flows!$M$2:$M$1500,$A118&amp;"|"&amp;Q$1&amp;"|Output"),"OUT",""))</f>
        <v/>
      </c>
      <c r="R118" s="33" t="str">
        <f aca="false">IF(COUNTIF(Flows!$M$2:$M$1500,$A118&amp;"|"&amp;R$1&amp;"|Input"),IF(COUNTIF(Flows!$M$2:$M$1500,$A118&amp;"|"&amp;R$1&amp;"|Output"),"I/O","IN"),IF(COUNTIF(Flows!$M$2:$M$1500,$A118&amp;"|"&amp;R$1&amp;"|Output"),"OUT",""))</f>
        <v/>
      </c>
      <c r="S118" s="33" t="str">
        <f aca="false">IF(COUNTIF(Flows!$M$2:$M$1500,$A118&amp;"|"&amp;S$1&amp;"|Input"),IF(COUNTIF(Flows!$M$2:$M$1500,$A118&amp;"|"&amp;S$1&amp;"|Output"),"I/O","IN"),IF(COUNTIF(Flows!$M$2:$M$1500,$A118&amp;"|"&amp;S$1&amp;"|Output"),"OUT",""))</f>
        <v/>
      </c>
      <c r="T118" s="33" t="str">
        <f aca="false">IF(COUNTIF(Flows!$M$2:$M$1500,$A118&amp;"|"&amp;T$1&amp;"|Input"),IF(COUNTIF(Flows!$M$2:$M$1500,$A118&amp;"|"&amp;T$1&amp;"|Output"),"I/O","IN"),IF(COUNTIF(Flows!$M$2:$M$1500,$A118&amp;"|"&amp;T$1&amp;"|Output"),"OUT",""))</f>
        <v/>
      </c>
      <c r="U118" s="33" t="str">
        <f aca="false">IF(COUNTIF(Flows!$M$2:$M$1500,$A118&amp;"|"&amp;U$1&amp;"|Input"),IF(COUNTIF(Flows!$M$2:$M$1500,$A118&amp;"|"&amp;U$1&amp;"|Output"),"I/O","IN"),IF(COUNTIF(Flows!$M$2:$M$1500,$A118&amp;"|"&amp;U$1&amp;"|Output"),"OUT",""))</f>
        <v/>
      </c>
      <c r="V118" s="33" t="str">
        <f aca="false">IF(COUNTIF(Flows!$M$2:$M$1500,$A118&amp;"|"&amp;V$1&amp;"|Input"),IF(COUNTIF(Flows!$M$2:$M$1500,$A118&amp;"|"&amp;V$1&amp;"|Output"),"I/O","IN"),IF(COUNTIF(Flows!$M$2:$M$1500,$A118&amp;"|"&amp;V$1&amp;"|Output"),"OUT",""))</f>
        <v/>
      </c>
      <c r="W118" s="33" t="str">
        <f aca="false">IF(COUNTIF(Flows!$M$2:$M$1500,$A118&amp;"|"&amp;W$1&amp;"|Input"),IF(COUNTIF(Flows!$M$2:$M$1500,$A118&amp;"|"&amp;W$1&amp;"|Output"),"I/O","IN"),IF(COUNTIF(Flows!$M$2:$M$1500,$A118&amp;"|"&amp;W$1&amp;"|Output"),"OUT",""))</f>
        <v/>
      </c>
      <c r="X118" s="33" t="str">
        <f aca="false">IF(COUNTIF(Flows!$M$2:$M$1500,$A118&amp;"|"&amp;X$1&amp;"|Input"),IF(COUNTIF(Flows!$M$2:$M$1500,$A118&amp;"|"&amp;X$1&amp;"|Output"),"I/O","IN"),IF(COUNTIF(Flows!$M$2:$M$1500,$A118&amp;"|"&amp;X$1&amp;"|Output"),"OUT",""))</f>
        <v>IN</v>
      </c>
      <c r="Y118" s="33" t="str">
        <f aca="false">IF(COUNTIF(Flows!$M$2:$M$1500,$A118&amp;"|"&amp;Y$1&amp;"|Input"),IF(COUNTIF(Flows!$M$2:$M$1500,$A118&amp;"|"&amp;Y$1&amp;"|Output"),"I/O","IN"),IF(COUNTIF(Flows!$M$2:$M$1500,$A118&amp;"|"&amp;Y$1&amp;"|Output"),"OUT",""))</f>
        <v/>
      </c>
      <c r="Z118" s="33" t="str">
        <f aca="false">IF(COUNTIF(Flows!$M$2:$M$1500,$A118&amp;"|"&amp;Z$1&amp;"|Input"),IF(COUNTIF(Flows!$M$2:$M$1500,$A118&amp;"|"&amp;Z$1&amp;"|Output"),"I/O","IN"),IF(COUNTIF(Flows!$M$2:$M$1500,$A118&amp;"|"&amp;Z$1&amp;"|Output"),"OUT",""))</f>
        <v>IN</v>
      </c>
      <c r="AA118" s="33" t="str">
        <f aca="false">IF(COUNTIF(Flows!$M$2:$M$1500,$A118&amp;"|"&amp;AA$1&amp;"|Input"),IF(COUNTIF(Flows!$M$2:$M$1500,$A118&amp;"|"&amp;AA$1&amp;"|Output"),"I/O","IN"),IF(COUNTIF(Flows!$M$2:$M$1500,$A118&amp;"|"&amp;AA$1&amp;"|Output"),"OUT",""))</f>
        <v/>
      </c>
      <c r="AB118" s="33" t="str">
        <f aca="false">IF(COUNTIF(Flows!$M$2:$M$1500,$A118&amp;"|"&amp;AB$1&amp;"|Input"),IF(COUNTIF(Flows!$M$2:$M$1500,$A118&amp;"|"&amp;AB$1&amp;"|Output"),"I/O","IN"),IF(COUNTIF(Flows!$M$2:$M$1500,$A118&amp;"|"&amp;AB$1&amp;"|Output"),"OUT",""))</f>
        <v/>
      </c>
      <c r="AC118" s="33" t="str">
        <f aca="false">IF(COUNTIF(Flows!$M$2:$M$1500,$A118&amp;"|"&amp;AC$1&amp;"|Input"),IF(COUNTIF(Flows!$M$2:$M$1500,$A118&amp;"|"&amp;AC$1&amp;"|Output"),"I/O","IN"),IF(COUNTIF(Flows!$M$2:$M$1500,$A118&amp;"|"&amp;AC$1&amp;"|Output"),"OUT",""))</f>
        <v/>
      </c>
      <c r="AD118" s="33" t="str">
        <f aca="false">IF(COUNTIF(Flows!$M$2:$M$1500,$A118&amp;"|"&amp;AD$1&amp;"|Input"),IF(COUNTIF(Flows!$M$2:$M$1500,$A118&amp;"|"&amp;AD$1&amp;"|Output"),"I/O","IN"),IF(COUNTIF(Flows!$M$2:$M$1500,$A118&amp;"|"&amp;AD$1&amp;"|Output"),"OUT",""))</f>
        <v/>
      </c>
      <c r="AE118" s="33" t="str">
        <f aca="false">IF(COUNTIF(Flows!$M$2:$M$1500,$A118&amp;"|"&amp;AE$1&amp;"|Input"),IF(COUNTIF(Flows!$M$2:$M$1500,$A118&amp;"|"&amp;AE$1&amp;"|Output"),"I/O","IN"),IF(COUNTIF(Flows!$M$2:$M$1500,$A118&amp;"|"&amp;AE$1&amp;"|Output"),"OUT",""))</f>
        <v/>
      </c>
      <c r="AF118" s="33" t="str">
        <f aca="false">IF(COUNTIF(Flows!$M$2:$M$1500,$A118&amp;"|"&amp;AF$1&amp;"|Input"),IF(COUNTIF(Flows!$M$2:$M$1500,$A118&amp;"|"&amp;AF$1&amp;"|Output"),"I/O","IN"),IF(COUNTIF(Flows!$M$2:$M$1500,$A118&amp;"|"&amp;AF$1&amp;"|Output"),"OUT",""))</f>
        <v/>
      </c>
      <c r="AG118" s="33" t="str">
        <f aca="false">IF(COUNTIF(Flows!$M$2:$M$1500,$A118&amp;"|"&amp;AG$1&amp;"|Input"),IF(COUNTIF(Flows!$M$2:$M$1500,$A118&amp;"|"&amp;AG$1&amp;"|Output"),"I/O","IN"),IF(COUNTIF(Flows!$M$2:$M$1500,$A118&amp;"|"&amp;AG$1&amp;"|Output"),"OUT",""))</f>
        <v>OUT</v>
      </c>
      <c r="AH118" s="33" t="str">
        <f aca="false">IF(COUNTIF(Flows!$M$2:$M$1500,$A118&amp;"|"&amp;AH$1&amp;"|Input"),IF(COUNTIF(Flows!$M$2:$M$1500,$A118&amp;"|"&amp;AH$1&amp;"|Output"),"I/O","IN"),IF(COUNTIF(Flows!$M$2:$M$1500,$A118&amp;"|"&amp;AH$1&amp;"|Output"),"OUT",""))</f>
        <v/>
      </c>
      <c r="AI118" s="33" t="str">
        <f aca="false">IF(COUNTIF(Flows!$M$2:$M$1500,$A118&amp;"|"&amp;AI$1&amp;"|Input"),IF(COUNTIF(Flows!$M$2:$M$1500,$A118&amp;"|"&amp;AI$1&amp;"|Output"),"I/O","IN"),IF(COUNTIF(Flows!$M$2:$M$1500,$A118&amp;"|"&amp;AI$1&amp;"|Output"),"OUT",""))</f>
        <v/>
      </c>
      <c r="AJ118" s="33" t="str">
        <f aca="false">IF(COUNTIF(Flows!$M$2:$M$1500,$A118&amp;"|"&amp;AJ$1&amp;"|Input"),IF(COUNTIF(Flows!$M$2:$M$1500,$A118&amp;"|"&amp;AJ$1&amp;"|Output"),"I/O","IN"),IF(COUNTIF(Flows!$M$2:$M$1500,$A118&amp;"|"&amp;AJ$1&amp;"|Output"),"OUT",""))</f>
        <v/>
      </c>
      <c r="AK118" s="33" t="str">
        <f aca="false">IF(COUNTIF(Flows!$M$2:$M$1500,$A118&amp;"|"&amp;AK$1&amp;"|Input"),IF(COUNTIF(Flows!$M$2:$M$1500,$A118&amp;"|"&amp;AK$1&amp;"|Output"),"I/O","IN"),IF(COUNTIF(Flows!$M$2:$M$1500,$A118&amp;"|"&amp;AK$1&amp;"|Output"),"OUT",""))</f>
        <v/>
      </c>
      <c r="AL118" s="33" t="str">
        <f aca="false">IF(COUNTIF(Flows!$M$2:$M$1500,$A118&amp;"|"&amp;AL$1&amp;"|Input"),IF(COUNTIF(Flows!$M$2:$M$1500,$A118&amp;"|"&amp;AL$1&amp;"|Output"),"I/O","IN"),IF(COUNTIF(Flows!$M$2:$M$1500,$A118&amp;"|"&amp;AL$1&amp;"|Output"),"OUT",""))</f>
        <v/>
      </c>
      <c r="AM118" s="33" t="str">
        <f aca="false">IF(COUNTIF(Flows!$M$2:$M$1500,$A118&amp;"|"&amp;AM$1&amp;"|Input"),IF(COUNTIF(Flows!$M$2:$M$1500,$A118&amp;"|"&amp;AM$1&amp;"|Output"),"I/O","IN"),IF(COUNTIF(Flows!$M$2:$M$1500,$A118&amp;"|"&amp;AM$1&amp;"|Output"),"OUT",""))</f>
        <v/>
      </c>
      <c r="AN118" s="33" t="str">
        <f aca="false">IF(COUNTIF(Flows!$M$2:$M$1500,$A118&amp;"|"&amp;AN$1&amp;"|Input"),IF(COUNTIF(Flows!$M$2:$M$1500,$A118&amp;"|"&amp;AN$1&amp;"|Output"),"I/O","IN"),IF(COUNTIF(Flows!$M$2:$M$1500,$A118&amp;"|"&amp;AN$1&amp;"|Output"),"OUT",""))</f>
        <v/>
      </c>
      <c r="AO118" s="33" t="str">
        <f aca="false">IF(COUNTIF(Flows!$M$2:$M$1500,$A118&amp;"|"&amp;AO$1&amp;"|Input"),IF(COUNTIF(Flows!$M$2:$M$1500,$A118&amp;"|"&amp;AO$1&amp;"|Output"),"I/O","IN"),IF(COUNTIF(Flows!$M$2:$M$1500,$A118&amp;"|"&amp;AO$1&amp;"|Output"),"OUT",""))</f>
        <v/>
      </c>
      <c r="AP118" s="33" t="str">
        <f aca="false">IF(COUNTIF(Flows!$M$2:$M$1500,$A118&amp;"|"&amp;AP$1&amp;"|Input"),IF(COUNTIF(Flows!$M$2:$M$1500,$A118&amp;"|"&amp;AP$1&amp;"|Output"),"I/O","IN"),IF(COUNTIF(Flows!$M$2:$M$1500,$A118&amp;"|"&amp;AP$1&amp;"|Output"),"OUT",""))</f>
        <v/>
      </c>
      <c r="AQ118" s="33" t="str">
        <f aca="false">IF(COUNTIF(Flows!$M$2:$M$1500,$A118&amp;"|"&amp;AQ$1&amp;"|Input"),IF(COUNTIF(Flows!$M$2:$M$1500,$A118&amp;"|"&amp;AQ$1&amp;"|Output"),"I/O","IN"),IF(COUNTIF(Flows!$M$2:$M$1500,$A118&amp;"|"&amp;AQ$1&amp;"|Output"),"OUT",""))</f>
        <v/>
      </c>
      <c r="AR118" s="33" t="str">
        <f aca="false">IF(COUNTIF(Flows!$M$2:$M$1500,$A118&amp;"|"&amp;AR$1&amp;"|Input"),IF(COUNTIF(Flows!$M$2:$M$1500,$A118&amp;"|"&amp;AR$1&amp;"|Output"),"I/O","IN"),IF(COUNTIF(Flows!$M$2:$M$1500,$A118&amp;"|"&amp;AR$1&amp;"|Output"),"OUT",""))</f>
        <v/>
      </c>
      <c r="AS118" s="33" t="str">
        <f aca="false">IF(COUNTIF(Flows!$M$2:$M$1500,$A118&amp;"|"&amp;AS$1&amp;"|Input"),IF(COUNTIF(Flows!$M$2:$M$1500,$A118&amp;"|"&amp;AS$1&amp;"|Output"),"I/O","IN"),IF(COUNTIF(Flows!$M$2:$M$1500,$A118&amp;"|"&amp;AS$1&amp;"|Output"),"OUT",""))</f>
        <v/>
      </c>
      <c r="AT118" s="33" t="str">
        <f aca="false">IF(COUNTIF(Flows!$M$2:$M$1500,$A118&amp;"|"&amp;AT$1&amp;"|Input"),IF(COUNTIF(Flows!$M$2:$M$1500,$A118&amp;"|"&amp;AT$1&amp;"|Output"),"I/O","IN"),IF(COUNTIF(Flows!$M$2:$M$1500,$A118&amp;"|"&amp;AT$1&amp;"|Output"),"OUT",""))</f>
        <v/>
      </c>
      <c r="AU118" s="33" t="str">
        <f aca="false">IF(COUNTIF(Flows!$M$2:$M$1500,$A118&amp;"|"&amp;AU$1&amp;"|Input"),IF(COUNTIF(Flows!$M$2:$M$1500,$A118&amp;"|"&amp;AU$1&amp;"|Output"),"I/O","IN"),IF(COUNTIF(Flows!$M$2:$M$1500,$A118&amp;"|"&amp;AU$1&amp;"|Output"),"OUT",""))</f>
        <v/>
      </c>
      <c r="AV118" s="33" t="str">
        <f aca="false">IF(COUNTIF(Flows!$M$2:$M$1500,$A118&amp;"|"&amp;AV$1&amp;"|Input"),IF(COUNTIF(Flows!$M$2:$M$1500,$A118&amp;"|"&amp;AV$1&amp;"|Output"),"I/O","IN"),IF(COUNTIF(Flows!$M$2:$M$1500,$A118&amp;"|"&amp;AV$1&amp;"|Output"),"OUT",""))</f>
        <v/>
      </c>
      <c r="AW118" s="33" t="str">
        <f aca="false">IF(COUNTIF(Flows!$M$2:$M$1500,$A118&amp;"|"&amp;AW$1&amp;"|Input"),IF(COUNTIF(Flows!$M$2:$M$1500,$A118&amp;"|"&amp;AW$1&amp;"|Output"),"I/O","IN"),IF(COUNTIF(Flows!$M$2:$M$1500,$A118&amp;"|"&amp;AW$1&amp;"|Output"),"OUT",""))</f>
        <v/>
      </c>
      <c r="AX118" s="33" t="str">
        <f aca="false">IF(COUNTIF(Flows!$M$2:$M$1500,$A118&amp;"|"&amp;AX$1&amp;"|Input"),IF(COUNTIF(Flows!$M$2:$M$1500,$A118&amp;"|"&amp;AX$1&amp;"|Output"),"I/O","IN"),IF(COUNTIF(Flows!$M$2:$M$1500,$A118&amp;"|"&amp;AX$1&amp;"|Output"),"OUT",""))</f>
        <v/>
      </c>
      <c r="AY118" s="33" t="str">
        <f aca="false">IF(COUNTIF(Flows!$M$2:$M$1500,$A118&amp;"|"&amp;AY$1&amp;"|Input"),IF(COUNTIF(Flows!$M$2:$M$1500,$A118&amp;"|"&amp;AY$1&amp;"|Output"),"I/O","IN"),IF(COUNTIF(Flows!$M$2:$M$1500,$A118&amp;"|"&amp;AY$1&amp;"|Output"),"OUT",""))</f>
        <v/>
      </c>
      <c r="AZ118" s="33" t="str">
        <f aca="false">IF(COUNTIF(Flows!$M$2:$M$1500,$A118&amp;"|"&amp;AZ$1&amp;"|Input"),IF(COUNTIF(Flows!$M$2:$M$1500,$A118&amp;"|"&amp;AZ$1&amp;"|Output"),"I/O","IN"),IF(COUNTIF(Flows!$M$2:$M$1500,$A118&amp;"|"&amp;AZ$1&amp;"|Output"),"OUT",""))</f>
        <v/>
      </c>
      <c r="BA118" s="33" t="str">
        <f aca="false">IF(COUNTIF(Flows!$M$2:$M$1500,$A118&amp;"|"&amp;BA$1&amp;"|Input"),IF(COUNTIF(Flows!$M$2:$M$1500,$A118&amp;"|"&amp;BA$1&amp;"|Output"),"I/O","IN"),IF(COUNTIF(Flows!$M$2:$M$1500,$A118&amp;"|"&amp;BA$1&amp;"|Output"),"OUT",""))</f>
        <v/>
      </c>
      <c r="BB118" s="33" t="str">
        <f aca="false">IF(COUNTIF(Flows!$M$2:$M$1500,$A118&amp;"|"&amp;BB$1&amp;"|Input"),IF(COUNTIF(Flows!$M$2:$M$1500,$A118&amp;"|"&amp;BB$1&amp;"|Output"),"I/O","IN"),IF(COUNTIF(Flows!$M$2:$M$1500,$A118&amp;"|"&amp;BB$1&amp;"|Output"),"OUT",""))</f>
        <v/>
      </c>
      <c r="BC118" s="33" t="str">
        <f aca="false">IF(COUNTIF(Flows!$M$2:$M$1500,$A118&amp;"|"&amp;BC$1&amp;"|Input"),IF(COUNTIF(Flows!$M$2:$M$1500,$A118&amp;"|"&amp;BC$1&amp;"|Output"),"I/O","IN"),IF(COUNTIF(Flows!$M$2:$M$1500,$A118&amp;"|"&amp;BC$1&amp;"|Output"),"OUT",""))</f>
        <v/>
      </c>
      <c r="BD118" s="33" t="str">
        <f aca="false">IF(COUNTIF(Flows!$M$2:$M$1500,$A118&amp;"|"&amp;BD$1&amp;"|Input"),IF(COUNTIF(Flows!$M$2:$M$1500,$A118&amp;"|"&amp;BD$1&amp;"|Output"),"I/O","IN"),IF(COUNTIF(Flows!$M$2:$M$1500,$A118&amp;"|"&amp;BD$1&amp;"|Output"),"OUT",""))</f>
        <v/>
      </c>
      <c r="BE118" s="33" t="str">
        <f aca="false">IF(COUNTIF(Flows!$M$2:$M$1500,$A118&amp;"|"&amp;BE$1&amp;"|Input"),IF(COUNTIF(Flows!$M$2:$M$1500,$A118&amp;"|"&amp;BE$1&amp;"|Output"),"I/O","IN"),IF(COUNTIF(Flows!$M$2:$M$1500,$A118&amp;"|"&amp;BE$1&amp;"|Output"),"OUT",""))</f>
        <v/>
      </c>
      <c r="BF118" s="33" t="str">
        <f aca="false">IF(COUNTIF(Flows!$M$2:$M$1500,$A118&amp;"|"&amp;BF$1&amp;"|Input"),IF(COUNTIF(Flows!$M$2:$M$1500,$A118&amp;"|"&amp;BF$1&amp;"|Output"),"I/O","IN"),IF(COUNTIF(Flows!$M$2:$M$1500,$A118&amp;"|"&amp;BF$1&amp;"|Output"),"OUT",""))</f>
        <v/>
      </c>
      <c r="BG118" s="33" t="str">
        <f aca="false">IF(COUNTIF(Flows!$M$2:$M$1500,$A118&amp;"|"&amp;BG$1&amp;"|Input"),IF(COUNTIF(Flows!$M$2:$M$1500,$A118&amp;"|"&amp;BG$1&amp;"|Output"),"I/O","IN"),IF(COUNTIF(Flows!$M$2:$M$1500,$A118&amp;"|"&amp;BG$1&amp;"|Output"),"OUT",""))</f>
        <v/>
      </c>
      <c r="BH118" s="33" t="str">
        <f aca="false">IF(COUNTIF(Flows!$M$2:$M$1500,$A118&amp;"|"&amp;BH$1&amp;"|Input"),IF(COUNTIF(Flows!$M$2:$M$1500,$A118&amp;"|"&amp;BH$1&amp;"|Output"),"I/O","IN"),IF(COUNTIF(Flows!$M$2:$M$1500,$A118&amp;"|"&amp;BH$1&amp;"|Output"),"OUT",""))</f>
        <v/>
      </c>
      <c r="BI118" s="33" t="str">
        <f aca="false">IF(COUNTIF(Flows!$M$2:$M$1500,$A118&amp;"|"&amp;BI$1&amp;"|Input"),IF(COUNTIF(Flows!$M$2:$M$1500,$A118&amp;"|"&amp;BI$1&amp;"|Output"),"I/O","IN"),IF(COUNTIF(Flows!$M$2:$M$1500,$A118&amp;"|"&amp;BI$1&amp;"|Output"),"OUT",""))</f>
        <v/>
      </c>
      <c r="BJ118" s="33" t="str">
        <f aca="false">IF(COUNTIF(Flows!$M$2:$M$1500,$A118&amp;"|"&amp;BJ$1&amp;"|Input"),IF(COUNTIF(Flows!$M$2:$M$1500,$A118&amp;"|"&amp;BJ$1&amp;"|Output"),"I/O","IN"),IF(COUNTIF(Flows!$M$2:$M$1500,$A118&amp;"|"&amp;BJ$1&amp;"|Output"),"OUT",""))</f>
        <v/>
      </c>
      <c r="BK118" s="33" t="str">
        <f aca="false">IF(COUNTIF(Flows!$M$2:$M$1500,$A118&amp;"|"&amp;BK$1&amp;"|Input"),IF(COUNTIF(Flows!$M$2:$M$1500,$A118&amp;"|"&amp;BK$1&amp;"|Output"),"I/O","IN"),IF(COUNTIF(Flows!$M$2:$M$1500,$A118&amp;"|"&amp;BK$1&amp;"|Output"),"OUT",""))</f>
        <v/>
      </c>
    </row>
    <row r="119" customFormat="false" ht="15" hidden="false" customHeight="true" outlineLevel="0" collapsed="false">
      <c r="A119" s="6" t="str">
        <f aca="false">Systems!B119</f>
        <v>Pressure Canner</v>
      </c>
      <c r="B119" s="33" t="str">
        <f aca="false">IF(COUNTIF(Flows!$M$2:$M$1500,$A119&amp;"|"&amp;B$1&amp;"|Input"),IF(COUNTIF(Flows!$M$2:$M$1500,$A119&amp;"|"&amp;B$1&amp;"|Output"),"I/O","IN"),IF(COUNTIF(Flows!$M$2:$M$1500,$A119&amp;"|"&amp;B$1&amp;"|Output"),"OUT",""))</f>
        <v/>
      </c>
      <c r="C119" s="33" t="str">
        <f aca="false">IF(COUNTIF(Flows!$M$2:$M$1500,$A119&amp;"|"&amp;C$1&amp;"|Input"),IF(COUNTIF(Flows!$M$2:$M$1500,$A119&amp;"|"&amp;C$1&amp;"|Output"),"I/O","IN"),IF(COUNTIF(Flows!$M$2:$M$1500,$A119&amp;"|"&amp;C$1&amp;"|Output"),"OUT",""))</f>
        <v/>
      </c>
      <c r="D119" s="33" t="str">
        <f aca="false">IF(COUNTIF(Flows!$M$2:$M$1500,$A119&amp;"|"&amp;D$1&amp;"|Input"),IF(COUNTIF(Flows!$M$2:$M$1500,$A119&amp;"|"&amp;D$1&amp;"|Output"),"I/O","IN"),IF(COUNTIF(Flows!$M$2:$M$1500,$A119&amp;"|"&amp;D$1&amp;"|Output"),"OUT",""))</f>
        <v/>
      </c>
      <c r="E119" s="33" t="str">
        <f aca="false">IF(COUNTIF(Flows!$M$2:$M$1500,$A119&amp;"|"&amp;E$1&amp;"|Input"),IF(COUNTIF(Flows!$M$2:$M$1500,$A119&amp;"|"&amp;E$1&amp;"|Output"),"I/O","IN"),IF(COUNTIF(Flows!$M$2:$M$1500,$A119&amp;"|"&amp;E$1&amp;"|Output"),"OUT",""))</f>
        <v/>
      </c>
      <c r="F119" s="33" t="str">
        <f aca="false">IF(COUNTIF(Flows!$M$2:$M$1500,$A119&amp;"|"&amp;F$1&amp;"|Input"),IF(COUNTIF(Flows!$M$2:$M$1500,$A119&amp;"|"&amp;F$1&amp;"|Output"),"I/O","IN"),IF(COUNTIF(Flows!$M$2:$M$1500,$A119&amp;"|"&amp;F$1&amp;"|Output"),"OUT",""))</f>
        <v/>
      </c>
      <c r="G119" s="33" t="str">
        <f aca="false">IF(COUNTIF(Flows!$M$2:$M$1500,$A119&amp;"|"&amp;G$1&amp;"|Input"),IF(COUNTIF(Flows!$M$2:$M$1500,$A119&amp;"|"&amp;G$1&amp;"|Output"),"I/O","IN"),IF(COUNTIF(Flows!$M$2:$M$1500,$A119&amp;"|"&amp;G$1&amp;"|Output"),"OUT",""))</f>
        <v/>
      </c>
      <c r="H119" s="33" t="str">
        <f aca="false">IF(COUNTIF(Flows!$M$2:$M$1500,$A119&amp;"|"&amp;H$1&amp;"|Input"),IF(COUNTIF(Flows!$M$2:$M$1500,$A119&amp;"|"&amp;H$1&amp;"|Output"),"I/O","IN"),IF(COUNTIF(Flows!$M$2:$M$1500,$A119&amp;"|"&amp;H$1&amp;"|Output"),"OUT",""))</f>
        <v/>
      </c>
      <c r="I119" s="33" t="str">
        <f aca="false">IF(COUNTIF(Flows!$M$2:$M$1500,$A119&amp;"|"&amp;I$1&amp;"|Input"),IF(COUNTIF(Flows!$M$2:$M$1500,$A119&amp;"|"&amp;I$1&amp;"|Output"),"I/O","IN"),IF(COUNTIF(Flows!$M$2:$M$1500,$A119&amp;"|"&amp;I$1&amp;"|Output"),"OUT",""))</f>
        <v/>
      </c>
      <c r="J119" s="33" t="str">
        <f aca="false">IF(COUNTIF(Flows!$M$2:$M$1500,$A119&amp;"|"&amp;J$1&amp;"|Input"),IF(COUNTIF(Flows!$M$2:$M$1500,$A119&amp;"|"&amp;J$1&amp;"|Output"),"I/O","IN"),IF(COUNTIF(Flows!$M$2:$M$1500,$A119&amp;"|"&amp;J$1&amp;"|Output"),"OUT",""))</f>
        <v/>
      </c>
      <c r="K119" s="33" t="str">
        <f aca="false">IF(COUNTIF(Flows!$M$2:$M$1500,$A119&amp;"|"&amp;K$1&amp;"|Input"),IF(COUNTIF(Flows!$M$2:$M$1500,$A119&amp;"|"&amp;K$1&amp;"|Output"),"I/O","IN"),IF(COUNTIF(Flows!$M$2:$M$1500,$A119&amp;"|"&amp;K$1&amp;"|Output"),"OUT",""))</f>
        <v/>
      </c>
      <c r="L119" s="33" t="str">
        <f aca="false">IF(COUNTIF(Flows!$M$2:$M$1500,$A119&amp;"|"&amp;L$1&amp;"|Input"),IF(COUNTIF(Flows!$M$2:$M$1500,$A119&amp;"|"&amp;L$1&amp;"|Output"),"I/O","IN"),IF(COUNTIF(Flows!$M$2:$M$1500,$A119&amp;"|"&amp;L$1&amp;"|Output"),"OUT",""))</f>
        <v/>
      </c>
      <c r="M119" s="33" t="str">
        <f aca="false">IF(COUNTIF(Flows!$M$2:$M$1500,$A119&amp;"|"&amp;M$1&amp;"|Input"),IF(COUNTIF(Flows!$M$2:$M$1500,$A119&amp;"|"&amp;M$1&amp;"|Output"),"I/O","IN"),IF(COUNTIF(Flows!$M$2:$M$1500,$A119&amp;"|"&amp;M$1&amp;"|Output"),"OUT",""))</f>
        <v/>
      </c>
      <c r="N119" s="33" t="str">
        <f aca="false">IF(COUNTIF(Flows!$M$2:$M$1500,$A119&amp;"|"&amp;N$1&amp;"|Input"),IF(COUNTIF(Flows!$M$2:$M$1500,$A119&amp;"|"&amp;N$1&amp;"|Output"),"I/O","IN"),IF(COUNTIF(Flows!$M$2:$M$1500,$A119&amp;"|"&amp;N$1&amp;"|Output"),"OUT",""))</f>
        <v/>
      </c>
      <c r="O119" s="33" t="str">
        <f aca="false">IF(COUNTIF(Flows!$M$2:$M$1500,$A119&amp;"|"&amp;O$1&amp;"|Input"),IF(COUNTIF(Flows!$M$2:$M$1500,$A119&amp;"|"&amp;O$1&amp;"|Output"),"I/O","IN"),IF(COUNTIF(Flows!$M$2:$M$1500,$A119&amp;"|"&amp;O$1&amp;"|Output"),"OUT",""))</f>
        <v/>
      </c>
      <c r="P119" s="33" t="str">
        <f aca="false">IF(COUNTIF(Flows!$M$2:$M$1500,$A119&amp;"|"&amp;P$1&amp;"|Input"),IF(COUNTIF(Flows!$M$2:$M$1500,$A119&amp;"|"&amp;P$1&amp;"|Output"),"I/O","IN"),IF(COUNTIF(Flows!$M$2:$M$1500,$A119&amp;"|"&amp;P$1&amp;"|Output"),"OUT",""))</f>
        <v/>
      </c>
      <c r="Q119" s="33" t="str">
        <f aca="false">IF(COUNTIF(Flows!$M$2:$M$1500,$A119&amp;"|"&amp;Q$1&amp;"|Input"),IF(COUNTIF(Flows!$M$2:$M$1500,$A119&amp;"|"&amp;Q$1&amp;"|Output"),"I/O","IN"),IF(COUNTIF(Flows!$M$2:$M$1500,$A119&amp;"|"&amp;Q$1&amp;"|Output"),"OUT",""))</f>
        <v/>
      </c>
      <c r="R119" s="33" t="str">
        <f aca="false">IF(COUNTIF(Flows!$M$2:$M$1500,$A119&amp;"|"&amp;R$1&amp;"|Input"),IF(COUNTIF(Flows!$M$2:$M$1500,$A119&amp;"|"&amp;R$1&amp;"|Output"),"I/O","IN"),IF(COUNTIF(Flows!$M$2:$M$1500,$A119&amp;"|"&amp;R$1&amp;"|Output"),"OUT",""))</f>
        <v/>
      </c>
      <c r="S119" s="33" t="str">
        <f aca="false">IF(COUNTIF(Flows!$M$2:$M$1500,$A119&amp;"|"&amp;S$1&amp;"|Input"),IF(COUNTIF(Flows!$M$2:$M$1500,$A119&amp;"|"&amp;S$1&amp;"|Output"),"I/O","IN"),IF(COUNTIF(Flows!$M$2:$M$1500,$A119&amp;"|"&amp;S$1&amp;"|Output"),"OUT",""))</f>
        <v/>
      </c>
      <c r="T119" s="33" t="str">
        <f aca="false">IF(COUNTIF(Flows!$M$2:$M$1500,$A119&amp;"|"&amp;T$1&amp;"|Input"),IF(COUNTIF(Flows!$M$2:$M$1500,$A119&amp;"|"&amp;T$1&amp;"|Output"),"I/O","IN"),IF(COUNTIF(Flows!$M$2:$M$1500,$A119&amp;"|"&amp;T$1&amp;"|Output"),"OUT",""))</f>
        <v/>
      </c>
      <c r="U119" s="33" t="str">
        <f aca="false">IF(COUNTIF(Flows!$M$2:$M$1500,$A119&amp;"|"&amp;U$1&amp;"|Input"),IF(COUNTIF(Flows!$M$2:$M$1500,$A119&amp;"|"&amp;U$1&amp;"|Output"),"I/O","IN"),IF(COUNTIF(Flows!$M$2:$M$1500,$A119&amp;"|"&amp;U$1&amp;"|Output"),"OUT",""))</f>
        <v>IN</v>
      </c>
      <c r="V119" s="33" t="str">
        <f aca="false">IF(COUNTIF(Flows!$M$2:$M$1500,$A119&amp;"|"&amp;V$1&amp;"|Input"),IF(COUNTIF(Flows!$M$2:$M$1500,$A119&amp;"|"&amp;V$1&amp;"|Output"),"I/O","IN"),IF(COUNTIF(Flows!$M$2:$M$1500,$A119&amp;"|"&amp;V$1&amp;"|Output"),"OUT",""))</f>
        <v/>
      </c>
      <c r="W119" s="33" t="str">
        <f aca="false">IF(COUNTIF(Flows!$M$2:$M$1500,$A119&amp;"|"&amp;W$1&amp;"|Input"),IF(COUNTIF(Flows!$M$2:$M$1500,$A119&amp;"|"&amp;W$1&amp;"|Output"),"I/O","IN"),IF(COUNTIF(Flows!$M$2:$M$1500,$A119&amp;"|"&amp;W$1&amp;"|Output"),"OUT",""))</f>
        <v/>
      </c>
      <c r="X119" s="33" t="str">
        <f aca="false">IF(COUNTIF(Flows!$M$2:$M$1500,$A119&amp;"|"&amp;X$1&amp;"|Input"),IF(COUNTIF(Flows!$M$2:$M$1500,$A119&amp;"|"&amp;X$1&amp;"|Output"),"I/O","IN"),IF(COUNTIF(Flows!$M$2:$M$1500,$A119&amp;"|"&amp;X$1&amp;"|Output"),"OUT",""))</f>
        <v>IN</v>
      </c>
      <c r="Y119" s="33" t="str">
        <f aca="false">IF(COUNTIF(Flows!$M$2:$M$1500,$A119&amp;"|"&amp;Y$1&amp;"|Input"),IF(COUNTIF(Flows!$M$2:$M$1500,$A119&amp;"|"&amp;Y$1&amp;"|Output"),"I/O","IN"),IF(COUNTIF(Flows!$M$2:$M$1500,$A119&amp;"|"&amp;Y$1&amp;"|Output"),"OUT",""))</f>
        <v/>
      </c>
      <c r="Z119" s="33" t="str">
        <f aca="false">IF(COUNTIF(Flows!$M$2:$M$1500,$A119&amp;"|"&amp;Z$1&amp;"|Input"),IF(COUNTIF(Flows!$M$2:$M$1500,$A119&amp;"|"&amp;Z$1&amp;"|Output"),"I/O","IN"),IF(COUNTIF(Flows!$M$2:$M$1500,$A119&amp;"|"&amp;Z$1&amp;"|Output"),"OUT",""))</f>
        <v/>
      </c>
      <c r="AA119" s="33" t="str">
        <f aca="false">IF(COUNTIF(Flows!$M$2:$M$1500,$A119&amp;"|"&amp;AA$1&amp;"|Input"),IF(COUNTIF(Flows!$M$2:$M$1500,$A119&amp;"|"&amp;AA$1&amp;"|Output"),"I/O","IN"),IF(COUNTIF(Flows!$M$2:$M$1500,$A119&amp;"|"&amp;AA$1&amp;"|Output"),"OUT",""))</f>
        <v/>
      </c>
      <c r="AB119" s="33" t="str">
        <f aca="false">IF(COUNTIF(Flows!$M$2:$M$1500,$A119&amp;"|"&amp;AB$1&amp;"|Input"),IF(COUNTIF(Flows!$M$2:$M$1500,$A119&amp;"|"&amp;AB$1&amp;"|Output"),"I/O","IN"),IF(COUNTIF(Flows!$M$2:$M$1500,$A119&amp;"|"&amp;AB$1&amp;"|Output"),"OUT",""))</f>
        <v/>
      </c>
      <c r="AC119" s="33" t="str">
        <f aca="false">IF(COUNTIF(Flows!$M$2:$M$1500,$A119&amp;"|"&amp;AC$1&amp;"|Input"),IF(COUNTIF(Flows!$M$2:$M$1500,$A119&amp;"|"&amp;AC$1&amp;"|Output"),"I/O","IN"),IF(COUNTIF(Flows!$M$2:$M$1500,$A119&amp;"|"&amp;AC$1&amp;"|Output"),"OUT",""))</f>
        <v/>
      </c>
      <c r="AD119" s="33" t="str">
        <f aca="false">IF(COUNTIF(Flows!$M$2:$M$1500,$A119&amp;"|"&amp;AD$1&amp;"|Input"),IF(COUNTIF(Flows!$M$2:$M$1500,$A119&amp;"|"&amp;AD$1&amp;"|Output"),"I/O","IN"),IF(COUNTIF(Flows!$M$2:$M$1500,$A119&amp;"|"&amp;AD$1&amp;"|Output"),"OUT",""))</f>
        <v/>
      </c>
      <c r="AE119" s="33" t="str">
        <f aca="false">IF(COUNTIF(Flows!$M$2:$M$1500,$A119&amp;"|"&amp;AE$1&amp;"|Input"),IF(COUNTIF(Flows!$M$2:$M$1500,$A119&amp;"|"&amp;AE$1&amp;"|Output"),"I/O","IN"),IF(COUNTIF(Flows!$M$2:$M$1500,$A119&amp;"|"&amp;AE$1&amp;"|Output"),"OUT",""))</f>
        <v/>
      </c>
      <c r="AF119" s="33" t="str">
        <f aca="false">IF(COUNTIF(Flows!$M$2:$M$1500,$A119&amp;"|"&amp;AF$1&amp;"|Input"),IF(COUNTIF(Flows!$M$2:$M$1500,$A119&amp;"|"&amp;AF$1&amp;"|Output"),"I/O","IN"),IF(COUNTIF(Flows!$M$2:$M$1500,$A119&amp;"|"&amp;AF$1&amp;"|Output"),"OUT",""))</f>
        <v/>
      </c>
      <c r="AG119" s="33" t="str">
        <f aca="false">IF(COUNTIF(Flows!$M$2:$M$1500,$A119&amp;"|"&amp;AG$1&amp;"|Input"),IF(COUNTIF(Flows!$M$2:$M$1500,$A119&amp;"|"&amp;AG$1&amp;"|Output"),"I/O","IN"),IF(COUNTIF(Flows!$M$2:$M$1500,$A119&amp;"|"&amp;AG$1&amp;"|Output"),"OUT",""))</f>
        <v>OUT</v>
      </c>
      <c r="AH119" s="33" t="str">
        <f aca="false">IF(COUNTIF(Flows!$M$2:$M$1500,$A119&amp;"|"&amp;AH$1&amp;"|Input"),IF(COUNTIF(Flows!$M$2:$M$1500,$A119&amp;"|"&amp;AH$1&amp;"|Output"),"I/O","IN"),IF(COUNTIF(Flows!$M$2:$M$1500,$A119&amp;"|"&amp;AH$1&amp;"|Output"),"OUT",""))</f>
        <v/>
      </c>
      <c r="AI119" s="33" t="str">
        <f aca="false">IF(COUNTIF(Flows!$M$2:$M$1500,$A119&amp;"|"&amp;AI$1&amp;"|Input"),IF(COUNTIF(Flows!$M$2:$M$1500,$A119&amp;"|"&amp;AI$1&amp;"|Output"),"I/O","IN"),IF(COUNTIF(Flows!$M$2:$M$1500,$A119&amp;"|"&amp;AI$1&amp;"|Output"),"OUT",""))</f>
        <v/>
      </c>
      <c r="AJ119" s="33" t="str">
        <f aca="false">IF(COUNTIF(Flows!$M$2:$M$1500,$A119&amp;"|"&amp;AJ$1&amp;"|Input"),IF(COUNTIF(Flows!$M$2:$M$1500,$A119&amp;"|"&amp;AJ$1&amp;"|Output"),"I/O","IN"),IF(COUNTIF(Flows!$M$2:$M$1500,$A119&amp;"|"&amp;AJ$1&amp;"|Output"),"OUT",""))</f>
        <v/>
      </c>
      <c r="AK119" s="33" t="str">
        <f aca="false">IF(COUNTIF(Flows!$M$2:$M$1500,$A119&amp;"|"&amp;AK$1&amp;"|Input"),IF(COUNTIF(Flows!$M$2:$M$1500,$A119&amp;"|"&amp;AK$1&amp;"|Output"),"I/O","IN"),IF(COUNTIF(Flows!$M$2:$M$1500,$A119&amp;"|"&amp;AK$1&amp;"|Output"),"OUT",""))</f>
        <v/>
      </c>
      <c r="AL119" s="33" t="str">
        <f aca="false">IF(COUNTIF(Flows!$M$2:$M$1500,$A119&amp;"|"&amp;AL$1&amp;"|Input"),IF(COUNTIF(Flows!$M$2:$M$1500,$A119&amp;"|"&amp;AL$1&amp;"|Output"),"I/O","IN"),IF(COUNTIF(Flows!$M$2:$M$1500,$A119&amp;"|"&amp;AL$1&amp;"|Output"),"OUT",""))</f>
        <v/>
      </c>
      <c r="AM119" s="33" t="str">
        <f aca="false">IF(COUNTIF(Flows!$M$2:$M$1500,$A119&amp;"|"&amp;AM$1&amp;"|Input"),IF(COUNTIF(Flows!$M$2:$M$1500,$A119&amp;"|"&amp;AM$1&amp;"|Output"),"I/O","IN"),IF(COUNTIF(Flows!$M$2:$M$1500,$A119&amp;"|"&amp;AM$1&amp;"|Output"),"OUT",""))</f>
        <v/>
      </c>
      <c r="AN119" s="33" t="str">
        <f aca="false">IF(COUNTIF(Flows!$M$2:$M$1500,$A119&amp;"|"&amp;AN$1&amp;"|Input"),IF(COUNTIF(Flows!$M$2:$M$1500,$A119&amp;"|"&amp;AN$1&amp;"|Output"),"I/O","IN"),IF(COUNTIF(Flows!$M$2:$M$1500,$A119&amp;"|"&amp;AN$1&amp;"|Output"),"OUT",""))</f>
        <v/>
      </c>
      <c r="AO119" s="33" t="str">
        <f aca="false">IF(COUNTIF(Flows!$M$2:$M$1500,$A119&amp;"|"&amp;AO$1&amp;"|Input"),IF(COUNTIF(Flows!$M$2:$M$1500,$A119&amp;"|"&amp;AO$1&amp;"|Output"),"I/O","IN"),IF(COUNTIF(Flows!$M$2:$M$1500,$A119&amp;"|"&amp;AO$1&amp;"|Output"),"OUT",""))</f>
        <v/>
      </c>
      <c r="AP119" s="33" t="str">
        <f aca="false">IF(COUNTIF(Flows!$M$2:$M$1500,$A119&amp;"|"&amp;AP$1&amp;"|Input"),IF(COUNTIF(Flows!$M$2:$M$1500,$A119&amp;"|"&amp;AP$1&amp;"|Output"),"I/O","IN"),IF(COUNTIF(Flows!$M$2:$M$1500,$A119&amp;"|"&amp;AP$1&amp;"|Output"),"OUT",""))</f>
        <v/>
      </c>
      <c r="AQ119" s="33" t="str">
        <f aca="false">IF(COUNTIF(Flows!$M$2:$M$1500,$A119&amp;"|"&amp;AQ$1&amp;"|Input"),IF(COUNTIF(Flows!$M$2:$M$1500,$A119&amp;"|"&amp;AQ$1&amp;"|Output"),"I/O","IN"),IF(COUNTIF(Flows!$M$2:$M$1500,$A119&amp;"|"&amp;AQ$1&amp;"|Output"),"OUT",""))</f>
        <v/>
      </c>
      <c r="AR119" s="33" t="str">
        <f aca="false">IF(COUNTIF(Flows!$M$2:$M$1500,$A119&amp;"|"&amp;AR$1&amp;"|Input"),IF(COUNTIF(Flows!$M$2:$M$1500,$A119&amp;"|"&amp;AR$1&amp;"|Output"),"I/O","IN"),IF(COUNTIF(Flows!$M$2:$M$1500,$A119&amp;"|"&amp;AR$1&amp;"|Output"),"OUT",""))</f>
        <v/>
      </c>
      <c r="AS119" s="33" t="str">
        <f aca="false">IF(COUNTIF(Flows!$M$2:$M$1500,$A119&amp;"|"&amp;AS$1&amp;"|Input"),IF(COUNTIF(Flows!$M$2:$M$1500,$A119&amp;"|"&amp;AS$1&amp;"|Output"),"I/O","IN"),IF(COUNTIF(Flows!$M$2:$M$1500,$A119&amp;"|"&amp;AS$1&amp;"|Output"),"OUT",""))</f>
        <v/>
      </c>
      <c r="AT119" s="33" t="str">
        <f aca="false">IF(COUNTIF(Flows!$M$2:$M$1500,$A119&amp;"|"&amp;AT$1&amp;"|Input"),IF(COUNTIF(Flows!$M$2:$M$1500,$A119&amp;"|"&amp;AT$1&amp;"|Output"),"I/O","IN"),IF(COUNTIF(Flows!$M$2:$M$1500,$A119&amp;"|"&amp;AT$1&amp;"|Output"),"OUT",""))</f>
        <v/>
      </c>
      <c r="AU119" s="33" t="str">
        <f aca="false">IF(COUNTIF(Flows!$M$2:$M$1500,$A119&amp;"|"&amp;AU$1&amp;"|Input"),IF(COUNTIF(Flows!$M$2:$M$1500,$A119&amp;"|"&amp;AU$1&amp;"|Output"),"I/O","IN"),IF(COUNTIF(Flows!$M$2:$M$1500,$A119&amp;"|"&amp;AU$1&amp;"|Output"),"OUT",""))</f>
        <v/>
      </c>
      <c r="AV119" s="33" t="str">
        <f aca="false">IF(COUNTIF(Flows!$M$2:$M$1500,$A119&amp;"|"&amp;AV$1&amp;"|Input"),IF(COUNTIF(Flows!$M$2:$M$1500,$A119&amp;"|"&amp;AV$1&amp;"|Output"),"I/O","IN"),IF(COUNTIF(Flows!$M$2:$M$1500,$A119&amp;"|"&amp;AV$1&amp;"|Output"),"OUT",""))</f>
        <v/>
      </c>
      <c r="AW119" s="33" t="str">
        <f aca="false">IF(COUNTIF(Flows!$M$2:$M$1500,$A119&amp;"|"&amp;AW$1&amp;"|Input"),IF(COUNTIF(Flows!$M$2:$M$1500,$A119&amp;"|"&amp;AW$1&amp;"|Output"),"I/O","IN"),IF(COUNTIF(Flows!$M$2:$M$1500,$A119&amp;"|"&amp;AW$1&amp;"|Output"),"OUT",""))</f>
        <v/>
      </c>
      <c r="AX119" s="33" t="str">
        <f aca="false">IF(COUNTIF(Flows!$M$2:$M$1500,$A119&amp;"|"&amp;AX$1&amp;"|Input"),IF(COUNTIF(Flows!$M$2:$M$1500,$A119&amp;"|"&amp;AX$1&amp;"|Output"),"I/O","IN"),IF(COUNTIF(Flows!$M$2:$M$1500,$A119&amp;"|"&amp;AX$1&amp;"|Output"),"OUT",""))</f>
        <v/>
      </c>
      <c r="AY119" s="33" t="str">
        <f aca="false">IF(COUNTIF(Flows!$M$2:$M$1500,$A119&amp;"|"&amp;AY$1&amp;"|Input"),IF(COUNTIF(Flows!$M$2:$M$1500,$A119&amp;"|"&amp;AY$1&amp;"|Output"),"I/O","IN"),IF(COUNTIF(Flows!$M$2:$M$1500,$A119&amp;"|"&amp;AY$1&amp;"|Output"),"OUT",""))</f>
        <v/>
      </c>
      <c r="AZ119" s="33" t="str">
        <f aca="false">IF(COUNTIF(Flows!$M$2:$M$1500,$A119&amp;"|"&amp;AZ$1&amp;"|Input"),IF(COUNTIF(Flows!$M$2:$M$1500,$A119&amp;"|"&amp;AZ$1&amp;"|Output"),"I/O","IN"),IF(COUNTIF(Flows!$M$2:$M$1500,$A119&amp;"|"&amp;AZ$1&amp;"|Output"),"OUT",""))</f>
        <v/>
      </c>
      <c r="BA119" s="33" t="str">
        <f aca="false">IF(COUNTIF(Flows!$M$2:$M$1500,$A119&amp;"|"&amp;BA$1&amp;"|Input"),IF(COUNTIF(Flows!$M$2:$M$1500,$A119&amp;"|"&amp;BA$1&amp;"|Output"),"I/O","IN"),IF(COUNTIF(Flows!$M$2:$M$1500,$A119&amp;"|"&amp;BA$1&amp;"|Output"),"OUT",""))</f>
        <v/>
      </c>
      <c r="BB119" s="33" t="str">
        <f aca="false">IF(COUNTIF(Flows!$M$2:$M$1500,$A119&amp;"|"&amp;BB$1&amp;"|Input"),IF(COUNTIF(Flows!$M$2:$M$1500,$A119&amp;"|"&amp;BB$1&amp;"|Output"),"I/O","IN"),IF(COUNTIF(Flows!$M$2:$M$1500,$A119&amp;"|"&amp;BB$1&amp;"|Output"),"OUT",""))</f>
        <v/>
      </c>
      <c r="BC119" s="33" t="str">
        <f aca="false">IF(COUNTIF(Flows!$M$2:$M$1500,$A119&amp;"|"&amp;BC$1&amp;"|Input"),IF(COUNTIF(Flows!$M$2:$M$1500,$A119&amp;"|"&amp;BC$1&amp;"|Output"),"I/O","IN"),IF(COUNTIF(Flows!$M$2:$M$1500,$A119&amp;"|"&amp;BC$1&amp;"|Output"),"OUT",""))</f>
        <v/>
      </c>
      <c r="BD119" s="33" t="str">
        <f aca="false">IF(COUNTIF(Flows!$M$2:$M$1500,$A119&amp;"|"&amp;BD$1&amp;"|Input"),IF(COUNTIF(Flows!$M$2:$M$1500,$A119&amp;"|"&amp;BD$1&amp;"|Output"),"I/O","IN"),IF(COUNTIF(Flows!$M$2:$M$1500,$A119&amp;"|"&amp;BD$1&amp;"|Output"),"OUT",""))</f>
        <v/>
      </c>
      <c r="BE119" s="33" t="str">
        <f aca="false">IF(COUNTIF(Flows!$M$2:$M$1500,$A119&amp;"|"&amp;BE$1&amp;"|Input"),IF(COUNTIF(Flows!$M$2:$M$1500,$A119&amp;"|"&amp;BE$1&amp;"|Output"),"I/O","IN"),IF(COUNTIF(Flows!$M$2:$M$1500,$A119&amp;"|"&amp;BE$1&amp;"|Output"),"OUT",""))</f>
        <v/>
      </c>
      <c r="BF119" s="33" t="str">
        <f aca="false">IF(COUNTIF(Flows!$M$2:$M$1500,$A119&amp;"|"&amp;BF$1&amp;"|Input"),IF(COUNTIF(Flows!$M$2:$M$1500,$A119&amp;"|"&amp;BF$1&amp;"|Output"),"I/O","IN"),IF(COUNTIF(Flows!$M$2:$M$1500,$A119&amp;"|"&amp;BF$1&amp;"|Output"),"OUT",""))</f>
        <v/>
      </c>
      <c r="BG119" s="33" t="str">
        <f aca="false">IF(COUNTIF(Flows!$M$2:$M$1500,$A119&amp;"|"&amp;BG$1&amp;"|Input"),IF(COUNTIF(Flows!$M$2:$M$1500,$A119&amp;"|"&amp;BG$1&amp;"|Output"),"I/O","IN"),IF(COUNTIF(Flows!$M$2:$M$1500,$A119&amp;"|"&amp;BG$1&amp;"|Output"),"OUT",""))</f>
        <v/>
      </c>
      <c r="BH119" s="33" t="str">
        <f aca="false">IF(COUNTIF(Flows!$M$2:$M$1500,$A119&amp;"|"&amp;BH$1&amp;"|Input"),IF(COUNTIF(Flows!$M$2:$M$1500,$A119&amp;"|"&amp;BH$1&amp;"|Output"),"I/O","IN"),IF(COUNTIF(Flows!$M$2:$M$1500,$A119&amp;"|"&amp;BH$1&amp;"|Output"),"OUT",""))</f>
        <v/>
      </c>
      <c r="BI119" s="33" t="str">
        <f aca="false">IF(COUNTIF(Flows!$M$2:$M$1500,$A119&amp;"|"&amp;BI$1&amp;"|Input"),IF(COUNTIF(Flows!$M$2:$M$1500,$A119&amp;"|"&amp;BI$1&amp;"|Output"),"I/O","IN"),IF(COUNTIF(Flows!$M$2:$M$1500,$A119&amp;"|"&amp;BI$1&amp;"|Output"),"OUT",""))</f>
        <v/>
      </c>
      <c r="BJ119" s="33" t="str">
        <f aca="false">IF(COUNTIF(Flows!$M$2:$M$1500,$A119&amp;"|"&amp;BJ$1&amp;"|Input"),IF(COUNTIF(Flows!$M$2:$M$1500,$A119&amp;"|"&amp;BJ$1&amp;"|Output"),"I/O","IN"),IF(COUNTIF(Flows!$M$2:$M$1500,$A119&amp;"|"&amp;BJ$1&amp;"|Output"),"OUT",""))</f>
        <v/>
      </c>
      <c r="BK119" s="33" t="str">
        <f aca="false">IF(COUNTIF(Flows!$M$2:$M$1500,$A119&amp;"|"&amp;BK$1&amp;"|Input"),IF(COUNTIF(Flows!$M$2:$M$1500,$A119&amp;"|"&amp;BK$1&amp;"|Output"),"I/O","IN"),IF(COUNTIF(Flows!$M$2:$M$1500,$A119&amp;"|"&amp;BK$1&amp;"|Output"),"OUT",""))</f>
        <v/>
      </c>
    </row>
    <row r="120" customFormat="false" ht="15" hidden="false" customHeight="true" outlineLevel="0" collapsed="false">
      <c r="A120" s="6" t="str">
        <f aca="false">Systems!B120</f>
        <v>Aquaponics System</v>
      </c>
      <c r="B120" s="33" t="str">
        <f aca="false">IF(COUNTIF(Flows!$M$2:$M$1500,$A120&amp;"|"&amp;B$1&amp;"|Input"),IF(COUNTIF(Flows!$M$2:$M$1500,$A120&amp;"|"&amp;B$1&amp;"|Output"),"I/O","IN"),IF(COUNTIF(Flows!$M$2:$M$1500,$A120&amp;"|"&amp;B$1&amp;"|Output"),"OUT",""))</f>
        <v>IN</v>
      </c>
      <c r="C120" s="33" t="str">
        <f aca="false">IF(COUNTIF(Flows!$M$2:$M$1500,$A120&amp;"|"&amp;C$1&amp;"|Input"),IF(COUNTIF(Flows!$M$2:$M$1500,$A120&amp;"|"&amp;C$1&amp;"|Output"),"I/O","IN"),IF(COUNTIF(Flows!$M$2:$M$1500,$A120&amp;"|"&amp;C$1&amp;"|Output"),"OUT",""))</f>
        <v/>
      </c>
      <c r="D120" s="33" t="str">
        <f aca="false">IF(COUNTIF(Flows!$M$2:$M$1500,$A120&amp;"|"&amp;D$1&amp;"|Input"),IF(COUNTIF(Flows!$M$2:$M$1500,$A120&amp;"|"&amp;D$1&amp;"|Output"),"I/O","IN"),IF(COUNTIF(Flows!$M$2:$M$1500,$A120&amp;"|"&amp;D$1&amp;"|Output"),"OUT",""))</f>
        <v/>
      </c>
      <c r="E120" s="33" t="str">
        <f aca="false">IF(COUNTIF(Flows!$M$2:$M$1500,$A120&amp;"|"&amp;E$1&amp;"|Input"),IF(COUNTIF(Flows!$M$2:$M$1500,$A120&amp;"|"&amp;E$1&amp;"|Output"),"I/O","IN"),IF(COUNTIF(Flows!$M$2:$M$1500,$A120&amp;"|"&amp;E$1&amp;"|Output"),"OUT",""))</f>
        <v/>
      </c>
      <c r="F120" s="33" t="str">
        <f aca="false">IF(COUNTIF(Flows!$M$2:$M$1500,$A120&amp;"|"&amp;F$1&amp;"|Input"),IF(COUNTIF(Flows!$M$2:$M$1500,$A120&amp;"|"&amp;F$1&amp;"|Output"),"I/O","IN"),IF(COUNTIF(Flows!$M$2:$M$1500,$A120&amp;"|"&amp;F$1&amp;"|Output"),"OUT",""))</f>
        <v/>
      </c>
      <c r="G120" s="33" t="str">
        <f aca="false">IF(COUNTIF(Flows!$M$2:$M$1500,$A120&amp;"|"&amp;G$1&amp;"|Input"),IF(COUNTIF(Flows!$M$2:$M$1500,$A120&amp;"|"&amp;G$1&amp;"|Output"),"I/O","IN"),IF(COUNTIF(Flows!$M$2:$M$1500,$A120&amp;"|"&amp;G$1&amp;"|Output"),"OUT",""))</f>
        <v>OUT</v>
      </c>
      <c r="H120" s="33" t="str">
        <f aca="false">IF(COUNTIF(Flows!$M$2:$M$1500,$A120&amp;"|"&amp;H$1&amp;"|Input"),IF(COUNTIF(Flows!$M$2:$M$1500,$A120&amp;"|"&amp;H$1&amp;"|Output"),"I/O","IN"),IF(COUNTIF(Flows!$M$2:$M$1500,$A120&amp;"|"&amp;H$1&amp;"|Output"),"OUT",""))</f>
        <v/>
      </c>
      <c r="I120" s="33" t="str">
        <f aca="false">IF(COUNTIF(Flows!$M$2:$M$1500,$A120&amp;"|"&amp;I$1&amp;"|Input"),IF(COUNTIF(Flows!$M$2:$M$1500,$A120&amp;"|"&amp;I$1&amp;"|Output"),"I/O","IN"),IF(COUNTIF(Flows!$M$2:$M$1500,$A120&amp;"|"&amp;I$1&amp;"|Output"),"OUT",""))</f>
        <v/>
      </c>
      <c r="J120" s="33" t="str">
        <f aca="false">IF(COUNTIF(Flows!$M$2:$M$1500,$A120&amp;"|"&amp;J$1&amp;"|Input"),IF(COUNTIF(Flows!$M$2:$M$1500,$A120&amp;"|"&amp;J$1&amp;"|Output"),"I/O","IN"),IF(COUNTIF(Flows!$M$2:$M$1500,$A120&amp;"|"&amp;J$1&amp;"|Output"),"OUT",""))</f>
        <v/>
      </c>
      <c r="K120" s="33" t="str">
        <f aca="false">IF(COUNTIF(Flows!$M$2:$M$1500,$A120&amp;"|"&amp;K$1&amp;"|Input"),IF(COUNTIF(Flows!$M$2:$M$1500,$A120&amp;"|"&amp;K$1&amp;"|Output"),"I/O","IN"),IF(COUNTIF(Flows!$M$2:$M$1500,$A120&amp;"|"&amp;K$1&amp;"|Output"),"OUT",""))</f>
        <v/>
      </c>
      <c r="L120" s="33" t="str">
        <f aca="false">IF(COUNTIF(Flows!$M$2:$M$1500,$A120&amp;"|"&amp;L$1&amp;"|Input"),IF(COUNTIF(Flows!$M$2:$M$1500,$A120&amp;"|"&amp;L$1&amp;"|Output"),"I/O","IN"),IF(COUNTIF(Flows!$M$2:$M$1500,$A120&amp;"|"&amp;L$1&amp;"|Output"),"OUT",""))</f>
        <v/>
      </c>
      <c r="M120" s="33" t="str">
        <f aca="false">IF(COUNTIF(Flows!$M$2:$M$1500,$A120&amp;"|"&amp;M$1&amp;"|Input"),IF(COUNTIF(Flows!$M$2:$M$1500,$A120&amp;"|"&amp;M$1&amp;"|Output"),"I/O","IN"),IF(COUNTIF(Flows!$M$2:$M$1500,$A120&amp;"|"&amp;M$1&amp;"|Output"),"OUT",""))</f>
        <v/>
      </c>
      <c r="N120" s="33" t="str">
        <f aca="false">IF(COUNTIF(Flows!$M$2:$M$1500,$A120&amp;"|"&amp;N$1&amp;"|Input"),IF(COUNTIF(Flows!$M$2:$M$1500,$A120&amp;"|"&amp;N$1&amp;"|Output"),"I/O","IN"),IF(COUNTIF(Flows!$M$2:$M$1500,$A120&amp;"|"&amp;N$1&amp;"|Output"),"OUT",""))</f>
        <v>OUT</v>
      </c>
      <c r="O120" s="33" t="str">
        <f aca="false">IF(COUNTIF(Flows!$M$2:$M$1500,$A120&amp;"|"&amp;O$1&amp;"|Input"),IF(COUNTIF(Flows!$M$2:$M$1500,$A120&amp;"|"&amp;O$1&amp;"|Output"),"I/O","IN"),IF(COUNTIF(Flows!$M$2:$M$1500,$A120&amp;"|"&amp;O$1&amp;"|Output"),"OUT",""))</f>
        <v/>
      </c>
      <c r="P120" s="33" t="str">
        <f aca="false">IF(COUNTIF(Flows!$M$2:$M$1500,$A120&amp;"|"&amp;P$1&amp;"|Input"),IF(COUNTIF(Flows!$M$2:$M$1500,$A120&amp;"|"&amp;P$1&amp;"|Output"),"I/O","IN"),IF(COUNTIF(Flows!$M$2:$M$1500,$A120&amp;"|"&amp;P$1&amp;"|Output"),"OUT",""))</f>
        <v/>
      </c>
      <c r="Q120" s="33" t="str">
        <f aca="false">IF(COUNTIF(Flows!$M$2:$M$1500,$A120&amp;"|"&amp;Q$1&amp;"|Input"),IF(COUNTIF(Flows!$M$2:$M$1500,$A120&amp;"|"&amp;Q$1&amp;"|Output"),"I/O","IN"),IF(COUNTIF(Flows!$M$2:$M$1500,$A120&amp;"|"&amp;Q$1&amp;"|Output"),"OUT",""))</f>
        <v/>
      </c>
      <c r="R120" s="33" t="str">
        <f aca="false">IF(COUNTIF(Flows!$M$2:$M$1500,$A120&amp;"|"&amp;R$1&amp;"|Input"),IF(COUNTIF(Flows!$M$2:$M$1500,$A120&amp;"|"&amp;R$1&amp;"|Output"),"I/O","IN"),IF(COUNTIF(Flows!$M$2:$M$1500,$A120&amp;"|"&amp;R$1&amp;"|Output"),"OUT",""))</f>
        <v/>
      </c>
      <c r="S120" s="33" t="str">
        <f aca="false">IF(COUNTIF(Flows!$M$2:$M$1500,$A120&amp;"|"&amp;S$1&amp;"|Input"),IF(COUNTIF(Flows!$M$2:$M$1500,$A120&amp;"|"&amp;S$1&amp;"|Output"),"I/O","IN"),IF(COUNTIF(Flows!$M$2:$M$1500,$A120&amp;"|"&amp;S$1&amp;"|Output"),"OUT",""))</f>
        <v>IN</v>
      </c>
      <c r="T120" s="33" t="str">
        <f aca="false">IF(COUNTIF(Flows!$M$2:$M$1500,$A120&amp;"|"&amp;T$1&amp;"|Input"),IF(COUNTIF(Flows!$M$2:$M$1500,$A120&amp;"|"&amp;T$1&amp;"|Output"),"I/O","IN"),IF(COUNTIF(Flows!$M$2:$M$1500,$A120&amp;"|"&amp;T$1&amp;"|Output"),"OUT",""))</f>
        <v/>
      </c>
      <c r="U120" s="33" t="str">
        <f aca="false">IF(COUNTIF(Flows!$M$2:$M$1500,$A120&amp;"|"&amp;U$1&amp;"|Input"),IF(COUNTIF(Flows!$M$2:$M$1500,$A120&amp;"|"&amp;U$1&amp;"|Output"),"I/O","IN"),IF(COUNTIF(Flows!$M$2:$M$1500,$A120&amp;"|"&amp;U$1&amp;"|Output"),"OUT",""))</f>
        <v/>
      </c>
      <c r="V120" s="33" t="str">
        <f aca="false">IF(COUNTIF(Flows!$M$2:$M$1500,$A120&amp;"|"&amp;V$1&amp;"|Input"),IF(COUNTIF(Flows!$M$2:$M$1500,$A120&amp;"|"&amp;V$1&amp;"|Output"),"I/O","IN"),IF(COUNTIF(Flows!$M$2:$M$1500,$A120&amp;"|"&amp;V$1&amp;"|Output"),"OUT",""))</f>
        <v/>
      </c>
      <c r="W120" s="33" t="str">
        <f aca="false">IF(COUNTIF(Flows!$M$2:$M$1500,$A120&amp;"|"&amp;W$1&amp;"|Input"),IF(COUNTIF(Flows!$M$2:$M$1500,$A120&amp;"|"&amp;W$1&amp;"|Output"),"I/O","IN"),IF(COUNTIF(Flows!$M$2:$M$1500,$A120&amp;"|"&amp;W$1&amp;"|Output"),"OUT",""))</f>
        <v/>
      </c>
      <c r="X120" s="33" t="str">
        <f aca="false">IF(COUNTIF(Flows!$M$2:$M$1500,$A120&amp;"|"&amp;X$1&amp;"|Input"),IF(COUNTIF(Flows!$M$2:$M$1500,$A120&amp;"|"&amp;X$1&amp;"|Output"),"I/O","IN"),IF(COUNTIF(Flows!$M$2:$M$1500,$A120&amp;"|"&amp;X$1&amp;"|Output"),"OUT",""))</f>
        <v>IN</v>
      </c>
      <c r="Y120" s="33" t="str">
        <f aca="false">IF(COUNTIF(Flows!$M$2:$M$1500,$A120&amp;"|"&amp;Y$1&amp;"|Input"),IF(COUNTIF(Flows!$M$2:$M$1500,$A120&amp;"|"&amp;Y$1&amp;"|Output"),"I/O","IN"),IF(COUNTIF(Flows!$M$2:$M$1500,$A120&amp;"|"&amp;Y$1&amp;"|Output"),"OUT",""))</f>
        <v/>
      </c>
      <c r="Z120" s="33" t="str">
        <f aca="false">IF(COUNTIF(Flows!$M$2:$M$1500,$A120&amp;"|"&amp;Z$1&amp;"|Input"),IF(COUNTIF(Flows!$M$2:$M$1500,$A120&amp;"|"&amp;Z$1&amp;"|Output"),"I/O","IN"),IF(COUNTIF(Flows!$M$2:$M$1500,$A120&amp;"|"&amp;Z$1&amp;"|Output"),"OUT",""))</f>
        <v/>
      </c>
      <c r="AA120" s="33" t="str">
        <f aca="false">IF(COUNTIF(Flows!$M$2:$M$1500,$A120&amp;"|"&amp;AA$1&amp;"|Input"),IF(COUNTIF(Flows!$M$2:$M$1500,$A120&amp;"|"&amp;AA$1&amp;"|Output"),"I/O","IN"),IF(COUNTIF(Flows!$M$2:$M$1500,$A120&amp;"|"&amp;AA$1&amp;"|Output"),"OUT",""))</f>
        <v/>
      </c>
      <c r="AB120" s="33" t="str">
        <f aca="false">IF(COUNTIF(Flows!$M$2:$M$1500,$A120&amp;"|"&amp;AB$1&amp;"|Input"),IF(COUNTIF(Flows!$M$2:$M$1500,$A120&amp;"|"&amp;AB$1&amp;"|Output"),"I/O","IN"),IF(COUNTIF(Flows!$M$2:$M$1500,$A120&amp;"|"&amp;AB$1&amp;"|Output"),"OUT",""))</f>
        <v/>
      </c>
      <c r="AC120" s="33" t="str">
        <f aca="false">IF(COUNTIF(Flows!$M$2:$M$1500,$A120&amp;"|"&amp;AC$1&amp;"|Input"),IF(COUNTIF(Flows!$M$2:$M$1500,$A120&amp;"|"&amp;AC$1&amp;"|Output"),"I/O","IN"),IF(COUNTIF(Flows!$M$2:$M$1500,$A120&amp;"|"&amp;AC$1&amp;"|Output"),"OUT",""))</f>
        <v/>
      </c>
      <c r="AD120" s="33" t="str">
        <f aca="false">IF(COUNTIF(Flows!$M$2:$M$1500,$A120&amp;"|"&amp;AD$1&amp;"|Input"),IF(COUNTIF(Flows!$M$2:$M$1500,$A120&amp;"|"&amp;AD$1&amp;"|Output"),"I/O","IN"),IF(COUNTIF(Flows!$M$2:$M$1500,$A120&amp;"|"&amp;AD$1&amp;"|Output"),"OUT",""))</f>
        <v/>
      </c>
      <c r="AE120" s="33" t="str">
        <f aca="false">IF(COUNTIF(Flows!$M$2:$M$1500,$A120&amp;"|"&amp;AE$1&amp;"|Input"),IF(COUNTIF(Flows!$M$2:$M$1500,$A120&amp;"|"&amp;AE$1&amp;"|Output"),"I/O","IN"),IF(COUNTIF(Flows!$M$2:$M$1500,$A120&amp;"|"&amp;AE$1&amp;"|Output"),"OUT",""))</f>
        <v/>
      </c>
      <c r="AF120" s="33" t="str">
        <f aca="false">IF(COUNTIF(Flows!$M$2:$M$1500,$A120&amp;"|"&amp;AF$1&amp;"|Input"),IF(COUNTIF(Flows!$M$2:$M$1500,$A120&amp;"|"&amp;AF$1&amp;"|Output"),"I/O","IN"),IF(COUNTIF(Flows!$M$2:$M$1500,$A120&amp;"|"&amp;AF$1&amp;"|Output"),"OUT",""))</f>
        <v/>
      </c>
      <c r="AG120" s="33" t="str">
        <f aca="false">IF(COUNTIF(Flows!$M$2:$M$1500,$A120&amp;"|"&amp;AG$1&amp;"|Input"),IF(COUNTIF(Flows!$M$2:$M$1500,$A120&amp;"|"&amp;AG$1&amp;"|Output"),"I/O","IN"),IF(COUNTIF(Flows!$M$2:$M$1500,$A120&amp;"|"&amp;AG$1&amp;"|Output"),"OUT",""))</f>
        <v/>
      </c>
      <c r="AH120" s="33" t="str">
        <f aca="false">IF(COUNTIF(Flows!$M$2:$M$1500,$A120&amp;"|"&amp;AH$1&amp;"|Input"),IF(COUNTIF(Flows!$M$2:$M$1500,$A120&amp;"|"&amp;AH$1&amp;"|Output"),"I/O","IN"),IF(COUNTIF(Flows!$M$2:$M$1500,$A120&amp;"|"&amp;AH$1&amp;"|Output"),"OUT",""))</f>
        <v/>
      </c>
      <c r="AI120" s="33" t="str">
        <f aca="false">IF(COUNTIF(Flows!$M$2:$M$1500,$A120&amp;"|"&amp;AI$1&amp;"|Input"),IF(COUNTIF(Flows!$M$2:$M$1500,$A120&amp;"|"&amp;AI$1&amp;"|Output"),"I/O","IN"),IF(COUNTIF(Flows!$M$2:$M$1500,$A120&amp;"|"&amp;AI$1&amp;"|Output"),"OUT",""))</f>
        <v/>
      </c>
      <c r="AJ120" s="33" t="str">
        <f aca="false">IF(COUNTIF(Flows!$M$2:$M$1500,$A120&amp;"|"&amp;AJ$1&amp;"|Input"),IF(COUNTIF(Flows!$M$2:$M$1500,$A120&amp;"|"&amp;AJ$1&amp;"|Output"),"I/O","IN"),IF(COUNTIF(Flows!$M$2:$M$1500,$A120&amp;"|"&amp;AJ$1&amp;"|Output"),"OUT",""))</f>
        <v/>
      </c>
      <c r="AK120" s="33" t="str">
        <f aca="false">IF(COUNTIF(Flows!$M$2:$M$1500,$A120&amp;"|"&amp;AK$1&amp;"|Input"),IF(COUNTIF(Flows!$M$2:$M$1500,$A120&amp;"|"&amp;AK$1&amp;"|Output"),"I/O","IN"),IF(COUNTIF(Flows!$M$2:$M$1500,$A120&amp;"|"&amp;AK$1&amp;"|Output"),"OUT",""))</f>
        <v/>
      </c>
      <c r="AL120" s="33" t="str">
        <f aca="false">IF(COUNTIF(Flows!$M$2:$M$1500,$A120&amp;"|"&amp;AL$1&amp;"|Input"),IF(COUNTIF(Flows!$M$2:$M$1500,$A120&amp;"|"&amp;AL$1&amp;"|Output"),"I/O","IN"),IF(COUNTIF(Flows!$M$2:$M$1500,$A120&amp;"|"&amp;AL$1&amp;"|Output"),"OUT",""))</f>
        <v/>
      </c>
      <c r="AM120" s="33" t="str">
        <f aca="false">IF(COUNTIF(Flows!$M$2:$M$1500,$A120&amp;"|"&amp;AM$1&amp;"|Input"),IF(COUNTIF(Flows!$M$2:$M$1500,$A120&amp;"|"&amp;AM$1&amp;"|Output"),"I/O","IN"),IF(COUNTIF(Flows!$M$2:$M$1500,$A120&amp;"|"&amp;AM$1&amp;"|Output"),"OUT",""))</f>
        <v/>
      </c>
      <c r="AN120" s="33" t="str">
        <f aca="false">IF(COUNTIF(Flows!$M$2:$M$1500,$A120&amp;"|"&amp;AN$1&amp;"|Input"),IF(COUNTIF(Flows!$M$2:$M$1500,$A120&amp;"|"&amp;AN$1&amp;"|Output"),"I/O","IN"),IF(COUNTIF(Flows!$M$2:$M$1500,$A120&amp;"|"&amp;AN$1&amp;"|Output"),"OUT",""))</f>
        <v/>
      </c>
      <c r="AO120" s="33" t="str">
        <f aca="false">IF(COUNTIF(Flows!$M$2:$M$1500,$A120&amp;"|"&amp;AO$1&amp;"|Input"),IF(COUNTIF(Flows!$M$2:$M$1500,$A120&amp;"|"&amp;AO$1&amp;"|Output"),"I/O","IN"),IF(COUNTIF(Flows!$M$2:$M$1500,$A120&amp;"|"&amp;AO$1&amp;"|Output"),"OUT",""))</f>
        <v/>
      </c>
      <c r="AP120" s="33" t="str">
        <f aca="false">IF(COUNTIF(Flows!$M$2:$M$1500,$A120&amp;"|"&amp;AP$1&amp;"|Input"),IF(COUNTIF(Flows!$M$2:$M$1500,$A120&amp;"|"&amp;AP$1&amp;"|Output"),"I/O","IN"),IF(COUNTIF(Flows!$M$2:$M$1500,$A120&amp;"|"&amp;AP$1&amp;"|Output"),"OUT",""))</f>
        <v/>
      </c>
      <c r="AQ120" s="33" t="str">
        <f aca="false">IF(COUNTIF(Flows!$M$2:$M$1500,$A120&amp;"|"&amp;AQ$1&amp;"|Input"),IF(COUNTIF(Flows!$M$2:$M$1500,$A120&amp;"|"&amp;AQ$1&amp;"|Output"),"I/O","IN"),IF(COUNTIF(Flows!$M$2:$M$1500,$A120&amp;"|"&amp;AQ$1&amp;"|Output"),"OUT",""))</f>
        <v/>
      </c>
      <c r="AR120" s="33" t="str">
        <f aca="false">IF(COUNTIF(Flows!$M$2:$M$1500,$A120&amp;"|"&amp;AR$1&amp;"|Input"),IF(COUNTIF(Flows!$M$2:$M$1500,$A120&amp;"|"&amp;AR$1&amp;"|Output"),"I/O","IN"),IF(COUNTIF(Flows!$M$2:$M$1500,$A120&amp;"|"&amp;AR$1&amp;"|Output"),"OUT",""))</f>
        <v/>
      </c>
      <c r="AS120" s="33" t="str">
        <f aca="false">IF(COUNTIF(Flows!$M$2:$M$1500,$A120&amp;"|"&amp;AS$1&amp;"|Input"),IF(COUNTIF(Flows!$M$2:$M$1500,$A120&amp;"|"&amp;AS$1&amp;"|Output"),"I/O","IN"),IF(COUNTIF(Flows!$M$2:$M$1500,$A120&amp;"|"&amp;AS$1&amp;"|Output"),"OUT",""))</f>
        <v/>
      </c>
      <c r="AT120" s="33" t="str">
        <f aca="false">IF(COUNTIF(Flows!$M$2:$M$1500,$A120&amp;"|"&amp;AT$1&amp;"|Input"),IF(COUNTIF(Flows!$M$2:$M$1500,$A120&amp;"|"&amp;AT$1&amp;"|Output"),"I/O","IN"),IF(COUNTIF(Flows!$M$2:$M$1500,$A120&amp;"|"&amp;AT$1&amp;"|Output"),"OUT",""))</f>
        <v/>
      </c>
      <c r="AU120" s="33" t="str">
        <f aca="false">IF(COUNTIF(Flows!$M$2:$M$1500,$A120&amp;"|"&amp;AU$1&amp;"|Input"),IF(COUNTIF(Flows!$M$2:$M$1500,$A120&amp;"|"&amp;AU$1&amp;"|Output"),"I/O","IN"),IF(COUNTIF(Flows!$M$2:$M$1500,$A120&amp;"|"&amp;AU$1&amp;"|Output"),"OUT",""))</f>
        <v/>
      </c>
      <c r="AV120" s="33" t="str">
        <f aca="false">IF(COUNTIF(Flows!$M$2:$M$1500,$A120&amp;"|"&amp;AV$1&amp;"|Input"),IF(COUNTIF(Flows!$M$2:$M$1500,$A120&amp;"|"&amp;AV$1&amp;"|Output"),"I/O","IN"),IF(COUNTIF(Flows!$M$2:$M$1500,$A120&amp;"|"&amp;AV$1&amp;"|Output"),"OUT",""))</f>
        <v/>
      </c>
      <c r="AW120" s="33" t="str">
        <f aca="false">IF(COUNTIF(Flows!$M$2:$M$1500,$A120&amp;"|"&amp;AW$1&amp;"|Input"),IF(COUNTIF(Flows!$M$2:$M$1500,$A120&amp;"|"&amp;AW$1&amp;"|Output"),"I/O","IN"),IF(COUNTIF(Flows!$M$2:$M$1500,$A120&amp;"|"&amp;AW$1&amp;"|Output"),"OUT",""))</f>
        <v/>
      </c>
      <c r="AX120" s="33" t="str">
        <f aca="false">IF(COUNTIF(Flows!$M$2:$M$1500,$A120&amp;"|"&amp;AX$1&amp;"|Input"),IF(COUNTIF(Flows!$M$2:$M$1500,$A120&amp;"|"&amp;AX$1&amp;"|Output"),"I/O","IN"),IF(COUNTIF(Flows!$M$2:$M$1500,$A120&amp;"|"&amp;AX$1&amp;"|Output"),"OUT",""))</f>
        <v/>
      </c>
      <c r="AY120" s="33" t="str">
        <f aca="false">IF(COUNTIF(Flows!$M$2:$M$1500,$A120&amp;"|"&amp;AY$1&amp;"|Input"),IF(COUNTIF(Flows!$M$2:$M$1500,$A120&amp;"|"&amp;AY$1&amp;"|Output"),"I/O","IN"),IF(COUNTIF(Flows!$M$2:$M$1500,$A120&amp;"|"&amp;AY$1&amp;"|Output"),"OUT",""))</f>
        <v/>
      </c>
      <c r="AZ120" s="33" t="str">
        <f aca="false">IF(COUNTIF(Flows!$M$2:$M$1500,$A120&amp;"|"&amp;AZ$1&amp;"|Input"),IF(COUNTIF(Flows!$M$2:$M$1500,$A120&amp;"|"&amp;AZ$1&amp;"|Output"),"I/O","IN"),IF(COUNTIF(Flows!$M$2:$M$1500,$A120&amp;"|"&amp;AZ$1&amp;"|Output"),"OUT",""))</f>
        <v>IN</v>
      </c>
      <c r="BA120" s="33" t="str">
        <f aca="false">IF(COUNTIF(Flows!$M$2:$M$1500,$A120&amp;"|"&amp;BA$1&amp;"|Input"),IF(COUNTIF(Flows!$M$2:$M$1500,$A120&amp;"|"&amp;BA$1&amp;"|Output"),"I/O","IN"),IF(COUNTIF(Flows!$M$2:$M$1500,$A120&amp;"|"&amp;BA$1&amp;"|Output"),"OUT",""))</f>
        <v/>
      </c>
      <c r="BB120" s="33" t="str">
        <f aca="false">IF(COUNTIF(Flows!$M$2:$M$1500,$A120&amp;"|"&amp;BB$1&amp;"|Input"),IF(COUNTIF(Flows!$M$2:$M$1500,$A120&amp;"|"&amp;BB$1&amp;"|Output"),"I/O","IN"),IF(COUNTIF(Flows!$M$2:$M$1500,$A120&amp;"|"&amp;BB$1&amp;"|Output"),"OUT",""))</f>
        <v/>
      </c>
      <c r="BC120" s="33" t="str">
        <f aca="false">IF(COUNTIF(Flows!$M$2:$M$1500,$A120&amp;"|"&amp;BC$1&amp;"|Input"),IF(COUNTIF(Flows!$M$2:$M$1500,$A120&amp;"|"&amp;BC$1&amp;"|Output"),"I/O","IN"),IF(COUNTIF(Flows!$M$2:$M$1500,$A120&amp;"|"&amp;BC$1&amp;"|Output"),"OUT",""))</f>
        <v/>
      </c>
      <c r="BD120" s="33" t="str">
        <f aca="false">IF(COUNTIF(Flows!$M$2:$M$1500,$A120&amp;"|"&amp;BD$1&amp;"|Input"),IF(COUNTIF(Flows!$M$2:$M$1500,$A120&amp;"|"&amp;BD$1&amp;"|Output"),"I/O","IN"),IF(COUNTIF(Flows!$M$2:$M$1500,$A120&amp;"|"&amp;BD$1&amp;"|Output"),"OUT",""))</f>
        <v/>
      </c>
      <c r="BE120" s="33" t="str">
        <f aca="false">IF(COUNTIF(Flows!$M$2:$M$1500,$A120&amp;"|"&amp;BE$1&amp;"|Input"),IF(COUNTIF(Flows!$M$2:$M$1500,$A120&amp;"|"&amp;BE$1&amp;"|Output"),"I/O","IN"),IF(COUNTIF(Flows!$M$2:$M$1500,$A120&amp;"|"&amp;BE$1&amp;"|Output"),"OUT",""))</f>
        <v/>
      </c>
      <c r="BF120" s="33" t="str">
        <f aca="false">IF(COUNTIF(Flows!$M$2:$M$1500,$A120&amp;"|"&amp;BF$1&amp;"|Input"),IF(COUNTIF(Flows!$M$2:$M$1500,$A120&amp;"|"&amp;BF$1&amp;"|Output"),"I/O","IN"),IF(COUNTIF(Flows!$M$2:$M$1500,$A120&amp;"|"&amp;BF$1&amp;"|Output"),"OUT",""))</f>
        <v/>
      </c>
      <c r="BG120" s="33" t="str">
        <f aca="false">IF(COUNTIF(Flows!$M$2:$M$1500,$A120&amp;"|"&amp;BG$1&amp;"|Input"),IF(COUNTIF(Flows!$M$2:$M$1500,$A120&amp;"|"&amp;BG$1&amp;"|Output"),"I/O","IN"),IF(COUNTIF(Flows!$M$2:$M$1500,$A120&amp;"|"&amp;BG$1&amp;"|Output"),"OUT",""))</f>
        <v/>
      </c>
      <c r="BH120" s="33" t="str">
        <f aca="false">IF(COUNTIF(Flows!$M$2:$M$1500,$A120&amp;"|"&amp;BH$1&amp;"|Input"),IF(COUNTIF(Flows!$M$2:$M$1500,$A120&amp;"|"&amp;BH$1&amp;"|Output"),"I/O","IN"),IF(COUNTIF(Flows!$M$2:$M$1500,$A120&amp;"|"&amp;BH$1&amp;"|Output"),"OUT",""))</f>
        <v/>
      </c>
      <c r="BI120" s="33" t="str">
        <f aca="false">IF(COUNTIF(Flows!$M$2:$M$1500,$A120&amp;"|"&amp;BI$1&amp;"|Input"),IF(COUNTIF(Flows!$M$2:$M$1500,$A120&amp;"|"&amp;BI$1&amp;"|Output"),"I/O","IN"),IF(COUNTIF(Flows!$M$2:$M$1500,$A120&amp;"|"&amp;BI$1&amp;"|Output"),"OUT",""))</f>
        <v/>
      </c>
      <c r="BJ120" s="33" t="str">
        <f aca="false">IF(COUNTIF(Flows!$M$2:$M$1500,$A120&amp;"|"&amp;BJ$1&amp;"|Input"),IF(COUNTIF(Flows!$M$2:$M$1500,$A120&amp;"|"&amp;BJ$1&amp;"|Output"),"I/O","IN"),IF(COUNTIF(Flows!$M$2:$M$1500,$A120&amp;"|"&amp;BJ$1&amp;"|Output"),"OUT",""))</f>
        <v/>
      </c>
      <c r="BK120" s="33" t="str">
        <f aca="false">IF(COUNTIF(Flows!$M$2:$M$1500,$A120&amp;"|"&amp;BK$1&amp;"|Input"),IF(COUNTIF(Flows!$M$2:$M$1500,$A120&amp;"|"&amp;BK$1&amp;"|Output"),"I/O","IN"),IF(COUNTIF(Flows!$M$2:$M$1500,$A120&amp;"|"&amp;BK$1&amp;"|Output"),"OUT",""))</f>
        <v/>
      </c>
    </row>
    <row r="121" customFormat="false" ht="15" hidden="false" customHeight="true" outlineLevel="0" collapsed="false">
      <c r="A121" s="6" t="str">
        <f aca="false">Systems!B121</f>
        <v>Mushroom Logs (Shiitake)</v>
      </c>
      <c r="B121" s="33" t="str">
        <f aca="false">IF(COUNTIF(Flows!$M$2:$M$1500,$A121&amp;"|"&amp;B$1&amp;"|Input"),IF(COUNTIF(Flows!$M$2:$M$1500,$A121&amp;"|"&amp;B$1&amp;"|Output"),"I/O","IN"),IF(COUNTIF(Flows!$M$2:$M$1500,$A121&amp;"|"&amp;B$1&amp;"|Output"),"OUT",""))</f>
        <v>IN</v>
      </c>
      <c r="C121" s="33" t="str">
        <f aca="false">IF(COUNTIF(Flows!$M$2:$M$1500,$A121&amp;"|"&amp;C$1&amp;"|Input"),IF(COUNTIF(Flows!$M$2:$M$1500,$A121&amp;"|"&amp;C$1&amp;"|Output"),"I/O","IN"),IF(COUNTIF(Flows!$M$2:$M$1500,$A121&amp;"|"&amp;C$1&amp;"|Output"),"OUT",""))</f>
        <v/>
      </c>
      <c r="D121" s="33" t="str">
        <f aca="false">IF(COUNTIF(Flows!$M$2:$M$1500,$A121&amp;"|"&amp;D$1&amp;"|Input"),IF(COUNTIF(Flows!$M$2:$M$1500,$A121&amp;"|"&amp;D$1&amp;"|Output"),"I/O","IN"),IF(COUNTIF(Flows!$M$2:$M$1500,$A121&amp;"|"&amp;D$1&amp;"|Output"),"OUT",""))</f>
        <v/>
      </c>
      <c r="E121" s="33" t="str">
        <f aca="false">IF(COUNTIF(Flows!$M$2:$M$1500,$A121&amp;"|"&amp;E$1&amp;"|Input"),IF(COUNTIF(Flows!$M$2:$M$1500,$A121&amp;"|"&amp;E$1&amp;"|Output"),"I/O","IN"),IF(COUNTIF(Flows!$M$2:$M$1500,$A121&amp;"|"&amp;E$1&amp;"|Output"),"OUT",""))</f>
        <v/>
      </c>
      <c r="F121" s="33" t="str">
        <f aca="false">IF(COUNTIF(Flows!$M$2:$M$1500,$A121&amp;"|"&amp;F$1&amp;"|Input"),IF(COUNTIF(Flows!$M$2:$M$1500,$A121&amp;"|"&amp;F$1&amp;"|Output"),"I/O","IN"),IF(COUNTIF(Flows!$M$2:$M$1500,$A121&amp;"|"&amp;F$1&amp;"|Output"),"OUT",""))</f>
        <v/>
      </c>
      <c r="G121" s="33" t="str">
        <f aca="false">IF(COUNTIF(Flows!$M$2:$M$1500,$A121&amp;"|"&amp;G$1&amp;"|Input"),IF(COUNTIF(Flows!$M$2:$M$1500,$A121&amp;"|"&amp;G$1&amp;"|Output"),"I/O","IN"),IF(COUNTIF(Flows!$M$2:$M$1500,$A121&amp;"|"&amp;G$1&amp;"|Output"),"OUT",""))</f>
        <v/>
      </c>
      <c r="H121" s="33" t="str">
        <f aca="false">IF(COUNTIF(Flows!$M$2:$M$1500,$A121&amp;"|"&amp;H$1&amp;"|Input"),IF(COUNTIF(Flows!$M$2:$M$1500,$A121&amp;"|"&amp;H$1&amp;"|Output"),"I/O","IN"),IF(COUNTIF(Flows!$M$2:$M$1500,$A121&amp;"|"&amp;H$1&amp;"|Output"),"OUT",""))</f>
        <v/>
      </c>
      <c r="I121" s="33" t="str">
        <f aca="false">IF(COUNTIF(Flows!$M$2:$M$1500,$A121&amp;"|"&amp;I$1&amp;"|Input"),IF(COUNTIF(Flows!$M$2:$M$1500,$A121&amp;"|"&amp;I$1&amp;"|Output"),"I/O","IN"),IF(COUNTIF(Flows!$M$2:$M$1500,$A121&amp;"|"&amp;I$1&amp;"|Output"),"OUT",""))</f>
        <v/>
      </c>
      <c r="J121" s="33" t="str">
        <f aca="false">IF(COUNTIF(Flows!$M$2:$M$1500,$A121&amp;"|"&amp;J$1&amp;"|Input"),IF(COUNTIF(Flows!$M$2:$M$1500,$A121&amp;"|"&amp;J$1&amp;"|Output"),"I/O","IN"),IF(COUNTIF(Flows!$M$2:$M$1500,$A121&amp;"|"&amp;J$1&amp;"|Output"),"OUT",""))</f>
        <v/>
      </c>
      <c r="K121" s="33" t="str">
        <f aca="false">IF(COUNTIF(Flows!$M$2:$M$1500,$A121&amp;"|"&amp;K$1&amp;"|Input"),IF(COUNTIF(Flows!$M$2:$M$1500,$A121&amp;"|"&amp;K$1&amp;"|Output"),"I/O","IN"),IF(COUNTIF(Flows!$M$2:$M$1500,$A121&amp;"|"&amp;K$1&amp;"|Output"),"OUT",""))</f>
        <v/>
      </c>
      <c r="L121" s="33" t="str">
        <f aca="false">IF(COUNTIF(Flows!$M$2:$M$1500,$A121&amp;"|"&amp;L$1&amp;"|Input"),IF(COUNTIF(Flows!$M$2:$M$1500,$A121&amp;"|"&amp;L$1&amp;"|Output"),"I/O","IN"),IF(COUNTIF(Flows!$M$2:$M$1500,$A121&amp;"|"&amp;L$1&amp;"|Output"),"OUT",""))</f>
        <v/>
      </c>
      <c r="M121" s="33" t="str">
        <f aca="false">IF(COUNTIF(Flows!$M$2:$M$1500,$A121&amp;"|"&amp;M$1&amp;"|Input"),IF(COUNTIF(Flows!$M$2:$M$1500,$A121&amp;"|"&amp;M$1&amp;"|Output"),"I/O","IN"),IF(COUNTIF(Flows!$M$2:$M$1500,$A121&amp;"|"&amp;M$1&amp;"|Output"),"OUT",""))</f>
        <v/>
      </c>
      <c r="N121" s="33" t="str">
        <f aca="false">IF(COUNTIF(Flows!$M$2:$M$1500,$A121&amp;"|"&amp;N$1&amp;"|Input"),IF(COUNTIF(Flows!$M$2:$M$1500,$A121&amp;"|"&amp;N$1&amp;"|Output"),"I/O","IN"),IF(COUNTIF(Flows!$M$2:$M$1500,$A121&amp;"|"&amp;N$1&amp;"|Output"),"OUT",""))</f>
        <v/>
      </c>
      <c r="O121" s="33" t="str">
        <f aca="false">IF(COUNTIF(Flows!$M$2:$M$1500,$A121&amp;"|"&amp;O$1&amp;"|Input"),IF(COUNTIF(Flows!$M$2:$M$1500,$A121&amp;"|"&amp;O$1&amp;"|Output"),"I/O","IN"),IF(COUNTIF(Flows!$M$2:$M$1500,$A121&amp;"|"&amp;O$1&amp;"|Output"),"OUT",""))</f>
        <v/>
      </c>
      <c r="P121" s="33" t="str">
        <f aca="false">IF(COUNTIF(Flows!$M$2:$M$1500,$A121&amp;"|"&amp;P$1&amp;"|Input"),IF(COUNTIF(Flows!$M$2:$M$1500,$A121&amp;"|"&amp;P$1&amp;"|Output"),"I/O","IN"),IF(COUNTIF(Flows!$M$2:$M$1500,$A121&amp;"|"&amp;P$1&amp;"|Output"),"OUT",""))</f>
        <v>OUT</v>
      </c>
      <c r="Q121" s="33" t="str">
        <f aca="false">IF(COUNTIF(Flows!$M$2:$M$1500,$A121&amp;"|"&amp;Q$1&amp;"|Input"),IF(COUNTIF(Flows!$M$2:$M$1500,$A121&amp;"|"&amp;Q$1&amp;"|Output"),"I/O","IN"),IF(COUNTIF(Flows!$M$2:$M$1500,$A121&amp;"|"&amp;Q$1&amp;"|Output"),"OUT",""))</f>
        <v/>
      </c>
      <c r="R121" s="33" t="str">
        <f aca="false">IF(COUNTIF(Flows!$M$2:$M$1500,$A121&amp;"|"&amp;R$1&amp;"|Input"),IF(COUNTIF(Flows!$M$2:$M$1500,$A121&amp;"|"&amp;R$1&amp;"|Output"),"I/O","IN"),IF(COUNTIF(Flows!$M$2:$M$1500,$A121&amp;"|"&amp;R$1&amp;"|Output"),"OUT",""))</f>
        <v/>
      </c>
      <c r="S121" s="33" t="str">
        <f aca="false">IF(COUNTIF(Flows!$M$2:$M$1500,$A121&amp;"|"&amp;S$1&amp;"|Input"),IF(COUNTIF(Flows!$M$2:$M$1500,$A121&amp;"|"&amp;S$1&amp;"|Output"),"I/O","IN"),IF(COUNTIF(Flows!$M$2:$M$1500,$A121&amp;"|"&amp;S$1&amp;"|Output"),"OUT",""))</f>
        <v/>
      </c>
      <c r="T121" s="33" t="str">
        <f aca="false">IF(COUNTIF(Flows!$M$2:$M$1500,$A121&amp;"|"&amp;T$1&amp;"|Input"),IF(COUNTIF(Flows!$M$2:$M$1500,$A121&amp;"|"&amp;T$1&amp;"|Output"),"I/O","IN"),IF(COUNTIF(Flows!$M$2:$M$1500,$A121&amp;"|"&amp;T$1&amp;"|Output"),"OUT",""))</f>
        <v/>
      </c>
      <c r="U121" s="33" t="str">
        <f aca="false">IF(COUNTIF(Flows!$M$2:$M$1500,$A121&amp;"|"&amp;U$1&amp;"|Input"),IF(COUNTIF(Flows!$M$2:$M$1500,$A121&amp;"|"&amp;U$1&amp;"|Output"),"I/O","IN"),IF(COUNTIF(Flows!$M$2:$M$1500,$A121&amp;"|"&amp;U$1&amp;"|Output"),"OUT",""))</f>
        <v/>
      </c>
      <c r="V121" s="33" t="str">
        <f aca="false">IF(COUNTIF(Flows!$M$2:$M$1500,$A121&amp;"|"&amp;V$1&amp;"|Input"),IF(COUNTIF(Flows!$M$2:$M$1500,$A121&amp;"|"&amp;V$1&amp;"|Output"),"I/O","IN"),IF(COUNTIF(Flows!$M$2:$M$1500,$A121&amp;"|"&amp;V$1&amp;"|Output"),"OUT",""))</f>
        <v/>
      </c>
      <c r="W121" s="33" t="str">
        <f aca="false">IF(COUNTIF(Flows!$M$2:$M$1500,$A121&amp;"|"&amp;W$1&amp;"|Input"),IF(COUNTIF(Flows!$M$2:$M$1500,$A121&amp;"|"&amp;W$1&amp;"|Output"),"I/O","IN"),IF(COUNTIF(Flows!$M$2:$M$1500,$A121&amp;"|"&amp;W$1&amp;"|Output"),"OUT",""))</f>
        <v/>
      </c>
      <c r="X121" s="33" t="str">
        <f aca="false">IF(COUNTIF(Flows!$M$2:$M$1500,$A121&amp;"|"&amp;X$1&amp;"|Input"),IF(COUNTIF(Flows!$M$2:$M$1500,$A121&amp;"|"&amp;X$1&amp;"|Output"),"I/O","IN"),IF(COUNTIF(Flows!$M$2:$M$1500,$A121&amp;"|"&amp;X$1&amp;"|Output"),"OUT",""))</f>
        <v>IN</v>
      </c>
      <c r="Y121" s="33" t="str">
        <f aca="false">IF(COUNTIF(Flows!$M$2:$M$1500,$A121&amp;"|"&amp;Y$1&amp;"|Input"),IF(COUNTIF(Flows!$M$2:$M$1500,$A121&amp;"|"&amp;Y$1&amp;"|Output"),"I/O","IN"),IF(COUNTIF(Flows!$M$2:$M$1500,$A121&amp;"|"&amp;Y$1&amp;"|Output"),"OUT",""))</f>
        <v/>
      </c>
      <c r="Z121" s="33" t="str">
        <f aca="false">IF(COUNTIF(Flows!$M$2:$M$1500,$A121&amp;"|"&amp;Z$1&amp;"|Input"),IF(COUNTIF(Flows!$M$2:$M$1500,$A121&amp;"|"&amp;Z$1&amp;"|Output"),"I/O","IN"),IF(COUNTIF(Flows!$M$2:$M$1500,$A121&amp;"|"&amp;Z$1&amp;"|Output"),"OUT",""))</f>
        <v/>
      </c>
      <c r="AA121" s="33" t="str">
        <f aca="false">IF(COUNTIF(Flows!$M$2:$M$1500,$A121&amp;"|"&amp;AA$1&amp;"|Input"),IF(COUNTIF(Flows!$M$2:$M$1500,$A121&amp;"|"&amp;AA$1&amp;"|Output"),"I/O","IN"),IF(COUNTIF(Flows!$M$2:$M$1500,$A121&amp;"|"&amp;AA$1&amp;"|Output"),"OUT",""))</f>
        <v/>
      </c>
      <c r="AB121" s="33" t="str">
        <f aca="false">IF(COUNTIF(Flows!$M$2:$M$1500,$A121&amp;"|"&amp;AB$1&amp;"|Input"),IF(COUNTIF(Flows!$M$2:$M$1500,$A121&amp;"|"&amp;AB$1&amp;"|Output"),"I/O","IN"),IF(COUNTIF(Flows!$M$2:$M$1500,$A121&amp;"|"&amp;AB$1&amp;"|Output"),"OUT",""))</f>
        <v/>
      </c>
      <c r="AC121" s="33" t="str">
        <f aca="false">IF(COUNTIF(Flows!$M$2:$M$1500,$A121&amp;"|"&amp;AC$1&amp;"|Input"),IF(COUNTIF(Flows!$M$2:$M$1500,$A121&amp;"|"&amp;AC$1&amp;"|Output"),"I/O","IN"),IF(COUNTIF(Flows!$M$2:$M$1500,$A121&amp;"|"&amp;AC$1&amp;"|Output"),"OUT",""))</f>
        <v/>
      </c>
      <c r="AD121" s="33" t="str">
        <f aca="false">IF(COUNTIF(Flows!$M$2:$M$1500,$A121&amp;"|"&amp;AD$1&amp;"|Input"),IF(COUNTIF(Flows!$M$2:$M$1500,$A121&amp;"|"&amp;AD$1&amp;"|Output"),"I/O","IN"),IF(COUNTIF(Flows!$M$2:$M$1500,$A121&amp;"|"&amp;AD$1&amp;"|Output"),"OUT",""))</f>
        <v/>
      </c>
      <c r="AE121" s="33" t="str">
        <f aca="false">IF(COUNTIF(Flows!$M$2:$M$1500,$A121&amp;"|"&amp;AE$1&amp;"|Input"),IF(COUNTIF(Flows!$M$2:$M$1500,$A121&amp;"|"&amp;AE$1&amp;"|Output"),"I/O","IN"),IF(COUNTIF(Flows!$M$2:$M$1500,$A121&amp;"|"&amp;AE$1&amp;"|Output"),"OUT",""))</f>
        <v/>
      </c>
      <c r="AF121" s="33" t="str">
        <f aca="false">IF(COUNTIF(Flows!$M$2:$M$1500,$A121&amp;"|"&amp;AF$1&amp;"|Input"),IF(COUNTIF(Flows!$M$2:$M$1500,$A121&amp;"|"&amp;AF$1&amp;"|Output"),"I/O","IN"),IF(COUNTIF(Flows!$M$2:$M$1500,$A121&amp;"|"&amp;AF$1&amp;"|Output"),"OUT",""))</f>
        <v/>
      </c>
      <c r="AG121" s="33" t="str">
        <f aca="false">IF(COUNTIF(Flows!$M$2:$M$1500,$A121&amp;"|"&amp;AG$1&amp;"|Input"),IF(COUNTIF(Flows!$M$2:$M$1500,$A121&amp;"|"&amp;AG$1&amp;"|Output"),"I/O","IN"),IF(COUNTIF(Flows!$M$2:$M$1500,$A121&amp;"|"&amp;AG$1&amp;"|Output"),"OUT",""))</f>
        <v/>
      </c>
      <c r="AH121" s="33" t="str">
        <f aca="false">IF(COUNTIF(Flows!$M$2:$M$1500,$A121&amp;"|"&amp;AH$1&amp;"|Input"),IF(COUNTIF(Flows!$M$2:$M$1500,$A121&amp;"|"&amp;AH$1&amp;"|Output"),"I/O","IN"),IF(COUNTIF(Flows!$M$2:$M$1500,$A121&amp;"|"&amp;AH$1&amp;"|Output"),"OUT",""))</f>
        <v/>
      </c>
      <c r="AI121" s="33" t="str">
        <f aca="false">IF(COUNTIF(Flows!$M$2:$M$1500,$A121&amp;"|"&amp;AI$1&amp;"|Input"),IF(COUNTIF(Flows!$M$2:$M$1500,$A121&amp;"|"&amp;AI$1&amp;"|Output"),"I/O","IN"),IF(COUNTIF(Flows!$M$2:$M$1500,$A121&amp;"|"&amp;AI$1&amp;"|Output"),"OUT",""))</f>
        <v/>
      </c>
      <c r="AJ121" s="33" t="str">
        <f aca="false">IF(COUNTIF(Flows!$M$2:$M$1500,$A121&amp;"|"&amp;AJ$1&amp;"|Input"),IF(COUNTIF(Flows!$M$2:$M$1500,$A121&amp;"|"&amp;AJ$1&amp;"|Output"),"I/O","IN"),IF(COUNTIF(Flows!$M$2:$M$1500,$A121&amp;"|"&amp;AJ$1&amp;"|Output"),"OUT",""))</f>
        <v/>
      </c>
      <c r="AK121" s="33" t="str">
        <f aca="false">IF(COUNTIF(Flows!$M$2:$M$1500,$A121&amp;"|"&amp;AK$1&amp;"|Input"),IF(COUNTIF(Flows!$M$2:$M$1500,$A121&amp;"|"&amp;AK$1&amp;"|Output"),"I/O","IN"),IF(COUNTIF(Flows!$M$2:$M$1500,$A121&amp;"|"&amp;AK$1&amp;"|Output"),"OUT",""))</f>
        <v/>
      </c>
      <c r="AL121" s="33" t="str">
        <f aca="false">IF(COUNTIF(Flows!$M$2:$M$1500,$A121&amp;"|"&amp;AL$1&amp;"|Input"),IF(COUNTIF(Flows!$M$2:$M$1500,$A121&amp;"|"&amp;AL$1&amp;"|Output"),"I/O","IN"),IF(COUNTIF(Flows!$M$2:$M$1500,$A121&amp;"|"&amp;AL$1&amp;"|Output"),"OUT",""))</f>
        <v>IN</v>
      </c>
      <c r="AM121" s="33" t="str">
        <f aca="false">IF(COUNTIF(Flows!$M$2:$M$1500,$A121&amp;"|"&amp;AM$1&amp;"|Input"),IF(COUNTIF(Flows!$M$2:$M$1500,$A121&amp;"|"&amp;AM$1&amp;"|Output"),"I/O","IN"),IF(COUNTIF(Flows!$M$2:$M$1500,$A121&amp;"|"&amp;AM$1&amp;"|Output"),"OUT",""))</f>
        <v/>
      </c>
      <c r="AN121" s="33" t="str">
        <f aca="false">IF(COUNTIF(Flows!$M$2:$M$1500,$A121&amp;"|"&amp;AN$1&amp;"|Input"),IF(COUNTIF(Flows!$M$2:$M$1500,$A121&amp;"|"&amp;AN$1&amp;"|Output"),"I/O","IN"),IF(COUNTIF(Flows!$M$2:$M$1500,$A121&amp;"|"&amp;AN$1&amp;"|Output"),"OUT",""))</f>
        <v/>
      </c>
      <c r="AO121" s="33" t="str">
        <f aca="false">IF(COUNTIF(Flows!$M$2:$M$1500,$A121&amp;"|"&amp;AO$1&amp;"|Input"),IF(COUNTIF(Flows!$M$2:$M$1500,$A121&amp;"|"&amp;AO$1&amp;"|Output"),"I/O","IN"),IF(COUNTIF(Flows!$M$2:$M$1500,$A121&amp;"|"&amp;AO$1&amp;"|Output"),"OUT",""))</f>
        <v/>
      </c>
      <c r="AP121" s="33" t="str">
        <f aca="false">IF(COUNTIF(Flows!$M$2:$M$1500,$A121&amp;"|"&amp;AP$1&amp;"|Input"),IF(COUNTIF(Flows!$M$2:$M$1500,$A121&amp;"|"&amp;AP$1&amp;"|Output"),"I/O","IN"),IF(COUNTIF(Flows!$M$2:$M$1500,$A121&amp;"|"&amp;AP$1&amp;"|Output"),"OUT",""))</f>
        <v/>
      </c>
      <c r="AQ121" s="33" t="str">
        <f aca="false">IF(COUNTIF(Flows!$M$2:$M$1500,$A121&amp;"|"&amp;AQ$1&amp;"|Input"),IF(COUNTIF(Flows!$M$2:$M$1500,$A121&amp;"|"&amp;AQ$1&amp;"|Output"),"I/O","IN"),IF(COUNTIF(Flows!$M$2:$M$1500,$A121&amp;"|"&amp;AQ$1&amp;"|Output"),"OUT",""))</f>
        <v/>
      </c>
      <c r="AR121" s="33" t="str">
        <f aca="false">IF(COUNTIF(Flows!$M$2:$M$1500,$A121&amp;"|"&amp;AR$1&amp;"|Input"),IF(COUNTIF(Flows!$M$2:$M$1500,$A121&amp;"|"&amp;AR$1&amp;"|Output"),"I/O","IN"),IF(COUNTIF(Flows!$M$2:$M$1500,$A121&amp;"|"&amp;AR$1&amp;"|Output"),"OUT",""))</f>
        <v>OUT</v>
      </c>
      <c r="AS121" s="33" t="str">
        <f aca="false">IF(COUNTIF(Flows!$M$2:$M$1500,$A121&amp;"|"&amp;AS$1&amp;"|Input"),IF(COUNTIF(Flows!$M$2:$M$1500,$A121&amp;"|"&amp;AS$1&amp;"|Output"),"I/O","IN"),IF(COUNTIF(Flows!$M$2:$M$1500,$A121&amp;"|"&amp;AS$1&amp;"|Output"),"OUT",""))</f>
        <v/>
      </c>
      <c r="AT121" s="33" t="str">
        <f aca="false">IF(COUNTIF(Flows!$M$2:$M$1500,$A121&amp;"|"&amp;AT$1&amp;"|Input"),IF(COUNTIF(Flows!$M$2:$M$1500,$A121&amp;"|"&amp;AT$1&amp;"|Output"),"I/O","IN"),IF(COUNTIF(Flows!$M$2:$M$1500,$A121&amp;"|"&amp;AT$1&amp;"|Output"),"OUT",""))</f>
        <v/>
      </c>
      <c r="AU121" s="33" t="str">
        <f aca="false">IF(COUNTIF(Flows!$M$2:$M$1500,$A121&amp;"|"&amp;AU$1&amp;"|Input"),IF(COUNTIF(Flows!$M$2:$M$1500,$A121&amp;"|"&amp;AU$1&amp;"|Output"),"I/O","IN"),IF(COUNTIF(Flows!$M$2:$M$1500,$A121&amp;"|"&amp;AU$1&amp;"|Output"),"OUT",""))</f>
        <v/>
      </c>
      <c r="AV121" s="33" t="str">
        <f aca="false">IF(COUNTIF(Flows!$M$2:$M$1500,$A121&amp;"|"&amp;AV$1&amp;"|Input"),IF(COUNTIF(Flows!$M$2:$M$1500,$A121&amp;"|"&amp;AV$1&amp;"|Output"),"I/O","IN"),IF(COUNTIF(Flows!$M$2:$M$1500,$A121&amp;"|"&amp;AV$1&amp;"|Output"),"OUT",""))</f>
        <v/>
      </c>
      <c r="AW121" s="33" t="str">
        <f aca="false">IF(COUNTIF(Flows!$M$2:$M$1500,$A121&amp;"|"&amp;AW$1&amp;"|Input"),IF(COUNTIF(Flows!$M$2:$M$1500,$A121&amp;"|"&amp;AW$1&amp;"|Output"),"I/O","IN"),IF(COUNTIF(Flows!$M$2:$M$1500,$A121&amp;"|"&amp;AW$1&amp;"|Output"),"OUT",""))</f>
        <v/>
      </c>
      <c r="AX121" s="33" t="str">
        <f aca="false">IF(COUNTIF(Flows!$M$2:$M$1500,$A121&amp;"|"&amp;AX$1&amp;"|Input"),IF(COUNTIF(Flows!$M$2:$M$1500,$A121&amp;"|"&amp;AX$1&amp;"|Output"),"I/O","IN"),IF(COUNTIF(Flows!$M$2:$M$1500,$A121&amp;"|"&amp;AX$1&amp;"|Output"),"OUT",""))</f>
        <v/>
      </c>
      <c r="AY121" s="33" t="str">
        <f aca="false">IF(COUNTIF(Flows!$M$2:$M$1500,$A121&amp;"|"&amp;AY$1&amp;"|Input"),IF(COUNTIF(Flows!$M$2:$M$1500,$A121&amp;"|"&amp;AY$1&amp;"|Output"),"I/O","IN"),IF(COUNTIF(Flows!$M$2:$M$1500,$A121&amp;"|"&amp;AY$1&amp;"|Output"),"OUT",""))</f>
        <v/>
      </c>
      <c r="AZ121" s="33" t="str">
        <f aca="false">IF(COUNTIF(Flows!$M$2:$M$1500,$A121&amp;"|"&amp;AZ$1&amp;"|Input"),IF(COUNTIF(Flows!$M$2:$M$1500,$A121&amp;"|"&amp;AZ$1&amp;"|Output"),"I/O","IN"),IF(COUNTIF(Flows!$M$2:$M$1500,$A121&amp;"|"&amp;AZ$1&amp;"|Output"),"OUT",""))</f>
        <v/>
      </c>
      <c r="BA121" s="33" t="str">
        <f aca="false">IF(COUNTIF(Flows!$M$2:$M$1500,$A121&amp;"|"&amp;BA$1&amp;"|Input"),IF(COUNTIF(Flows!$M$2:$M$1500,$A121&amp;"|"&amp;BA$1&amp;"|Output"),"I/O","IN"),IF(COUNTIF(Flows!$M$2:$M$1500,$A121&amp;"|"&amp;BA$1&amp;"|Output"),"OUT",""))</f>
        <v/>
      </c>
      <c r="BB121" s="33" t="str">
        <f aca="false">IF(COUNTIF(Flows!$M$2:$M$1500,$A121&amp;"|"&amp;BB$1&amp;"|Input"),IF(COUNTIF(Flows!$M$2:$M$1500,$A121&amp;"|"&amp;BB$1&amp;"|Output"),"I/O","IN"),IF(COUNTIF(Flows!$M$2:$M$1500,$A121&amp;"|"&amp;BB$1&amp;"|Output"),"OUT",""))</f>
        <v/>
      </c>
      <c r="BC121" s="33" t="str">
        <f aca="false">IF(COUNTIF(Flows!$M$2:$M$1500,$A121&amp;"|"&amp;BC$1&amp;"|Input"),IF(COUNTIF(Flows!$M$2:$M$1500,$A121&amp;"|"&amp;BC$1&amp;"|Output"),"I/O","IN"),IF(COUNTIF(Flows!$M$2:$M$1500,$A121&amp;"|"&amp;BC$1&amp;"|Output"),"OUT",""))</f>
        <v/>
      </c>
      <c r="BD121" s="33" t="str">
        <f aca="false">IF(COUNTIF(Flows!$M$2:$M$1500,$A121&amp;"|"&amp;BD$1&amp;"|Input"),IF(COUNTIF(Flows!$M$2:$M$1500,$A121&amp;"|"&amp;BD$1&amp;"|Output"),"I/O","IN"),IF(COUNTIF(Flows!$M$2:$M$1500,$A121&amp;"|"&amp;BD$1&amp;"|Output"),"OUT",""))</f>
        <v/>
      </c>
      <c r="BE121" s="33" t="str">
        <f aca="false">IF(COUNTIF(Flows!$M$2:$M$1500,$A121&amp;"|"&amp;BE$1&amp;"|Input"),IF(COUNTIF(Flows!$M$2:$M$1500,$A121&amp;"|"&amp;BE$1&amp;"|Output"),"I/O","IN"),IF(COUNTIF(Flows!$M$2:$M$1500,$A121&amp;"|"&amp;BE$1&amp;"|Output"),"OUT",""))</f>
        <v/>
      </c>
      <c r="BF121" s="33" t="str">
        <f aca="false">IF(COUNTIF(Flows!$M$2:$M$1500,$A121&amp;"|"&amp;BF$1&amp;"|Input"),IF(COUNTIF(Flows!$M$2:$M$1500,$A121&amp;"|"&amp;BF$1&amp;"|Output"),"I/O","IN"),IF(COUNTIF(Flows!$M$2:$M$1500,$A121&amp;"|"&amp;BF$1&amp;"|Output"),"OUT",""))</f>
        <v/>
      </c>
      <c r="BG121" s="33" t="str">
        <f aca="false">IF(COUNTIF(Flows!$M$2:$M$1500,$A121&amp;"|"&amp;BG$1&amp;"|Input"),IF(COUNTIF(Flows!$M$2:$M$1500,$A121&amp;"|"&amp;BG$1&amp;"|Output"),"I/O","IN"),IF(COUNTIF(Flows!$M$2:$M$1500,$A121&amp;"|"&amp;BG$1&amp;"|Output"),"OUT",""))</f>
        <v/>
      </c>
      <c r="BH121" s="33" t="str">
        <f aca="false">IF(COUNTIF(Flows!$M$2:$M$1500,$A121&amp;"|"&amp;BH$1&amp;"|Input"),IF(COUNTIF(Flows!$M$2:$M$1500,$A121&amp;"|"&amp;BH$1&amp;"|Output"),"I/O","IN"),IF(COUNTIF(Flows!$M$2:$M$1500,$A121&amp;"|"&amp;BH$1&amp;"|Output"),"OUT",""))</f>
        <v/>
      </c>
      <c r="BI121" s="33" t="str">
        <f aca="false">IF(COUNTIF(Flows!$M$2:$M$1500,$A121&amp;"|"&amp;BI$1&amp;"|Input"),IF(COUNTIF(Flows!$M$2:$M$1500,$A121&amp;"|"&amp;BI$1&amp;"|Output"),"I/O","IN"),IF(COUNTIF(Flows!$M$2:$M$1500,$A121&amp;"|"&amp;BI$1&amp;"|Output"),"OUT",""))</f>
        <v/>
      </c>
      <c r="BJ121" s="33" t="str">
        <f aca="false">IF(COUNTIF(Flows!$M$2:$M$1500,$A121&amp;"|"&amp;BJ$1&amp;"|Input"),IF(COUNTIF(Flows!$M$2:$M$1500,$A121&amp;"|"&amp;BJ$1&amp;"|Output"),"I/O","IN"),IF(COUNTIF(Flows!$M$2:$M$1500,$A121&amp;"|"&amp;BJ$1&amp;"|Output"),"OUT",""))</f>
        <v/>
      </c>
      <c r="BK121" s="33" t="str">
        <f aca="false">IF(COUNTIF(Flows!$M$2:$M$1500,$A121&amp;"|"&amp;BK$1&amp;"|Input"),IF(COUNTIF(Flows!$M$2:$M$1500,$A121&amp;"|"&amp;BK$1&amp;"|Output"),"I/O","IN"),IF(COUNTIF(Flows!$M$2:$M$1500,$A121&amp;"|"&amp;BK$1&amp;"|Output"),"OUT",""))</f>
        <v/>
      </c>
    </row>
    <row r="122" customFormat="false" ht="15" hidden="false" customHeight="true" outlineLevel="0" collapsed="false">
      <c r="A122" s="6" t="str">
        <f aca="false">Systems!B122</f>
        <v>Efficient Chest Freezer</v>
      </c>
      <c r="B122" s="33" t="str">
        <f aca="false">IF(COUNTIF(Flows!$M$2:$M$1500,$A122&amp;"|"&amp;B$1&amp;"|Input"),IF(COUNTIF(Flows!$M$2:$M$1500,$A122&amp;"|"&amp;B$1&amp;"|Output"),"I/O","IN"),IF(COUNTIF(Flows!$M$2:$M$1500,$A122&amp;"|"&amp;B$1&amp;"|Output"),"OUT",""))</f>
        <v/>
      </c>
      <c r="C122" s="33" t="str">
        <f aca="false">IF(COUNTIF(Flows!$M$2:$M$1500,$A122&amp;"|"&amp;C$1&amp;"|Input"),IF(COUNTIF(Flows!$M$2:$M$1500,$A122&amp;"|"&amp;C$1&amp;"|Output"),"I/O","IN"),IF(COUNTIF(Flows!$M$2:$M$1500,$A122&amp;"|"&amp;C$1&amp;"|Output"),"OUT",""))</f>
        <v/>
      </c>
      <c r="D122" s="33" t="str">
        <f aca="false">IF(COUNTIF(Flows!$M$2:$M$1500,$A122&amp;"|"&amp;D$1&amp;"|Input"),IF(COUNTIF(Flows!$M$2:$M$1500,$A122&amp;"|"&amp;D$1&amp;"|Output"),"I/O","IN"),IF(COUNTIF(Flows!$M$2:$M$1500,$A122&amp;"|"&amp;D$1&amp;"|Output"),"OUT",""))</f>
        <v/>
      </c>
      <c r="E122" s="33" t="str">
        <f aca="false">IF(COUNTIF(Flows!$M$2:$M$1500,$A122&amp;"|"&amp;E$1&amp;"|Input"),IF(COUNTIF(Flows!$M$2:$M$1500,$A122&amp;"|"&amp;E$1&amp;"|Output"),"I/O","IN"),IF(COUNTIF(Flows!$M$2:$M$1500,$A122&amp;"|"&amp;E$1&amp;"|Output"),"OUT",""))</f>
        <v/>
      </c>
      <c r="F122" s="33" t="str">
        <f aca="false">IF(COUNTIF(Flows!$M$2:$M$1500,$A122&amp;"|"&amp;F$1&amp;"|Input"),IF(COUNTIF(Flows!$M$2:$M$1500,$A122&amp;"|"&amp;F$1&amp;"|Output"),"I/O","IN"),IF(COUNTIF(Flows!$M$2:$M$1500,$A122&amp;"|"&amp;F$1&amp;"|Output"),"OUT",""))</f>
        <v/>
      </c>
      <c r="G122" s="33" t="str">
        <f aca="false">IF(COUNTIF(Flows!$M$2:$M$1500,$A122&amp;"|"&amp;G$1&amp;"|Input"),IF(COUNTIF(Flows!$M$2:$M$1500,$A122&amp;"|"&amp;G$1&amp;"|Output"),"I/O","IN"),IF(COUNTIF(Flows!$M$2:$M$1500,$A122&amp;"|"&amp;G$1&amp;"|Output"),"OUT",""))</f>
        <v/>
      </c>
      <c r="H122" s="33" t="str">
        <f aca="false">IF(COUNTIF(Flows!$M$2:$M$1500,$A122&amp;"|"&amp;H$1&amp;"|Input"),IF(COUNTIF(Flows!$M$2:$M$1500,$A122&amp;"|"&amp;H$1&amp;"|Output"),"I/O","IN"),IF(COUNTIF(Flows!$M$2:$M$1500,$A122&amp;"|"&amp;H$1&amp;"|Output"),"OUT",""))</f>
        <v/>
      </c>
      <c r="I122" s="33" t="str">
        <f aca="false">IF(COUNTIF(Flows!$M$2:$M$1500,$A122&amp;"|"&amp;I$1&amp;"|Input"),IF(COUNTIF(Flows!$M$2:$M$1500,$A122&amp;"|"&amp;I$1&amp;"|Output"),"I/O","IN"),IF(COUNTIF(Flows!$M$2:$M$1500,$A122&amp;"|"&amp;I$1&amp;"|Output"),"OUT",""))</f>
        <v/>
      </c>
      <c r="J122" s="33" t="str">
        <f aca="false">IF(COUNTIF(Flows!$M$2:$M$1500,$A122&amp;"|"&amp;J$1&amp;"|Input"),IF(COUNTIF(Flows!$M$2:$M$1500,$A122&amp;"|"&amp;J$1&amp;"|Output"),"I/O","IN"),IF(COUNTIF(Flows!$M$2:$M$1500,$A122&amp;"|"&amp;J$1&amp;"|Output"),"OUT",""))</f>
        <v/>
      </c>
      <c r="K122" s="33" t="str">
        <f aca="false">IF(COUNTIF(Flows!$M$2:$M$1500,$A122&amp;"|"&amp;K$1&amp;"|Input"),IF(COUNTIF(Flows!$M$2:$M$1500,$A122&amp;"|"&amp;K$1&amp;"|Output"),"I/O","IN"),IF(COUNTIF(Flows!$M$2:$M$1500,$A122&amp;"|"&amp;K$1&amp;"|Output"),"OUT",""))</f>
        <v/>
      </c>
      <c r="L122" s="33" t="str">
        <f aca="false">IF(COUNTIF(Flows!$M$2:$M$1500,$A122&amp;"|"&amp;L$1&amp;"|Input"),IF(COUNTIF(Flows!$M$2:$M$1500,$A122&amp;"|"&amp;L$1&amp;"|Output"),"I/O","IN"),IF(COUNTIF(Flows!$M$2:$M$1500,$A122&amp;"|"&amp;L$1&amp;"|Output"),"OUT",""))</f>
        <v/>
      </c>
      <c r="M122" s="33" t="str">
        <f aca="false">IF(COUNTIF(Flows!$M$2:$M$1500,$A122&amp;"|"&amp;M$1&amp;"|Input"),IF(COUNTIF(Flows!$M$2:$M$1500,$A122&amp;"|"&amp;M$1&amp;"|Output"),"I/O","IN"),IF(COUNTIF(Flows!$M$2:$M$1500,$A122&amp;"|"&amp;M$1&amp;"|Output"),"OUT",""))</f>
        <v/>
      </c>
      <c r="N122" s="33" t="str">
        <f aca="false">IF(COUNTIF(Flows!$M$2:$M$1500,$A122&amp;"|"&amp;N$1&amp;"|Input"),IF(COUNTIF(Flows!$M$2:$M$1500,$A122&amp;"|"&amp;N$1&amp;"|Output"),"I/O","IN"),IF(COUNTIF(Flows!$M$2:$M$1500,$A122&amp;"|"&amp;N$1&amp;"|Output"),"OUT",""))</f>
        <v/>
      </c>
      <c r="O122" s="33" t="str">
        <f aca="false">IF(COUNTIF(Flows!$M$2:$M$1500,$A122&amp;"|"&amp;O$1&amp;"|Input"),IF(COUNTIF(Flows!$M$2:$M$1500,$A122&amp;"|"&amp;O$1&amp;"|Output"),"I/O","IN"),IF(COUNTIF(Flows!$M$2:$M$1500,$A122&amp;"|"&amp;O$1&amp;"|Output"),"OUT",""))</f>
        <v/>
      </c>
      <c r="P122" s="33" t="str">
        <f aca="false">IF(COUNTIF(Flows!$M$2:$M$1500,$A122&amp;"|"&amp;P$1&amp;"|Input"),IF(COUNTIF(Flows!$M$2:$M$1500,$A122&amp;"|"&amp;P$1&amp;"|Output"),"I/O","IN"),IF(COUNTIF(Flows!$M$2:$M$1500,$A122&amp;"|"&amp;P$1&amp;"|Output"),"OUT",""))</f>
        <v/>
      </c>
      <c r="Q122" s="33" t="str">
        <f aca="false">IF(COUNTIF(Flows!$M$2:$M$1500,$A122&amp;"|"&amp;Q$1&amp;"|Input"),IF(COUNTIF(Flows!$M$2:$M$1500,$A122&amp;"|"&amp;Q$1&amp;"|Output"),"I/O","IN"),IF(COUNTIF(Flows!$M$2:$M$1500,$A122&amp;"|"&amp;Q$1&amp;"|Output"),"OUT",""))</f>
        <v/>
      </c>
      <c r="R122" s="33" t="str">
        <f aca="false">IF(COUNTIF(Flows!$M$2:$M$1500,$A122&amp;"|"&amp;R$1&amp;"|Input"),IF(COUNTIF(Flows!$M$2:$M$1500,$A122&amp;"|"&amp;R$1&amp;"|Output"),"I/O","IN"),IF(COUNTIF(Flows!$M$2:$M$1500,$A122&amp;"|"&amp;R$1&amp;"|Output"),"OUT",""))</f>
        <v/>
      </c>
      <c r="S122" s="33" t="str">
        <f aca="false">IF(COUNTIF(Flows!$M$2:$M$1500,$A122&amp;"|"&amp;S$1&amp;"|Input"),IF(COUNTIF(Flows!$M$2:$M$1500,$A122&amp;"|"&amp;S$1&amp;"|Output"),"I/O","IN"),IF(COUNTIF(Flows!$M$2:$M$1500,$A122&amp;"|"&amp;S$1&amp;"|Output"),"OUT",""))</f>
        <v>IN</v>
      </c>
      <c r="T122" s="33" t="str">
        <f aca="false">IF(COUNTIF(Flows!$M$2:$M$1500,$A122&amp;"|"&amp;T$1&amp;"|Input"),IF(COUNTIF(Flows!$M$2:$M$1500,$A122&amp;"|"&amp;T$1&amp;"|Output"),"I/O","IN"),IF(COUNTIF(Flows!$M$2:$M$1500,$A122&amp;"|"&amp;T$1&amp;"|Output"),"OUT",""))</f>
        <v/>
      </c>
      <c r="U122" s="33" t="str">
        <f aca="false">IF(COUNTIF(Flows!$M$2:$M$1500,$A122&amp;"|"&amp;U$1&amp;"|Input"),IF(COUNTIF(Flows!$M$2:$M$1500,$A122&amp;"|"&amp;U$1&amp;"|Output"),"I/O","IN"),IF(COUNTIF(Flows!$M$2:$M$1500,$A122&amp;"|"&amp;U$1&amp;"|Output"),"OUT",""))</f>
        <v/>
      </c>
      <c r="V122" s="33" t="str">
        <f aca="false">IF(COUNTIF(Flows!$M$2:$M$1500,$A122&amp;"|"&amp;V$1&amp;"|Input"),IF(COUNTIF(Flows!$M$2:$M$1500,$A122&amp;"|"&amp;V$1&amp;"|Output"),"I/O","IN"),IF(COUNTIF(Flows!$M$2:$M$1500,$A122&amp;"|"&amp;V$1&amp;"|Output"),"OUT",""))</f>
        <v/>
      </c>
      <c r="W122" s="33" t="str">
        <f aca="false">IF(COUNTIF(Flows!$M$2:$M$1500,$A122&amp;"|"&amp;W$1&amp;"|Input"),IF(COUNTIF(Flows!$M$2:$M$1500,$A122&amp;"|"&amp;W$1&amp;"|Output"),"I/O","IN"),IF(COUNTIF(Flows!$M$2:$M$1500,$A122&amp;"|"&amp;W$1&amp;"|Output"),"OUT",""))</f>
        <v/>
      </c>
      <c r="X122" s="33" t="str">
        <f aca="false">IF(COUNTIF(Flows!$M$2:$M$1500,$A122&amp;"|"&amp;X$1&amp;"|Input"),IF(COUNTIF(Flows!$M$2:$M$1500,$A122&amp;"|"&amp;X$1&amp;"|Output"),"I/O","IN"),IF(COUNTIF(Flows!$M$2:$M$1500,$A122&amp;"|"&amp;X$1&amp;"|Output"),"OUT",""))</f>
        <v>IN</v>
      </c>
      <c r="Y122" s="33" t="str">
        <f aca="false">IF(COUNTIF(Flows!$M$2:$M$1500,$A122&amp;"|"&amp;Y$1&amp;"|Input"),IF(COUNTIF(Flows!$M$2:$M$1500,$A122&amp;"|"&amp;Y$1&amp;"|Output"),"I/O","IN"),IF(COUNTIF(Flows!$M$2:$M$1500,$A122&amp;"|"&amp;Y$1&amp;"|Output"),"OUT",""))</f>
        <v/>
      </c>
      <c r="Z122" s="33" t="str">
        <f aca="false">IF(COUNTIF(Flows!$M$2:$M$1500,$A122&amp;"|"&amp;Z$1&amp;"|Input"),IF(COUNTIF(Flows!$M$2:$M$1500,$A122&amp;"|"&amp;Z$1&amp;"|Output"),"I/O","IN"),IF(COUNTIF(Flows!$M$2:$M$1500,$A122&amp;"|"&amp;Z$1&amp;"|Output"),"OUT",""))</f>
        <v/>
      </c>
      <c r="AA122" s="33" t="str">
        <f aca="false">IF(COUNTIF(Flows!$M$2:$M$1500,$A122&amp;"|"&amp;AA$1&amp;"|Input"),IF(COUNTIF(Flows!$M$2:$M$1500,$A122&amp;"|"&amp;AA$1&amp;"|Output"),"I/O","IN"),IF(COUNTIF(Flows!$M$2:$M$1500,$A122&amp;"|"&amp;AA$1&amp;"|Output"),"OUT",""))</f>
        <v/>
      </c>
      <c r="AB122" s="33" t="str">
        <f aca="false">IF(COUNTIF(Flows!$M$2:$M$1500,$A122&amp;"|"&amp;AB$1&amp;"|Input"),IF(COUNTIF(Flows!$M$2:$M$1500,$A122&amp;"|"&amp;AB$1&amp;"|Output"),"I/O","IN"),IF(COUNTIF(Flows!$M$2:$M$1500,$A122&amp;"|"&amp;AB$1&amp;"|Output"),"OUT",""))</f>
        <v/>
      </c>
      <c r="AC122" s="33" t="str">
        <f aca="false">IF(COUNTIF(Flows!$M$2:$M$1500,$A122&amp;"|"&amp;AC$1&amp;"|Input"),IF(COUNTIF(Flows!$M$2:$M$1500,$A122&amp;"|"&amp;AC$1&amp;"|Output"),"I/O","IN"),IF(COUNTIF(Flows!$M$2:$M$1500,$A122&amp;"|"&amp;AC$1&amp;"|Output"),"OUT",""))</f>
        <v/>
      </c>
      <c r="AD122" s="33" t="str">
        <f aca="false">IF(COUNTIF(Flows!$M$2:$M$1500,$A122&amp;"|"&amp;AD$1&amp;"|Input"),IF(COUNTIF(Flows!$M$2:$M$1500,$A122&amp;"|"&amp;AD$1&amp;"|Output"),"I/O","IN"),IF(COUNTIF(Flows!$M$2:$M$1500,$A122&amp;"|"&amp;AD$1&amp;"|Output"),"OUT",""))</f>
        <v/>
      </c>
      <c r="AE122" s="33" t="str">
        <f aca="false">IF(COUNTIF(Flows!$M$2:$M$1500,$A122&amp;"|"&amp;AE$1&amp;"|Input"),IF(COUNTIF(Flows!$M$2:$M$1500,$A122&amp;"|"&amp;AE$1&amp;"|Output"),"I/O","IN"),IF(COUNTIF(Flows!$M$2:$M$1500,$A122&amp;"|"&amp;AE$1&amp;"|Output"),"OUT",""))</f>
        <v/>
      </c>
      <c r="AF122" s="33" t="str">
        <f aca="false">IF(COUNTIF(Flows!$M$2:$M$1500,$A122&amp;"|"&amp;AF$1&amp;"|Input"),IF(COUNTIF(Flows!$M$2:$M$1500,$A122&amp;"|"&amp;AF$1&amp;"|Output"),"I/O","IN"),IF(COUNTIF(Flows!$M$2:$M$1500,$A122&amp;"|"&amp;AF$1&amp;"|Output"),"OUT",""))</f>
        <v/>
      </c>
      <c r="AG122" s="33" t="str">
        <f aca="false">IF(COUNTIF(Flows!$M$2:$M$1500,$A122&amp;"|"&amp;AG$1&amp;"|Input"),IF(COUNTIF(Flows!$M$2:$M$1500,$A122&amp;"|"&amp;AG$1&amp;"|Output"),"I/O","IN"),IF(COUNTIF(Flows!$M$2:$M$1500,$A122&amp;"|"&amp;AG$1&amp;"|Output"),"OUT",""))</f>
        <v>OUT</v>
      </c>
      <c r="AH122" s="33" t="str">
        <f aca="false">IF(COUNTIF(Flows!$M$2:$M$1500,$A122&amp;"|"&amp;AH$1&amp;"|Input"),IF(COUNTIF(Flows!$M$2:$M$1500,$A122&amp;"|"&amp;AH$1&amp;"|Output"),"I/O","IN"),IF(COUNTIF(Flows!$M$2:$M$1500,$A122&amp;"|"&amp;AH$1&amp;"|Output"),"OUT",""))</f>
        <v/>
      </c>
      <c r="AI122" s="33" t="str">
        <f aca="false">IF(COUNTIF(Flows!$M$2:$M$1500,$A122&amp;"|"&amp;AI$1&amp;"|Input"),IF(COUNTIF(Flows!$M$2:$M$1500,$A122&amp;"|"&amp;AI$1&amp;"|Output"),"I/O","IN"),IF(COUNTIF(Flows!$M$2:$M$1500,$A122&amp;"|"&amp;AI$1&amp;"|Output"),"OUT",""))</f>
        <v/>
      </c>
      <c r="AJ122" s="33" t="str">
        <f aca="false">IF(COUNTIF(Flows!$M$2:$M$1500,$A122&amp;"|"&amp;AJ$1&amp;"|Input"),IF(COUNTIF(Flows!$M$2:$M$1500,$A122&amp;"|"&amp;AJ$1&amp;"|Output"),"I/O","IN"),IF(COUNTIF(Flows!$M$2:$M$1500,$A122&amp;"|"&amp;AJ$1&amp;"|Output"),"OUT",""))</f>
        <v/>
      </c>
      <c r="AK122" s="33" t="str">
        <f aca="false">IF(COUNTIF(Flows!$M$2:$M$1500,$A122&amp;"|"&amp;AK$1&amp;"|Input"),IF(COUNTIF(Flows!$M$2:$M$1500,$A122&amp;"|"&amp;AK$1&amp;"|Output"),"I/O","IN"),IF(COUNTIF(Flows!$M$2:$M$1500,$A122&amp;"|"&amp;AK$1&amp;"|Output"),"OUT",""))</f>
        <v/>
      </c>
      <c r="AL122" s="33" t="str">
        <f aca="false">IF(COUNTIF(Flows!$M$2:$M$1500,$A122&amp;"|"&amp;AL$1&amp;"|Input"),IF(COUNTIF(Flows!$M$2:$M$1500,$A122&amp;"|"&amp;AL$1&amp;"|Output"),"I/O","IN"),IF(COUNTIF(Flows!$M$2:$M$1500,$A122&amp;"|"&amp;AL$1&amp;"|Output"),"OUT",""))</f>
        <v/>
      </c>
      <c r="AM122" s="33" t="str">
        <f aca="false">IF(COUNTIF(Flows!$M$2:$M$1500,$A122&amp;"|"&amp;AM$1&amp;"|Input"),IF(COUNTIF(Flows!$M$2:$M$1500,$A122&amp;"|"&amp;AM$1&amp;"|Output"),"I/O","IN"),IF(COUNTIF(Flows!$M$2:$M$1500,$A122&amp;"|"&amp;AM$1&amp;"|Output"),"OUT",""))</f>
        <v/>
      </c>
      <c r="AN122" s="33" t="str">
        <f aca="false">IF(COUNTIF(Flows!$M$2:$M$1500,$A122&amp;"|"&amp;AN$1&amp;"|Input"),IF(COUNTIF(Flows!$M$2:$M$1500,$A122&amp;"|"&amp;AN$1&amp;"|Output"),"I/O","IN"),IF(COUNTIF(Flows!$M$2:$M$1500,$A122&amp;"|"&amp;AN$1&amp;"|Output"),"OUT",""))</f>
        <v/>
      </c>
      <c r="AO122" s="33" t="str">
        <f aca="false">IF(COUNTIF(Flows!$M$2:$M$1500,$A122&amp;"|"&amp;AO$1&amp;"|Input"),IF(COUNTIF(Flows!$M$2:$M$1500,$A122&amp;"|"&amp;AO$1&amp;"|Output"),"I/O","IN"),IF(COUNTIF(Flows!$M$2:$M$1500,$A122&amp;"|"&amp;AO$1&amp;"|Output"),"OUT",""))</f>
        <v/>
      </c>
      <c r="AP122" s="33" t="str">
        <f aca="false">IF(COUNTIF(Flows!$M$2:$M$1500,$A122&amp;"|"&amp;AP$1&amp;"|Input"),IF(COUNTIF(Flows!$M$2:$M$1500,$A122&amp;"|"&amp;AP$1&amp;"|Output"),"I/O","IN"),IF(COUNTIF(Flows!$M$2:$M$1500,$A122&amp;"|"&amp;AP$1&amp;"|Output"),"OUT",""))</f>
        <v/>
      </c>
      <c r="AQ122" s="33" t="str">
        <f aca="false">IF(COUNTIF(Flows!$M$2:$M$1500,$A122&amp;"|"&amp;AQ$1&amp;"|Input"),IF(COUNTIF(Flows!$M$2:$M$1500,$A122&amp;"|"&amp;AQ$1&amp;"|Output"),"I/O","IN"),IF(COUNTIF(Flows!$M$2:$M$1500,$A122&amp;"|"&amp;AQ$1&amp;"|Output"),"OUT",""))</f>
        <v/>
      </c>
      <c r="AR122" s="33" t="str">
        <f aca="false">IF(COUNTIF(Flows!$M$2:$M$1500,$A122&amp;"|"&amp;AR$1&amp;"|Input"),IF(COUNTIF(Flows!$M$2:$M$1500,$A122&amp;"|"&amp;AR$1&amp;"|Output"),"I/O","IN"),IF(COUNTIF(Flows!$M$2:$M$1500,$A122&amp;"|"&amp;AR$1&amp;"|Output"),"OUT",""))</f>
        <v/>
      </c>
      <c r="AS122" s="33" t="str">
        <f aca="false">IF(COUNTIF(Flows!$M$2:$M$1500,$A122&amp;"|"&amp;AS$1&amp;"|Input"),IF(COUNTIF(Flows!$M$2:$M$1500,$A122&amp;"|"&amp;AS$1&amp;"|Output"),"I/O","IN"),IF(COUNTIF(Flows!$M$2:$M$1500,$A122&amp;"|"&amp;AS$1&amp;"|Output"),"OUT",""))</f>
        <v/>
      </c>
      <c r="AT122" s="33" t="str">
        <f aca="false">IF(COUNTIF(Flows!$M$2:$M$1500,$A122&amp;"|"&amp;AT$1&amp;"|Input"),IF(COUNTIF(Flows!$M$2:$M$1500,$A122&amp;"|"&amp;AT$1&amp;"|Output"),"I/O","IN"),IF(COUNTIF(Flows!$M$2:$M$1500,$A122&amp;"|"&amp;AT$1&amp;"|Output"),"OUT",""))</f>
        <v/>
      </c>
      <c r="AU122" s="33" t="str">
        <f aca="false">IF(COUNTIF(Flows!$M$2:$M$1500,$A122&amp;"|"&amp;AU$1&amp;"|Input"),IF(COUNTIF(Flows!$M$2:$M$1500,$A122&amp;"|"&amp;AU$1&amp;"|Output"),"I/O","IN"),IF(COUNTIF(Flows!$M$2:$M$1500,$A122&amp;"|"&amp;AU$1&amp;"|Output"),"OUT",""))</f>
        <v/>
      </c>
      <c r="AV122" s="33" t="str">
        <f aca="false">IF(COUNTIF(Flows!$M$2:$M$1500,$A122&amp;"|"&amp;AV$1&amp;"|Input"),IF(COUNTIF(Flows!$M$2:$M$1500,$A122&amp;"|"&amp;AV$1&amp;"|Output"),"I/O","IN"),IF(COUNTIF(Flows!$M$2:$M$1500,$A122&amp;"|"&amp;AV$1&amp;"|Output"),"OUT",""))</f>
        <v/>
      </c>
      <c r="AW122" s="33" t="str">
        <f aca="false">IF(COUNTIF(Flows!$M$2:$M$1500,$A122&amp;"|"&amp;AW$1&amp;"|Input"),IF(COUNTIF(Flows!$M$2:$M$1500,$A122&amp;"|"&amp;AW$1&amp;"|Output"),"I/O","IN"),IF(COUNTIF(Flows!$M$2:$M$1500,$A122&amp;"|"&amp;AW$1&amp;"|Output"),"OUT",""))</f>
        <v/>
      </c>
      <c r="AX122" s="33" t="str">
        <f aca="false">IF(COUNTIF(Flows!$M$2:$M$1500,$A122&amp;"|"&amp;AX$1&amp;"|Input"),IF(COUNTIF(Flows!$M$2:$M$1500,$A122&amp;"|"&amp;AX$1&amp;"|Output"),"I/O","IN"),IF(COUNTIF(Flows!$M$2:$M$1500,$A122&amp;"|"&amp;AX$1&amp;"|Output"),"OUT",""))</f>
        <v/>
      </c>
      <c r="AY122" s="33" t="str">
        <f aca="false">IF(COUNTIF(Flows!$M$2:$M$1500,$A122&amp;"|"&amp;AY$1&amp;"|Input"),IF(COUNTIF(Flows!$M$2:$M$1500,$A122&amp;"|"&amp;AY$1&amp;"|Output"),"I/O","IN"),IF(COUNTIF(Flows!$M$2:$M$1500,$A122&amp;"|"&amp;AY$1&amp;"|Output"),"OUT",""))</f>
        <v/>
      </c>
      <c r="AZ122" s="33" t="str">
        <f aca="false">IF(COUNTIF(Flows!$M$2:$M$1500,$A122&amp;"|"&amp;AZ$1&amp;"|Input"),IF(COUNTIF(Flows!$M$2:$M$1500,$A122&amp;"|"&amp;AZ$1&amp;"|Output"),"I/O","IN"),IF(COUNTIF(Flows!$M$2:$M$1500,$A122&amp;"|"&amp;AZ$1&amp;"|Output"),"OUT",""))</f>
        <v/>
      </c>
      <c r="BA122" s="33" t="str">
        <f aca="false">IF(COUNTIF(Flows!$M$2:$M$1500,$A122&amp;"|"&amp;BA$1&amp;"|Input"),IF(COUNTIF(Flows!$M$2:$M$1500,$A122&amp;"|"&amp;BA$1&amp;"|Output"),"I/O","IN"),IF(COUNTIF(Flows!$M$2:$M$1500,$A122&amp;"|"&amp;BA$1&amp;"|Output"),"OUT",""))</f>
        <v/>
      </c>
      <c r="BB122" s="33" t="str">
        <f aca="false">IF(COUNTIF(Flows!$M$2:$M$1500,$A122&amp;"|"&amp;BB$1&amp;"|Input"),IF(COUNTIF(Flows!$M$2:$M$1500,$A122&amp;"|"&amp;BB$1&amp;"|Output"),"I/O","IN"),IF(COUNTIF(Flows!$M$2:$M$1500,$A122&amp;"|"&amp;BB$1&amp;"|Output"),"OUT",""))</f>
        <v/>
      </c>
      <c r="BC122" s="33" t="str">
        <f aca="false">IF(COUNTIF(Flows!$M$2:$M$1500,$A122&amp;"|"&amp;BC$1&amp;"|Input"),IF(COUNTIF(Flows!$M$2:$M$1500,$A122&amp;"|"&amp;BC$1&amp;"|Output"),"I/O","IN"),IF(COUNTIF(Flows!$M$2:$M$1500,$A122&amp;"|"&amp;BC$1&amp;"|Output"),"OUT",""))</f>
        <v/>
      </c>
      <c r="BD122" s="33" t="str">
        <f aca="false">IF(COUNTIF(Flows!$M$2:$M$1500,$A122&amp;"|"&amp;BD$1&amp;"|Input"),IF(COUNTIF(Flows!$M$2:$M$1500,$A122&amp;"|"&amp;BD$1&amp;"|Output"),"I/O","IN"),IF(COUNTIF(Flows!$M$2:$M$1500,$A122&amp;"|"&amp;BD$1&amp;"|Output"),"OUT",""))</f>
        <v/>
      </c>
      <c r="BE122" s="33" t="str">
        <f aca="false">IF(COUNTIF(Flows!$M$2:$M$1500,$A122&amp;"|"&amp;BE$1&amp;"|Input"),IF(COUNTIF(Flows!$M$2:$M$1500,$A122&amp;"|"&amp;BE$1&amp;"|Output"),"I/O","IN"),IF(COUNTIF(Flows!$M$2:$M$1500,$A122&amp;"|"&amp;BE$1&amp;"|Output"),"OUT",""))</f>
        <v/>
      </c>
      <c r="BF122" s="33" t="str">
        <f aca="false">IF(COUNTIF(Flows!$M$2:$M$1500,$A122&amp;"|"&amp;BF$1&amp;"|Input"),IF(COUNTIF(Flows!$M$2:$M$1500,$A122&amp;"|"&amp;BF$1&amp;"|Output"),"I/O","IN"),IF(COUNTIF(Flows!$M$2:$M$1500,$A122&amp;"|"&amp;BF$1&amp;"|Output"),"OUT",""))</f>
        <v/>
      </c>
      <c r="BG122" s="33" t="str">
        <f aca="false">IF(COUNTIF(Flows!$M$2:$M$1500,$A122&amp;"|"&amp;BG$1&amp;"|Input"),IF(COUNTIF(Flows!$M$2:$M$1500,$A122&amp;"|"&amp;BG$1&amp;"|Output"),"I/O","IN"),IF(COUNTIF(Flows!$M$2:$M$1500,$A122&amp;"|"&amp;BG$1&amp;"|Output"),"OUT",""))</f>
        <v/>
      </c>
      <c r="BH122" s="33" t="str">
        <f aca="false">IF(COUNTIF(Flows!$M$2:$M$1500,$A122&amp;"|"&amp;BH$1&amp;"|Input"),IF(COUNTIF(Flows!$M$2:$M$1500,$A122&amp;"|"&amp;BH$1&amp;"|Output"),"I/O","IN"),IF(COUNTIF(Flows!$M$2:$M$1500,$A122&amp;"|"&amp;BH$1&amp;"|Output"),"OUT",""))</f>
        <v/>
      </c>
      <c r="BI122" s="33" t="str">
        <f aca="false">IF(COUNTIF(Flows!$M$2:$M$1500,$A122&amp;"|"&amp;BI$1&amp;"|Input"),IF(COUNTIF(Flows!$M$2:$M$1500,$A122&amp;"|"&amp;BI$1&amp;"|Output"),"I/O","IN"),IF(COUNTIF(Flows!$M$2:$M$1500,$A122&amp;"|"&amp;BI$1&amp;"|Output"),"OUT",""))</f>
        <v/>
      </c>
      <c r="BJ122" s="33" t="str">
        <f aca="false">IF(COUNTIF(Flows!$M$2:$M$1500,$A122&amp;"|"&amp;BJ$1&amp;"|Input"),IF(COUNTIF(Flows!$M$2:$M$1500,$A122&amp;"|"&amp;BJ$1&amp;"|Output"),"I/O","IN"),IF(COUNTIF(Flows!$M$2:$M$1500,$A122&amp;"|"&amp;BJ$1&amp;"|Output"),"OUT",""))</f>
        <v/>
      </c>
      <c r="BK122" s="33" t="str">
        <f aca="false">IF(COUNTIF(Flows!$M$2:$M$1500,$A122&amp;"|"&amp;BK$1&amp;"|Input"),IF(COUNTIF(Flows!$M$2:$M$1500,$A122&amp;"|"&amp;BK$1&amp;"|Output"),"I/O","IN"),IF(COUNTIF(Flows!$M$2:$M$1500,$A122&amp;"|"&amp;BK$1&amp;"|Output"),"OUT",""))</f>
        <v/>
      </c>
    </row>
    <row r="123" customFormat="false" ht="15" hidden="false" customHeight="true" outlineLevel="0" collapsed="false">
      <c r="A123" s="6" t="str">
        <f aca="false">Systems!B123</f>
        <v>Hoop House Greenhouse (200 sq ft)</v>
      </c>
      <c r="B123" s="33" t="str">
        <f aca="false">IF(COUNTIF(Flows!$M$2:$M$1500,$A123&amp;"|"&amp;B$1&amp;"|Input"),IF(COUNTIF(Flows!$M$2:$M$1500,$A123&amp;"|"&amp;B$1&amp;"|Output"),"I/O","IN"),IF(COUNTIF(Flows!$M$2:$M$1500,$A123&amp;"|"&amp;B$1&amp;"|Output"),"OUT",""))</f>
        <v>IN</v>
      </c>
      <c r="C123" s="33" t="str">
        <f aca="false">IF(COUNTIF(Flows!$M$2:$M$1500,$A123&amp;"|"&amp;C$1&amp;"|Input"),IF(COUNTIF(Flows!$M$2:$M$1500,$A123&amp;"|"&amp;C$1&amp;"|Output"),"I/O","IN"),IF(COUNTIF(Flows!$M$2:$M$1500,$A123&amp;"|"&amp;C$1&amp;"|Output"),"OUT",""))</f>
        <v/>
      </c>
      <c r="D123" s="33" t="str">
        <f aca="false">IF(COUNTIF(Flows!$M$2:$M$1500,$A123&amp;"|"&amp;D$1&amp;"|Input"),IF(COUNTIF(Flows!$M$2:$M$1500,$A123&amp;"|"&amp;D$1&amp;"|Output"),"I/O","IN"),IF(COUNTIF(Flows!$M$2:$M$1500,$A123&amp;"|"&amp;D$1&amp;"|Output"),"OUT",""))</f>
        <v/>
      </c>
      <c r="E123" s="33" t="str">
        <f aca="false">IF(COUNTIF(Flows!$M$2:$M$1500,$A123&amp;"|"&amp;E$1&amp;"|Input"),IF(COUNTIF(Flows!$M$2:$M$1500,$A123&amp;"|"&amp;E$1&amp;"|Output"),"I/O","IN"),IF(COUNTIF(Flows!$M$2:$M$1500,$A123&amp;"|"&amp;E$1&amp;"|Output"),"OUT",""))</f>
        <v/>
      </c>
      <c r="F123" s="33" t="str">
        <f aca="false">IF(COUNTIF(Flows!$M$2:$M$1500,$A123&amp;"|"&amp;F$1&amp;"|Input"),IF(COUNTIF(Flows!$M$2:$M$1500,$A123&amp;"|"&amp;F$1&amp;"|Output"),"I/O","IN"),IF(COUNTIF(Flows!$M$2:$M$1500,$A123&amp;"|"&amp;F$1&amp;"|Output"),"OUT",""))</f>
        <v/>
      </c>
      <c r="G123" s="33" t="str">
        <f aca="false">IF(COUNTIF(Flows!$M$2:$M$1500,$A123&amp;"|"&amp;G$1&amp;"|Input"),IF(COUNTIF(Flows!$M$2:$M$1500,$A123&amp;"|"&amp;G$1&amp;"|Output"),"I/O","IN"),IF(COUNTIF(Flows!$M$2:$M$1500,$A123&amp;"|"&amp;G$1&amp;"|Output"),"OUT",""))</f>
        <v>OUT</v>
      </c>
      <c r="H123" s="33" t="str">
        <f aca="false">IF(COUNTIF(Flows!$M$2:$M$1500,$A123&amp;"|"&amp;H$1&amp;"|Input"),IF(COUNTIF(Flows!$M$2:$M$1500,$A123&amp;"|"&amp;H$1&amp;"|Output"),"I/O","IN"),IF(COUNTIF(Flows!$M$2:$M$1500,$A123&amp;"|"&amp;H$1&amp;"|Output"),"OUT",""))</f>
        <v/>
      </c>
      <c r="I123" s="33" t="str">
        <f aca="false">IF(COUNTIF(Flows!$M$2:$M$1500,$A123&amp;"|"&amp;I$1&amp;"|Input"),IF(COUNTIF(Flows!$M$2:$M$1500,$A123&amp;"|"&amp;I$1&amp;"|Output"),"I/O","IN"),IF(COUNTIF(Flows!$M$2:$M$1500,$A123&amp;"|"&amp;I$1&amp;"|Output"),"OUT",""))</f>
        <v/>
      </c>
      <c r="J123" s="33" t="str">
        <f aca="false">IF(COUNTIF(Flows!$M$2:$M$1500,$A123&amp;"|"&amp;J$1&amp;"|Input"),IF(COUNTIF(Flows!$M$2:$M$1500,$A123&amp;"|"&amp;J$1&amp;"|Output"),"I/O","IN"),IF(COUNTIF(Flows!$M$2:$M$1500,$A123&amp;"|"&amp;J$1&amp;"|Output"),"OUT",""))</f>
        <v/>
      </c>
      <c r="K123" s="33" t="str">
        <f aca="false">IF(COUNTIF(Flows!$M$2:$M$1500,$A123&amp;"|"&amp;K$1&amp;"|Input"),IF(COUNTIF(Flows!$M$2:$M$1500,$A123&amp;"|"&amp;K$1&amp;"|Output"),"I/O","IN"),IF(COUNTIF(Flows!$M$2:$M$1500,$A123&amp;"|"&amp;K$1&amp;"|Output"),"OUT",""))</f>
        <v/>
      </c>
      <c r="L123" s="33" t="str">
        <f aca="false">IF(COUNTIF(Flows!$M$2:$M$1500,$A123&amp;"|"&amp;L$1&amp;"|Input"),IF(COUNTIF(Flows!$M$2:$M$1500,$A123&amp;"|"&amp;L$1&amp;"|Output"),"I/O","IN"),IF(COUNTIF(Flows!$M$2:$M$1500,$A123&amp;"|"&amp;L$1&amp;"|Output"),"OUT",""))</f>
        <v/>
      </c>
      <c r="M123" s="33" t="str">
        <f aca="false">IF(COUNTIF(Flows!$M$2:$M$1500,$A123&amp;"|"&amp;M$1&amp;"|Input"),IF(COUNTIF(Flows!$M$2:$M$1500,$A123&amp;"|"&amp;M$1&amp;"|Output"),"I/O","IN"),IF(COUNTIF(Flows!$M$2:$M$1500,$A123&amp;"|"&amp;M$1&amp;"|Output"),"OUT",""))</f>
        <v/>
      </c>
      <c r="N123" s="33" t="str">
        <f aca="false">IF(COUNTIF(Flows!$M$2:$M$1500,$A123&amp;"|"&amp;N$1&amp;"|Input"),IF(COUNTIF(Flows!$M$2:$M$1500,$A123&amp;"|"&amp;N$1&amp;"|Output"),"I/O","IN"),IF(COUNTIF(Flows!$M$2:$M$1500,$A123&amp;"|"&amp;N$1&amp;"|Output"),"OUT",""))</f>
        <v/>
      </c>
      <c r="O123" s="33" t="str">
        <f aca="false">IF(COUNTIF(Flows!$M$2:$M$1500,$A123&amp;"|"&amp;O$1&amp;"|Input"),IF(COUNTIF(Flows!$M$2:$M$1500,$A123&amp;"|"&amp;O$1&amp;"|Output"),"I/O","IN"),IF(COUNTIF(Flows!$M$2:$M$1500,$A123&amp;"|"&amp;O$1&amp;"|Output"),"OUT",""))</f>
        <v/>
      </c>
      <c r="P123" s="33" t="str">
        <f aca="false">IF(COUNTIF(Flows!$M$2:$M$1500,$A123&amp;"|"&amp;P$1&amp;"|Input"),IF(COUNTIF(Flows!$M$2:$M$1500,$A123&amp;"|"&amp;P$1&amp;"|Output"),"I/O","IN"),IF(COUNTIF(Flows!$M$2:$M$1500,$A123&amp;"|"&amp;P$1&amp;"|Output"),"OUT",""))</f>
        <v/>
      </c>
      <c r="Q123" s="33" t="str">
        <f aca="false">IF(COUNTIF(Flows!$M$2:$M$1500,$A123&amp;"|"&amp;Q$1&amp;"|Input"),IF(COUNTIF(Flows!$M$2:$M$1500,$A123&amp;"|"&amp;Q$1&amp;"|Output"),"I/O","IN"),IF(COUNTIF(Flows!$M$2:$M$1500,$A123&amp;"|"&amp;Q$1&amp;"|Output"),"OUT",""))</f>
        <v/>
      </c>
      <c r="R123" s="33" t="str">
        <f aca="false">IF(COUNTIF(Flows!$M$2:$M$1500,$A123&amp;"|"&amp;R$1&amp;"|Input"),IF(COUNTIF(Flows!$M$2:$M$1500,$A123&amp;"|"&amp;R$1&amp;"|Output"),"I/O","IN"),IF(COUNTIF(Flows!$M$2:$M$1500,$A123&amp;"|"&amp;R$1&amp;"|Output"),"OUT",""))</f>
        <v/>
      </c>
      <c r="S123" s="33" t="str">
        <f aca="false">IF(COUNTIF(Flows!$M$2:$M$1500,$A123&amp;"|"&amp;S$1&amp;"|Input"),IF(COUNTIF(Flows!$M$2:$M$1500,$A123&amp;"|"&amp;S$1&amp;"|Output"),"I/O","IN"),IF(COUNTIF(Flows!$M$2:$M$1500,$A123&amp;"|"&amp;S$1&amp;"|Output"),"OUT",""))</f>
        <v/>
      </c>
      <c r="T123" s="33" t="str">
        <f aca="false">IF(COUNTIF(Flows!$M$2:$M$1500,$A123&amp;"|"&amp;T$1&amp;"|Input"),IF(COUNTIF(Flows!$M$2:$M$1500,$A123&amp;"|"&amp;T$1&amp;"|Output"),"I/O","IN"),IF(COUNTIF(Flows!$M$2:$M$1500,$A123&amp;"|"&amp;T$1&amp;"|Output"),"OUT",""))</f>
        <v/>
      </c>
      <c r="U123" s="33" t="str">
        <f aca="false">IF(COUNTIF(Flows!$M$2:$M$1500,$A123&amp;"|"&amp;U$1&amp;"|Input"),IF(COUNTIF(Flows!$M$2:$M$1500,$A123&amp;"|"&amp;U$1&amp;"|Output"),"I/O","IN"),IF(COUNTIF(Flows!$M$2:$M$1500,$A123&amp;"|"&amp;U$1&amp;"|Output"),"OUT",""))</f>
        <v/>
      </c>
      <c r="V123" s="33" t="str">
        <f aca="false">IF(COUNTIF(Flows!$M$2:$M$1500,$A123&amp;"|"&amp;V$1&amp;"|Input"),IF(COUNTIF(Flows!$M$2:$M$1500,$A123&amp;"|"&amp;V$1&amp;"|Output"),"I/O","IN"),IF(COUNTIF(Flows!$M$2:$M$1500,$A123&amp;"|"&amp;V$1&amp;"|Output"),"OUT",""))</f>
        <v/>
      </c>
      <c r="W123" s="33" t="str">
        <f aca="false">IF(COUNTIF(Flows!$M$2:$M$1500,$A123&amp;"|"&amp;W$1&amp;"|Input"),IF(COUNTIF(Flows!$M$2:$M$1500,$A123&amp;"|"&amp;W$1&amp;"|Output"),"I/O","IN"),IF(COUNTIF(Flows!$M$2:$M$1500,$A123&amp;"|"&amp;W$1&amp;"|Output"),"OUT",""))</f>
        <v/>
      </c>
      <c r="X123" s="33" t="str">
        <f aca="false">IF(COUNTIF(Flows!$M$2:$M$1500,$A123&amp;"|"&amp;X$1&amp;"|Input"),IF(COUNTIF(Flows!$M$2:$M$1500,$A123&amp;"|"&amp;X$1&amp;"|Output"),"I/O","IN"),IF(COUNTIF(Flows!$M$2:$M$1500,$A123&amp;"|"&amp;X$1&amp;"|Output"),"OUT",""))</f>
        <v>IN</v>
      </c>
      <c r="Y123" s="33" t="str">
        <f aca="false">IF(COUNTIF(Flows!$M$2:$M$1500,$A123&amp;"|"&amp;Y$1&amp;"|Input"),IF(COUNTIF(Flows!$M$2:$M$1500,$A123&amp;"|"&amp;Y$1&amp;"|Output"),"I/O","IN"),IF(COUNTIF(Flows!$M$2:$M$1500,$A123&amp;"|"&amp;Y$1&amp;"|Output"),"OUT",""))</f>
        <v/>
      </c>
      <c r="Z123" s="33" t="str">
        <f aca="false">IF(COUNTIF(Flows!$M$2:$M$1500,$A123&amp;"|"&amp;Z$1&amp;"|Input"),IF(COUNTIF(Flows!$M$2:$M$1500,$A123&amp;"|"&amp;Z$1&amp;"|Output"),"I/O","IN"),IF(COUNTIF(Flows!$M$2:$M$1500,$A123&amp;"|"&amp;Z$1&amp;"|Output"),"OUT",""))</f>
        <v/>
      </c>
      <c r="AA123" s="33" t="str">
        <f aca="false">IF(COUNTIF(Flows!$M$2:$M$1500,$A123&amp;"|"&amp;AA$1&amp;"|Input"),IF(COUNTIF(Flows!$M$2:$M$1500,$A123&amp;"|"&amp;AA$1&amp;"|Output"),"I/O","IN"),IF(COUNTIF(Flows!$M$2:$M$1500,$A123&amp;"|"&amp;AA$1&amp;"|Output"),"OUT",""))</f>
        <v/>
      </c>
      <c r="AB123" s="33" t="str">
        <f aca="false">IF(COUNTIF(Flows!$M$2:$M$1500,$A123&amp;"|"&amp;AB$1&amp;"|Input"),IF(COUNTIF(Flows!$M$2:$M$1500,$A123&amp;"|"&amp;AB$1&amp;"|Output"),"I/O","IN"),IF(COUNTIF(Flows!$M$2:$M$1500,$A123&amp;"|"&amp;AB$1&amp;"|Output"),"OUT",""))</f>
        <v/>
      </c>
      <c r="AC123" s="33" t="str">
        <f aca="false">IF(COUNTIF(Flows!$M$2:$M$1500,$A123&amp;"|"&amp;AC$1&amp;"|Input"),IF(COUNTIF(Flows!$M$2:$M$1500,$A123&amp;"|"&amp;AC$1&amp;"|Output"),"I/O","IN"),IF(COUNTIF(Flows!$M$2:$M$1500,$A123&amp;"|"&amp;AC$1&amp;"|Output"),"OUT",""))</f>
        <v/>
      </c>
      <c r="AD123" s="33" t="str">
        <f aca="false">IF(COUNTIF(Flows!$M$2:$M$1500,$A123&amp;"|"&amp;AD$1&amp;"|Input"),IF(COUNTIF(Flows!$M$2:$M$1500,$A123&amp;"|"&amp;AD$1&amp;"|Output"),"I/O","IN"),IF(COUNTIF(Flows!$M$2:$M$1500,$A123&amp;"|"&amp;AD$1&amp;"|Output"),"OUT",""))</f>
        <v/>
      </c>
      <c r="AE123" s="33" t="str">
        <f aca="false">IF(COUNTIF(Flows!$M$2:$M$1500,$A123&amp;"|"&amp;AE$1&amp;"|Input"),IF(COUNTIF(Flows!$M$2:$M$1500,$A123&amp;"|"&amp;AE$1&amp;"|Output"),"I/O","IN"),IF(COUNTIF(Flows!$M$2:$M$1500,$A123&amp;"|"&amp;AE$1&amp;"|Output"),"OUT",""))</f>
        <v/>
      </c>
      <c r="AF123" s="33" t="str">
        <f aca="false">IF(COUNTIF(Flows!$M$2:$M$1500,$A123&amp;"|"&amp;AF$1&amp;"|Input"),IF(COUNTIF(Flows!$M$2:$M$1500,$A123&amp;"|"&amp;AF$1&amp;"|Output"),"I/O","IN"),IF(COUNTIF(Flows!$M$2:$M$1500,$A123&amp;"|"&amp;AF$1&amp;"|Output"),"OUT",""))</f>
        <v/>
      </c>
      <c r="AG123" s="33" t="str">
        <f aca="false">IF(COUNTIF(Flows!$M$2:$M$1500,$A123&amp;"|"&amp;AG$1&amp;"|Input"),IF(COUNTIF(Flows!$M$2:$M$1500,$A123&amp;"|"&amp;AG$1&amp;"|Output"),"I/O","IN"),IF(COUNTIF(Flows!$M$2:$M$1500,$A123&amp;"|"&amp;AG$1&amp;"|Output"),"OUT",""))</f>
        <v/>
      </c>
      <c r="AH123" s="33" t="str">
        <f aca="false">IF(COUNTIF(Flows!$M$2:$M$1500,$A123&amp;"|"&amp;AH$1&amp;"|Input"),IF(COUNTIF(Flows!$M$2:$M$1500,$A123&amp;"|"&amp;AH$1&amp;"|Output"),"I/O","IN"),IF(COUNTIF(Flows!$M$2:$M$1500,$A123&amp;"|"&amp;AH$1&amp;"|Output"),"OUT",""))</f>
        <v/>
      </c>
      <c r="AI123" s="33" t="str">
        <f aca="false">IF(COUNTIF(Flows!$M$2:$M$1500,$A123&amp;"|"&amp;AI$1&amp;"|Input"),IF(COUNTIF(Flows!$M$2:$M$1500,$A123&amp;"|"&amp;AI$1&amp;"|Output"),"I/O","IN"),IF(COUNTIF(Flows!$M$2:$M$1500,$A123&amp;"|"&amp;AI$1&amp;"|Output"),"OUT",""))</f>
        <v/>
      </c>
      <c r="AJ123" s="33" t="str">
        <f aca="false">IF(COUNTIF(Flows!$M$2:$M$1500,$A123&amp;"|"&amp;AJ$1&amp;"|Input"),IF(COUNTIF(Flows!$M$2:$M$1500,$A123&amp;"|"&amp;AJ$1&amp;"|Output"),"I/O","IN"),IF(COUNTIF(Flows!$M$2:$M$1500,$A123&amp;"|"&amp;AJ$1&amp;"|Output"),"OUT",""))</f>
        <v/>
      </c>
      <c r="AK123" s="33" t="str">
        <f aca="false">IF(COUNTIF(Flows!$M$2:$M$1500,$A123&amp;"|"&amp;AK$1&amp;"|Input"),IF(COUNTIF(Flows!$M$2:$M$1500,$A123&amp;"|"&amp;AK$1&amp;"|Output"),"I/O","IN"),IF(COUNTIF(Flows!$M$2:$M$1500,$A123&amp;"|"&amp;AK$1&amp;"|Output"),"OUT",""))</f>
        <v/>
      </c>
      <c r="AL123" s="33" t="str">
        <f aca="false">IF(COUNTIF(Flows!$M$2:$M$1500,$A123&amp;"|"&amp;AL$1&amp;"|Input"),IF(COUNTIF(Flows!$M$2:$M$1500,$A123&amp;"|"&amp;AL$1&amp;"|Output"),"I/O","IN"),IF(COUNTIF(Flows!$M$2:$M$1500,$A123&amp;"|"&amp;AL$1&amp;"|Output"),"OUT",""))</f>
        <v/>
      </c>
      <c r="AM123" s="33" t="str">
        <f aca="false">IF(COUNTIF(Flows!$M$2:$M$1500,$A123&amp;"|"&amp;AM$1&amp;"|Input"),IF(COUNTIF(Flows!$M$2:$M$1500,$A123&amp;"|"&amp;AM$1&amp;"|Output"),"I/O","IN"),IF(COUNTIF(Flows!$M$2:$M$1500,$A123&amp;"|"&amp;AM$1&amp;"|Output"),"OUT",""))</f>
        <v/>
      </c>
      <c r="AN123" s="33" t="str">
        <f aca="false">IF(COUNTIF(Flows!$M$2:$M$1500,$A123&amp;"|"&amp;AN$1&amp;"|Input"),IF(COUNTIF(Flows!$M$2:$M$1500,$A123&amp;"|"&amp;AN$1&amp;"|Output"),"I/O","IN"),IF(COUNTIF(Flows!$M$2:$M$1500,$A123&amp;"|"&amp;AN$1&amp;"|Output"),"OUT",""))</f>
        <v/>
      </c>
      <c r="AO123" s="33" t="str">
        <f aca="false">IF(COUNTIF(Flows!$M$2:$M$1500,$A123&amp;"|"&amp;AO$1&amp;"|Input"),IF(COUNTIF(Flows!$M$2:$M$1500,$A123&amp;"|"&amp;AO$1&amp;"|Output"),"I/O","IN"),IF(COUNTIF(Flows!$M$2:$M$1500,$A123&amp;"|"&amp;AO$1&amp;"|Output"),"OUT",""))</f>
        <v/>
      </c>
      <c r="AP123" s="33" t="str">
        <f aca="false">IF(COUNTIF(Flows!$M$2:$M$1500,$A123&amp;"|"&amp;AP$1&amp;"|Input"),IF(COUNTIF(Flows!$M$2:$M$1500,$A123&amp;"|"&amp;AP$1&amp;"|Output"),"I/O","IN"),IF(COUNTIF(Flows!$M$2:$M$1500,$A123&amp;"|"&amp;AP$1&amp;"|Output"),"OUT",""))</f>
        <v/>
      </c>
      <c r="AQ123" s="33" t="str">
        <f aca="false">IF(COUNTIF(Flows!$M$2:$M$1500,$A123&amp;"|"&amp;AQ$1&amp;"|Input"),IF(COUNTIF(Flows!$M$2:$M$1500,$A123&amp;"|"&amp;AQ$1&amp;"|Output"),"I/O","IN"),IF(COUNTIF(Flows!$M$2:$M$1500,$A123&amp;"|"&amp;AQ$1&amp;"|Output"),"OUT",""))</f>
        <v/>
      </c>
      <c r="AR123" s="33" t="str">
        <f aca="false">IF(COUNTIF(Flows!$M$2:$M$1500,$A123&amp;"|"&amp;AR$1&amp;"|Input"),IF(COUNTIF(Flows!$M$2:$M$1500,$A123&amp;"|"&amp;AR$1&amp;"|Output"),"I/O","IN"),IF(COUNTIF(Flows!$M$2:$M$1500,$A123&amp;"|"&amp;AR$1&amp;"|Output"),"OUT",""))</f>
        <v/>
      </c>
      <c r="AS123" s="33" t="str">
        <f aca="false">IF(COUNTIF(Flows!$M$2:$M$1500,$A123&amp;"|"&amp;AS$1&amp;"|Input"),IF(COUNTIF(Flows!$M$2:$M$1500,$A123&amp;"|"&amp;AS$1&amp;"|Output"),"I/O","IN"),IF(COUNTIF(Flows!$M$2:$M$1500,$A123&amp;"|"&amp;AS$1&amp;"|Output"),"OUT",""))</f>
        <v>IN</v>
      </c>
      <c r="AT123" s="33" t="str">
        <f aca="false">IF(COUNTIF(Flows!$M$2:$M$1500,$A123&amp;"|"&amp;AT$1&amp;"|Input"),IF(COUNTIF(Flows!$M$2:$M$1500,$A123&amp;"|"&amp;AT$1&amp;"|Output"),"I/O","IN"),IF(COUNTIF(Flows!$M$2:$M$1500,$A123&amp;"|"&amp;AT$1&amp;"|Output"),"OUT",""))</f>
        <v/>
      </c>
      <c r="AU123" s="33" t="str">
        <f aca="false">IF(COUNTIF(Flows!$M$2:$M$1500,$A123&amp;"|"&amp;AU$1&amp;"|Input"),IF(COUNTIF(Flows!$M$2:$M$1500,$A123&amp;"|"&amp;AU$1&amp;"|Output"),"I/O","IN"),IF(COUNTIF(Flows!$M$2:$M$1500,$A123&amp;"|"&amp;AU$1&amp;"|Output"),"OUT",""))</f>
        <v>IN</v>
      </c>
      <c r="AV123" s="33" t="str">
        <f aca="false">IF(COUNTIF(Flows!$M$2:$M$1500,$A123&amp;"|"&amp;AV$1&amp;"|Input"),IF(COUNTIF(Flows!$M$2:$M$1500,$A123&amp;"|"&amp;AV$1&amp;"|Output"),"I/O","IN"),IF(COUNTIF(Flows!$M$2:$M$1500,$A123&amp;"|"&amp;AV$1&amp;"|Output"),"OUT",""))</f>
        <v/>
      </c>
      <c r="AW123" s="33" t="str">
        <f aca="false">IF(COUNTIF(Flows!$M$2:$M$1500,$A123&amp;"|"&amp;AW$1&amp;"|Input"),IF(COUNTIF(Flows!$M$2:$M$1500,$A123&amp;"|"&amp;AW$1&amp;"|Output"),"I/O","IN"),IF(COUNTIF(Flows!$M$2:$M$1500,$A123&amp;"|"&amp;AW$1&amp;"|Output"),"OUT",""))</f>
        <v/>
      </c>
      <c r="AX123" s="33" t="str">
        <f aca="false">IF(COUNTIF(Flows!$M$2:$M$1500,$A123&amp;"|"&amp;AX$1&amp;"|Input"),IF(COUNTIF(Flows!$M$2:$M$1500,$A123&amp;"|"&amp;AX$1&amp;"|Output"),"I/O","IN"),IF(COUNTIF(Flows!$M$2:$M$1500,$A123&amp;"|"&amp;AX$1&amp;"|Output"),"OUT",""))</f>
        <v/>
      </c>
      <c r="AY123" s="33" t="str">
        <f aca="false">IF(COUNTIF(Flows!$M$2:$M$1500,$A123&amp;"|"&amp;AY$1&amp;"|Input"),IF(COUNTIF(Flows!$M$2:$M$1500,$A123&amp;"|"&amp;AY$1&amp;"|Output"),"I/O","IN"),IF(COUNTIF(Flows!$M$2:$M$1500,$A123&amp;"|"&amp;AY$1&amp;"|Output"),"OUT",""))</f>
        <v/>
      </c>
      <c r="AZ123" s="33" t="str">
        <f aca="false">IF(COUNTIF(Flows!$M$2:$M$1500,$A123&amp;"|"&amp;AZ$1&amp;"|Input"),IF(COUNTIF(Flows!$M$2:$M$1500,$A123&amp;"|"&amp;AZ$1&amp;"|Output"),"I/O","IN"),IF(COUNTIF(Flows!$M$2:$M$1500,$A123&amp;"|"&amp;AZ$1&amp;"|Output"),"OUT",""))</f>
        <v/>
      </c>
      <c r="BA123" s="33" t="str">
        <f aca="false">IF(COUNTIF(Flows!$M$2:$M$1500,$A123&amp;"|"&amp;BA$1&amp;"|Input"),IF(COUNTIF(Flows!$M$2:$M$1500,$A123&amp;"|"&amp;BA$1&amp;"|Output"),"I/O","IN"),IF(COUNTIF(Flows!$M$2:$M$1500,$A123&amp;"|"&amp;BA$1&amp;"|Output"),"OUT",""))</f>
        <v/>
      </c>
      <c r="BB123" s="33" t="str">
        <f aca="false">IF(COUNTIF(Flows!$M$2:$M$1500,$A123&amp;"|"&amp;BB$1&amp;"|Input"),IF(COUNTIF(Flows!$M$2:$M$1500,$A123&amp;"|"&amp;BB$1&amp;"|Output"),"I/O","IN"),IF(COUNTIF(Flows!$M$2:$M$1500,$A123&amp;"|"&amp;BB$1&amp;"|Output"),"OUT",""))</f>
        <v/>
      </c>
      <c r="BC123" s="33" t="str">
        <f aca="false">IF(COUNTIF(Flows!$M$2:$M$1500,$A123&amp;"|"&amp;BC$1&amp;"|Input"),IF(COUNTIF(Flows!$M$2:$M$1500,$A123&amp;"|"&amp;BC$1&amp;"|Output"),"I/O","IN"),IF(COUNTIF(Flows!$M$2:$M$1500,$A123&amp;"|"&amp;BC$1&amp;"|Output"),"OUT",""))</f>
        <v>IN</v>
      </c>
      <c r="BD123" s="33" t="str">
        <f aca="false">IF(COUNTIF(Flows!$M$2:$M$1500,$A123&amp;"|"&amp;BD$1&amp;"|Input"),IF(COUNTIF(Flows!$M$2:$M$1500,$A123&amp;"|"&amp;BD$1&amp;"|Output"),"I/O","IN"),IF(COUNTIF(Flows!$M$2:$M$1500,$A123&amp;"|"&amp;BD$1&amp;"|Output"),"OUT",""))</f>
        <v/>
      </c>
      <c r="BE123" s="33" t="str">
        <f aca="false">IF(COUNTIF(Flows!$M$2:$M$1500,$A123&amp;"|"&amp;BE$1&amp;"|Input"),IF(COUNTIF(Flows!$M$2:$M$1500,$A123&amp;"|"&amp;BE$1&amp;"|Output"),"I/O","IN"),IF(COUNTIF(Flows!$M$2:$M$1500,$A123&amp;"|"&amp;BE$1&amp;"|Output"),"OUT",""))</f>
        <v/>
      </c>
      <c r="BF123" s="33" t="str">
        <f aca="false">IF(COUNTIF(Flows!$M$2:$M$1500,$A123&amp;"|"&amp;BF$1&amp;"|Input"),IF(COUNTIF(Flows!$M$2:$M$1500,$A123&amp;"|"&amp;BF$1&amp;"|Output"),"I/O","IN"),IF(COUNTIF(Flows!$M$2:$M$1500,$A123&amp;"|"&amp;BF$1&amp;"|Output"),"OUT",""))</f>
        <v/>
      </c>
      <c r="BG123" s="33" t="str">
        <f aca="false">IF(COUNTIF(Flows!$M$2:$M$1500,$A123&amp;"|"&amp;BG$1&amp;"|Input"),IF(COUNTIF(Flows!$M$2:$M$1500,$A123&amp;"|"&amp;BG$1&amp;"|Output"),"I/O","IN"),IF(COUNTIF(Flows!$M$2:$M$1500,$A123&amp;"|"&amp;BG$1&amp;"|Output"),"OUT",""))</f>
        <v/>
      </c>
      <c r="BH123" s="33" t="str">
        <f aca="false">IF(COUNTIF(Flows!$M$2:$M$1500,$A123&amp;"|"&amp;BH$1&amp;"|Input"),IF(COUNTIF(Flows!$M$2:$M$1500,$A123&amp;"|"&amp;BH$1&amp;"|Output"),"I/O","IN"),IF(COUNTIF(Flows!$M$2:$M$1500,$A123&amp;"|"&amp;BH$1&amp;"|Output"),"OUT",""))</f>
        <v/>
      </c>
      <c r="BI123" s="33" t="str">
        <f aca="false">IF(COUNTIF(Flows!$M$2:$M$1500,$A123&amp;"|"&amp;BI$1&amp;"|Input"),IF(COUNTIF(Flows!$M$2:$M$1500,$A123&amp;"|"&amp;BI$1&amp;"|Output"),"I/O","IN"),IF(COUNTIF(Flows!$M$2:$M$1500,$A123&amp;"|"&amp;BI$1&amp;"|Output"),"OUT",""))</f>
        <v/>
      </c>
      <c r="BJ123" s="33" t="str">
        <f aca="false">IF(COUNTIF(Flows!$M$2:$M$1500,$A123&amp;"|"&amp;BJ$1&amp;"|Input"),IF(COUNTIF(Flows!$M$2:$M$1500,$A123&amp;"|"&amp;BJ$1&amp;"|Output"),"I/O","IN"),IF(COUNTIF(Flows!$M$2:$M$1500,$A123&amp;"|"&amp;BJ$1&amp;"|Output"),"OUT",""))</f>
        <v/>
      </c>
      <c r="BK123" s="33" t="str">
        <f aca="false">IF(COUNTIF(Flows!$M$2:$M$1500,$A123&amp;"|"&amp;BK$1&amp;"|Input"),IF(COUNTIF(Flows!$M$2:$M$1500,$A123&amp;"|"&amp;BK$1&amp;"|Output"),"I/O","IN"),IF(COUNTIF(Flows!$M$2:$M$1500,$A123&amp;"|"&amp;BK$1&amp;"|Output"),"OUT",""))</f>
        <v>OUT</v>
      </c>
    </row>
    <row r="124" customFormat="false" ht="15" hidden="false" customHeight="true" outlineLevel="0" collapsed="false">
      <c r="A124" s="6" t="str">
        <f aca="false">Systems!B124</f>
        <v>Grain Plot (1/10 acre)</v>
      </c>
      <c r="B124" s="33" t="str">
        <f aca="false">IF(COUNTIF(Flows!$M$2:$M$1500,$A124&amp;"|"&amp;B$1&amp;"|Input"),IF(COUNTIF(Flows!$M$2:$M$1500,$A124&amp;"|"&amp;B$1&amp;"|Output"),"I/O","IN"),IF(COUNTIF(Flows!$M$2:$M$1500,$A124&amp;"|"&amp;B$1&amp;"|Output"),"OUT",""))</f>
        <v>IN</v>
      </c>
      <c r="C124" s="33" t="str">
        <f aca="false">IF(COUNTIF(Flows!$M$2:$M$1500,$A124&amp;"|"&amp;C$1&amp;"|Input"),IF(COUNTIF(Flows!$M$2:$M$1500,$A124&amp;"|"&amp;C$1&amp;"|Output"),"I/O","IN"),IF(COUNTIF(Flows!$M$2:$M$1500,$A124&amp;"|"&amp;C$1&amp;"|Output"),"OUT",""))</f>
        <v/>
      </c>
      <c r="D124" s="33" t="str">
        <f aca="false">IF(COUNTIF(Flows!$M$2:$M$1500,$A124&amp;"|"&amp;D$1&amp;"|Input"),IF(COUNTIF(Flows!$M$2:$M$1500,$A124&amp;"|"&amp;D$1&amp;"|Output"),"I/O","IN"),IF(COUNTIF(Flows!$M$2:$M$1500,$A124&amp;"|"&amp;D$1&amp;"|Output"),"OUT",""))</f>
        <v/>
      </c>
      <c r="E124" s="33" t="str">
        <f aca="false">IF(COUNTIF(Flows!$M$2:$M$1500,$A124&amp;"|"&amp;E$1&amp;"|Input"),IF(COUNTIF(Flows!$M$2:$M$1500,$A124&amp;"|"&amp;E$1&amp;"|Output"),"I/O","IN"),IF(COUNTIF(Flows!$M$2:$M$1500,$A124&amp;"|"&amp;E$1&amp;"|Output"),"OUT",""))</f>
        <v/>
      </c>
      <c r="F124" s="33" t="str">
        <f aca="false">IF(COUNTIF(Flows!$M$2:$M$1500,$A124&amp;"|"&amp;F$1&amp;"|Input"),IF(COUNTIF(Flows!$M$2:$M$1500,$A124&amp;"|"&amp;F$1&amp;"|Output"),"I/O","IN"),IF(COUNTIF(Flows!$M$2:$M$1500,$A124&amp;"|"&amp;F$1&amp;"|Output"),"OUT",""))</f>
        <v/>
      </c>
      <c r="G124" s="33" t="str">
        <f aca="false">IF(COUNTIF(Flows!$M$2:$M$1500,$A124&amp;"|"&amp;G$1&amp;"|Input"),IF(COUNTIF(Flows!$M$2:$M$1500,$A124&amp;"|"&amp;G$1&amp;"|Output"),"I/O","IN"),IF(COUNTIF(Flows!$M$2:$M$1500,$A124&amp;"|"&amp;G$1&amp;"|Output"),"OUT",""))</f>
        <v/>
      </c>
      <c r="H124" s="33" t="str">
        <f aca="false">IF(COUNTIF(Flows!$M$2:$M$1500,$A124&amp;"|"&amp;H$1&amp;"|Input"),IF(COUNTIF(Flows!$M$2:$M$1500,$A124&amp;"|"&amp;H$1&amp;"|Output"),"I/O","IN"),IF(COUNTIF(Flows!$M$2:$M$1500,$A124&amp;"|"&amp;H$1&amp;"|Output"),"OUT",""))</f>
        <v/>
      </c>
      <c r="I124" s="33" t="str">
        <f aca="false">IF(COUNTIF(Flows!$M$2:$M$1500,$A124&amp;"|"&amp;I$1&amp;"|Input"),IF(COUNTIF(Flows!$M$2:$M$1500,$A124&amp;"|"&amp;I$1&amp;"|Output"),"I/O","IN"),IF(COUNTIF(Flows!$M$2:$M$1500,$A124&amp;"|"&amp;I$1&amp;"|Output"),"OUT",""))</f>
        <v>I/O</v>
      </c>
      <c r="J124" s="33" t="str">
        <f aca="false">IF(COUNTIF(Flows!$M$2:$M$1500,$A124&amp;"|"&amp;J$1&amp;"|Input"),IF(COUNTIF(Flows!$M$2:$M$1500,$A124&amp;"|"&amp;J$1&amp;"|Output"),"I/O","IN"),IF(COUNTIF(Flows!$M$2:$M$1500,$A124&amp;"|"&amp;J$1&amp;"|Output"),"OUT",""))</f>
        <v/>
      </c>
      <c r="K124" s="33" t="str">
        <f aca="false">IF(COUNTIF(Flows!$M$2:$M$1500,$A124&amp;"|"&amp;K$1&amp;"|Input"),IF(COUNTIF(Flows!$M$2:$M$1500,$A124&amp;"|"&amp;K$1&amp;"|Output"),"I/O","IN"),IF(COUNTIF(Flows!$M$2:$M$1500,$A124&amp;"|"&amp;K$1&amp;"|Output"),"OUT",""))</f>
        <v/>
      </c>
      <c r="L124" s="33" t="str">
        <f aca="false">IF(COUNTIF(Flows!$M$2:$M$1500,$A124&amp;"|"&amp;L$1&amp;"|Input"),IF(COUNTIF(Flows!$M$2:$M$1500,$A124&amp;"|"&amp;L$1&amp;"|Output"),"I/O","IN"),IF(COUNTIF(Flows!$M$2:$M$1500,$A124&amp;"|"&amp;L$1&amp;"|Output"),"OUT",""))</f>
        <v/>
      </c>
      <c r="M124" s="33" t="str">
        <f aca="false">IF(COUNTIF(Flows!$M$2:$M$1500,$A124&amp;"|"&amp;M$1&amp;"|Input"),IF(COUNTIF(Flows!$M$2:$M$1500,$A124&amp;"|"&amp;M$1&amp;"|Output"),"I/O","IN"),IF(COUNTIF(Flows!$M$2:$M$1500,$A124&amp;"|"&amp;M$1&amp;"|Output"),"OUT",""))</f>
        <v/>
      </c>
      <c r="N124" s="33" t="str">
        <f aca="false">IF(COUNTIF(Flows!$M$2:$M$1500,$A124&amp;"|"&amp;N$1&amp;"|Input"),IF(COUNTIF(Flows!$M$2:$M$1500,$A124&amp;"|"&amp;N$1&amp;"|Output"),"I/O","IN"),IF(COUNTIF(Flows!$M$2:$M$1500,$A124&amp;"|"&amp;N$1&amp;"|Output"),"OUT",""))</f>
        <v/>
      </c>
      <c r="O124" s="33" t="str">
        <f aca="false">IF(COUNTIF(Flows!$M$2:$M$1500,$A124&amp;"|"&amp;O$1&amp;"|Input"),IF(COUNTIF(Flows!$M$2:$M$1500,$A124&amp;"|"&amp;O$1&amp;"|Output"),"I/O","IN"),IF(COUNTIF(Flows!$M$2:$M$1500,$A124&amp;"|"&amp;O$1&amp;"|Output"),"OUT",""))</f>
        <v/>
      </c>
      <c r="P124" s="33" t="str">
        <f aca="false">IF(COUNTIF(Flows!$M$2:$M$1500,$A124&amp;"|"&amp;P$1&amp;"|Input"),IF(COUNTIF(Flows!$M$2:$M$1500,$A124&amp;"|"&amp;P$1&amp;"|Output"),"I/O","IN"),IF(COUNTIF(Flows!$M$2:$M$1500,$A124&amp;"|"&amp;P$1&amp;"|Output"),"OUT",""))</f>
        <v/>
      </c>
      <c r="Q124" s="33" t="str">
        <f aca="false">IF(COUNTIF(Flows!$M$2:$M$1500,$A124&amp;"|"&amp;Q$1&amp;"|Input"),IF(COUNTIF(Flows!$M$2:$M$1500,$A124&amp;"|"&amp;Q$1&amp;"|Output"),"I/O","IN"),IF(COUNTIF(Flows!$M$2:$M$1500,$A124&amp;"|"&amp;Q$1&amp;"|Output"),"OUT",""))</f>
        <v/>
      </c>
      <c r="R124" s="33" t="str">
        <f aca="false">IF(COUNTIF(Flows!$M$2:$M$1500,$A124&amp;"|"&amp;R$1&amp;"|Input"),IF(COUNTIF(Flows!$M$2:$M$1500,$A124&amp;"|"&amp;R$1&amp;"|Output"),"I/O","IN"),IF(COUNTIF(Flows!$M$2:$M$1500,$A124&amp;"|"&amp;R$1&amp;"|Output"),"OUT",""))</f>
        <v/>
      </c>
      <c r="S124" s="33" t="str">
        <f aca="false">IF(COUNTIF(Flows!$M$2:$M$1500,$A124&amp;"|"&amp;S$1&amp;"|Input"),IF(COUNTIF(Flows!$M$2:$M$1500,$A124&amp;"|"&amp;S$1&amp;"|Output"),"I/O","IN"),IF(COUNTIF(Flows!$M$2:$M$1500,$A124&amp;"|"&amp;S$1&amp;"|Output"),"OUT",""))</f>
        <v/>
      </c>
      <c r="T124" s="33" t="str">
        <f aca="false">IF(COUNTIF(Flows!$M$2:$M$1500,$A124&amp;"|"&amp;T$1&amp;"|Input"),IF(COUNTIF(Flows!$M$2:$M$1500,$A124&amp;"|"&amp;T$1&amp;"|Output"),"I/O","IN"),IF(COUNTIF(Flows!$M$2:$M$1500,$A124&amp;"|"&amp;T$1&amp;"|Output"),"OUT",""))</f>
        <v/>
      </c>
      <c r="U124" s="33" t="str">
        <f aca="false">IF(COUNTIF(Flows!$M$2:$M$1500,$A124&amp;"|"&amp;U$1&amp;"|Input"),IF(COUNTIF(Flows!$M$2:$M$1500,$A124&amp;"|"&amp;U$1&amp;"|Output"),"I/O","IN"),IF(COUNTIF(Flows!$M$2:$M$1500,$A124&amp;"|"&amp;U$1&amp;"|Output"),"OUT",""))</f>
        <v/>
      </c>
      <c r="V124" s="33" t="str">
        <f aca="false">IF(COUNTIF(Flows!$M$2:$M$1500,$A124&amp;"|"&amp;V$1&amp;"|Input"),IF(COUNTIF(Flows!$M$2:$M$1500,$A124&amp;"|"&amp;V$1&amp;"|Output"),"I/O","IN"),IF(COUNTIF(Flows!$M$2:$M$1500,$A124&amp;"|"&amp;V$1&amp;"|Output"),"OUT",""))</f>
        <v/>
      </c>
      <c r="W124" s="33" t="str">
        <f aca="false">IF(COUNTIF(Flows!$M$2:$M$1500,$A124&amp;"|"&amp;W$1&amp;"|Input"),IF(COUNTIF(Flows!$M$2:$M$1500,$A124&amp;"|"&amp;W$1&amp;"|Output"),"I/O","IN"),IF(COUNTIF(Flows!$M$2:$M$1500,$A124&amp;"|"&amp;W$1&amp;"|Output"),"OUT",""))</f>
        <v/>
      </c>
      <c r="X124" s="33" t="str">
        <f aca="false">IF(COUNTIF(Flows!$M$2:$M$1500,$A124&amp;"|"&amp;X$1&amp;"|Input"),IF(COUNTIF(Flows!$M$2:$M$1500,$A124&amp;"|"&amp;X$1&amp;"|Output"),"I/O","IN"),IF(COUNTIF(Flows!$M$2:$M$1500,$A124&amp;"|"&amp;X$1&amp;"|Output"),"OUT",""))</f>
        <v>IN</v>
      </c>
      <c r="Y124" s="33" t="str">
        <f aca="false">IF(COUNTIF(Flows!$M$2:$M$1500,$A124&amp;"|"&amp;Y$1&amp;"|Input"),IF(COUNTIF(Flows!$M$2:$M$1500,$A124&amp;"|"&amp;Y$1&amp;"|Output"),"I/O","IN"),IF(COUNTIF(Flows!$M$2:$M$1500,$A124&amp;"|"&amp;Y$1&amp;"|Output"),"OUT",""))</f>
        <v/>
      </c>
      <c r="Z124" s="33" t="str">
        <f aca="false">IF(COUNTIF(Flows!$M$2:$M$1500,$A124&amp;"|"&amp;Z$1&amp;"|Input"),IF(COUNTIF(Flows!$M$2:$M$1500,$A124&amp;"|"&amp;Z$1&amp;"|Output"),"I/O","IN"),IF(COUNTIF(Flows!$M$2:$M$1500,$A124&amp;"|"&amp;Z$1&amp;"|Output"),"OUT",""))</f>
        <v/>
      </c>
      <c r="AA124" s="33" t="str">
        <f aca="false">IF(COUNTIF(Flows!$M$2:$M$1500,$A124&amp;"|"&amp;AA$1&amp;"|Input"),IF(COUNTIF(Flows!$M$2:$M$1500,$A124&amp;"|"&amp;AA$1&amp;"|Output"),"I/O","IN"),IF(COUNTIF(Flows!$M$2:$M$1500,$A124&amp;"|"&amp;AA$1&amp;"|Output"),"OUT",""))</f>
        <v/>
      </c>
      <c r="AB124" s="33" t="str">
        <f aca="false">IF(COUNTIF(Flows!$M$2:$M$1500,$A124&amp;"|"&amp;AB$1&amp;"|Input"),IF(COUNTIF(Flows!$M$2:$M$1500,$A124&amp;"|"&amp;AB$1&amp;"|Output"),"I/O","IN"),IF(COUNTIF(Flows!$M$2:$M$1500,$A124&amp;"|"&amp;AB$1&amp;"|Output"),"OUT",""))</f>
        <v/>
      </c>
      <c r="AC124" s="33" t="str">
        <f aca="false">IF(COUNTIF(Flows!$M$2:$M$1500,$A124&amp;"|"&amp;AC$1&amp;"|Input"),IF(COUNTIF(Flows!$M$2:$M$1500,$A124&amp;"|"&amp;AC$1&amp;"|Output"),"I/O","IN"),IF(COUNTIF(Flows!$M$2:$M$1500,$A124&amp;"|"&amp;AC$1&amp;"|Output"),"OUT",""))</f>
        <v/>
      </c>
      <c r="AD124" s="33" t="str">
        <f aca="false">IF(COUNTIF(Flows!$M$2:$M$1500,$A124&amp;"|"&amp;AD$1&amp;"|Input"),IF(COUNTIF(Flows!$M$2:$M$1500,$A124&amp;"|"&amp;AD$1&amp;"|Output"),"I/O","IN"),IF(COUNTIF(Flows!$M$2:$M$1500,$A124&amp;"|"&amp;AD$1&amp;"|Output"),"OUT",""))</f>
        <v/>
      </c>
      <c r="AE124" s="33" t="str">
        <f aca="false">IF(COUNTIF(Flows!$M$2:$M$1500,$A124&amp;"|"&amp;AE$1&amp;"|Input"),IF(COUNTIF(Flows!$M$2:$M$1500,$A124&amp;"|"&amp;AE$1&amp;"|Output"),"I/O","IN"),IF(COUNTIF(Flows!$M$2:$M$1500,$A124&amp;"|"&amp;AE$1&amp;"|Output"),"OUT",""))</f>
        <v/>
      </c>
      <c r="AF124" s="33" t="str">
        <f aca="false">IF(COUNTIF(Flows!$M$2:$M$1500,$A124&amp;"|"&amp;AF$1&amp;"|Input"),IF(COUNTIF(Flows!$M$2:$M$1500,$A124&amp;"|"&amp;AF$1&amp;"|Output"),"I/O","IN"),IF(COUNTIF(Flows!$M$2:$M$1500,$A124&amp;"|"&amp;AF$1&amp;"|Output"),"OUT",""))</f>
        <v/>
      </c>
      <c r="AG124" s="33" t="str">
        <f aca="false">IF(COUNTIF(Flows!$M$2:$M$1500,$A124&amp;"|"&amp;AG$1&amp;"|Input"),IF(COUNTIF(Flows!$M$2:$M$1500,$A124&amp;"|"&amp;AG$1&amp;"|Output"),"I/O","IN"),IF(COUNTIF(Flows!$M$2:$M$1500,$A124&amp;"|"&amp;AG$1&amp;"|Output"),"OUT",""))</f>
        <v/>
      </c>
      <c r="AH124" s="33" t="str">
        <f aca="false">IF(COUNTIF(Flows!$M$2:$M$1500,$A124&amp;"|"&amp;AH$1&amp;"|Input"),IF(COUNTIF(Flows!$M$2:$M$1500,$A124&amp;"|"&amp;AH$1&amp;"|Output"),"I/O","IN"),IF(COUNTIF(Flows!$M$2:$M$1500,$A124&amp;"|"&amp;AH$1&amp;"|Output"),"OUT",""))</f>
        <v/>
      </c>
      <c r="AI124" s="33" t="str">
        <f aca="false">IF(COUNTIF(Flows!$M$2:$M$1500,$A124&amp;"|"&amp;AI$1&amp;"|Input"),IF(COUNTIF(Flows!$M$2:$M$1500,$A124&amp;"|"&amp;AI$1&amp;"|Output"),"I/O","IN"),IF(COUNTIF(Flows!$M$2:$M$1500,$A124&amp;"|"&amp;AI$1&amp;"|Output"),"OUT",""))</f>
        <v/>
      </c>
      <c r="AJ124" s="33" t="str">
        <f aca="false">IF(COUNTIF(Flows!$M$2:$M$1500,$A124&amp;"|"&amp;AJ$1&amp;"|Input"),IF(COUNTIF(Flows!$M$2:$M$1500,$A124&amp;"|"&amp;AJ$1&amp;"|Output"),"I/O","IN"),IF(COUNTIF(Flows!$M$2:$M$1500,$A124&amp;"|"&amp;AJ$1&amp;"|Output"),"OUT",""))</f>
        <v/>
      </c>
      <c r="AK124" s="33" t="str">
        <f aca="false">IF(COUNTIF(Flows!$M$2:$M$1500,$A124&amp;"|"&amp;AK$1&amp;"|Input"),IF(COUNTIF(Flows!$M$2:$M$1500,$A124&amp;"|"&amp;AK$1&amp;"|Output"),"I/O","IN"),IF(COUNTIF(Flows!$M$2:$M$1500,$A124&amp;"|"&amp;AK$1&amp;"|Output"),"OUT",""))</f>
        <v/>
      </c>
      <c r="AL124" s="33" t="str">
        <f aca="false">IF(COUNTIF(Flows!$M$2:$M$1500,$A124&amp;"|"&amp;AL$1&amp;"|Input"),IF(COUNTIF(Flows!$M$2:$M$1500,$A124&amp;"|"&amp;AL$1&amp;"|Output"),"I/O","IN"),IF(COUNTIF(Flows!$M$2:$M$1500,$A124&amp;"|"&amp;AL$1&amp;"|Output"),"OUT",""))</f>
        <v/>
      </c>
      <c r="AM124" s="33" t="str">
        <f aca="false">IF(COUNTIF(Flows!$M$2:$M$1500,$A124&amp;"|"&amp;AM$1&amp;"|Input"),IF(COUNTIF(Flows!$M$2:$M$1500,$A124&amp;"|"&amp;AM$1&amp;"|Output"),"I/O","IN"),IF(COUNTIF(Flows!$M$2:$M$1500,$A124&amp;"|"&amp;AM$1&amp;"|Output"),"OUT",""))</f>
        <v/>
      </c>
      <c r="AN124" s="33" t="str">
        <f aca="false">IF(COUNTIF(Flows!$M$2:$M$1500,$A124&amp;"|"&amp;AN$1&amp;"|Input"),IF(COUNTIF(Flows!$M$2:$M$1500,$A124&amp;"|"&amp;AN$1&amp;"|Output"),"I/O","IN"),IF(COUNTIF(Flows!$M$2:$M$1500,$A124&amp;"|"&amp;AN$1&amp;"|Output"),"OUT",""))</f>
        <v/>
      </c>
      <c r="AO124" s="33" t="str">
        <f aca="false">IF(COUNTIF(Flows!$M$2:$M$1500,$A124&amp;"|"&amp;AO$1&amp;"|Input"),IF(COUNTIF(Flows!$M$2:$M$1500,$A124&amp;"|"&amp;AO$1&amp;"|Output"),"I/O","IN"),IF(COUNTIF(Flows!$M$2:$M$1500,$A124&amp;"|"&amp;AO$1&amp;"|Output"),"OUT",""))</f>
        <v/>
      </c>
      <c r="AP124" s="33" t="str">
        <f aca="false">IF(COUNTIF(Flows!$M$2:$M$1500,$A124&amp;"|"&amp;AP$1&amp;"|Input"),IF(COUNTIF(Flows!$M$2:$M$1500,$A124&amp;"|"&amp;AP$1&amp;"|Output"),"I/O","IN"),IF(COUNTIF(Flows!$M$2:$M$1500,$A124&amp;"|"&amp;AP$1&amp;"|Output"),"OUT",""))</f>
        <v/>
      </c>
      <c r="AQ124" s="33" t="str">
        <f aca="false">IF(COUNTIF(Flows!$M$2:$M$1500,$A124&amp;"|"&amp;AQ$1&amp;"|Input"),IF(COUNTIF(Flows!$M$2:$M$1500,$A124&amp;"|"&amp;AQ$1&amp;"|Output"),"I/O","IN"),IF(COUNTIF(Flows!$M$2:$M$1500,$A124&amp;"|"&amp;AQ$1&amp;"|Output"),"OUT",""))</f>
        <v/>
      </c>
      <c r="AR124" s="33" t="str">
        <f aca="false">IF(COUNTIF(Flows!$M$2:$M$1500,$A124&amp;"|"&amp;AR$1&amp;"|Input"),IF(COUNTIF(Flows!$M$2:$M$1500,$A124&amp;"|"&amp;AR$1&amp;"|Output"),"I/O","IN"),IF(COUNTIF(Flows!$M$2:$M$1500,$A124&amp;"|"&amp;AR$1&amp;"|Output"),"OUT",""))</f>
        <v>OUT</v>
      </c>
      <c r="AS124" s="33" t="str">
        <f aca="false">IF(COUNTIF(Flows!$M$2:$M$1500,$A124&amp;"|"&amp;AS$1&amp;"|Input"),IF(COUNTIF(Flows!$M$2:$M$1500,$A124&amp;"|"&amp;AS$1&amp;"|Output"),"I/O","IN"),IF(COUNTIF(Flows!$M$2:$M$1500,$A124&amp;"|"&amp;AS$1&amp;"|Output"),"OUT",""))</f>
        <v>IN</v>
      </c>
      <c r="AT124" s="33" t="str">
        <f aca="false">IF(COUNTIF(Flows!$M$2:$M$1500,$A124&amp;"|"&amp;AT$1&amp;"|Input"),IF(COUNTIF(Flows!$M$2:$M$1500,$A124&amp;"|"&amp;AT$1&amp;"|Output"),"I/O","IN"),IF(COUNTIF(Flows!$M$2:$M$1500,$A124&amp;"|"&amp;AT$1&amp;"|Output"),"OUT",""))</f>
        <v/>
      </c>
      <c r="AU124" s="33" t="str">
        <f aca="false">IF(COUNTIF(Flows!$M$2:$M$1500,$A124&amp;"|"&amp;AU$1&amp;"|Input"),IF(COUNTIF(Flows!$M$2:$M$1500,$A124&amp;"|"&amp;AU$1&amp;"|Output"),"I/O","IN"),IF(COUNTIF(Flows!$M$2:$M$1500,$A124&amp;"|"&amp;AU$1&amp;"|Output"),"OUT",""))</f>
        <v/>
      </c>
      <c r="AV124" s="33" t="str">
        <f aca="false">IF(COUNTIF(Flows!$M$2:$M$1500,$A124&amp;"|"&amp;AV$1&amp;"|Input"),IF(COUNTIF(Flows!$M$2:$M$1500,$A124&amp;"|"&amp;AV$1&amp;"|Output"),"I/O","IN"),IF(COUNTIF(Flows!$M$2:$M$1500,$A124&amp;"|"&amp;AV$1&amp;"|Output"),"OUT",""))</f>
        <v/>
      </c>
      <c r="AW124" s="33" t="str">
        <f aca="false">IF(COUNTIF(Flows!$M$2:$M$1500,$A124&amp;"|"&amp;AW$1&amp;"|Input"),IF(COUNTIF(Flows!$M$2:$M$1500,$A124&amp;"|"&amp;AW$1&amp;"|Output"),"I/O","IN"),IF(COUNTIF(Flows!$M$2:$M$1500,$A124&amp;"|"&amp;AW$1&amp;"|Output"),"OUT",""))</f>
        <v/>
      </c>
      <c r="AX124" s="33" t="str">
        <f aca="false">IF(COUNTIF(Flows!$M$2:$M$1500,$A124&amp;"|"&amp;AX$1&amp;"|Input"),IF(COUNTIF(Flows!$M$2:$M$1500,$A124&amp;"|"&amp;AX$1&amp;"|Output"),"I/O","IN"),IF(COUNTIF(Flows!$M$2:$M$1500,$A124&amp;"|"&amp;AX$1&amp;"|Output"),"OUT",""))</f>
        <v/>
      </c>
      <c r="AY124" s="33" t="str">
        <f aca="false">IF(COUNTIF(Flows!$M$2:$M$1500,$A124&amp;"|"&amp;AY$1&amp;"|Input"),IF(COUNTIF(Flows!$M$2:$M$1500,$A124&amp;"|"&amp;AY$1&amp;"|Output"),"I/O","IN"),IF(COUNTIF(Flows!$M$2:$M$1500,$A124&amp;"|"&amp;AY$1&amp;"|Output"),"OUT",""))</f>
        <v/>
      </c>
      <c r="AZ124" s="33" t="str">
        <f aca="false">IF(COUNTIF(Flows!$M$2:$M$1500,$A124&amp;"|"&amp;AZ$1&amp;"|Input"),IF(COUNTIF(Flows!$M$2:$M$1500,$A124&amp;"|"&amp;AZ$1&amp;"|Output"),"I/O","IN"),IF(COUNTIF(Flows!$M$2:$M$1500,$A124&amp;"|"&amp;AZ$1&amp;"|Output"),"OUT",""))</f>
        <v/>
      </c>
      <c r="BA124" s="33" t="str">
        <f aca="false">IF(COUNTIF(Flows!$M$2:$M$1500,$A124&amp;"|"&amp;BA$1&amp;"|Input"),IF(COUNTIF(Flows!$M$2:$M$1500,$A124&amp;"|"&amp;BA$1&amp;"|Output"),"I/O","IN"),IF(COUNTIF(Flows!$M$2:$M$1500,$A124&amp;"|"&amp;BA$1&amp;"|Output"),"OUT",""))</f>
        <v/>
      </c>
      <c r="BB124" s="33" t="str">
        <f aca="false">IF(COUNTIF(Flows!$M$2:$M$1500,$A124&amp;"|"&amp;BB$1&amp;"|Input"),IF(COUNTIF(Flows!$M$2:$M$1500,$A124&amp;"|"&amp;BB$1&amp;"|Output"),"I/O","IN"),IF(COUNTIF(Flows!$M$2:$M$1500,$A124&amp;"|"&amp;BB$1&amp;"|Output"),"OUT",""))</f>
        <v/>
      </c>
      <c r="BC124" s="33" t="str">
        <f aca="false">IF(COUNTIF(Flows!$M$2:$M$1500,$A124&amp;"|"&amp;BC$1&amp;"|Input"),IF(COUNTIF(Flows!$M$2:$M$1500,$A124&amp;"|"&amp;BC$1&amp;"|Output"),"I/O","IN"),IF(COUNTIF(Flows!$M$2:$M$1500,$A124&amp;"|"&amp;BC$1&amp;"|Output"),"OUT",""))</f>
        <v/>
      </c>
      <c r="BD124" s="33" t="str">
        <f aca="false">IF(COUNTIF(Flows!$M$2:$M$1500,$A124&amp;"|"&amp;BD$1&amp;"|Input"),IF(COUNTIF(Flows!$M$2:$M$1500,$A124&amp;"|"&amp;BD$1&amp;"|Output"),"I/O","IN"),IF(COUNTIF(Flows!$M$2:$M$1500,$A124&amp;"|"&amp;BD$1&amp;"|Output"),"OUT",""))</f>
        <v/>
      </c>
      <c r="BE124" s="33" t="str">
        <f aca="false">IF(COUNTIF(Flows!$M$2:$M$1500,$A124&amp;"|"&amp;BE$1&amp;"|Input"),IF(COUNTIF(Flows!$M$2:$M$1500,$A124&amp;"|"&amp;BE$1&amp;"|Output"),"I/O","IN"),IF(COUNTIF(Flows!$M$2:$M$1500,$A124&amp;"|"&amp;BE$1&amp;"|Output"),"OUT",""))</f>
        <v/>
      </c>
      <c r="BF124" s="33" t="str">
        <f aca="false">IF(COUNTIF(Flows!$M$2:$M$1500,$A124&amp;"|"&amp;BF$1&amp;"|Input"),IF(COUNTIF(Flows!$M$2:$M$1500,$A124&amp;"|"&amp;BF$1&amp;"|Output"),"I/O","IN"),IF(COUNTIF(Flows!$M$2:$M$1500,$A124&amp;"|"&amp;BF$1&amp;"|Output"),"OUT",""))</f>
        <v/>
      </c>
      <c r="BG124" s="33" t="str">
        <f aca="false">IF(COUNTIF(Flows!$M$2:$M$1500,$A124&amp;"|"&amp;BG$1&amp;"|Input"),IF(COUNTIF(Flows!$M$2:$M$1500,$A124&amp;"|"&amp;BG$1&amp;"|Output"),"I/O","IN"),IF(COUNTIF(Flows!$M$2:$M$1500,$A124&amp;"|"&amp;BG$1&amp;"|Output"),"OUT",""))</f>
        <v/>
      </c>
      <c r="BH124" s="33" t="str">
        <f aca="false">IF(COUNTIF(Flows!$M$2:$M$1500,$A124&amp;"|"&amp;BH$1&amp;"|Input"),IF(COUNTIF(Flows!$M$2:$M$1500,$A124&amp;"|"&amp;BH$1&amp;"|Output"),"I/O","IN"),IF(COUNTIF(Flows!$M$2:$M$1500,$A124&amp;"|"&amp;BH$1&amp;"|Output"),"OUT",""))</f>
        <v/>
      </c>
      <c r="BI124" s="33" t="str">
        <f aca="false">IF(COUNTIF(Flows!$M$2:$M$1500,$A124&amp;"|"&amp;BI$1&amp;"|Input"),IF(COUNTIF(Flows!$M$2:$M$1500,$A124&amp;"|"&amp;BI$1&amp;"|Output"),"I/O","IN"),IF(COUNTIF(Flows!$M$2:$M$1500,$A124&amp;"|"&amp;BI$1&amp;"|Output"),"OUT",""))</f>
        <v/>
      </c>
      <c r="BJ124" s="33" t="str">
        <f aca="false">IF(COUNTIF(Flows!$M$2:$M$1500,$A124&amp;"|"&amp;BJ$1&amp;"|Input"),IF(COUNTIF(Flows!$M$2:$M$1500,$A124&amp;"|"&amp;BJ$1&amp;"|Output"),"I/O","IN"),IF(COUNTIF(Flows!$M$2:$M$1500,$A124&amp;"|"&amp;BJ$1&amp;"|Output"),"OUT",""))</f>
        <v/>
      </c>
      <c r="BK124" s="33" t="str">
        <f aca="false">IF(COUNTIF(Flows!$M$2:$M$1500,$A124&amp;"|"&amp;BK$1&amp;"|Input"),IF(COUNTIF(Flows!$M$2:$M$1500,$A124&amp;"|"&amp;BK$1&amp;"|Output"),"I/O","IN"),IF(COUNTIF(Flows!$M$2:$M$1500,$A124&amp;"|"&amp;BK$1&amp;"|Output"),"OUT",""))</f>
        <v/>
      </c>
    </row>
    <row r="125" customFormat="false" ht="15" hidden="false" customHeight="true" outlineLevel="0" collapsed="false">
      <c r="A125" s="6" t="str">
        <f aca="false">Systems!B125</f>
        <v>Potato Patch (400 sq ft)</v>
      </c>
      <c r="B125" s="33" t="str">
        <f aca="false">IF(COUNTIF(Flows!$M$2:$M$1500,$A125&amp;"|"&amp;B$1&amp;"|Input"),IF(COUNTIF(Flows!$M$2:$M$1500,$A125&amp;"|"&amp;B$1&amp;"|Output"),"I/O","IN"),IF(COUNTIF(Flows!$M$2:$M$1500,$A125&amp;"|"&amp;B$1&amp;"|Output"),"OUT",""))</f>
        <v>IN</v>
      </c>
      <c r="C125" s="33" t="str">
        <f aca="false">IF(COUNTIF(Flows!$M$2:$M$1500,$A125&amp;"|"&amp;C$1&amp;"|Input"),IF(COUNTIF(Flows!$M$2:$M$1500,$A125&amp;"|"&amp;C$1&amp;"|Output"),"I/O","IN"),IF(COUNTIF(Flows!$M$2:$M$1500,$A125&amp;"|"&amp;C$1&amp;"|Output"),"OUT",""))</f>
        <v/>
      </c>
      <c r="D125" s="33" t="str">
        <f aca="false">IF(COUNTIF(Flows!$M$2:$M$1500,$A125&amp;"|"&amp;D$1&amp;"|Input"),IF(COUNTIF(Flows!$M$2:$M$1500,$A125&amp;"|"&amp;D$1&amp;"|Output"),"I/O","IN"),IF(COUNTIF(Flows!$M$2:$M$1500,$A125&amp;"|"&amp;D$1&amp;"|Output"),"OUT",""))</f>
        <v/>
      </c>
      <c r="E125" s="33" t="str">
        <f aca="false">IF(COUNTIF(Flows!$M$2:$M$1500,$A125&amp;"|"&amp;E$1&amp;"|Input"),IF(COUNTIF(Flows!$M$2:$M$1500,$A125&amp;"|"&amp;E$1&amp;"|Output"),"I/O","IN"),IF(COUNTIF(Flows!$M$2:$M$1500,$A125&amp;"|"&amp;E$1&amp;"|Output"),"OUT",""))</f>
        <v/>
      </c>
      <c r="F125" s="33" t="str">
        <f aca="false">IF(COUNTIF(Flows!$M$2:$M$1500,$A125&amp;"|"&amp;F$1&amp;"|Input"),IF(COUNTIF(Flows!$M$2:$M$1500,$A125&amp;"|"&amp;F$1&amp;"|Output"),"I/O","IN"),IF(COUNTIF(Flows!$M$2:$M$1500,$A125&amp;"|"&amp;F$1&amp;"|Output"),"OUT",""))</f>
        <v/>
      </c>
      <c r="G125" s="33" t="str">
        <f aca="false">IF(COUNTIF(Flows!$M$2:$M$1500,$A125&amp;"|"&amp;G$1&amp;"|Input"),IF(COUNTIF(Flows!$M$2:$M$1500,$A125&amp;"|"&amp;G$1&amp;"|Output"),"I/O","IN"),IF(COUNTIF(Flows!$M$2:$M$1500,$A125&amp;"|"&amp;G$1&amp;"|Output"),"OUT",""))</f>
        <v/>
      </c>
      <c r="H125" s="33" t="str">
        <f aca="false">IF(COUNTIF(Flows!$M$2:$M$1500,$A125&amp;"|"&amp;H$1&amp;"|Input"),IF(COUNTIF(Flows!$M$2:$M$1500,$A125&amp;"|"&amp;H$1&amp;"|Output"),"I/O","IN"),IF(COUNTIF(Flows!$M$2:$M$1500,$A125&amp;"|"&amp;H$1&amp;"|Output"),"OUT",""))</f>
        <v>I/O</v>
      </c>
      <c r="I125" s="33" t="str">
        <f aca="false">IF(COUNTIF(Flows!$M$2:$M$1500,$A125&amp;"|"&amp;I$1&amp;"|Input"),IF(COUNTIF(Flows!$M$2:$M$1500,$A125&amp;"|"&amp;I$1&amp;"|Output"),"I/O","IN"),IF(COUNTIF(Flows!$M$2:$M$1500,$A125&amp;"|"&amp;I$1&amp;"|Output"),"OUT",""))</f>
        <v/>
      </c>
      <c r="J125" s="33" t="str">
        <f aca="false">IF(COUNTIF(Flows!$M$2:$M$1500,$A125&amp;"|"&amp;J$1&amp;"|Input"),IF(COUNTIF(Flows!$M$2:$M$1500,$A125&amp;"|"&amp;J$1&amp;"|Output"),"I/O","IN"),IF(COUNTIF(Flows!$M$2:$M$1500,$A125&amp;"|"&amp;J$1&amp;"|Output"),"OUT",""))</f>
        <v/>
      </c>
      <c r="K125" s="33" t="str">
        <f aca="false">IF(COUNTIF(Flows!$M$2:$M$1500,$A125&amp;"|"&amp;K$1&amp;"|Input"),IF(COUNTIF(Flows!$M$2:$M$1500,$A125&amp;"|"&amp;K$1&amp;"|Output"),"I/O","IN"),IF(COUNTIF(Flows!$M$2:$M$1500,$A125&amp;"|"&amp;K$1&amp;"|Output"),"OUT",""))</f>
        <v/>
      </c>
      <c r="L125" s="33" t="str">
        <f aca="false">IF(COUNTIF(Flows!$M$2:$M$1500,$A125&amp;"|"&amp;L$1&amp;"|Input"),IF(COUNTIF(Flows!$M$2:$M$1500,$A125&amp;"|"&amp;L$1&amp;"|Output"),"I/O","IN"),IF(COUNTIF(Flows!$M$2:$M$1500,$A125&amp;"|"&amp;L$1&amp;"|Output"),"OUT",""))</f>
        <v/>
      </c>
      <c r="M125" s="33" t="str">
        <f aca="false">IF(COUNTIF(Flows!$M$2:$M$1500,$A125&amp;"|"&amp;M$1&amp;"|Input"),IF(COUNTIF(Flows!$M$2:$M$1500,$A125&amp;"|"&amp;M$1&amp;"|Output"),"I/O","IN"),IF(COUNTIF(Flows!$M$2:$M$1500,$A125&amp;"|"&amp;M$1&amp;"|Output"),"OUT",""))</f>
        <v/>
      </c>
      <c r="N125" s="33" t="str">
        <f aca="false">IF(COUNTIF(Flows!$M$2:$M$1500,$A125&amp;"|"&amp;N$1&amp;"|Input"),IF(COUNTIF(Flows!$M$2:$M$1500,$A125&amp;"|"&amp;N$1&amp;"|Output"),"I/O","IN"),IF(COUNTIF(Flows!$M$2:$M$1500,$A125&amp;"|"&amp;N$1&amp;"|Output"),"OUT",""))</f>
        <v/>
      </c>
      <c r="O125" s="33" t="str">
        <f aca="false">IF(COUNTIF(Flows!$M$2:$M$1500,$A125&amp;"|"&amp;O$1&amp;"|Input"),IF(COUNTIF(Flows!$M$2:$M$1500,$A125&amp;"|"&amp;O$1&amp;"|Output"),"I/O","IN"),IF(COUNTIF(Flows!$M$2:$M$1500,$A125&amp;"|"&amp;O$1&amp;"|Output"),"OUT",""))</f>
        <v/>
      </c>
      <c r="P125" s="33" t="str">
        <f aca="false">IF(COUNTIF(Flows!$M$2:$M$1500,$A125&amp;"|"&amp;P$1&amp;"|Input"),IF(COUNTIF(Flows!$M$2:$M$1500,$A125&amp;"|"&amp;P$1&amp;"|Output"),"I/O","IN"),IF(COUNTIF(Flows!$M$2:$M$1500,$A125&amp;"|"&amp;P$1&amp;"|Output"),"OUT",""))</f>
        <v/>
      </c>
      <c r="Q125" s="33" t="str">
        <f aca="false">IF(COUNTIF(Flows!$M$2:$M$1500,$A125&amp;"|"&amp;Q$1&amp;"|Input"),IF(COUNTIF(Flows!$M$2:$M$1500,$A125&amp;"|"&amp;Q$1&amp;"|Output"),"I/O","IN"),IF(COUNTIF(Flows!$M$2:$M$1500,$A125&amp;"|"&amp;Q$1&amp;"|Output"),"OUT",""))</f>
        <v/>
      </c>
      <c r="R125" s="33" t="str">
        <f aca="false">IF(COUNTIF(Flows!$M$2:$M$1500,$A125&amp;"|"&amp;R$1&amp;"|Input"),IF(COUNTIF(Flows!$M$2:$M$1500,$A125&amp;"|"&amp;R$1&amp;"|Output"),"I/O","IN"),IF(COUNTIF(Flows!$M$2:$M$1500,$A125&amp;"|"&amp;R$1&amp;"|Output"),"OUT",""))</f>
        <v/>
      </c>
      <c r="S125" s="33" t="str">
        <f aca="false">IF(COUNTIF(Flows!$M$2:$M$1500,$A125&amp;"|"&amp;S$1&amp;"|Input"),IF(COUNTIF(Flows!$M$2:$M$1500,$A125&amp;"|"&amp;S$1&amp;"|Output"),"I/O","IN"),IF(COUNTIF(Flows!$M$2:$M$1500,$A125&amp;"|"&amp;S$1&amp;"|Output"),"OUT",""))</f>
        <v/>
      </c>
      <c r="T125" s="33" t="str">
        <f aca="false">IF(COUNTIF(Flows!$M$2:$M$1500,$A125&amp;"|"&amp;T$1&amp;"|Input"),IF(COUNTIF(Flows!$M$2:$M$1500,$A125&amp;"|"&amp;T$1&amp;"|Output"),"I/O","IN"),IF(COUNTIF(Flows!$M$2:$M$1500,$A125&amp;"|"&amp;T$1&amp;"|Output"),"OUT",""))</f>
        <v/>
      </c>
      <c r="U125" s="33" t="str">
        <f aca="false">IF(COUNTIF(Flows!$M$2:$M$1500,$A125&amp;"|"&amp;U$1&amp;"|Input"),IF(COUNTIF(Flows!$M$2:$M$1500,$A125&amp;"|"&amp;U$1&amp;"|Output"),"I/O","IN"),IF(COUNTIF(Flows!$M$2:$M$1500,$A125&amp;"|"&amp;U$1&amp;"|Output"),"OUT",""))</f>
        <v/>
      </c>
      <c r="V125" s="33" t="str">
        <f aca="false">IF(COUNTIF(Flows!$M$2:$M$1500,$A125&amp;"|"&amp;V$1&amp;"|Input"),IF(COUNTIF(Flows!$M$2:$M$1500,$A125&amp;"|"&amp;V$1&amp;"|Output"),"I/O","IN"),IF(COUNTIF(Flows!$M$2:$M$1500,$A125&amp;"|"&amp;V$1&amp;"|Output"),"OUT",""))</f>
        <v/>
      </c>
      <c r="W125" s="33" t="str">
        <f aca="false">IF(COUNTIF(Flows!$M$2:$M$1500,$A125&amp;"|"&amp;W$1&amp;"|Input"),IF(COUNTIF(Flows!$M$2:$M$1500,$A125&amp;"|"&amp;W$1&amp;"|Output"),"I/O","IN"),IF(COUNTIF(Flows!$M$2:$M$1500,$A125&amp;"|"&amp;W$1&amp;"|Output"),"OUT",""))</f>
        <v/>
      </c>
      <c r="X125" s="33" t="str">
        <f aca="false">IF(COUNTIF(Flows!$M$2:$M$1500,$A125&amp;"|"&amp;X$1&amp;"|Input"),IF(COUNTIF(Flows!$M$2:$M$1500,$A125&amp;"|"&amp;X$1&amp;"|Output"),"I/O","IN"),IF(COUNTIF(Flows!$M$2:$M$1500,$A125&amp;"|"&amp;X$1&amp;"|Output"),"OUT",""))</f>
        <v>IN</v>
      </c>
      <c r="Y125" s="33" t="str">
        <f aca="false">IF(COUNTIF(Flows!$M$2:$M$1500,$A125&amp;"|"&amp;Y$1&amp;"|Input"),IF(COUNTIF(Flows!$M$2:$M$1500,$A125&amp;"|"&amp;Y$1&amp;"|Output"),"I/O","IN"),IF(COUNTIF(Flows!$M$2:$M$1500,$A125&amp;"|"&amp;Y$1&amp;"|Output"),"OUT",""))</f>
        <v/>
      </c>
      <c r="Z125" s="33" t="str">
        <f aca="false">IF(COUNTIF(Flows!$M$2:$M$1500,$A125&amp;"|"&amp;Z$1&amp;"|Input"),IF(COUNTIF(Flows!$M$2:$M$1500,$A125&amp;"|"&amp;Z$1&amp;"|Output"),"I/O","IN"),IF(COUNTIF(Flows!$M$2:$M$1500,$A125&amp;"|"&amp;Z$1&amp;"|Output"),"OUT",""))</f>
        <v/>
      </c>
      <c r="AA125" s="33" t="str">
        <f aca="false">IF(COUNTIF(Flows!$M$2:$M$1500,$A125&amp;"|"&amp;AA$1&amp;"|Input"),IF(COUNTIF(Flows!$M$2:$M$1500,$A125&amp;"|"&amp;AA$1&amp;"|Output"),"I/O","IN"),IF(COUNTIF(Flows!$M$2:$M$1500,$A125&amp;"|"&amp;AA$1&amp;"|Output"),"OUT",""))</f>
        <v/>
      </c>
      <c r="AB125" s="33" t="str">
        <f aca="false">IF(COUNTIF(Flows!$M$2:$M$1500,$A125&amp;"|"&amp;AB$1&amp;"|Input"),IF(COUNTIF(Flows!$M$2:$M$1500,$A125&amp;"|"&amp;AB$1&amp;"|Output"),"I/O","IN"),IF(COUNTIF(Flows!$M$2:$M$1500,$A125&amp;"|"&amp;AB$1&amp;"|Output"),"OUT",""))</f>
        <v/>
      </c>
      <c r="AC125" s="33" t="str">
        <f aca="false">IF(COUNTIF(Flows!$M$2:$M$1500,$A125&amp;"|"&amp;AC$1&amp;"|Input"),IF(COUNTIF(Flows!$M$2:$M$1500,$A125&amp;"|"&amp;AC$1&amp;"|Output"),"I/O","IN"),IF(COUNTIF(Flows!$M$2:$M$1500,$A125&amp;"|"&amp;AC$1&amp;"|Output"),"OUT",""))</f>
        <v/>
      </c>
      <c r="AD125" s="33" t="str">
        <f aca="false">IF(COUNTIF(Flows!$M$2:$M$1500,$A125&amp;"|"&amp;AD$1&amp;"|Input"),IF(COUNTIF(Flows!$M$2:$M$1500,$A125&amp;"|"&amp;AD$1&amp;"|Output"),"I/O","IN"),IF(COUNTIF(Flows!$M$2:$M$1500,$A125&amp;"|"&amp;AD$1&amp;"|Output"),"OUT",""))</f>
        <v/>
      </c>
      <c r="AE125" s="33" t="str">
        <f aca="false">IF(COUNTIF(Flows!$M$2:$M$1500,$A125&amp;"|"&amp;AE$1&amp;"|Input"),IF(COUNTIF(Flows!$M$2:$M$1500,$A125&amp;"|"&amp;AE$1&amp;"|Output"),"I/O","IN"),IF(COUNTIF(Flows!$M$2:$M$1500,$A125&amp;"|"&amp;AE$1&amp;"|Output"),"OUT",""))</f>
        <v/>
      </c>
      <c r="AF125" s="33" t="str">
        <f aca="false">IF(COUNTIF(Flows!$M$2:$M$1500,$A125&amp;"|"&amp;AF$1&amp;"|Input"),IF(COUNTIF(Flows!$M$2:$M$1500,$A125&amp;"|"&amp;AF$1&amp;"|Output"),"I/O","IN"),IF(COUNTIF(Flows!$M$2:$M$1500,$A125&amp;"|"&amp;AF$1&amp;"|Output"),"OUT",""))</f>
        <v/>
      </c>
      <c r="AG125" s="33" t="str">
        <f aca="false">IF(COUNTIF(Flows!$M$2:$M$1500,$A125&amp;"|"&amp;AG$1&amp;"|Input"),IF(COUNTIF(Flows!$M$2:$M$1500,$A125&amp;"|"&amp;AG$1&amp;"|Output"),"I/O","IN"),IF(COUNTIF(Flows!$M$2:$M$1500,$A125&amp;"|"&amp;AG$1&amp;"|Output"),"OUT",""))</f>
        <v/>
      </c>
      <c r="AH125" s="33" t="str">
        <f aca="false">IF(COUNTIF(Flows!$M$2:$M$1500,$A125&amp;"|"&amp;AH$1&amp;"|Input"),IF(COUNTIF(Flows!$M$2:$M$1500,$A125&amp;"|"&amp;AH$1&amp;"|Output"),"I/O","IN"),IF(COUNTIF(Flows!$M$2:$M$1500,$A125&amp;"|"&amp;AH$1&amp;"|Output"),"OUT",""))</f>
        <v/>
      </c>
      <c r="AI125" s="33" t="str">
        <f aca="false">IF(COUNTIF(Flows!$M$2:$M$1500,$A125&amp;"|"&amp;AI$1&amp;"|Input"),IF(COUNTIF(Flows!$M$2:$M$1500,$A125&amp;"|"&amp;AI$1&amp;"|Output"),"I/O","IN"),IF(COUNTIF(Flows!$M$2:$M$1500,$A125&amp;"|"&amp;AI$1&amp;"|Output"),"OUT",""))</f>
        <v/>
      </c>
      <c r="AJ125" s="33" t="str">
        <f aca="false">IF(COUNTIF(Flows!$M$2:$M$1500,$A125&amp;"|"&amp;AJ$1&amp;"|Input"),IF(COUNTIF(Flows!$M$2:$M$1500,$A125&amp;"|"&amp;AJ$1&amp;"|Output"),"I/O","IN"),IF(COUNTIF(Flows!$M$2:$M$1500,$A125&amp;"|"&amp;AJ$1&amp;"|Output"),"OUT",""))</f>
        <v/>
      </c>
      <c r="AK125" s="33" t="str">
        <f aca="false">IF(COUNTIF(Flows!$M$2:$M$1500,$A125&amp;"|"&amp;AK$1&amp;"|Input"),IF(COUNTIF(Flows!$M$2:$M$1500,$A125&amp;"|"&amp;AK$1&amp;"|Output"),"I/O","IN"),IF(COUNTIF(Flows!$M$2:$M$1500,$A125&amp;"|"&amp;AK$1&amp;"|Output"),"OUT",""))</f>
        <v/>
      </c>
      <c r="AL125" s="33" t="str">
        <f aca="false">IF(COUNTIF(Flows!$M$2:$M$1500,$A125&amp;"|"&amp;AL$1&amp;"|Input"),IF(COUNTIF(Flows!$M$2:$M$1500,$A125&amp;"|"&amp;AL$1&amp;"|Output"),"I/O","IN"),IF(COUNTIF(Flows!$M$2:$M$1500,$A125&amp;"|"&amp;AL$1&amp;"|Output"),"OUT",""))</f>
        <v/>
      </c>
      <c r="AM125" s="33" t="str">
        <f aca="false">IF(COUNTIF(Flows!$M$2:$M$1500,$A125&amp;"|"&amp;AM$1&amp;"|Input"),IF(COUNTIF(Flows!$M$2:$M$1500,$A125&amp;"|"&amp;AM$1&amp;"|Output"),"I/O","IN"),IF(COUNTIF(Flows!$M$2:$M$1500,$A125&amp;"|"&amp;AM$1&amp;"|Output"),"OUT",""))</f>
        <v/>
      </c>
      <c r="AN125" s="33" t="str">
        <f aca="false">IF(COUNTIF(Flows!$M$2:$M$1500,$A125&amp;"|"&amp;AN$1&amp;"|Input"),IF(COUNTIF(Flows!$M$2:$M$1500,$A125&amp;"|"&amp;AN$1&amp;"|Output"),"I/O","IN"),IF(COUNTIF(Flows!$M$2:$M$1500,$A125&amp;"|"&amp;AN$1&amp;"|Output"),"OUT",""))</f>
        <v/>
      </c>
      <c r="AO125" s="33" t="str">
        <f aca="false">IF(COUNTIF(Flows!$M$2:$M$1500,$A125&amp;"|"&amp;AO$1&amp;"|Input"),IF(COUNTIF(Flows!$M$2:$M$1500,$A125&amp;"|"&amp;AO$1&amp;"|Output"),"I/O","IN"),IF(COUNTIF(Flows!$M$2:$M$1500,$A125&amp;"|"&amp;AO$1&amp;"|Output"),"OUT",""))</f>
        <v/>
      </c>
      <c r="AP125" s="33" t="str">
        <f aca="false">IF(COUNTIF(Flows!$M$2:$M$1500,$A125&amp;"|"&amp;AP$1&amp;"|Input"),IF(COUNTIF(Flows!$M$2:$M$1500,$A125&amp;"|"&amp;AP$1&amp;"|Output"),"I/O","IN"),IF(COUNTIF(Flows!$M$2:$M$1500,$A125&amp;"|"&amp;AP$1&amp;"|Output"),"OUT",""))</f>
        <v/>
      </c>
      <c r="AQ125" s="33" t="str">
        <f aca="false">IF(COUNTIF(Flows!$M$2:$M$1500,$A125&amp;"|"&amp;AQ$1&amp;"|Input"),IF(COUNTIF(Flows!$M$2:$M$1500,$A125&amp;"|"&amp;AQ$1&amp;"|Output"),"I/O","IN"),IF(COUNTIF(Flows!$M$2:$M$1500,$A125&amp;"|"&amp;AQ$1&amp;"|Output"),"OUT",""))</f>
        <v/>
      </c>
      <c r="AR125" s="33" t="str">
        <f aca="false">IF(COUNTIF(Flows!$M$2:$M$1500,$A125&amp;"|"&amp;AR$1&amp;"|Input"),IF(COUNTIF(Flows!$M$2:$M$1500,$A125&amp;"|"&amp;AR$1&amp;"|Output"),"I/O","IN"),IF(COUNTIF(Flows!$M$2:$M$1500,$A125&amp;"|"&amp;AR$1&amp;"|Output"),"OUT",""))</f>
        <v/>
      </c>
      <c r="AS125" s="33" t="str">
        <f aca="false">IF(COUNTIF(Flows!$M$2:$M$1500,$A125&amp;"|"&amp;AS$1&amp;"|Input"),IF(COUNTIF(Flows!$M$2:$M$1500,$A125&amp;"|"&amp;AS$1&amp;"|Output"),"I/O","IN"),IF(COUNTIF(Flows!$M$2:$M$1500,$A125&amp;"|"&amp;AS$1&amp;"|Output"),"OUT",""))</f>
        <v>IN</v>
      </c>
      <c r="AT125" s="33" t="str">
        <f aca="false">IF(COUNTIF(Flows!$M$2:$M$1500,$A125&amp;"|"&amp;AT$1&amp;"|Input"),IF(COUNTIF(Flows!$M$2:$M$1500,$A125&amp;"|"&amp;AT$1&amp;"|Output"),"I/O","IN"),IF(COUNTIF(Flows!$M$2:$M$1500,$A125&amp;"|"&amp;AT$1&amp;"|Output"),"OUT",""))</f>
        <v/>
      </c>
      <c r="AU125" s="33" t="str">
        <f aca="false">IF(COUNTIF(Flows!$M$2:$M$1500,$A125&amp;"|"&amp;AU$1&amp;"|Input"),IF(COUNTIF(Flows!$M$2:$M$1500,$A125&amp;"|"&amp;AU$1&amp;"|Output"),"I/O","IN"),IF(COUNTIF(Flows!$M$2:$M$1500,$A125&amp;"|"&amp;AU$1&amp;"|Output"),"OUT",""))</f>
        <v/>
      </c>
      <c r="AV125" s="33" t="str">
        <f aca="false">IF(COUNTIF(Flows!$M$2:$M$1500,$A125&amp;"|"&amp;AV$1&amp;"|Input"),IF(COUNTIF(Flows!$M$2:$M$1500,$A125&amp;"|"&amp;AV$1&amp;"|Output"),"I/O","IN"),IF(COUNTIF(Flows!$M$2:$M$1500,$A125&amp;"|"&amp;AV$1&amp;"|Output"),"OUT",""))</f>
        <v/>
      </c>
      <c r="AW125" s="33" t="str">
        <f aca="false">IF(COUNTIF(Flows!$M$2:$M$1500,$A125&amp;"|"&amp;AW$1&amp;"|Input"),IF(COUNTIF(Flows!$M$2:$M$1500,$A125&amp;"|"&amp;AW$1&amp;"|Output"),"I/O","IN"),IF(COUNTIF(Flows!$M$2:$M$1500,$A125&amp;"|"&amp;AW$1&amp;"|Output"),"OUT",""))</f>
        <v/>
      </c>
      <c r="AX125" s="33" t="str">
        <f aca="false">IF(COUNTIF(Flows!$M$2:$M$1500,$A125&amp;"|"&amp;AX$1&amp;"|Input"),IF(COUNTIF(Flows!$M$2:$M$1500,$A125&amp;"|"&amp;AX$1&amp;"|Output"),"I/O","IN"),IF(COUNTIF(Flows!$M$2:$M$1500,$A125&amp;"|"&amp;AX$1&amp;"|Output"),"OUT",""))</f>
        <v/>
      </c>
      <c r="AY125" s="33" t="str">
        <f aca="false">IF(COUNTIF(Flows!$M$2:$M$1500,$A125&amp;"|"&amp;AY$1&amp;"|Input"),IF(COUNTIF(Flows!$M$2:$M$1500,$A125&amp;"|"&amp;AY$1&amp;"|Output"),"I/O","IN"),IF(COUNTIF(Flows!$M$2:$M$1500,$A125&amp;"|"&amp;AY$1&amp;"|Output"),"OUT",""))</f>
        <v/>
      </c>
      <c r="AZ125" s="33" t="str">
        <f aca="false">IF(COUNTIF(Flows!$M$2:$M$1500,$A125&amp;"|"&amp;AZ$1&amp;"|Input"),IF(COUNTIF(Flows!$M$2:$M$1500,$A125&amp;"|"&amp;AZ$1&amp;"|Output"),"I/O","IN"),IF(COUNTIF(Flows!$M$2:$M$1500,$A125&amp;"|"&amp;AZ$1&amp;"|Output"),"OUT",""))</f>
        <v/>
      </c>
      <c r="BA125" s="33" t="str">
        <f aca="false">IF(COUNTIF(Flows!$M$2:$M$1500,$A125&amp;"|"&amp;BA$1&amp;"|Input"),IF(COUNTIF(Flows!$M$2:$M$1500,$A125&amp;"|"&amp;BA$1&amp;"|Output"),"I/O","IN"),IF(COUNTIF(Flows!$M$2:$M$1500,$A125&amp;"|"&amp;BA$1&amp;"|Output"),"OUT",""))</f>
        <v/>
      </c>
      <c r="BB125" s="33" t="str">
        <f aca="false">IF(COUNTIF(Flows!$M$2:$M$1500,$A125&amp;"|"&amp;BB$1&amp;"|Input"),IF(COUNTIF(Flows!$M$2:$M$1500,$A125&amp;"|"&amp;BB$1&amp;"|Output"),"I/O","IN"),IF(COUNTIF(Flows!$M$2:$M$1500,$A125&amp;"|"&amp;BB$1&amp;"|Output"),"OUT",""))</f>
        <v/>
      </c>
      <c r="BC125" s="33" t="str">
        <f aca="false">IF(COUNTIF(Flows!$M$2:$M$1500,$A125&amp;"|"&amp;BC$1&amp;"|Input"),IF(COUNTIF(Flows!$M$2:$M$1500,$A125&amp;"|"&amp;BC$1&amp;"|Output"),"I/O","IN"),IF(COUNTIF(Flows!$M$2:$M$1500,$A125&amp;"|"&amp;BC$1&amp;"|Output"),"OUT",""))</f>
        <v/>
      </c>
      <c r="BD125" s="33" t="str">
        <f aca="false">IF(COUNTIF(Flows!$M$2:$M$1500,$A125&amp;"|"&amp;BD$1&amp;"|Input"),IF(COUNTIF(Flows!$M$2:$M$1500,$A125&amp;"|"&amp;BD$1&amp;"|Output"),"I/O","IN"),IF(COUNTIF(Flows!$M$2:$M$1500,$A125&amp;"|"&amp;BD$1&amp;"|Output"),"OUT",""))</f>
        <v/>
      </c>
      <c r="BE125" s="33" t="str">
        <f aca="false">IF(COUNTIF(Flows!$M$2:$M$1500,$A125&amp;"|"&amp;BE$1&amp;"|Input"),IF(COUNTIF(Flows!$M$2:$M$1500,$A125&amp;"|"&amp;BE$1&amp;"|Output"),"I/O","IN"),IF(COUNTIF(Flows!$M$2:$M$1500,$A125&amp;"|"&amp;BE$1&amp;"|Output"),"OUT",""))</f>
        <v/>
      </c>
      <c r="BF125" s="33" t="str">
        <f aca="false">IF(COUNTIF(Flows!$M$2:$M$1500,$A125&amp;"|"&amp;BF$1&amp;"|Input"),IF(COUNTIF(Flows!$M$2:$M$1500,$A125&amp;"|"&amp;BF$1&amp;"|Output"),"I/O","IN"),IF(COUNTIF(Flows!$M$2:$M$1500,$A125&amp;"|"&amp;BF$1&amp;"|Output"),"OUT",""))</f>
        <v/>
      </c>
      <c r="BG125" s="33" t="str">
        <f aca="false">IF(COUNTIF(Flows!$M$2:$M$1500,$A125&amp;"|"&amp;BG$1&amp;"|Input"),IF(COUNTIF(Flows!$M$2:$M$1500,$A125&amp;"|"&amp;BG$1&amp;"|Output"),"I/O","IN"),IF(COUNTIF(Flows!$M$2:$M$1500,$A125&amp;"|"&amp;BG$1&amp;"|Output"),"OUT",""))</f>
        <v/>
      </c>
      <c r="BH125" s="33" t="str">
        <f aca="false">IF(COUNTIF(Flows!$M$2:$M$1500,$A125&amp;"|"&amp;BH$1&amp;"|Input"),IF(COUNTIF(Flows!$M$2:$M$1500,$A125&amp;"|"&amp;BH$1&amp;"|Output"),"I/O","IN"),IF(COUNTIF(Flows!$M$2:$M$1500,$A125&amp;"|"&amp;BH$1&amp;"|Output"),"OUT",""))</f>
        <v/>
      </c>
      <c r="BI125" s="33" t="str">
        <f aca="false">IF(COUNTIF(Flows!$M$2:$M$1500,$A125&amp;"|"&amp;BI$1&amp;"|Input"),IF(COUNTIF(Flows!$M$2:$M$1500,$A125&amp;"|"&amp;BI$1&amp;"|Output"),"I/O","IN"),IF(COUNTIF(Flows!$M$2:$M$1500,$A125&amp;"|"&amp;BI$1&amp;"|Output"),"OUT",""))</f>
        <v/>
      </c>
      <c r="BJ125" s="33" t="str">
        <f aca="false">IF(COUNTIF(Flows!$M$2:$M$1500,$A125&amp;"|"&amp;BJ$1&amp;"|Input"),IF(COUNTIF(Flows!$M$2:$M$1500,$A125&amp;"|"&amp;BJ$1&amp;"|Output"),"I/O","IN"),IF(COUNTIF(Flows!$M$2:$M$1500,$A125&amp;"|"&amp;BJ$1&amp;"|Output"),"OUT",""))</f>
        <v>IN</v>
      </c>
      <c r="BK125" s="33" t="str">
        <f aca="false">IF(COUNTIF(Flows!$M$2:$M$1500,$A125&amp;"|"&amp;BK$1&amp;"|Input"),IF(COUNTIF(Flows!$M$2:$M$1500,$A125&amp;"|"&amp;BK$1&amp;"|Output"),"I/O","IN"),IF(COUNTIF(Flows!$M$2:$M$1500,$A125&amp;"|"&amp;BK$1&amp;"|Output"),"OUT",""))</f>
        <v/>
      </c>
    </row>
    <row r="126" customFormat="false" ht="15" hidden="false" customHeight="true" outlineLevel="0" collapsed="false">
      <c r="A126" s="6" t="str">
        <f aca="false">Systems!B126</f>
        <v>Seed Starting Station</v>
      </c>
      <c r="B126" s="33" t="str">
        <f aca="false">IF(COUNTIF(Flows!$M$2:$M$1500,$A126&amp;"|"&amp;B$1&amp;"|Input"),IF(COUNTIF(Flows!$M$2:$M$1500,$A126&amp;"|"&amp;B$1&amp;"|Output"),"I/O","IN"),IF(COUNTIF(Flows!$M$2:$M$1500,$A126&amp;"|"&amp;B$1&amp;"|Output"),"OUT",""))</f>
        <v>IN</v>
      </c>
      <c r="C126" s="33" t="str">
        <f aca="false">IF(COUNTIF(Flows!$M$2:$M$1500,$A126&amp;"|"&amp;C$1&amp;"|Input"),IF(COUNTIF(Flows!$M$2:$M$1500,$A126&amp;"|"&amp;C$1&amp;"|Output"),"I/O","IN"),IF(COUNTIF(Flows!$M$2:$M$1500,$A126&amp;"|"&amp;C$1&amp;"|Output"),"OUT",""))</f>
        <v/>
      </c>
      <c r="D126" s="33" t="str">
        <f aca="false">IF(COUNTIF(Flows!$M$2:$M$1500,$A126&amp;"|"&amp;D$1&amp;"|Input"),IF(COUNTIF(Flows!$M$2:$M$1500,$A126&amp;"|"&amp;D$1&amp;"|Output"),"I/O","IN"),IF(COUNTIF(Flows!$M$2:$M$1500,$A126&amp;"|"&amp;D$1&amp;"|Output"),"OUT",""))</f>
        <v/>
      </c>
      <c r="E126" s="33" t="str">
        <f aca="false">IF(COUNTIF(Flows!$M$2:$M$1500,$A126&amp;"|"&amp;E$1&amp;"|Input"),IF(COUNTIF(Flows!$M$2:$M$1500,$A126&amp;"|"&amp;E$1&amp;"|Output"),"I/O","IN"),IF(COUNTIF(Flows!$M$2:$M$1500,$A126&amp;"|"&amp;E$1&amp;"|Output"),"OUT",""))</f>
        <v/>
      </c>
      <c r="F126" s="33" t="str">
        <f aca="false">IF(COUNTIF(Flows!$M$2:$M$1500,$A126&amp;"|"&amp;F$1&amp;"|Input"),IF(COUNTIF(Flows!$M$2:$M$1500,$A126&amp;"|"&amp;F$1&amp;"|Output"),"I/O","IN"),IF(COUNTIF(Flows!$M$2:$M$1500,$A126&amp;"|"&amp;F$1&amp;"|Output"),"OUT",""))</f>
        <v/>
      </c>
      <c r="G126" s="33" t="str">
        <f aca="false">IF(COUNTIF(Flows!$M$2:$M$1500,$A126&amp;"|"&amp;G$1&amp;"|Input"),IF(COUNTIF(Flows!$M$2:$M$1500,$A126&amp;"|"&amp;G$1&amp;"|Output"),"I/O","IN"),IF(COUNTIF(Flows!$M$2:$M$1500,$A126&amp;"|"&amp;G$1&amp;"|Output"),"OUT",""))</f>
        <v/>
      </c>
      <c r="H126" s="33" t="str">
        <f aca="false">IF(COUNTIF(Flows!$M$2:$M$1500,$A126&amp;"|"&amp;H$1&amp;"|Input"),IF(COUNTIF(Flows!$M$2:$M$1500,$A126&amp;"|"&amp;H$1&amp;"|Output"),"I/O","IN"),IF(COUNTIF(Flows!$M$2:$M$1500,$A126&amp;"|"&amp;H$1&amp;"|Output"),"OUT",""))</f>
        <v/>
      </c>
      <c r="I126" s="33" t="str">
        <f aca="false">IF(COUNTIF(Flows!$M$2:$M$1500,$A126&amp;"|"&amp;I$1&amp;"|Input"),IF(COUNTIF(Flows!$M$2:$M$1500,$A126&amp;"|"&amp;I$1&amp;"|Output"),"I/O","IN"),IF(COUNTIF(Flows!$M$2:$M$1500,$A126&amp;"|"&amp;I$1&amp;"|Output"),"OUT",""))</f>
        <v/>
      </c>
      <c r="J126" s="33" t="str">
        <f aca="false">IF(COUNTIF(Flows!$M$2:$M$1500,$A126&amp;"|"&amp;J$1&amp;"|Input"),IF(COUNTIF(Flows!$M$2:$M$1500,$A126&amp;"|"&amp;J$1&amp;"|Output"),"I/O","IN"),IF(COUNTIF(Flows!$M$2:$M$1500,$A126&amp;"|"&amp;J$1&amp;"|Output"),"OUT",""))</f>
        <v/>
      </c>
      <c r="K126" s="33" t="str">
        <f aca="false">IF(COUNTIF(Flows!$M$2:$M$1500,$A126&amp;"|"&amp;K$1&amp;"|Input"),IF(COUNTIF(Flows!$M$2:$M$1500,$A126&amp;"|"&amp;K$1&amp;"|Output"),"I/O","IN"),IF(COUNTIF(Flows!$M$2:$M$1500,$A126&amp;"|"&amp;K$1&amp;"|Output"),"OUT",""))</f>
        <v/>
      </c>
      <c r="L126" s="33" t="str">
        <f aca="false">IF(COUNTIF(Flows!$M$2:$M$1500,$A126&amp;"|"&amp;L$1&amp;"|Input"),IF(COUNTIF(Flows!$M$2:$M$1500,$A126&amp;"|"&amp;L$1&amp;"|Output"),"I/O","IN"),IF(COUNTIF(Flows!$M$2:$M$1500,$A126&amp;"|"&amp;L$1&amp;"|Output"),"OUT",""))</f>
        <v/>
      </c>
      <c r="M126" s="33" t="str">
        <f aca="false">IF(COUNTIF(Flows!$M$2:$M$1500,$A126&amp;"|"&amp;M$1&amp;"|Input"),IF(COUNTIF(Flows!$M$2:$M$1500,$A126&amp;"|"&amp;M$1&amp;"|Output"),"I/O","IN"),IF(COUNTIF(Flows!$M$2:$M$1500,$A126&amp;"|"&amp;M$1&amp;"|Output"),"OUT",""))</f>
        <v/>
      </c>
      <c r="N126" s="33" t="str">
        <f aca="false">IF(COUNTIF(Flows!$M$2:$M$1500,$A126&amp;"|"&amp;N$1&amp;"|Input"),IF(COUNTIF(Flows!$M$2:$M$1500,$A126&amp;"|"&amp;N$1&amp;"|Output"),"I/O","IN"),IF(COUNTIF(Flows!$M$2:$M$1500,$A126&amp;"|"&amp;N$1&amp;"|Output"),"OUT",""))</f>
        <v/>
      </c>
      <c r="O126" s="33" t="str">
        <f aca="false">IF(COUNTIF(Flows!$M$2:$M$1500,$A126&amp;"|"&amp;O$1&amp;"|Input"),IF(COUNTIF(Flows!$M$2:$M$1500,$A126&amp;"|"&amp;O$1&amp;"|Output"),"I/O","IN"),IF(COUNTIF(Flows!$M$2:$M$1500,$A126&amp;"|"&amp;O$1&amp;"|Output"),"OUT",""))</f>
        <v/>
      </c>
      <c r="P126" s="33" t="str">
        <f aca="false">IF(COUNTIF(Flows!$M$2:$M$1500,$A126&amp;"|"&amp;P$1&amp;"|Input"),IF(COUNTIF(Flows!$M$2:$M$1500,$A126&amp;"|"&amp;P$1&amp;"|Output"),"I/O","IN"),IF(COUNTIF(Flows!$M$2:$M$1500,$A126&amp;"|"&amp;P$1&amp;"|Output"),"OUT",""))</f>
        <v/>
      </c>
      <c r="Q126" s="33" t="str">
        <f aca="false">IF(COUNTIF(Flows!$M$2:$M$1500,$A126&amp;"|"&amp;Q$1&amp;"|Input"),IF(COUNTIF(Flows!$M$2:$M$1500,$A126&amp;"|"&amp;Q$1&amp;"|Output"),"I/O","IN"),IF(COUNTIF(Flows!$M$2:$M$1500,$A126&amp;"|"&amp;Q$1&amp;"|Output"),"OUT",""))</f>
        <v/>
      </c>
      <c r="R126" s="33" t="str">
        <f aca="false">IF(COUNTIF(Flows!$M$2:$M$1500,$A126&amp;"|"&amp;R$1&amp;"|Input"),IF(COUNTIF(Flows!$M$2:$M$1500,$A126&amp;"|"&amp;R$1&amp;"|Output"),"I/O","IN"),IF(COUNTIF(Flows!$M$2:$M$1500,$A126&amp;"|"&amp;R$1&amp;"|Output"),"OUT",""))</f>
        <v/>
      </c>
      <c r="S126" s="33" t="str">
        <f aca="false">IF(COUNTIF(Flows!$M$2:$M$1500,$A126&amp;"|"&amp;S$1&amp;"|Input"),IF(COUNTIF(Flows!$M$2:$M$1500,$A126&amp;"|"&amp;S$1&amp;"|Output"),"I/O","IN"),IF(COUNTIF(Flows!$M$2:$M$1500,$A126&amp;"|"&amp;S$1&amp;"|Output"),"OUT",""))</f>
        <v>IN</v>
      </c>
      <c r="T126" s="33" t="str">
        <f aca="false">IF(COUNTIF(Flows!$M$2:$M$1500,$A126&amp;"|"&amp;T$1&amp;"|Input"),IF(COUNTIF(Flows!$M$2:$M$1500,$A126&amp;"|"&amp;T$1&amp;"|Output"),"I/O","IN"),IF(COUNTIF(Flows!$M$2:$M$1500,$A126&amp;"|"&amp;T$1&amp;"|Output"),"OUT",""))</f>
        <v/>
      </c>
      <c r="U126" s="33" t="str">
        <f aca="false">IF(COUNTIF(Flows!$M$2:$M$1500,$A126&amp;"|"&amp;U$1&amp;"|Input"),IF(COUNTIF(Flows!$M$2:$M$1500,$A126&amp;"|"&amp;U$1&amp;"|Output"),"I/O","IN"),IF(COUNTIF(Flows!$M$2:$M$1500,$A126&amp;"|"&amp;U$1&amp;"|Output"),"OUT",""))</f>
        <v/>
      </c>
      <c r="V126" s="33" t="str">
        <f aca="false">IF(COUNTIF(Flows!$M$2:$M$1500,$A126&amp;"|"&amp;V$1&amp;"|Input"),IF(COUNTIF(Flows!$M$2:$M$1500,$A126&amp;"|"&amp;V$1&amp;"|Output"),"I/O","IN"),IF(COUNTIF(Flows!$M$2:$M$1500,$A126&amp;"|"&amp;V$1&amp;"|Output"),"OUT",""))</f>
        <v/>
      </c>
      <c r="W126" s="33" t="str">
        <f aca="false">IF(COUNTIF(Flows!$M$2:$M$1500,$A126&amp;"|"&amp;W$1&amp;"|Input"),IF(COUNTIF(Flows!$M$2:$M$1500,$A126&amp;"|"&amp;W$1&amp;"|Output"),"I/O","IN"),IF(COUNTIF(Flows!$M$2:$M$1500,$A126&amp;"|"&amp;W$1&amp;"|Output"),"OUT",""))</f>
        <v/>
      </c>
      <c r="X126" s="33" t="str">
        <f aca="false">IF(COUNTIF(Flows!$M$2:$M$1500,$A126&amp;"|"&amp;X$1&amp;"|Input"),IF(COUNTIF(Flows!$M$2:$M$1500,$A126&amp;"|"&amp;X$1&amp;"|Output"),"I/O","IN"),IF(COUNTIF(Flows!$M$2:$M$1500,$A126&amp;"|"&amp;X$1&amp;"|Output"),"OUT",""))</f>
        <v>IN</v>
      </c>
      <c r="Y126" s="33" t="str">
        <f aca="false">IF(COUNTIF(Flows!$M$2:$M$1500,$A126&amp;"|"&amp;Y$1&amp;"|Input"),IF(COUNTIF(Flows!$M$2:$M$1500,$A126&amp;"|"&amp;Y$1&amp;"|Output"),"I/O","IN"),IF(COUNTIF(Flows!$M$2:$M$1500,$A126&amp;"|"&amp;Y$1&amp;"|Output"),"OUT",""))</f>
        <v/>
      </c>
      <c r="Z126" s="33" t="str">
        <f aca="false">IF(COUNTIF(Flows!$M$2:$M$1500,$A126&amp;"|"&amp;Z$1&amp;"|Input"),IF(COUNTIF(Flows!$M$2:$M$1500,$A126&amp;"|"&amp;Z$1&amp;"|Output"),"I/O","IN"),IF(COUNTIF(Flows!$M$2:$M$1500,$A126&amp;"|"&amp;Z$1&amp;"|Output"),"OUT",""))</f>
        <v/>
      </c>
      <c r="AA126" s="33" t="str">
        <f aca="false">IF(COUNTIF(Flows!$M$2:$M$1500,$A126&amp;"|"&amp;AA$1&amp;"|Input"),IF(COUNTIF(Flows!$M$2:$M$1500,$A126&amp;"|"&amp;AA$1&amp;"|Output"),"I/O","IN"),IF(COUNTIF(Flows!$M$2:$M$1500,$A126&amp;"|"&amp;AA$1&amp;"|Output"),"OUT",""))</f>
        <v/>
      </c>
      <c r="AB126" s="33" t="str">
        <f aca="false">IF(COUNTIF(Flows!$M$2:$M$1500,$A126&amp;"|"&amp;AB$1&amp;"|Input"),IF(COUNTIF(Flows!$M$2:$M$1500,$A126&amp;"|"&amp;AB$1&amp;"|Output"),"I/O","IN"),IF(COUNTIF(Flows!$M$2:$M$1500,$A126&amp;"|"&amp;AB$1&amp;"|Output"),"OUT",""))</f>
        <v/>
      </c>
      <c r="AC126" s="33" t="str">
        <f aca="false">IF(COUNTIF(Flows!$M$2:$M$1500,$A126&amp;"|"&amp;AC$1&amp;"|Input"),IF(COUNTIF(Flows!$M$2:$M$1500,$A126&amp;"|"&amp;AC$1&amp;"|Output"),"I/O","IN"),IF(COUNTIF(Flows!$M$2:$M$1500,$A126&amp;"|"&amp;AC$1&amp;"|Output"),"OUT",""))</f>
        <v/>
      </c>
      <c r="AD126" s="33" t="str">
        <f aca="false">IF(COUNTIF(Flows!$M$2:$M$1500,$A126&amp;"|"&amp;AD$1&amp;"|Input"),IF(COUNTIF(Flows!$M$2:$M$1500,$A126&amp;"|"&amp;AD$1&amp;"|Output"),"I/O","IN"),IF(COUNTIF(Flows!$M$2:$M$1500,$A126&amp;"|"&amp;AD$1&amp;"|Output"),"OUT",""))</f>
        <v/>
      </c>
      <c r="AE126" s="33" t="str">
        <f aca="false">IF(COUNTIF(Flows!$M$2:$M$1500,$A126&amp;"|"&amp;AE$1&amp;"|Input"),IF(COUNTIF(Flows!$M$2:$M$1500,$A126&amp;"|"&amp;AE$1&amp;"|Output"),"I/O","IN"),IF(COUNTIF(Flows!$M$2:$M$1500,$A126&amp;"|"&amp;AE$1&amp;"|Output"),"OUT",""))</f>
        <v/>
      </c>
      <c r="AF126" s="33" t="str">
        <f aca="false">IF(COUNTIF(Flows!$M$2:$M$1500,$A126&amp;"|"&amp;AF$1&amp;"|Input"),IF(COUNTIF(Flows!$M$2:$M$1500,$A126&amp;"|"&amp;AF$1&amp;"|Output"),"I/O","IN"),IF(COUNTIF(Flows!$M$2:$M$1500,$A126&amp;"|"&amp;AF$1&amp;"|Output"),"OUT",""))</f>
        <v/>
      </c>
      <c r="AG126" s="33" t="str">
        <f aca="false">IF(COUNTIF(Flows!$M$2:$M$1500,$A126&amp;"|"&amp;AG$1&amp;"|Input"),IF(COUNTIF(Flows!$M$2:$M$1500,$A126&amp;"|"&amp;AG$1&amp;"|Output"),"I/O","IN"),IF(COUNTIF(Flows!$M$2:$M$1500,$A126&amp;"|"&amp;AG$1&amp;"|Output"),"OUT",""))</f>
        <v/>
      </c>
      <c r="AH126" s="33" t="str">
        <f aca="false">IF(COUNTIF(Flows!$M$2:$M$1500,$A126&amp;"|"&amp;AH$1&amp;"|Input"),IF(COUNTIF(Flows!$M$2:$M$1500,$A126&amp;"|"&amp;AH$1&amp;"|Output"),"I/O","IN"),IF(COUNTIF(Flows!$M$2:$M$1500,$A126&amp;"|"&amp;AH$1&amp;"|Output"),"OUT",""))</f>
        <v/>
      </c>
      <c r="AI126" s="33" t="str">
        <f aca="false">IF(COUNTIF(Flows!$M$2:$M$1500,$A126&amp;"|"&amp;AI$1&amp;"|Input"),IF(COUNTIF(Flows!$M$2:$M$1500,$A126&amp;"|"&amp;AI$1&amp;"|Output"),"I/O","IN"),IF(COUNTIF(Flows!$M$2:$M$1500,$A126&amp;"|"&amp;AI$1&amp;"|Output"),"OUT",""))</f>
        <v/>
      </c>
      <c r="AJ126" s="33" t="str">
        <f aca="false">IF(COUNTIF(Flows!$M$2:$M$1500,$A126&amp;"|"&amp;AJ$1&amp;"|Input"),IF(COUNTIF(Flows!$M$2:$M$1500,$A126&amp;"|"&amp;AJ$1&amp;"|Output"),"I/O","IN"),IF(COUNTIF(Flows!$M$2:$M$1500,$A126&amp;"|"&amp;AJ$1&amp;"|Output"),"OUT",""))</f>
        <v/>
      </c>
      <c r="AK126" s="33" t="str">
        <f aca="false">IF(COUNTIF(Flows!$M$2:$M$1500,$A126&amp;"|"&amp;AK$1&amp;"|Input"),IF(COUNTIF(Flows!$M$2:$M$1500,$A126&amp;"|"&amp;AK$1&amp;"|Output"),"I/O","IN"),IF(COUNTIF(Flows!$M$2:$M$1500,$A126&amp;"|"&amp;AK$1&amp;"|Output"),"OUT",""))</f>
        <v/>
      </c>
      <c r="AL126" s="33" t="str">
        <f aca="false">IF(COUNTIF(Flows!$M$2:$M$1500,$A126&amp;"|"&amp;AL$1&amp;"|Input"),IF(COUNTIF(Flows!$M$2:$M$1500,$A126&amp;"|"&amp;AL$1&amp;"|Output"),"I/O","IN"),IF(COUNTIF(Flows!$M$2:$M$1500,$A126&amp;"|"&amp;AL$1&amp;"|Output"),"OUT",""))</f>
        <v/>
      </c>
      <c r="AM126" s="33" t="str">
        <f aca="false">IF(COUNTIF(Flows!$M$2:$M$1500,$A126&amp;"|"&amp;AM$1&amp;"|Input"),IF(COUNTIF(Flows!$M$2:$M$1500,$A126&amp;"|"&amp;AM$1&amp;"|Output"),"I/O","IN"),IF(COUNTIF(Flows!$M$2:$M$1500,$A126&amp;"|"&amp;AM$1&amp;"|Output"),"OUT",""))</f>
        <v/>
      </c>
      <c r="AN126" s="33" t="str">
        <f aca="false">IF(COUNTIF(Flows!$M$2:$M$1500,$A126&amp;"|"&amp;AN$1&amp;"|Input"),IF(COUNTIF(Flows!$M$2:$M$1500,$A126&amp;"|"&amp;AN$1&amp;"|Output"),"I/O","IN"),IF(COUNTIF(Flows!$M$2:$M$1500,$A126&amp;"|"&amp;AN$1&amp;"|Output"),"OUT",""))</f>
        <v/>
      </c>
      <c r="AO126" s="33" t="str">
        <f aca="false">IF(COUNTIF(Flows!$M$2:$M$1500,$A126&amp;"|"&amp;AO$1&amp;"|Input"),IF(COUNTIF(Flows!$M$2:$M$1500,$A126&amp;"|"&amp;AO$1&amp;"|Output"),"I/O","IN"),IF(COUNTIF(Flows!$M$2:$M$1500,$A126&amp;"|"&amp;AO$1&amp;"|Output"),"OUT",""))</f>
        <v/>
      </c>
      <c r="AP126" s="33" t="str">
        <f aca="false">IF(COUNTIF(Flows!$M$2:$M$1500,$A126&amp;"|"&amp;AP$1&amp;"|Input"),IF(COUNTIF(Flows!$M$2:$M$1500,$A126&amp;"|"&amp;AP$1&amp;"|Output"),"I/O","IN"),IF(COUNTIF(Flows!$M$2:$M$1500,$A126&amp;"|"&amp;AP$1&amp;"|Output"),"OUT",""))</f>
        <v/>
      </c>
      <c r="AQ126" s="33" t="str">
        <f aca="false">IF(COUNTIF(Flows!$M$2:$M$1500,$A126&amp;"|"&amp;AQ$1&amp;"|Input"),IF(COUNTIF(Flows!$M$2:$M$1500,$A126&amp;"|"&amp;AQ$1&amp;"|Output"),"I/O","IN"),IF(COUNTIF(Flows!$M$2:$M$1500,$A126&amp;"|"&amp;AQ$1&amp;"|Output"),"OUT",""))</f>
        <v/>
      </c>
      <c r="AR126" s="33" t="str">
        <f aca="false">IF(COUNTIF(Flows!$M$2:$M$1500,$A126&amp;"|"&amp;AR$1&amp;"|Input"),IF(COUNTIF(Flows!$M$2:$M$1500,$A126&amp;"|"&amp;AR$1&amp;"|Output"),"I/O","IN"),IF(COUNTIF(Flows!$M$2:$M$1500,$A126&amp;"|"&amp;AR$1&amp;"|Output"),"OUT",""))</f>
        <v/>
      </c>
      <c r="AS126" s="33" t="str">
        <f aca="false">IF(COUNTIF(Flows!$M$2:$M$1500,$A126&amp;"|"&amp;AS$1&amp;"|Input"),IF(COUNTIF(Flows!$M$2:$M$1500,$A126&amp;"|"&amp;AS$1&amp;"|Output"),"I/O","IN"),IF(COUNTIF(Flows!$M$2:$M$1500,$A126&amp;"|"&amp;AS$1&amp;"|Output"),"OUT",""))</f>
        <v/>
      </c>
      <c r="AT126" s="33" t="str">
        <f aca="false">IF(COUNTIF(Flows!$M$2:$M$1500,$A126&amp;"|"&amp;AT$1&amp;"|Input"),IF(COUNTIF(Flows!$M$2:$M$1500,$A126&amp;"|"&amp;AT$1&amp;"|Output"),"I/O","IN"),IF(COUNTIF(Flows!$M$2:$M$1500,$A126&amp;"|"&amp;AT$1&amp;"|Output"),"OUT",""))</f>
        <v/>
      </c>
      <c r="AU126" s="33" t="str">
        <f aca="false">IF(COUNTIF(Flows!$M$2:$M$1500,$A126&amp;"|"&amp;AU$1&amp;"|Input"),IF(COUNTIF(Flows!$M$2:$M$1500,$A126&amp;"|"&amp;AU$1&amp;"|Output"),"I/O","IN"),IF(COUNTIF(Flows!$M$2:$M$1500,$A126&amp;"|"&amp;AU$1&amp;"|Output"),"OUT",""))</f>
        <v/>
      </c>
      <c r="AV126" s="33" t="str">
        <f aca="false">IF(COUNTIF(Flows!$M$2:$M$1500,$A126&amp;"|"&amp;AV$1&amp;"|Input"),IF(COUNTIF(Flows!$M$2:$M$1500,$A126&amp;"|"&amp;AV$1&amp;"|Output"),"I/O","IN"),IF(COUNTIF(Flows!$M$2:$M$1500,$A126&amp;"|"&amp;AV$1&amp;"|Output"),"OUT",""))</f>
        <v/>
      </c>
      <c r="AW126" s="33" t="str">
        <f aca="false">IF(COUNTIF(Flows!$M$2:$M$1500,$A126&amp;"|"&amp;AW$1&amp;"|Input"),IF(COUNTIF(Flows!$M$2:$M$1500,$A126&amp;"|"&amp;AW$1&amp;"|Output"),"I/O","IN"),IF(COUNTIF(Flows!$M$2:$M$1500,$A126&amp;"|"&amp;AW$1&amp;"|Output"),"OUT",""))</f>
        <v/>
      </c>
      <c r="AX126" s="33" t="str">
        <f aca="false">IF(COUNTIF(Flows!$M$2:$M$1500,$A126&amp;"|"&amp;AX$1&amp;"|Input"),IF(COUNTIF(Flows!$M$2:$M$1500,$A126&amp;"|"&amp;AX$1&amp;"|Output"),"I/O","IN"),IF(COUNTIF(Flows!$M$2:$M$1500,$A126&amp;"|"&amp;AX$1&amp;"|Output"),"OUT",""))</f>
        <v/>
      </c>
      <c r="AY126" s="33" t="str">
        <f aca="false">IF(COUNTIF(Flows!$M$2:$M$1500,$A126&amp;"|"&amp;AY$1&amp;"|Input"),IF(COUNTIF(Flows!$M$2:$M$1500,$A126&amp;"|"&amp;AY$1&amp;"|Output"),"I/O","IN"),IF(COUNTIF(Flows!$M$2:$M$1500,$A126&amp;"|"&amp;AY$1&amp;"|Output"),"OUT",""))</f>
        <v/>
      </c>
      <c r="AZ126" s="33" t="str">
        <f aca="false">IF(COUNTIF(Flows!$M$2:$M$1500,$A126&amp;"|"&amp;AZ$1&amp;"|Input"),IF(COUNTIF(Flows!$M$2:$M$1500,$A126&amp;"|"&amp;AZ$1&amp;"|Output"),"I/O","IN"),IF(COUNTIF(Flows!$M$2:$M$1500,$A126&amp;"|"&amp;AZ$1&amp;"|Output"),"OUT",""))</f>
        <v/>
      </c>
      <c r="BA126" s="33" t="str">
        <f aca="false">IF(COUNTIF(Flows!$M$2:$M$1500,$A126&amp;"|"&amp;BA$1&amp;"|Input"),IF(COUNTIF(Flows!$M$2:$M$1500,$A126&amp;"|"&amp;BA$1&amp;"|Output"),"I/O","IN"),IF(COUNTIF(Flows!$M$2:$M$1500,$A126&amp;"|"&amp;BA$1&amp;"|Output"),"OUT",""))</f>
        <v/>
      </c>
      <c r="BB126" s="33" t="str">
        <f aca="false">IF(COUNTIF(Flows!$M$2:$M$1500,$A126&amp;"|"&amp;BB$1&amp;"|Input"),IF(COUNTIF(Flows!$M$2:$M$1500,$A126&amp;"|"&amp;BB$1&amp;"|Output"),"I/O","IN"),IF(COUNTIF(Flows!$M$2:$M$1500,$A126&amp;"|"&amp;BB$1&amp;"|Output"),"OUT",""))</f>
        <v>IN</v>
      </c>
      <c r="BC126" s="33" t="str">
        <f aca="false">IF(COUNTIF(Flows!$M$2:$M$1500,$A126&amp;"|"&amp;BC$1&amp;"|Input"),IF(COUNTIF(Flows!$M$2:$M$1500,$A126&amp;"|"&amp;BC$1&amp;"|Output"),"I/O","IN"),IF(COUNTIF(Flows!$M$2:$M$1500,$A126&amp;"|"&amp;BC$1&amp;"|Output"),"OUT",""))</f>
        <v>OUT</v>
      </c>
      <c r="BD126" s="33" t="str">
        <f aca="false">IF(COUNTIF(Flows!$M$2:$M$1500,$A126&amp;"|"&amp;BD$1&amp;"|Input"),IF(COUNTIF(Flows!$M$2:$M$1500,$A126&amp;"|"&amp;BD$1&amp;"|Output"),"I/O","IN"),IF(COUNTIF(Flows!$M$2:$M$1500,$A126&amp;"|"&amp;BD$1&amp;"|Output"),"OUT",""))</f>
        <v>IN</v>
      </c>
      <c r="BE126" s="33" t="str">
        <f aca="false">IF(COUNTIF(Flows!$M$2:$M$1500,$A126&amp;"|"&amp;BE$1&amp;"|Input"),IF(COUNTIF(Flows!$M$2:$M$1500,$A126&amp;"|"&amp;BE$1&amp;"|Output"),"I/O","IN"),IF(COUNTIF(Flows!$M$2:$M$1500,$A126&amp;"|"&amp;BE$1&amp;"|Output"),"OUT",""))</f>
        <v/>
      </c>
      <c r="BF126" s="33" t="str">
        <f aca="false">IF(COUNTIF(Flows!$M$2:$M$1500,$A126&amp;"|"&amp;BF$1&amp;"|Input"),IF(COUNTIF(Flows!$M$2:$M$1500,$A126&amp;"|"&amp;BF$1&amp;"|Output"),"I/O","IN"),IF(COUNTIF(Flows!$M$2:$M$1500,$A126&amp;"|"&amp;BF$1&amp;"|Output"),"OUT",""))</f>
        <v/>
      </c>
      <c r="BG126" s="33" t="str">
        <f aca="false">IF(COUNTIF(Flows!$M$2:$M$1500,$A126&amp;"|"&amp;BG$1&amp;"|Input"),IF(COUNTIF(Flows!$M$2:$M$1500,$A126&amp;"|"&amp;BG$1&amp;"|Output"),"I/O","IN"),IF(COUNTIF(Flows!$M$2:$M$1500,$A126&amp;"|"&amp;BG$1&amp;"|Output"),"OUT",""))</f>
        <v/>
      </c>
      <c r="BH126" s="33" t="str">
        <f aca="false">IF(COUNTIF(Flows!$M$2:$M$1500,$A126&amp;"|"&amp;BH$1&amp;"|Input"),IF(COUNTIF(Flows!$M$2:$M$1500,$A126&amp;"|"&amp;BH$1&amp;"|Output"),"I/O","IN"),IF(COUNTIF(Flows!$M$2:$M$1500,$A126&amp;"|"&amp;BH$1&amp;"|Output"),"OUT",""))</f>
        <v/>
      </c>
      <c r="BI126" s="33" t="str">
        <f aca="false">IF(COUNTIF(Flows!$M$2:$M$1500,$A126&amp;"|"&amp;BI$1&amp;"|Input"),IF(COUNTIF(Flows!$M$2:$M$1500,$A126&amp;"|"&amp;BI$1&amp;"|Output"),"I/O","IN"),IF(COUNTIF(Flows!$M$2:$M$1500,$A126&amp;"|"&amp;BI$1&amp;"|Output"),"OUT",""))</f>
        <v/>
      </c>
      <c r="BJ126" s="33" t="str">
        <f aca="false">IF(COUNTIF(Flows!$M$2:$M$1500,$A126&amp;"|"&amp;BJ$1&amp;"|Input"),IF(COUNTIF(Flows!$M$2:$M$1500,$A126&amp;"|"&amp;BJ$1&amp;"|Output"),"I/O","IN"),IF(COUNTIF(Flows!$M$2:$M$1500,$A126&amp;"|"&amp;BJ$1&amp;"|Output"),"OUT",""))</f>
        <v/>
      </c>
      <c r="BK126" s="33" t="str">
        <f aca="false">IF(COUNTIF(Flows!$M$2:$M$1500,$A126&amp;"|"&amp;BK$1&amp;"|Input"),IF(COUNTIF(Flows!$M$2:$M$1500,$A126&amp;"|"&amp;BK$1&amp;"|Output"),"I/O","IN"),IF(COUNTIF(Flows!$M$2:$M$1500,$A126&amp;"|"&amp;BK$1&amp;"|Output"),"OUT",""))</f>
        <v/>
      </c>
    </row>
    <row r="127" customFormat="false" ht="15" hidden="false" customHeight="true" outlineLevel="0" collapsed="false">
      <c r="A127" s="6" t="str">
        <f aca="false">Systems!B127</f>
        <v>Keyhole Garden</v>
      </c>
      <c r="B127" s="33" t="str">
        <f aca="false">IF(COUNTIF(Flows!$M$2:$M$1500,$A127&amp;"|"&amp;B$1&amp;"|Input"),IF(COUNTIF(Flows!$M$2:$M$1500,$A127&amp;"|"&amp;B$1&amp;"|Output"),"I/O","IN"),IF(COUNTIF(Flows!$M$2:$M$1500,$A127&amp;"|"&amp;B$1&amp;"|Output"),"OUT",""))</f>
        <v>IN</v>
      </c>
      <c r="C127" s="33" t="str">
        <f aca="false">IF(COUNTIF(Flows!$M$2:$M$1500,$A127&amp;"|"&amp;C$1&amp;"|Input"),IF(COUNTIF(Flows!$M$2:$M$1500,$A127&amp;"|"&amp;C$1&amp;"|Output"),"I/O","IN"),IF(COUNTIF(Flows!$M$2:$M$1500,$A127&amp;"|"&amp;C$1&amp;"|Output"),"OUT",""))</f>
        <v/>
      </c>
      <c r="D127" s="33" t="str">
        <f aca="false">IF(COUNTIF(Flows!$M$2:$M$1500,$A127&amp;"|"&amp;D$1&amp;"|Input"),IF(COUNTIF(Flows!$M$2:$M$1500,$A127&amp;"|"&amp;D$1&amp;"|Output"),"I/O","IN"),IF(COUNTIF(Flows!$M$2:$M$1500,$A127&amp;"|"&amp;D$1&amp;"|Output"),"OUT",""))</f>
        <v/>
      </c>
      <c r="E127" s="33" t="str">
        <f aca="false">IF(COUNTIF(Flows!$M$2:$M$1500,$A127&amp;"|"&amp;E$1&amp;"|Input"),IF(COUNTIF(Flows!$M$2:$M$1500,$A127&amp;"|"&amp;E$1&amp;"|Output"),"I/O","IN"),IF(COUNTIF(Flows!$M$2:$M$1500,$A127&amp;"|"&amp;E$1&amp;"|Output"),"OUT",""))</f>
        <v/>
      </c>
      <c r="F127" s="33" t="str">
        <f aca="false">IF(COUNTIF(Flows!$M$2:$M$1500,$A127&amp;"|"&amp;F$1&amp;"|Input"),IF(COUNTIF(Flows!$M$2:$M$1500,$A127&amp;"|"&amp;F$1&amp;"|Output"),"I/O","IN"),IF(COUNTIF(Flows!$M$2:$M$1500,$A127&amp;"|"&amp;F$1&amp;"|Output"),"OUT",""))</f>
        <v/>
      </c>
      <c r="G127" s="33" t="str">
        <f aca="false">IF(COUNTIF(Flows!$M$2:$M$1500,$A127&amp;"|"&amp;G$1&amp;"|Input"),IF(COUNTIF(Flows!$M$2:$M$1500,$A127&amp;"|"&amp;G$1&amp;"|Output"),"I/O","IN"),IF(COUNTIF(Flows!$M$2:$M$1500,$A127&amp;"|"&amp;G$1&amp;"|Output"),"OUT",""))</f>
        <v>OUT</v>
      </c>
      <c r="H127" s="33" t="str">
        <f aca="false">IF(COUNTIF(Flows!$M$2:$M$1500,$A127&amp;"|"&amp;H$1&amp;"|Input"),IF(COUNTIF(Flows!$M$2:$M$1500,$A127&amp;"|"&amp;H$1&amp;"|Output"),"I/O","IN"),IF(COUNTIF(Flows!$M$2:$M$1500,$A127&amp;"|"&amp;H$1&amp;"|Output"),"OUT",""))</f>
        <v/>
      </c>
      <c r="I127" s="33" t="str">
        <f aca="false">IF(COUNTIF(Flows!$M$2:$M$1500,$A127&amp;"|"&amp;I$1&amp;"|Input"),IF(COUNTIF(Flows!$M$2:$M$1500,$A127&amp;"|"&amp;I$1&amp;"|Output"),"I/O","IN"),IF(COUNTIF(Flows!$M$2:$M$1500,$A127&amp;"|"&amp;I$1&amp;"|Output"),"OUT",""))</f>
        <v/>
      </c>
      <c r="J127" s="33" t="str">
        <f aca="false">IF(COUNTIF(Flows!$M$2:$M$1500,$A127&amp;"|"&amp;J$1&amp;"|Input"),IF(COUNTIF(Flows!$M$2:$M$1500,$A127&amp;"|"&amp;J$1&amp;"|Output"),"I/O","IN"),IF(COUNTIF(Flows!$M$2:$M$1500,$A127&amp;"|"&amp;J$1&amp;"|Output"),"OUT",""))</f>
        <v/>
      </c>
      <c r="K127" s="33" t="str">
        <f aca="false">IF(COUNTIF(Flows!$M$2:$M$1500,$A127&amp;"|"&amp;K$1&amp;"|Input"),IF(COUNTIF(Flows!$M$2:$M$1500,$A127&amp;"|"&amp;K$1&amp;"|Output"),"I/O","IN"),IF(COUNTIF(Flows!$M$2:$M$1500,$A127&amp;"|"&amp;K$1&amp;"|Output"),"OUT",""))</f>
        <v/>
      </c>
      <c r="L127" s="33" t="str">
        <f aca="false">IF(COUNTIF(Flows!$M$2:$M$1500,$A127&amp;"|"&amp;L$1&amp;"|Input"),IF(COUNTIF(Flows!$M$2:$M$1500,$A127&amp;"|"&amp;L$1&amp;"|Output"),"I/O","IN"),IF(COUNTIF(Flows!$M$2:$M$1500,$A127&amp;"|"&amp;L$1&amp;"|Output"),"OUT",""))</f>
        <v/>
      </c>
      <c r="M127" s="33" t="str">
        <f aca="false">IF(COUNTIF(Flows!$M$2:$M$1500,$A127&amp;"|"&amp;M$1&amp;"|Input"),IF(COUNTIF(Flows!$M$2:$M$1500,$A127&amp;"|"&amp;M$1&amp;"|Output"),"I/O","IN"),IF(COUNTIF(Flows!$M$2:$M$1500,$A127&amp;"|"&amp;M$1&amp;"|Output"),"OUT",""))</f>
        <v/>
      </c>
      <c r="N127" s="33" t="str">
        <f aca="false">IF(COUNTIF(Flows!$M$2:$M$1500,$A127&amp;"|"&amp;N$1&amp;"|Input"),IF(COUNTIF(Flows!$M$2:$M$1500,$A127&amp;"|"&amp;N$1&amp;"|Output"),"I/O","IN"),IF(COUNTIF(Flows!$M$2:$M$1500,$A127&amp;"|"&amp;N$1&amp;"|Output"),"OUT",""))</f>
        <v/>
      </c>
      <c r="O127" s="33" t="str">
        <f aca="false">IF(COUNTIF(Flows!$M$2:$M$1500,$A127&amp;"|"&amp;O$1&amp;"|Input"),IF(COUNTIF(Flows!$M$2:$M$1500,$A127&amp;"|"&amp;O$1&amp;"|Output"),"I/O","IN"),IF(COUNTIF(Flows!$M$2:$M$1500,$A127&amp;"|"&amp;O$1&amp;"|Output"),"OUT",""))</f>
        <v/>
      </c>
      <c r="P127" s="33" t="str">
        <f aca="false">IF(COUNTIF(Flows!$M$2:$M$1500,$A127&amp;"|"&amp;P$1&amp;"|Input"),IF(COUNTIF(Flows!$M$2:$M$1500,$A127&amp;"|"&amp;P$1&amp;"|Output"),"I/O","IN"),IF(COUNTIF(Flows!$M$2:$M$1500,$A127&amp;"|"&amp;P$1&amp;"|Output"),"OUT",""))</f>
        <v/>
      </c>
      <c r="Q127" s="33" t="str">
        <f aca="false">IF(COUNTIF(Flows!$M$2:$M$1500,$A127&amp;"|"&amp;Q$1&amp;"|Input"),IF(COUNTIF(Flows!$M$2:$M$1500,$A127&amp;"|"&amp;Q$1&amp;"|Output"),"I/O","IN"),IF(COUNTIF(Flows!$M$2:$M$1500,$A127&amp;"|"&amp;Q$1&amp;"|Output"),"OUT",""))</f>
        <v/>
      </c>
      <c r="R127" s="33" t="str">
        <f aca="false">IF(COUNTIF(Flows!$M$2:$M$1500,$A127&amp;"|"&amp;R$1&amp;"|Input"),IF(COUNTIF(Flows!$M$2:$M$1500,$A127&amp;"|"&amp;R$1&amp;"|Output"),"I/O","IN"),IF(COUNTIF(Flows!$M$2:$M$1500,$A127&amp;"|"&amp;R$1&amp;"|Output"),"OUT",""))</f>
        <v/>
      </c>
      <c r="S127" s="33" t="str">
        <f aca="false">IF(COUNTIF(Flows!$M$2:$M$1500,$A127&amp;"|"&amp;S$1&amp;"|Input"),IF(COUNTIF(Flows!$M$2:$M$1500,$A127&amp;"|"&amp;S$1&amp;"|Output"),"I/O","IN"),IF(COUNTIF(Flows!$M$2:$M$1500,$A127&amp;"|"&amp;S$1&amp;"|Output"),"OUT",""))</f>
        <v/>
      </c>
      <c r="T127" s="33" t="str">
        <f aca="false">IF(COUNTIF(Flows!$M$2:$M$1500,$A127&amp;"|"&amp;T$1&amp;"|Input"),IF(COUNTIF(Flows!$M$2:$M$1500,$A127&amp;"|"&amp;T$1&amp;"|Output"),"I/O","IN"),IF(COUNTIF(Flows!$M$2:$M$1500,$A127&amp;"|"&amp;T$1&amp;"|Output"),"OUT",""))</f>
        <v/>
      </c>
      <c r="U127" s="33" t="str">
        <f aca="false">IF(COUNTIF(Flows!$M$2:$M$1500,$A127&amp;"|"&amp;U$1&amp;"|Input"),IF(COUNTIF(Flows!$M$2:$M$1500,$A127&amp;"|"&amp;U$1&amp;"|Output"),"I/O","IN"),IF(COUNTIF(Flows!$M$2:$M$1500,$A127&amp;"|"&amp;U$1&amp;"|Output"),"OUT",""))</f>
        <v/>
      </c>
      <c r="V127" s="33" t="str">
        <f aca="false">IF(COUNTIF(Flows!$M$2:$M$1500,$A127&amp;"|"&amp;V$1&amp;"|Input"),IF(COUNTIF(Flows!$M$2:$M$1500,$A127&amp;"|"&amp;V$1&amp;"|Output"),"I/O","IN"),IF(COUNTIF(Flows!$M$2:$M$1500,$A127&amp;"|"&amp;V$1&amp;"|Output"),"OUT",""))</f>
        <v/>
      </c>
      <c r="W127" s="33" t="str">
        <f aca="false">IF(COUNTIF(Flows!$M$2:$M$1500,$A127&amp;"|"&amp;W$1&amp;"|Input"),IF(COUNTIF(Flows!$M$2:$M$1500,$A127&amp;"|"&amp;W$1&amp;"|Output"),"I/O","IN"),IF(COUNTIF(Flows!$M$2:$M$1500,$A127&amp;"|"&amp;W$1&amp;"|Output"),"OUT",""))</f>
        <v/>
      </c>
      <c r="X127" s="33" t="str">
        <f aca="false">IF(COUNTIF(Flows!$M$2:$M$1500,$A127&amp;"|"&amp;X$1&amp;"|Input"),IF(COUNTIF(Flows!$M$2:$M$1500,$A127&amp;"|"&amp;X$1&amp;"|Output"),"I/O","IN"),IF(COUNTIF(Flows!$M$2:$M$1500,$A127&amp;"|"&amp;X$1&amp;"|Output"),"OUT",""))</f>
        <v>IN</v>
      </c>
      <c r="Y127" s="33" t="str">
        <f aca="false">IF(COUNTIF(Flows!$M$2:$M$1500,$A127&amp;"|"&amp;Y$1&amp;"|Input"),IF(COUNTIF(Flows!$M$2:$M$1500,$A127&amp;"|"&amp;Y$1&amp;"|Output"),"I/O","IN"),IF(COUNTIF(Flows!$M$2:$M$1500,$A127&amp;"|"&amp;Y$1&amp;"|Output"),"OUT",""))</f>
        <v/>
      </c>
      <c r="Z127" s="33" t="str">
        <f aca="false">IF(COUNTIF(Flows!$M$2:$M$1500,$A127&amp;"|"&amp;Z$1&amp;"|Input"),IF(COUNTIF(Flows!$M$2:$M$1500,$A127&amp;"|"&amp;Z$1&amp;"|Output"),"I/O","IN"),IF(COUNTIF(Flows!$M$2:$M$1500,$A127&amp;"|"&amp;Z$1&amp;"|Output"),"OUT",""))</f>
        <v/>
      </c>
      <c r="AA127" s="33" t="str">
        <f aca="false">IF(COUNTIF(Flows!$M$2:$M$1500,$A127&amp;"|"&amp;AA$1&amp;"|Input"),IF(COUNTIF(Flows!$M$2:$M$1500,$A127&amp;"|"&amp;AA$1&amp;"|Output"),"I/O","IN"),IF(COUNTIF(Flows!$M$2:$M$1500,$A127&amp;"|"&amp;AA$1&amp;"|Output"),"OUT",""))</f>
        <v/>
      </c>
      <c r="AB127" s="33" t="str">
        <f aca="false">IF(COUNTIF(Flows!$M$2:$M$1500,$A127&amp;"|"&amp;AB$1&amp;"|Input"),IF(COUNTIF(Flows!$M$2:$M$1500,$A127&amp;"|"&amp;AB$1&amp;"|Output"),"I/O","IN"),IF(COUNTIF(Flows!$M$2:$M$1500,$A127&amp;"|"&amp;AB$1&amp;"|Output"),"OUT",""))</f>
        <v/>
      </c>
      <c r="AC127" s="33" t="str">
        <f aca="false">IF(COUNTIF(Flows!$M$2:$M$1500,$A127&amp;"|"&amp;AC$1&amp;"|Input"),IF(COUNTIF(Flows!$M$2:$M$1500,$A127&amp;"|"&amp;AC$1&amp;"|Output"),"I/O","IN"),IF(COUNTIF(Flows!$M$2:$M$1500,$A127&amp;"|"&amp;AC$1&amp;"|Output"),"OUT",""))</f>
        <v/>
      </c>
      <c r="AD127" s="33" t="str">
        <f aca="false">IF(COUNTIF(Flows!$M$2:$M$1500,$A127&amp;"|"&amp;AD$1&amp;"|Input"),IF(COUNTIF(Flows!$M$2:$M$1500,$A127&amp;"|"&amp;AD$1&amp;"|Output"),"I/O","IN"),IF(COUNTIF(Flows!$M$2:$M$1500,$A127&amp;"|"&amp;AD$1&amp;"|Output"),"OUT",""))</f>
        <v/>
      </c>
      <c r="AE127" s="33" t="str">
        <f aca="false">IF(COUNTIF(Flows!$M$2:$M$1500,$A127&amp;"|"&amp;AE$1&amp;"|Input"),IF(COUNTIF(Flows!$M$2:$M$1500,$A127&amp;"|"&amp;AE$1&amp;"|Output"),"I/O","IN"),IF(COUNTIF(Flows!$M$2:$M$1500,$A127&amp;"|"&amp;AE$1&amp;"|Output"),"OUT",""))</f>
        <v/>
      </c>
      <c r="AF127" s="33" t="str">
        <f aca="false">IF(COUNTIF(Flows!$M$2:$M$1500,$A127&amp;"|"&amp;AF$1&amp;"|Input"),IF(COUNTIF(Flows!$M$2:$M$1500,$A127&amp;"|"&amp;AF$1&amp;"|Output"),"I/O","IN"),IF(COUNTIF(Flows!$M$2:$M$1500,$A127&amp;"|"&amp;AF$1&amp;"|Output"),"OUT",""))</f>
        <v/>
      </c>
      <c r="AG127" s="33" t="str">
        <f aca="false">IF(COUNTIF(Flows!$M$2:$M$1500,$A127&amp;"|"&amp;AG$1&amp;"|Input"),IF(COUNTIF(Flows!$M$2:$M$1500,$A127&amp;"|"&amp;AG$1&amp;"|Output"),"I/O","IN"),IF(COUNTIF(Flows!$M$2:$M$1500,$A127&amp;"|"&amp;AG$1&amp;"|Output"),"OUT",""))</f>
        <v/>
      </c>
      <c r="AH127" s="33" t="str">
        <f aca="false">IF(COUNTIF(Flows!$M$2:$M$1500,$A127&amp;"|"&amp;AH$1&amp;"|Input"),IF(COUNTIF(Flows!$M$2:$M$1500,$A127&amp;"|"&amp;AH$1&amp;"|Output"),"I/O","IN"),IF(COUNTIF(Flows!$M$2:$M$1500,$A127&amp;"|"&amp;AH$1&amp;"|Output"),"OUT",""))</f>
        <v/>
      </c>
      <c r="AI127" s="33" t="str">
        <f aca="false">IF(COUNTIF(Flows!$M$2:$M$1500,$A127&amp;"|"&amp;AI$1&amp;"|Input"),IF(COUNTIF(Flows!$M$2:$M$1500,$A127&amp;"|"&amp;AI$1&amp;"|Output"),"I/O","IN"),IF(COUNTIF(Flows!$M$2:$M$1500,$A127&amp;"|"&amp;AI$1&amp;"|Output"),"OUT",""))</f>
        <v/>
      </c>
      <c r="AJ127" s="33" t="str">
        <f aca="false">IF(COUNTIF(Flows!$M$2:$M$1500,$A127&amp;"|"&amp;AJ$1&amp;"|Input"),IF(COUNTIF(Flows!$M$2:$M$1500,$A127&amp;"|"&amp;AJ$1&amp;"|Output"),"I/O","IN"),IF(COUNTIF(Flows!$M$2:$M$1500,$A127&amp;"|"&amp;AJ$1&amp;"|Output"),"OUT",""))</f>
        <v/>
      </c>
      <c r="AK127" s="33" t="str">
        <f aca="false">IF(COUNTIF(Flows!$M$2:$M$1500,$A127&amp;"|"&amp;AK$1&amp;"|Input"),IF(COUNTIF(Flows!$M$2:$M$1500,$A127&amp;"|"&amp;AK$1&amp;"|Output"),"I/O","IN"),IF(COUNTIF(Flows!$M$2:$M$1500,$A127&amp;"|"&amp;AK$1&amp;"|Output"),"OUT",""))</f>
        <v/>
      </c>
      <c r="AL127" s="33" t="str">
        <f aca="false">IF(COUNTIF(Flows!$M$2:$M$1500,$A127&amp;"|"&amp;AL$1&amp;"|Input"),IF(COUNTIF(Flows!$M$2:$M$1500,$A127&amp;"|"&amp;AL$1&amp;"|Output"),"I/O","IN"),IF(COUNTIF(Flows!$M$2:$M$1500,$A127&amp;"|"&amp;AL$1&amp;"|Output"),"OUT",""))</f>
        <v/>
      </c>
      <c r="AM127" s="33" t="str">
        <f aca="false">IF(COUNTIF(Flows!$M$2:$M$1500,$A127&amp;"|"&amp;AM$1&amp;"|Input"),IF(COUNTIF(Flows!$M$2:$M$1500,$A127&amp;"|"&amp;AM$1&amp;"|Output"),"I/O","IN"),IF(COUNTIF(Flows!$M$2:$M$1500,$A127&amp;"|"&amp;AM$1&amp;"|Output"),"OUT",""))</f>
        <v/>
      </c>
      <c r="AN127" s="33" t="str">
        <f aca="false">IF(COUNTIF(Flows!$M$2:$M$1500,$A127&amp;"|"&amp;AN$1&amp;"|Input"),IF(COUNTIF(Flows!$M$2:$M$1500,$A127&amp;"|"&amp;AN$1&amp;"|Output"),"I/O","IN"),IF(COUNTIF(Flows!$M$2:$M$1500,$A127&amp;"|"&amp;AN$1&amp;"|Output"),"OUT",""))</f>
        <v/>
      </c>
      <c r="AO127" s="33" t="str">
        <f aca="false">IF(COUNTIF(Flows!$M$2:$M$1500,$A127&amp;"|"&amp;AO$1&amp;"|Input"),IF(COUNTIF(Flows!$M$2:$M$1500,$A127&amp;"|"&amp;AO$1&amp;"|Output"),"I/O","IN"),IF(COUNTIF(Flows!$M$2:$M$1500,$A127&amp;"|"&amp;AO$1&amp;"|Output"),"OUT",""))</f>
        <v/>
      </c>
      <c r="AP127" s="33" t="str">
        <f aca="false">IF(COUNTIF(Flows!$M$2:$M$1500,$A127&amp;"|"&amp;AP$1&amp;"|Input"),IF(COUNTIF(Flows!$M$2:$M$1500,$A127&amp;"|"&amp;AP$1&amp;"|Output"),"I/O","IN"),IF(COUNTIF(Flows!$M$2:$M$1500,$A127&amp;"|"&amp;AP$1&amp;"|Output"),"OUT",""))</f>
        <v/>
      </c>
      <c r="AQ127" s="33" t="str">
        <f aca="false">IF(COUNTIF(Flows!$M$2:$M$1500,$A127&amp;"|"&amp;AQ$1&amp;"|Input"),IF(COUNTIF(Flows!$M$2:$M$1500,$A127&amp;"|"&amp;AQ$1&amp;"|Output"),"I/O","IN"),IF(COUNTIF(Flows!$M$2:$M$1500,$A127&amp;"|"&amp;AQ$1&amp;"|Output"),"OUT",""))</f>
        <v/>
      </c>
      <c r="AR127" s="33" t="str">
        <f aca="false">IF(COUNTIF(Flows!$M$2:$M$1500,$A127&amp;"|"&amp;AR$1&amp;"|Input"),IF(COUNTIF(Flows!$M$2:$M$1500,$A127&amp;"|"&amp;AR$1&amp;"|Output"),"I/O","IN"),IF(COUNTIF(Flows!$M$2:$M$1500,$A127&amp;"|"&amp;AR$1&amp;"|Output"),"OUT",""))</f>
        <v/>
      </c>
      <c r="AS127" s="33" t="str">
        <f aca="false">IF(COUNTIF(Flows!$M$2:$M$1500,$A127&amp;"|"&amp;AS$1&amp;"|Input"),IF(COUNTIF(Flows!$M$2:$M$1500,$A127&amp;"|"&amp;AS$1&amp;"|Output"),"I/O","IN"),IF(COUNTIF(Flows!$M$2:$M$1500,$A127&amp;"|"&amp;AS$1&amp;"|Output"),"OUT",""))</f>
        <v/>
      </c>
      <c r="AT127" s="33" t="str">
        <f aca="false">IF(COUNTIF(Flows!$M$2:$M$1500,$A127&amp;"|"&amp;AT$1&amp;"|Input"),IF(COUNTIF(Flows!$M$2:$M$1500,$A127&amp;"|"&amp;AT$1&amp;"|Output"),"I/O","IN"),IF(COUNTIF(Flows!$M$2:$M$1500,$A127&amp;"|"&amp;AT$1&amp;"|Output"),"OUT",""))</f>
        <v/>
      </c>
      <c r="AU127" s="33" t="str">
        <f aca="false">IF(COUNTIF(Flows!$M$2:$M$1500,$A127&amp;"|"&amp;AU$1&amp;"|Input"),IF(COUNTIF(Flows!$M$2:$M$1500,$A127&amp;"|"&amp;AU$1&amp;"|Output"),"I/O","IN"),IF(COUNTIF(Flows!$M$2:$M$1500,$A127&amp;"|"&amp;AU$1&amp;"|Output"),"OUT",""))</f>
        <v/>
      </c>
      <c r="AV127" s="33" t="str">
        <f aca="false">IF(COUNTIF(Flows!$M$2:$M$1500,$A127&amp;"|"&amp;AV$1&amp;"|Input"),IF(COUNTIF(Flows!$M$2:$M$1500,$A127&amp;"|"&amp;AV$1&amp;"|Output"),"I/O","IN"),IF(COUNTIF(Flows!$M$2:$M$1500,$A127&amp;"|"&amp;AV$1&amp;"|Output"),"OUT",""))</f>
        <v/>
      </c>
      <c r="AW127" s="33" t="str">
        <f aca="false">IF(COUNTIF(Flows!$M$2:$M$1500,$A127&amp;"|"&amp;AW$1&amp;"|Input"),IF(COUNTIF(Flows!$M$2:$M$1500,$A127&amp;"|"&amp;AW$1&amp;"|Output"),"I/O","IN"),IF(COUNTIF(Flows!$M$2:$M$1500,$A127&amp;"|"&amp;AW$1&amp;"|Output"),"OUT",""))</f>
        <v/>
      </c>
      <c r="AX127" s="33" t="str">
        <f aca="false">IF(COUNTIF(Flows!$M$2:$M$1500,$A127&amp;"|"&amp;AX$1&amp;"|Input"),IF(COUNTIF(Flows!$M$2:$M$1500,$A127&amp;"|"&amp;AX$1&amp;"|Output"),"I/O","IN"),IF(COUNTIF(Flows!$M$2:$M$1500,$A127&amp;"|"&amp;AX$1&amp;"|Output"),"OUT",""))</f>
        <v>IN</v>
      </c>
      <c r="AY127" s="33" t="str">
        <f aca="false">IF(COUNTIF(Flows!$M$2:$M$1500,$A127&amp;"|"&amp;AY$1&amp;"|Input"),IF(COUNTIF(Flows!$M$2:$M$1500,$A127&amp;"|"&amp;AY$1&amp;"|Output"),"I/O","IN"),IF(COUNTIF(Flows!$M$2:$M$1500,$A127&amp;"|"&amp;AY$1&amp;"|Output"),"OUT",""))</f>
        <v/>
      </c>
      <c r="AZ127" s="33" t="str">
        <f aca="false">IF(COUNTIF(Flows!$M$2:$M$1500,$A127&amp;"|"&amp;AZ$1&amp;"|Input"),IF(COUNTIF(Flows!$M$2:$M$1500,$A127&amp;"|"&amp;AZ$1&amp;"|Output"),"I/O","IN"),IF(COUNTIF(Flows!$M$2:$M$1500,$A127&amp;"|"&amp;AZ$1&amp;"|Output"),"OUT",""))</f>
        <v/>
      </c>
      <c r="BA127" s="33" t="str">
        <f aca="false">IF(COUNTIF(Flows!$M$2:$M$1500,$A127&amp;"|"&amp;BA$1&amp;"|Input"),IF(COUNTIF(Flows!$M$2:$M$1500,$A127&amp;"|"&amp;BA$1&amp;"|Output"),"I/O","IN"),IF(COUNTIF(Flows!$M$2:$M$1500,$A127&amp;"|"&amp;BA$1&amp;"|Output"),"OUT",""))</f>
        <v/>
      </c>
      <c r="BB127" s="33" t="str">
        <f aca="false">IF(COUNTIF(Flows!$M$2:$M$1500,$A127&amp;"|"&amp;BB$1&amp;"|Input"),IF(COUNTIF(Flows!$M$2:$M$1500,$A127&amp;"|"&amp;BB$1&amp;"|Output"),"I/O","IN"),IF(COUNTIF(Flows!$M$2:$M$1500,$A127&amp;"|"&amp;BB$1&amp;"|Output"),"OUT",""))</f>
        <v>IN</v>
      </c>
      <c r="BC127" s="33" t="str">
        <f aca="false">IF(COUNTIF(Flows!$M$2:$M$1500,$A127&amp;"|"&amp;BC$1&amp;"|Input"),IF(COUNTIF(Flows!$M$2:$M$1500,$A127&amp;"|"&amp;BC$1&amp;"|Output"),"I/O","IN"),IF(COUNTIF(Flows!$M$2:$M$1500,$A127&amp;"|"&amp;BC$1&amp;"|Output"),"OUT",""))</f>
        <v/>
      </c>
      <c r="BD127" s="33" t="str">
        <f aca="false">IF(COUNTIF(Flows!$M$2:$M$1500,$A127&amp;"|"&amp;BD$1&amp;"|Input"),IF(COUNTIF(Flows!$M$2:$M$1500,$A127&amp;"|"&amp;BD$1&amp;"|Output"),"I/O","IN"),IF(COUNTIF(Flows!$M$2:$M$1500,$A127&amp;"|"&amp;BD$1&amp;"|Output"),"OUT",""))</f>
        <v>IN</v>
      </c>
      <c r="BE127" s="33" t="str">
        <f aca="false">IF(COUNTIF(Flows!$M$2:$M$1500,$A127&amp;"|"&amp;BE$1&amp;"|Input"),IF(COUNTIF(Flows!$M$2:$M$1500,$A127&amp;"|"&amp;BE$1&amp;"|Output"),"I/O","IN"),IF(COUNTIF(Flows!$M$2:$M$1500,$A127&amp;"|"&amp;BE$1&amp;"|Output"),"OUT",""))</f>
        <v/>
      </c>
      <c r="BF127" s="33" t="str">
        <f aca="false">IF(COUNTIF(Flows!$M$2:$M$1500,$A127&amp;"|"&amp;BF$1&amp;"|Input"),IF(COUNTIF(Flows!$M$2:$M$1500,$A127&amp;"|"&amp;BF$1&amp;"|Output"),"I/O","IN"),IF(COUNTIF(Flows!$M$2:$M$1500,$A127&amp;"|"&amp;BF$1&amp;"|Output"),"OUT",""))</f>
        <v/>
      </c>
      <c r="BG127" s="33" t="str">
        <f aca="false">IF(COUNTIF(Flows!$M$2:$M$1500,$A127&amp;"|"&amp;BG$1&amp;"|Input"),IF(COUNTIF(Flows!$M$2:$M$1500,$A127&amp;"|"&amp;BG$1&amp;"|Output"),"I/O","IN"),IF(COUNTIF(Flows!$M$2:$M$1500,$A127&amp;"|"&amp;BG$1&amp;"|Output"),"OUT",""))</f>
        <v/>
      </c>
      <c r="BH127" s="33" t="str">
        <f aca="false">IF(COUNTIF(Flows!$M$2:$M$1500,$A127&amp;"|"&amp;BH$1&amp;"|Input"),IF(COUNTIF(Flows!$M$2:$M$1500,$A127&amp;"|"&amp;BH$1&amp;"|Output"),"I/O","IN"),IF(COUNTIF(Flows!$M$2:$M$1500,$A127&amp;"|"&amp;BH$1&amp;"|Output"),"OUT",""))</f>
        <v/>
      </c>
      <c r="BI127" s="33" t="str">
        <f aca="false">IF(COUNTIF(Flows!$M$2:$M$1500,$A127&amp;"|"&amp;BI$1&amp;"|Input"),IF(COUNTIF(Flows!$M$2:$M$1500,$A127&amp;"|"&amp;BI$1&amp;"|Output"),"I/O","IN"),IF(COUNTIF(Flows!$M$2:$M$1500,$A127&amp;"|"&amp;BI$1&amp;"|Output"),"OUT",""))</f>
        <v/>
      </c>
      <c r="BJ127" s="33" t="str">
        <f aca="false">IF(COUNTIF(Flows!$M$2:$M$1500,$A127&amp;"|"&amp;BJ$1&amp;"|Input"),IF(COUNTIF(Flows!$M$2:$M$1500,$A127&amp;"|"&amp;BJ$1&amp;"|Output"),"I/O","IN"),IF(COUNTIF(Flows!$M$2:$M$1500,$A127&amp;"|"&amp;BJ$1&amp;"|Output"),"OUT",""))</f>
        <v/>
      </c>
      <c r="BK127" s="33" t="str">
        <f aca="false">IF(COUNTIF(Flows!$M$2:$M$1500,$A127&amp;"|"&amp;BK$1&amp;"|Input"),IF(COUNTIF(Flows!$M$2:$M$1500,$A127&amp;"|"&amp;BK$1&amp;"|Output"),"I/O","IN"),IF(COUNTIF(Flows!$M$2:$M$1500,$A127&amp;"|"&amp;BK$1&amp;"|Output"),"OUT",""))</f>
        <v/>
      </c>
    </row>
    <row r="128" customFormat="false" ht="15" hidden="false" customHeight="true" outlineLevel="0" collapsed="false">
      <c r="A128" s="6" t="str">
        <f aca="false">Systems!B128</f>
        <v>Cold Frame</v>
      </c>
      <c r="B128" s="33" t="str">
        <f aca="false">IF(COUNTIF(Flows!$M$2:$M$1500,$A128&amp;"|"&amp;B$1&amp;"|Input"),IF(COUNTIF(Flows!$M$2:$M$1500,$A128&amp;"|"&amp;B$1&amp;"|Output"),"I/O","IN"),IF(COUNTIF(Flows!$M$2:$M$1500,$A128&amp;"|"&amp;B$1&amp;"|Output"),"OUT",""))</f>
        <v>IN</v>
      </c>
      <c r="C128" s="33" t="str">
        <f aca="false">IF(COUNTIF(Flows!$M$2:$M$1500,$A128&amp;"|"&amp;C$1&amp;"|Input"),IF(COUNTIF(Flows!$M$2:$M$1500,$A128&amp;"|"&amp;C$1&amp;"|Output"),"I/O","IN"),IF(COUNTIF(Flows!$M$2:$M$1500,$A128&amp;"|"&amp;C$1&amp;"|Output"),"OUT",""))</f>
        <v/>
      </c>
      <c r="D128" s="33" t="str">
        <f aca="false">IF(COUNTIF(Flows!$M$2:$M$1500,$A128&amp;"|"&amp;D$1&amp;"|Input"),IF(COUNTIF(Flows!$M$2:$M$1500,$A128&amp;"|"&amp;D$1&amp;"|Output"),"I/O","IN"),IF(COUNTIF(Flows!$M$2:$M$1500,$A128&amp;"|"&amp;D$1&amp;"|Output"),"OUT",""))</f>
        <v/>
      </c>
      <c r="E128" s="33" t="str">
        <f aca="false">IF(COUNTIF(Flows!$M$2:$M$1500,$A128&amp;"|"&amp;E$1&amp;"|Input"),IF(COUNTIF(Flows!$M$2:$M$1500,$A128&amp;"|"&amp;E$1&amp;"|Output"),"I/O","IN"),IF(COUNTIF(Flows!$M$2:$M$1500,$A128&amp;"|"&amp;E$1&amp;"|Output"),"OUT",""))</f>
        <v/>
      </c>
      <c r="F128" s="33" t="str">
        <f aca="false">IF(COUNTIF(Flows!$M$2:$M$1500,$A128&amp;"|"&amp;F$1&amp;"|Input"),IF(COUNTIF(Flows!$M$2:$M$1500,$A128&amp;"|"&amp;F$1&amp;"|Output"),"I/O","IN"),IF(COUNTIF(Flows!$M$2:$M$1500,$A128&amp;"|"&amp;F$1&amp;"|Output"),"OUT",""))</f>
        <v/>
      </c>
      <c r="G128" s="33" t="str">
        <f aca="false">IF(COUNTIF(Flows!$M$2:$M$1500,$A128&amp;"|"&amp;G$1&amp;"|Input"),IF(COUNTIF(Flows!$M$2:$M$1500,$A128&amp;"|"&amp;G$1&amp;"|Output"),"I/O","IN"),IF(COUNTIF(Flows!$M$2:$M$1500,$A128&amp;"|"&amp;G$1&amp;"|Output"),"OUT",""))</f>
        <v>OUT</v>
      </c>
      <c r="H128" s="33" t="str">
        <f aca="false">IF(COUNTIF(Flows!$M$2:$M$1500,$A128&amp;"|"&amp;H$1&amp;"|Input"),IF(COUNTIF(Flows!$M$2:$M$1500,$A128&amp;"|"&amp;H$1&amp;"|Output"),"I/O","IN"),IF(COUNTIF(Flows!$M$2:$M$1500,$A128&amp;"|"&amp;H$1&amp;"|Output"),"OUT",""))</f>
        <v/>
      </c>
      <c r="I128" s="33" t="str">
        <f aca="false">IF(COUNTIF(Flows!$M$2:$M$1500,$A128&amp;"|"&amp;I$1&amp;"|Input"),IF(COUNTIF(Flows!$M$2:$M$1500,$A128&amp;"|"&amp;I$1&amp;"|Output"),"I/O","IN"),IF(COUNTIF(Flows!$M$2:$M$1500,$A128&amp;"|"&amp;I$1&amp;"|Output"),"OUT",""))</f>
        <v/>
      </c>
      <c r="J128" s="33" t="str">
        <f aca="false">IF(COUNTIF(Flows!$M$2:$M$1500,$A128&amp;"|"&amp;J$1&amp;"|Input"),IF(COUNTIF(Flows!$M$2:$M$1500,$A128&amp;"|"&amp;J$1&amp;"|Output"),"I/O","IN"),IF(COUNTIF(Flows!$M$2:$M$1500,$A128&amp;"|"&amp;J$1&amp;"|Output"),"OUT",""))</f>
        <v/>
      </c>
      <c r="K128" s="33" t="str">
        <f aca="false">IF(COUNTIF(Flows!$M$2:$M$1500,$A128&amp;"|"&amp;K$1&amp;"|Input"),IF(COUNTIF(Flows!$M$2:$M$1500,$A128&amp;"|"&amp;K$1&amp;"|Output"),"I/O","IN"),IF(COUNTIF(Flows!$M$2:$M$1500,$A128&amp;"|"&amp;K$1&amp;"|Output"),"OUT",""))</f>
        <v/>
      </c>
      <c r="L128" s="33" t="str">
        <f aca="false">IF(COUNTIF(Flows!$M$2:$M$1500,$A128&amp;"|"&amp;L$1&amp;"|Input"),IF(COUNTIF(Flows!$M$2:$M$1500,$A128&amp;"|"&amp;L$1&amp;"|Output"),"I/O","IN"),IF(COUNTIF(Flows!$M$2:$M$1500,$A128&amp;"|"&amp;L$1&amp;"|Output"),"OUT",""))</f>
        <v/>
      </c>
      <c r="M128" s="33" t="str">
        <f aca="false">IF(COUNTIF(Flows!$M$2:$M$1500,$A128&amp;"|"&amp;M$1&amp;"|Input"),IF(COUNTIF(Flows!$M$2:$M$1500,$A128&amp;"|"&amp;M$1&amp;"|Output"),"I/O","IN"),IF(COUNTIF(Flows!$M$2:$M$1500,$A128&amp;"|"&amp;M$1&amp;"|Output"),"OUT",""))</f>
        <v/>
      </c>
      <c r="N128" s="33" t="str">
        <f aca="false">IF(COUNTIF(Flows!$M$2:$M$1500,$A128&amp;"|"&amp;N$1&amp;"|Input"),IF(COUNTIF(Flows!$M$2:$M$1500,$A128&amp;"|"&amp;N$1&amp;"|Output"),"I/O","IN"),IF(COUNTIF(Flows!$M$2:$M$1500,$A128&amp;"|"&amp;N$1&amp;"|Output"),"OUT",""))</f>
        <v/>
      </c>
      <c r="O128" s="33" t="str">
        <f aca="false">IF(COUNTIF(Flows!$M$2:$M$1500,$A128&amp;"|"&amp;O$1&amp;"|Input"),IF(COUNTIF(Flows!$M$2:$M$1500,$A128&amp;"|"&amp;O$1&amp;"|Output"),"I/O","IN"),IF(COUNTIF(Flows!$M$2:$M$1500,$A128&amp;"|"&amp;O$1&amp;"|Output"),"OUT",""))</f>
        <v/>
      </c>
      <c r="P128" s="33" t="str">
        <f aca="false">IF(COUNTIF(Flows!$M$2:$M$1500,$A128&amp;"|"&amp;P$1&amp;"|Input"),IF(COUNTIF(Flows!$M$2:$M$1500,$A128&amp;"|"&amp;P$1&amp;"|Output"),"I/O","IN"),IF(COUNTIF(Flows!$M$2:$M$1500,$A128&amp;"|"&amp;P$1&amp;"|Output"),"OUT",""))</f>
        <v/>
      </c>
      <c r="Q128" s="33" t="str">
        <f aca="false">IF(COUNTIF(Flows!$M$2:$M$1500,$A128&amp;"|"&amp;Q$1&amp;"|Input"),IF(COUNTIF(Flows!$M$2:$M$1500,$A128&amp;"|"&amp;Q$1&amp;"|Output"),"I/O","IN"),IF(COUNTIF(Flows!$M$2:$M$1500,$A128&amp;"|"&amp;Q$1&amp;"|Output"),"OUT",""))</f>
        <v/>
      </c>
      <c r="R128" s="33" t="str">
        <f aca="false">IF(COUNTIF(Flows!$M$2:$M$1500,$A128&amp;"|"&amp;R$1&amp;"|Input"),IF(COUNTIF(Flows!$M$2:$M$1500,$A128&amp;"|"&amp;R$1&amp;"|Output"),"I/O","IN"),IF(COUNTIF(Flows!$M$2:$M$1500,$A128&amp;"|"&amp;R$1&amp;"|Output"),"OUT",""))</f>
        <v/>
      </c>
      <c r="S128" s="33" t="str">
        <f aca="false">IF(COUNTIF(Flows!$M$2:$M$1500,$A128&amp;"|"&amp;S$1&amp;"|Input"),IF(COUNTIF(Flows!$M$2:$M$1500,$A128&amp;"|"&amp;S$1&amp;"|Output"),"I/O","IN"),IF(COUNTIF(Flows!$M$2:$M$1500,$A128&amp;"|"&amp;S$1&amp;"|Output"),"OUT",""))</f>
        <v/>
      </c>
      <c r="T128" s="33" t="str">
        <f aca="false">IF(COUNTIF(Flows!$M$2:$M$1500,$A128&amp;"|"&amp;T$1&amp;"|Input"),IF(COUNTIF(Flows!$M$2:$M$1500,$A128&amp;"|"&amp;T$1&amp;"|Output"),"I/O","IN"),IF(COUNTIF(Flows!$M$2:$M$1500,$A128&amp;"|"&amp;T$1&amp;"|Output"),"OUT",""))</f>
        <v/>
      </c>
      <c r="U128" s="33" t="str">
        <f aca="false">IF(COUNTIF(Flows!$M$2:$M$1500,$A128&amp;"|"&amp;U$1&amp;"|Input"),IF(COUNTIF(Flows!$M$2:$M$1500,$A128&amp;"|"&amp;U$1&amp;"|Output"),"I/O","IN"),IF(COUNTIF(Flows!$M$2:$M$1500,$A128&amp;"|"&amp;U$1&amp;"|Output"),"OUT",""))</f>
        <v/>
      </c>
      <c r="V128" s="33" t="str">
        <f aca="false">IF(COUNTIF(Flows!$M$2:$M$1500,$A128&amp;"|"&amp;V$1&amp;"|Input"),IF(COUNTIF(Flows!$M$2:$M$1500,$A128&amp;"|"&amp;V$1&amp;"|Output"),"I/O","IN"),IF(COUNTIF(Flows!$M$2:$M$1500,$A128&amp;"|"&amp;V$1&amp;"|Output"),"OUT",""))</f>
        <v/>
      </c>
      <c r="W128" s="33" t="str">
        <f aca="false">IF(COUNTIF(Flows!$M$2:$M$1500,$A128&amp;"|"&amp;W$1&amp;"|Input"),IF(COUNTIF(Flows!$M$2:$M$1500,$A128&amp;"|"&amp;W$1&amp;"|Output"),"I/O","IN"),IF(COUNTIF(Flows!$M$2:$M$1500,$A128&amp;"|"&amp;W$1&amp;"|Output"),"OUT",""))</f>
        <v/>
      </c>
      <c r="X128" s="33" t="str">
        <f aca="false">IF(COUNTIF(Flows!$M$2:$M$1500,$A128&amp;"|"&amp;X$1&amp;"|Input"),IF(COUNTIF(Flows!$M$2:$M$1500,$A128&amp;"|"&amp;X$1&amp;"|Output"),"I/O","IN"),IF(COUNTIF(Flows!$M$2:$M$1500,$A128&amp;"|"&amp;X$1&amp;"|Output"),"OUT",""))</f>
        <v>IN</v>
      </c>
      <c r="Y128" s="33" t="str">
        <f aca="false">IF(COUNTIF(Flows!$M$2:$M$1500,$A128&amp;"|"&amp;Y$1&amp;"|Input"),IF(COUNTIF(Flows!$M$2:$M$1500,$A128&amp;"|"&amp;Y$1&amp;"|Output"),"I/O","IN"),IF(COUNTIF(Flows!$M$2:$M$1500,$A128&amp;"|"&amp;Y$1&amp;"|Output"),"OUT",""))</f>
        <v/>
      </c>
      <c r="Z128" s="33" t="str">
        <f aca="false">IF(COUNTIF(Flows!$M$2:$M$1500,$A128&amp;"|"&amp;Z$1&amp;"|Input"),IF(COUNTIF(Flows!$M$2:$M$1500,$A128&amp;"|"&amp;Z$1&amp;"|Output"),"I/O","IN"),IF(COUNTIF(Flows!$M$2:$M$1500,$A128&amp;"|"&amp;Z$1&amp;"|Output"),"OUT",""))</f>
        <v/>
      </c>
      <c r="AA128" s="33" t="str">
        <f aca="false">IF(COUNTIF(Flows!$M$2:$M$1500,$A128&amp;"|"&amp;AA$1&amp;"|Input"),IF(COUNTIF(Flows!$M$2:$M$1500,$A128&amp;"|"&amp;AA$1&amp;"|Output"),"I/O","IN"),IF(COUNTIF(Flows!$M$2:$M$1500,$A128&amp;"|"&amp;AA$1&amp;"|Output"),"OUT",""))</f>
        <v/>
      </c>
      <c r="AB128" s="33" t="str">
        <f aca="false">IF(COUNTIF(Flows!$M$2:$M$1500,$A128&amp;"|"&amp;AB$1&amp;"|Input"),IF(COUNTIF(Flows!$M$2:$M$1500,$A128&amp;"|"&amp;AB$1&amp;"|Output"),"I/O","IN"),IF(COUNTIF(Flows!$M$2:$M$1500,$A128&amp;"|"&amp;AB$1&amp;"|Output"),"OUT",""))</f>
        <v/>
      </c>
      <c r="AC128" s="33" t="str">
        <f aca="false">IF(COUNTIF(Flows!$M$2:$M$1500,$A128&amp;"|"&amp;AC$1&amp;"|Input"),IF(COUNTIF(Flows!$M$2:$M$1500,$A128&amp;"|"&amp;AC$1&amp;"|Output"),"I/O","IN"),IF(COUNTIF(Flows!$M$2:$M$1500,$A128&amp;"|"&amp;AC$1&amp;"|Output"),"OUT",""))</f>
        <v/>
      </c>
      <c r="AD128" s="33" t="str">
        <f aca="false">IF(COUNTIF(Flows!$M$2:$M$1500,$A128&amp;"|"&amp;AD$1&amp;"|Input"),IF(COUNTIF(Flows!$M$2:$M$1500,$A128&amp;"|"&amp;AD$1&amp;"|Output"),"I/O","IN"),IF(COUNTIF(Flows!$M$2:$M$1500,$A128&amp;"|"&amp;AD$1&amp;"|Output"),"OUT",""))</f>
        <v/>
      </c>
      <c r="AE128" s="33" t="str">
        <f aca="false">IF(COUNTIF(Flows!$M$2:$M$1500,$A128&amp;"|"&amp;AE$1&amp;"|Input"),IF(COUNTIF(Flows!$M$2:$M$1500,$A128&amp;"|"&amp;AE$1&amp;"|Output"),"I/O","IN"),IF(COUNTIF(Flows!$M$2:$M$1500,$A128&amp;"|"&amp;AE$1&amp;"|Output"),"OUT",""))</f>
        <v/>
      </c>
      <c r="AF128" s="33" t="str">
        <f aca="false">IF(COUNTIF(Flows!$M$2:$M$1500,$A128&amp;"|"&amp;AF$1&amp;"|Input"),IF(COUNTIF(Flows!$M$2:$M$1500,$A128&amp;"|"&amp;AF$1&amp;"|Output"),"I/O","IN"),IF(COUNTIF(Flows!$M$2:$M$1500,$A128&amp;"|"&amp;AF$1&amp;"|Output"),"OUT",""))</f>
        <v/>
      </c>
      <c r="AG128" s="33" t="str">
        <f aca="false">IF(COUNTIF(Flows!$M$2:$M$1500,$A128&amp;"|"&amp;AG$1&amp;"|Input"),IF(COUNTIF(Flows!$M$2:$M$1500,$A128&amp;"|"&amp;AG$1&amp;"|Output"),"I/O","IN"),IF(COUNTIF(Flows!$M$2:$M$1500,$A128&amp;"|"&amp;AG$1&amp;"|Output"),"OUT",""))</f>
        <v/>
      </c>
      <c r="AH128" s="33" t="str">
        <f aca="false">IF(COUNTIF(Flows!$M$2:$M$1500,$A128&amp;"|"&amp;AH$1&amp;"|Input"),IF(COUNTIF(Flows!$M$2:$M$1500,$A128&amp;"|"&amp;AH$1&amp;"|Output"),"I/O","IN"),IF(COUNTIF(Flows!$M$2:$M$1500,$A128&amp;"|"&amp;AH$1&amp;"|Output"),"OUT",""))</f>
        <v/>
      </c>
      <c r="AI128" s="33" t="str">
        <f aca="false">IF(COUNTIF(Flows!$M$2:$M$1500,$A128&amp;"|"&amp;AI$1&amp;"|Input"),IF(COUNTIF(Flows!$M$2:$M$1500,$A128&amp;"|"&amp;AI$1&amp;"|Output"),"I/O","IN"),IF(COUNTIF(Flows!$M$2:$M$1500,$A128&amp;"|"&amp;AI$1&amp;"|Output"),"OUT",""))</f>
        <v/>
      </c>
      <c r="AJ128" s="33" t="str">
        <f aca="false">IF(COUNTIF(Flows!$M$2:$M$1500,$A128&amp;"|"&amp;AJ$1&amp;"|Input"),IF(COUNTIF(Flows!$M$2:$M$1500,$A128&amp;"|"&amp;AJ$1&amp;"|Output"),"I/O","IN"),IF(COUNTIF(Flows!$M$2:$M$1500,$A128&amp;"|"&amp;AJ$1&amp;"|Output"),"OUT",""))</f>
        <v/>
      </c>
      <c r="AK128" s="33" t="str">
        <f aca="false">IF(COUNTIF(Flows!$M$2:$M$1500,$A128&amp;"|"&amp;AK$1&amp;"|Input"),IF(COUNTIF(Flows!$M$2:$M$1500,$A128&amp;"|"&amp;AK$1&amp;"|Output"),"I/O","IN"),IF(COUNTIF(Flows!$M$2:$M$1500,$A128&amp;"|"&amp;AK$1&amp;"|Output"),"OUT",""))</f>
        <v/>
      </c>
      <c r="AL128" s="33" t="str">
        <f aca="false">IF(COUNTIF(Flows!$M$2:$M$1500,$A128&amp;"|"&amp;AL$1&amp;"|Input"),IF(COUNTIF(Flows!$M$2:$M$1500,$A128&amp;"|"&amp;AL$1&amp;"|Output"),"I/O","IN"),IF(COUNTIF(Flows!$M$2:$M$1500,$A128&amp;"|"&amp;AL$1&amp;"|Output"),"OUT",""))</f>
        <v/>
      </c>
      <c r="AM128" s="33" t="str">
        <f aca="false">IF(COUNTIF(Flows!$M$2:$M$1500,$A128&amp;"|"&amp;AM$1&amp;"|Input"),IF(COUNTIF(Flows!$M$2:$M$1500,$A128&amp;"|"&amp;AM$1&amp;"|Output"),"I/O","IN"),IF(COUNTIF(Flows!$M$2:$M$1500,$A128&amp;"|"&amp;AM$1&amp;"|Output"),"OUT",""))</f>
        <v/>
      </c>
      <c r="AN128" s="33" t="str">
        <f aca="false">IF(COUNTIF(Flows!$M$2:$M$1500,$A128&amp;"|"&amp;AN$1&amp;"|Input"),IF(COUNTIF(Flows!$M$2:$M$1500,$A128&amp;"|"&amp;AN$1&amp;"|Output"),"I/O","IN"),IF(COUNTIF(Flows!$M$2:$M$1500,$A128&amp;"|"&amp;AN$1&amp;"|Output"),"OUT",""))</f>
        <v/>
      </c>
      <c r="AO128" s="33" t="str">
        <f aca="false">IF(COUNTIF(Flows!$M$2:$M$1500,$A128&amp;"|"&amp;AO$1&amp;"|Input"),IF(COUNTIF(Flows!$M$2:$M$1500,$A128&amp;"|"&amp;AO$1&amp;"|Output"),"I/O","IN"),IF(COUNTIF(Flows!$M$2:$M$1500,$A128&amp;"|"&amp;AO$1&amp;"|Output"),"OUT",""))</f>
        <v/>
      </c>
      <c r="AP128" s="33" t="str">
        <f aca="false">IF(COUNTIF(Flows!$M$2:$M$1500,$A128&amp;"|"&amp;AP$1&amp;"|Input"),IF(COUNTIF(Flows!$M$2:$M$1500,$A128&amp;"|"&amp;AP$1&amp;"|Output"),"I/O","IN"),IF(COUNTIF(Flows!$M$2:$M$1500,$A128&amp;"|"&amp;AP$1&amp;"|Output"),"OUT",""))</f>
        <v/>
      </c>
      <c r="AQ128" s="33" t="str">
        <f aca="false">IF(COUNTIF(Flows!$M$2:$M$1500,$A128&amp;"|"&amp;AQ$1&amp;"|Input"),IF(COUNTIF(Flows!$M$2:$M$1500,$A128&amp;"|"&amp;AQ$1&amp;"|Output"),"I/O","IN"),IF(COUNTIF(Flows!$M$2:$M$1500,$A128&amp;"|"&amp;AQ$1&amp;"|Output"),"OUT",""))</f>
        <v/>
      </c>
      <c r="AR128" s="33" t="str">
        <f aca="false">IF(COUNTIF(Flows!$M$2:$M$1500,$A128&amp;"|"&amp;AR$1&amp;"|Input"),IF(COUNTIF(Flows!$M$2:$M$1500,$A128&amp;"|"&amp;AR$1&amp;"|Output"),"I/O","IN"),IF(COUNTIF(Flows!$M$2:$M$1500,$A128&amp;"|"&amp;AR$1&amp;"|Output"),"OUT",""))</f>
        <v/>
      </c>
      <c r="AS128" s="33" t="str">
        <f aca="false">IF(COUNTIF(Flows!$M$2:$M$1500,$A128&amp;"|"&amp;AS$1&amp;"|Input"),IF(COUNTIF(Flows!$M$2:$M$1500,$A128&amp;"|"&amp;AS$1&amp;"|Output"),"I/O","IN"),IF(COUNTIF(Flows!$M$2:$M$1500,$A128&amp;"|"&amp;AS$1&amp;"|Output"),"OUT",""))</f>
        <v/>
      </c>
      <c r="AT128" s="33" t="str">
        <f aca="false">IF(COUNTIF(Flows!$M$2:$M$1500,$A128&amp;"|"&amp;AT$1&amp;"|Input"),IF(COUNTIF(Flows!$M$2:$M$1500,$A128&amp;"|"&amp;AT$1&amp;"|Output"),"I/O","IN"),IF(COUNTIF(Flows!$M$2:$M$1500,$A128&amp;"|"&amp;AT$1&amp;"|Output"),"OUT",""))</f>
        <v/>
      </c>
      <c r="AU128" s="33" t="str">
        <f aca="false">IF(COUNTIF(Flows!$M$2:$M$1500,$A128&amp;"|"&amp;AU$1&amp;"|Input"),IF(COUNTIF(Flows!$M$2:$M$1500,$A128&amp;"|"&amp;AU$1&amp;"|Output"),"I/O","IN"),IF(COUNTIF(Flows!$M$2:$M$1500,$A128&amp;"|"&amp;AU$1&amp;"|Output"),"OUT",""))</f>
        <v/>
      </c>
      <c r="AV128" s="33" t="str">
        <f aca="false">IF(COUNTIF(Flows!$M$2:$M$1500,$A128&amp;"|"&amp;AV$1&amp;"|Input"),IF(COUNTIF(Flows!$M$2:$M$1500,$A128&amp;"|"&amp;AV$1&amp;"|Output"),"I/O","IN"),IF(COUNTIF(Flows!$M$2:$M$1500,$A128&amp;"|"&amp;AV$1&amp;"|Output"),"OUT",""))</f>
        <v/>
      </c>
      <c r="AW128" s="33" t="str">
        <f aca="false">IF(COUNTIF(Flows!$M$2:$M$1500,$A128&amp;"|"&amp;AW$1&amp;"|Input"),IF(COUNTIF(Flows!$M$2:$M$1500,$A128&amp;"|"&amp;AW$1&amp;"|Output"),"I/O","IN"),IF(COUNTIF(Flows!$M$2:$M$1500,$A128&amp;"|"&amp;AW$1&amp;"|Output"),"OUT",""))</f>
        <v/>
      </c>
      <c r="AX128" s="33" t="str">
        <f aca="false">IF(COUNTIF(Flows!$M$2:$M$1500,$A128&amp;"|"&amp;AX$1&amp;"|Input"),IF(COUNTIF(Flows!$M$2:$M$1500,$A128&amp;"|"&amp;AX$1&amp;"|Output"),"I/O","IN"),IF(COUNTIF(Flows!$M$2:$M$1500,$A128&amp;"|"&amp;AX$1&amp;"|Output"),"OUT",""))</f>
        <v/>
      </c>
      <c r="AY128" s="33" t="str">
        <f aca="false">IF(COUNTIF(Flows!$M$2:$M$1500,$A128&amp;"|"&amp;AY$1&amp;"|Input"),IF(COUNTIF(Flows!$M$2:$M$1500,$A128&amp;"|"&amp;AY$1&amp;"|Output"),"I/O","IN"),IF(COUNTIF(Flows!$M$2:$M$1500,$A128&amp;"|"&amp;AY$1&amp;"|Output"),"OUT",""))</f>
        <v/>
      </c>
      <c r="AZ128" s="33" t="str">
        <f aca="false">IF(COUNTIF(Flows!$M$2:$M$1500,$A128&amp;"|"&amp;AZ$1&amp;"|Input"),IF(COUNTIF(Flows!$M$2:$M$1500,$A128&amp;"|"&amp;AZ$1&amp;"|Output"),"I/O","IN"),IF(COUNTIF(Flows!$M$2:$M$1500,$A128&amp;"|"&amp;AZ$1&amp;"|Output"),"OUT",""))</f>
        <v/>
      </c>
      <c r="BA128" s="33" t="str">
        <f aca="false">IF(COUNTIF(Flows!$M$2:$M$1500,$A128&amp;"|"&amp;BA$1&amp;"|Input"),IF(COUNTIF(Flows!$M$2:$M$1500,$A128&amp;"|"&amp;BA$1&amp;"|Output"),"I/O","IN"),IF(COUNTIF(Flows!$M$2:$M$1500,$A128&amp;"|"&amp;BA$1&amp;"|Output"),"OUT",""))</f>
        <v/>
      </c>
      <c r="BB128" s="33" t="str">
        <f aca="false">IF(COUNTIF(Flows!$M$2:$M$1500,$A128&amp;"|"&amp;BB$1&amp;"|Input"),IF(COUNTIF(Flows!$M$2:$M$1500,$A128&amp;"|"&amp;BB$1&amp;"|Output"),"I/O","IN"),IF(COUNTIF(Flows!$M$2:$M$1500,$A128&amp;"|"&amp;BB$1&amp;"|Output"),"OUT",""))</f>
        <v>IN</v>
      </c>
      <c r="BC128" s="33" t="str">
        <f aca="false">IF(COUNTIF(Flows!$M$2:$M$1500,$A128&amp;"|"&amp;BC$1&amp;"|Input"),IF(COUNTIF(Flows!$M$2:$M$1500,$A128&amp;"|"&amp;BC$1&amp;"|Output"),"I/O","IN"),IF(COUNTIF(Flows!$M$2:$M$1500,$A128&amp;"|"&amp;BC$1&amp;"|Output"),"OUT",""))</f>
        <v/>
      </c>
      <c r="BD128" s="33" t="str">
        <f aca="false">IF(COUNTIF(Flows!$M$2:$M$1500,$A128&amp;"|"&amp;BD$1&amp;"|Input"),IF(COUNTIF(Flows!$M$2:$M$1500,$A128&amp;"|"&amp;BD$1&amp;"|Output"),"I/O","IN"),IF(COUNTIF(Flows!$M$2:$M$1500,$A128&amp;"|"&amp;BD$1&amp;"|Output"),"OUT",""))</f>
        <v/>
      </c>
      <c r="BE128" s="33" t="str">
        <f aca="false">IF(COUNTIF(Flows!$M$2:$M$1500,$A128&amp;"|"&amp;BE$1&amp;"|Input"),IF(COUNTIF(Flows!$M$2:$M$1500,$A128&amp;"|"&amp;BE$1&amp;"|Output"),"I/O","IN"),IF(COUNTIF(Flows!$M$2:$M$1500,$A128&amp;"|"&amp;BE$1&amp;"|Output"),"OUT",""))</f>
        <v/>
      </c>
      <c r="BF128" s="33" t="str">
        <f aca="false">IF(COUNTIF(Flows!$M$2:$M$1500,$A128&amp;"|"&amp;BF$1&amp;"|Input"),IF(COUNTIF(Flows!$M$2:$M$1500,$A128&amp;"|"&amp;BF$1&amp;"|Output"),"I/O","IN"),IF(COUNTIF(Flows!$M$2:$M$1500,$A128&amp;"|"&amp;BF$1&amp;"|Output"),"OUT",""))</f>
        <v/>
      </c>
      <c r="BG128" s="33" t="str">
        <f aca="false">IF(COUNTIF(Flows!$M$2:$M$1500,$A128&amp;"|"&amp;BG$1&amp;"|Input"),IF(COUNTIF(Flows!$M$2:$M$1500,$A128&amp;"|"&amp;BG$1&amp;"|Output"),"I/O","IN"),IF(COUNTIF(Flows!$M$2:$M$1500,$A128&amp;"|"&amp;BG$1&amp;"|Output"),"OUT",""))</f>
        <v/>
      </c>
      <c r="BH128" s="33" t="str">
        <f aca="false">IF(COUNTIF(Flows!$M$2:$M$1500,$A128&amp;"|"&amp;BH$1&amp;"|Input"),IF(COUNTIF(Flows!$M$2:$M$1500,$A128&amp;"|"&amp;BH$1&amp;"|Output"),"I/O","IN"),IF(COUNTIF(Flows!$M$2:$M$1500,$A128&amp;"|"&amp;BH$1&amp;"|Output"),"OUT",""))</f>
        <v/>
      </c>
      <c r="BI128" s="33" t="str">
        <f aca="false">IF(COUNTIF(Flows!$M$2:$M$1500,$A128&amp;"|"&amp;BI$1&amp;"|Input"),IF(COUNTIF(Flows!$M$2:$M$1500,$A128&amp;"|"&amp;BI$1&amp;"|Output"),"I/O","IN"),IF(COUNTIF(Flows!$M$2:$M$1500,$A128&amp;"|"&amp;BI$1&amp;"|Output"),"OUT",""))</f>
        <v/>
      </c>
      <c r="BJ128" s="33" t="str">
        <f aca="false">IF(COUNTIF(Flows!$M$2:$M$1500,$A128&amp;"|"&amp;BJ$1&amp;"|Input"),IF(COUNTIF(Flows!$M$2:$M$1500,$A128&amp;"|"&amp;BJ$1&amp;"|Output"),"I/O","IN"),IF(COUNTIF(Flows!$M$2:$M$1500,$A128&amp;"|"&amp;BJ$1&amp;"|Output"),"OUT",""))</f>
        <v/>
      </c>
      <c r="BK128" s="33" t="str">
        <f aca="false">IF(COUNTIF(Flows!$M$2:$M$1500,$A128&amp;"|"&amp;BK$1&amp;"|Input"),IF(COUNTIF(Flows!$M$2:$M$1500,$A128&amp;"|"&amp;BK$1&amp;"|Output"),"I/O","IN"),IF(COUNTIF(Flows!$M$2:$M$1500,$A128&amp;"|"&amp;BK$1&amp;"|Output"),"OUT",""))</f>
        <v/>
      </c>
    </row>
    <row r="129" customFormat="false" ht="15" hidden="false" customHeight="true" outlineLevel="0" collapsed="false">
      <c r="A129" s="6" t="str">
        <f aca="false">Systems!B129</f>
        <v>Hugelkultur Bed</v>
      </c>
      <c r="B129" s="33" t="str">
        <f aca="false">IF(COUNTIF(Flows!$M$2:$M$1500,$A129&amp;"|"&amp;B$1&amp;"|Input"),IF(COUNTIF(Flows!$M$2:$M$1500,$A129&amp;"|"&amp;B$1&amp;"|Output"),"I/O","IN"),IF(COUNTIF(Flows!$M$2:$M$1500,$A129&amp;"|"&amp;B$1&amp;"|Output"),"OUT",""))</f>
        <v>IN</v>
      </c>
      <c r="C129" s="33" t="str">
        <f aca="false">IF(COUNTIF(Flows!$M$2:$M$1500,$A129&amp;"|"&amp;C$1&amp;"|Input"),IF(COUNTIF(Flows!$M$2:$M$1500,$A129&amp;"|"&amp;C$1&amp;"|Output"),"I/O","IN"),IF(COUNTIF(Flows!$M$2:$M$1500,$A129&amp;"|"&amp;C$1&amp;"|Output"),"OUT",""))</f>
        <v/>
      </c>
      <c r="D129" s="33" t="str">
        <f aca="false">IF(COUNTIF(Flows!$M$2:$M$1500,$A129&amp;"|"&amp;D$1&amp;"|Input"),IF(COUNTIF(Flows!$M$2:$M$1500,$A129&amp;"|"&amp;D$1&amp;"|Output"),"I/O","IN"),IF(COUNTIF(Flows!$M$2:$M$1500,$A129&amp;"|"&amp;D$1&amp;"|Output"),"OUT",""))</f>
        <v/>
      </c>
      <c r="E129" s="33" t="str">
        <f aca="false">IF(COUNTIF(Flows!$M$2:$M$1500,$A129&amp;"|"&amp;E$1&amp;"|Input"),IF(COUNTIF(Flows!$M$2:$M$1500,$A129&amp;"|"&amp;E$1&amp;"|Output"),"I/O","IN"),IF(COUNTIF(Flows!$M$2:$M$1500,$A129&amp;"|"&amp;E$1&amp;"|Output"),"OUT",""))</f>
        <v/>
      </c>
      <c r="F129" s="33" t="str">
        <f aca="false">IF(COUNTIF(Flows!$M$2:$M$1500,$A129&amp;"|"&amp;F$1&amp;"|Input"),IF(COUNTIF(Flows!$M$2:$M$1500,$A129&amp;"|"&amp;F$1&amp;"|Output"),"I/O","IN"),IF(COUNTIF(Flows!$M$2:$M$1500,$A129&amp;"|"&amp;F$1&amp;"|Output"),"OUT",""))</f>
        <v/>
      </c>
      <c r="G129" s="33" t="str">
        <f aca="false">IF(COUNTIF(Flows!$M$2:$M$1500,$A129&amp;"|"&amp;G$1&amp;"|Input"),IF(COUNTIF(Flows!$M$2:$M$1500,$A129&amp;"|"&amp;G$1&amp;"|Output"),"I/O","IN"),IF(COUNTIF(Flows!$M$2:$M$1500,$A129&amp;"|"&amp;G$1&amp;"|Output"),"OUT",""))</f>
        <v>OUT</v>
      </c>
      <c r="H129" s="33" t="str">
        <f aca="false">IF(COUNTIF(Flows!$M$2:$M$1500,$A129&amp;"|"&amp;H$1&amp;"|Input"),IF(COUNTIF(Flows!$M$2:$M$1500,$A129&amp;"|"&amp;H$1&amp;"|Output"),"I/O","IN"),IF(COUNTIF(Flows!$M$2:$M$1500,$A129&amp;"|"&amp;H$1&amp;"|Output"),"OUT",""))</f>
        <v/>
      </c>
      <c r="I129" s="33" t="str">
        <f aca="false">IF(COUNTIF(Flows!$M$2:$M$1500,$A129&amp;"|"&amp;I$1&amp;"|Input"),IF(COUNTIF(Flows!$M$2:$M$1500,$A129&amp;"|"&amp;I$1&amp;"|Output"),"I/O","IN"),IF(COUNTIF(Flows!$M$2:$M$1500,$A129&amp;"|"&amp;I$1&amp;"|Output"),"OUT",""))</f>
        <v/>
      </c>
      <c r="J129" s="33" t="str">
        <f aca="false">IF(COUNTIF(Flows!$M$2:$M$1500,$A129&amp;"|"&amp;J$1&amp;"|Input"),IF(COUNTIF(Flows!$M$2:$M$1500,$A129&amp;"|"&amp;J$1&amp;"|Output"),"I/O","IN"),IF(COUNTIF(Flows!$M$2:$M$1500,$A129&amp;"|"&amp;J$1&amp;"|Output"),"OUT",""))</f>
        <v/>
      </c>
      <c r="K129" s="33" t="str">
        <f aca="false">IF(COUNTIF(Flows!$M$2:$M$1500,$A129&amp;"|"&amp;K$1&amp;"|Input"),IF(COUNTIF(Flows!$M$2:$M$1500,$A129&amp;"|"&amp;K$1&amp;"|Output"),"I/O","IN"),IF(COUNTIF(Flows!$M$2:$M$1500,$A129&amp;"|"&amp;K$1&amp;"|Output"),"OUT",""))</f>
        <v/>
      </c>
      <c r="L129" s="33" t="str">
        <f aca="false">IF(COUNTIF(Flows!$M$2:$M$1500,$A129&amp;"|"&amp;L$1&amp;"|Input"),IF(COUNTIF(Flows!$M$2:$M$1500,$A129&amp;"|"&amp;L$1&amp;"|Output"),"I/O","IN"),IF(COUNTIF(Flows!$M$2:$M$1500,$A129&amp;"|"&amp;L$1&amp;"|Output"),"OUT",""))</f>
        <v/>
      </c>
      <c r="M129" s="33" t="str">
        <f aca="false">IF(COUNTIF(Flows!$M$2:$M$1500,$A129&amp;"|"&amp;M$1&amp;"|Input"),IF(COUNTIF(Flows!$M$2:$M$1500,$A129&amp;"|"&amp;M$1&amp;"|Output"),"I/O","IN"),IF(COUNTIF(Flows!$M$2:$M$1500,$A129&amp;"|"&amp;M$1&amp;"|Output"),"OUT",""))</f>
        <v/>
      </c>
      <c r="N129" s="33" t="str">
        <f aca="false">IF(COUNTIF(Flows!$M$2:$M$1500,$A129&amp;"|"&amp;N$1&amp;"|Input"),IF(COUNTIF(Flows!$M$2:$M$1500,$A129&amp;"|"&amp;N$1&amp;"|Output"),"I/O","IN"),IF(COUNTIF(Flows!$M$2:$M$1500,$A129&amp;"|"&amp;N$1&amp;"|Output"),"OUT",""))</f>
        <v/>
      </c>
      <c r="O129" s="33" t="str">
        <f aca="false">IF(COUNTIF(Flows!$M$2:$M$1500,$A129&amp;"|"&amp;O$1&amp;"|Input"),IF(COUNTIF(Flows!$M$2:$M$1500,$A129&amp;"|"&amp;O$1&amp;"|Output"),"I/O","IN"),IF(COUNTIF(Flows!$M$2:$M$1500,$A129&amp;"|"&amp;O$1&amp;"|Output"),"OUT",""))</f>
        <v/>
      </c>
      <c r="P129" s="33" t="str">
        <f aca="false">IF(COUNTIF(Flows!$M$2:$M$1500,$A129&amp;"|"&amp;P$1&amp;"|Input"),IF(COUNTIF(Flows!$M$2:$M$1500,$A129&amp;"|"&amp;P$1&amp;"|Output"),"I/O","IN"),IF(COUNTIF(Flows!$M$2:$M$1500,$A129&amp;"|"&amp;P$1&amp;"|Output"),"OUT",""))</f>
        <v/>
      </c>
      <c r="Q129" s="33" t="str">
        <f aca="false">IF(COUNTIF(Flows!$M$2:$M$1500,$A129&amp;"|"&amp;Q$1&amp;"|Input"),IF(COUNTIF(Flows!$M$2:$M$1500,$A129&amp;"|"&amp;Q$1&amp;"|Output"),"I/O","IN"),IF(COUNTIF(Flows!$M$2:$M$1500,$A129&amp;"|"&amp;Q$1&amp;"|Output"),"OUT",""))</f>
        <v/>
      </c>
      <c r="R129" s="33" t="str">
        <f aca="false">IF(COUNTIF(Flows!$M$2:$M$1500,$A129&amp;"|"&amp;R$1&amp;"|Input"),IF(COUNTIF(Flows!$M$2:$M$1500,$A129&amp;"|"&amp;R$1&amp;"|Output"),"I/O","IN"),IF(COUNTIF(Flows!$M$2:$M$1500,$A129&amp;"|"&amp;R$1&amp;"|Output"),"OUT",""))</f>
        <v/>
      </c>
      <c r="S129" s="33" t="str">
        <f aca="false">IF(COUNTIF(Flows!$M$2:$M$1500,$A129&amp;"|"&amp;S$1&amp;"|Input"),IF(COUNTIF(Flows!$M$2:$M$1500,$A129&amp;"|"&amp;S$1&amp;"|Output"),"I/O","IN"),IF(COUNTIF(Flows!$M$2:$M$1500,$A129&amp;"|"&amp;S$1&amp;"|Output"),"OUT",""))</f>
        <v/>
      </c>
      <c r="T129" s="33" t="str">
        <f aca="false">IF(COUNTIF(Flows!$M$2:$M$1500,$A129&amp;"|"&amp;T$1&amp;"|Input"),IF(COUNTIF(Flows!$M$2:$M$1500,$A129&amp;"|"&amp;T$1&amp;"|Output"),"I/O","IN"),IF(COUNTIF(Flows!$M$2:$M$1500,$A129&amp;"|"&amp;T$1&amp;"|Output"),"OUT",""))</f>
        <v/>
      </c>
      <c r="U129" s="33" t="str">
        <f aca="false">IF(COUNTIF(Flows!$M$2:$M$1500,$A129&amp;"|"&amp;U$1&amp;"|Input"),IF(COUNTIF(Flows!$M$2:$M$1500,$A129&amp;"|"&amp;U$1&amp;"|Output"),"I/O","IN"),IF(COUNTIF(Flows!$M$2:$M$1500,$A129&amp;"|"&amp;U$1&amp;"|Output"),"OUT",""))</f>
        <v/>
      </c>
      <c r="V129" s="33" t="str">
        <f aca="false">IF(COUNTIF(Flows!$M$2:$M$1500,$A129&amp;"|"&amp;V$1&amp;"|Input"),IF(COUNTIF(Flows!$M$2:$M$1500,$A129&amp;"|"&amp;V$1&amp;"|Output"),"I/O","IN"),IF(COUNTIF(Flows!$M$2:$M$1500,$A129&amp;"|"&amp;V$1&amp;"|Output"),"OUT",""))</f>
        <v/>
      </c>
      <c r="W129" s="33" t="str">
        <f aca="false">IF(COUNTIF(Flows!$M$2:$M$1500,$A129&amp;"|"&amp;W$1&amp;"|Input"),IF(COUNTIF(Flows!$M$2:$M$1500,$A129&amp;"|"&amp;W$1&amp;"|Output"),"I/O","IN"),IF(COUNTIF(Flows!$M$2:$M$1500,$A129&amp;"|"&amp;W$1&amp;"|Output"),"OUT",""))</f>
        <v/>
      </c>
      <c r="X129" s="33" t="str">
        <f aca="false">IF(COUNTIF(Flows!$M$2:$M$1500,$A129&amp;"|"&amp;X$1&amp;"|Input"),IF(COUNTIF(Flows!$M$2:$M$1500,$A129&amp;"|"&amp;X$1&amp;"|Output"),"I/O","IN"),IF(COUNTIF(Flows!$M$2:$M$1500,$A129&amp;"|"&amp;X$1&amp;"|Output"),"OUT",""))</f>
        <v>IN</v>
      </c>
      <c r="Y129" s="33" t="str">
        <f aca="false">IF(COUNTIF(Flows!$M$2:$M$1500,$A129&amp;"|"&amp;Y$1&amp;"|Input"),IF(COUNTIF(Flows!$M$2:$M$1500,$A129&amp;"|"&amp;Y$1&amp;"|Output"),"I/O","IN"),IF(COUNTIF(Flows!$M$2:$M$1500,$A129&amp;"|"&amp;Y$1&amp;"|Output"),"OUT",""))</f>
        <v/>
      </c>
      <c r="Z129" s="33" t="str">
        <f aca="false">IF(COUNTIF(Flows!$M$2:$M$1500,$A129&amp;"|"&amp;Z$1&amp;"|Input"),IF(COUNTIF(Flows!$M$2:$M$1500,$A129&amp;"|"&amp;Z$1&amp;"|Output"),"I/O","IN"),IF(COUNTIF(Flows!$M$2:$M$1500,$A129&amp;"|"&amp;Z$1&amp;"|Output"),"OUT",""))</f>
        <v/>
      </c>
      <c r="AA129" s="33" t="str">
        <f aca="false">IF(COUNTIF(Flows!$M$2:$M$1500,$A129&amp;"|"&amp;AA$1&amp;"|Input"),IF(COUNTIF(Flows!$M$2:$M$1500,$A129&amp;"|"&amp;AA$1&amp;"|Output"),"I/O","IN"),IF(COUNTIF(Flows!$M$2:$M$1500,$A129&amp;"|"&amp;AA$1&amp;"|Output"),"OUT",""))</f>
        <v/>
      </c>
      <c r="AB129" s="33" t="str">
        <f aca="false">IF(COUNTIF(Flows!$M$2:$M$1500,$A129&amp;"|"&amp;AB$1&amp;"|Input"),IF(COUNTIF(Flows!$M$2:$M$1500,$A129&amp;"|"&amp;AB$1&amp;"|Output"),"I/O","IN"),IF(COUNTIF(Flows!$M$2:$M$1500,$A129&amp;"|"&amp;AB$1&amp;"|Output"),"OUT",""))</f>
        <v/>
      </c>
      <c r="AC129" s="33" t="str">
        <f aca="false">IF(COUNTIF(Flows!$M$2:$M$1500,$A129&amp;"|"&amp;AC$1&amp;"|Input"),IF(COUNTIF(Flows!$M$2:$M$1500,$A129&amp;"|"&amp;AC$1&amp;"|Output"),"I/O","IN"),IF(COUNTIF(Flows!$M$2:$M$1500,$A129&amp;"|"&amp;AC$1&amp;"|Output"),"OUT",""))</f>
        <v/>
      </c>
      <c r="AD129" s="33" t="str">
        <f aca="false">IF(COUNTIF(Flows!$M$2:$M$1500,$A129&amp;"|"&amp;AD$1&amp;"|Input"),IF(COUNTIF(Flows!$M$2:$M$1500,$A129&amp;"|"&amp;AD$1&amp;"|Output"),"I/O","IN"),IF(COUNTIF(Flows!$M$2:$M$1500,$A129&amp;"|"&amp;AD$1&amp;"|Output"),"OUT",""))</f>
        <v/>
      </c>
      <c r="AE129" s="33" t="str">
        <f aca="false">IF(COUNTIF(Flows!$M$2:$M$1500,$A129&amp;"|"&amp;AE$1&amp;"|Input"),IF(COUNTIF(Flows!$M$2:$M$1500,$A129&amp;"|"&amp;AE$1&amp;"|Output"),"I/O","IN"),IF(COUNTIF(Flows!$M$2:$M$1500,$A129&amp;"|"&amp;AE$1&amp;"|Output"),"OUT",""))</f>
        <v/>
      </c>
      <c r="AF129" s="33" t="str">
        <f aca="false">IF(COUNTIF(Flows!$M$2:$M$1500,$A129&amp;"|"&amp;AF$1&amp;"|Input"),IF(COUNTIF(Flows!$M$2:$M$1500,$A129&amp;"|"&amp;AF$1&amp;"|Output"),"I/O","IN"),IF(COUNTIF(Flows!$M$2:$M$1500,$A129&amp;"|"&amp;AF$1&amp;"|Output"),"OUT",""))</f>
        <v/>
      </c>
      <c r="AG129" s="33" t="str">
        <f aca="false">IF(COUNTIF(Flows!$M$2:$M$1500,$A129&amp;"|"&amp;AG$1&amp;"|Input"),IF(COUNTIF(Flows!$M$2:$M$1500,$A129&amp;"|"&amp;AG$1&amp;"|Output"),"I/O","IN"),IF(COUNTIF(Flows!$M$2:$M$1500,$A129&amp;"|"&amp;AG$1&amp;"|Output"),"OUT",""))</f>
        <v/>
      </c>
      <c r="AH129" s="33" t="str">
        <f aca="false">IF(COUNTIF(Flows!$M$2:$M$1500,$A129&amp;"|"&amp;AH$1&amp;"|Input"),IF(COUNTIF(Flows!$M$2:$M$1500,$A129&amp;"|"&amp;AH$1&amp;"|Output"),"I/O","IN"),IF(COUNTIF(Flows!$M$2:$M$1500,$A129&amp;"|"&amp;AH$1&amp;"|Output"),"OUT",""))</f>
        <v/>
      </c>
      <c r="AI129" s="33" t="str">
        <f aca="false">IF(COUNTIF(Flows!$M$2:$M$1500,$A129&amp;"|"&amp;AI$1&amp;"|Input"),IF(COUNTIF(Flows!$M$2:$M$1500,$A129&amp;"|"&amp;AI$1&amp;"|Output"),"I/O","IN"),IF(COUNTIF(Flows!$M$2:$M$1500,$A129&amp;"|"&amp;AI$1&amp;"|Output"),"OUT",""))</f>
        <v/>
      </c>
      <c r="AJ129" s="33" t="str">
        <f aca="false">IF(COUNTIF(Flows!$M$2:$M$1500,$A129&amp;"|"&amp;AJ$1&amp;"|Input"),IF(COUNTIF(Flows!$M$2:$M$1500,$A129&amp;"|"&amp;AJ$1&amp;"|Output"),"I/O","IN"),IF(COUNTIF(Flows!$M$2:$M$1500,$A129&amp;"|"&amp;AJ$1&amp;"|Output"),"OUT",""))</f>
        <v/>
      </c>
      <c r="AK129" s="33" t="str">
        <f aca="false">IF(COUNTIF(Flows!$M$2:$M$1500,$A129&amp;"|"&amp;AK$1&amp;"|Input"),IF(COUNTIF(Flows!$M$2:$M$1500,$A129&amp;"|"&amp;AK$1&amp;"|Output"),"I/O","IN"),IF(COUNTIF(Flows!$M$2:$M$1500,$A129&amp;"|"&amp;AK$1&amp;"|Output"),"OUT",""))</f>
        <v/>
      </c>
      <c r="AL129" s="33" t="str">
        <f aca="false">IF(COUNTIF(Flows!$M$2:$M$1500,$A129&amp;"|"&amp;AL$1&amp;"|Input"),IF(COUNTIF(Flows!$M$2:$M$1500,$A129&amp;"|"&amp;AL$1&amp;"|Output"),"I/O","IN"),IF(COUNTIF(Flows!$M$2:$M$1500,$A129&amp;"|"&amp;AL$1&amp;"|Output"),"OUT",""))</f>
        <v>IN</v>
      </c>
      <c r="AM129" s="33" t="str">
        <f aca="false">IF(COUNTIF(Flows!$M$2:$M$1500,$A129&amp;"|"&amp;AM$1&amp;"|Input"),IF(COUNTIF(Flows!$M$2:$M$1500,$A129&amp;"|"&amp;AM$1&amp;"|Output"),"I/O","IN"),IF(COUNTIF(Flows!$M$2:$M$1500,$A129&amp;"|"&amp;AM$1&amp;"|Output"),"OUT",""))</f>
        <v/>
      </c>
      <c r="AN129" s="33" t="str">
        <f aca="false">IF(COUNTIF(Flows!$M$2:$M$1500,$A129&amp;"|"&amp;AN$1&amp;"|Input"),IF(COUNTIF(Flows!$M$2:$M$1500,$A129&amp;"|"&amp;AN$1&amp;"|Output"),"I/O","IN"),IF(COUNTIF(Flows!$M$2:$M$1500,$A129&amp;"|"&amp;AN$1&amp;"|Output"),"OUT",""))</f>
        <v/>
      </c>
      <c r="AO129" s="33" t="str">
        <f aca="false">IF(COUNTIF(Flows!$M$2:$M$1500,$A129&amp;"|"&amp;AO$1&amp;"|Input"),IF(COUNTIF(Flows!$M$2:$M$1500,$A129&amp;"|"&amp;AO$1&amp;"|Output"),"I/O","IN"),IF(COUNTIF(Flows!$M$2:$M$1500,$A129&amp;"|"&amp;AO$1&amp;"|Output"),"OUT",""))</f>
        <v/>
      </c>
      <c r="AP129" s="33" t="str">
        <f aca="false">IF(COUNTIF(Flows!$M$2:$M$1500,$A129&amp;"|"&amp;AP$1&amp;"|Input"),IF(COUNTIF(Flows!$M$2:$M$1500,$A129&amp;"|"&amp;AP$1&amp;"|Output"),"I/O","IN"),IF(COUNTIF(Flows!$M$2:$M$1500,$A129&amp;"|"&amp;AP$1&amp;"|Output"),"OUT",""))</f>
        <v>IN</v>
      </c>
      <c r="AQ129" s="33" t="str">
        <f aca="false">IF(COUNTIF(Flows!$M$2:$M$1500,$A129&amp;"|"&amp;AQ$1&amp;"|Input"),IF(COUNTIF(Flows!$M$2:$M$1500,$A129&amp;"|"&amp;AQ$1&amp;"|Output"),"I/O","IN"),IF(COUNTIF(Flows!$M$2:$M$1500,$A129&amp;"|"&amp;AQ$1&amp;"|Output"),"OUT",""))</f>
        <v/>
      </c>
      <c r="AR129" s="33" t="str">
        <f aca="false">IF(COUNTIF(Flows!$M$2:$M$1500,$A129&amp;"|"&amp;AR$1&amp;"|Input"),IF(COUNTIF(Flows!$M$2:$M$1500,$A129&amp;"|"&amp;AR$1&amp;"|Output"),"I/O","IN"),IF(COUNTIF(Flows!$M$2:$M$1500,$A129&amp;"|"&amp;AR$1&amp;"|Output"),"OUT",""))</f>
        <v/>
      </c>
      <c r="AS129" s="33" t="str">
        <f aca="false">IF(COUNTIF(Flows!$M$2:$M$1500,$A129&amp;"|"&amp;AS$1&amp;"|Input"),IF(COUNTIF(Flows!$M$2:$M$1500,$A129&amp;"|"&amp;AS$1&amp;"|Output"),"I/O","IN"),IF(COUNTIF(Flows!$M$2:$M$1500,$A129&amp;"|"&amp;AS$1&amp;"|Output"),"OUT",""))</f>
        <v/>
      </c>
      <c r="AT129" s="33" t="str">
        <f aca="false">IF(COUNTIF(Flows!$M$2:$M$1500,$A129&amp;"|"&amp;AT$1&amp;"|Input"),IF(COUNTIF(Flows!$M$2:$M$1500,$A129&amp;"|"&amp;AT$1&amp;"|Output"),"I/O","IN"),IF(COUNTIF(Flows!$M$2:$M$1500,$A129&amp;"|"&amp;AT$1&amp;"|Output"),"OUT",""))</f>
        <v/>
      </c>
      <c r="AU129" s="33" t="str">
        <f aca="false">IF(COUNTIF(Flows!$M$2:$M$1500,$A129&amp;"|"&amp;AU$1&amp;"|Input"),IF(COUNTIF(Flows!$M$2:$M$1500,$A129&amp;"|"&amp;AU$1&amp;"|Output"),"I/O","IN"),IF(COUNTIF(Flows!$M$2:$M$1500,$A129&amp;"|"&amp;AU$1&amp;"|Output"),"OUT",""))</f>
        <v/>
      </c>
      <c r="AV129" s="33" t="str">
        <f aca="false">IF(COUNTIF(Flows!$M$2:$M$1500,$A129&amp;"|"&amp;AV$1&amp;"|Input"),IF(COUNTIF(Flows!$M$2:$M$1500,$A129&amp;"|"&amp;AV$1&amp;"|Output"),"I/O","IN"),IF(COUNTIF(Flows!$M$2:$M$1500,$A129&amp;"|"&amp;AV$1&amp;"|Output"),"OUT",""))</f>
        <v/>
      </c>
      <c r="AW129" s="33" t="str">
        <f aca="false">IF(COUNTIF(Flows!$M$2:$M$1500,$A129&amp;"|"&amp;AW$1&amp;"|Input"),IF(COUNTIF(Flows!$M$2:$M$1500,$A129&amp;"|"&amp;AW$1&amp;"|Output"),"I/O","IN"),IF(COUNTIF(Flows!$M$2:$M$1500,$A129&amp;"|"&amp;AW$1&amp;"|Output"),"OUT",""))</f>
        <v/>
      </c>
      <c r="AX129" s="33" t="str">
        <f aca="false">IF(COUNTIF(Flows!$M$2:$M$1500,$A129&amp;"|"&amp;AX$1&amp;"|Input"),IF(COUNTIF(Flows!$M$2:$M$1500,$A129&amp;"|"&amp;AX$1&amp;"|Output"),"I/O","IN"),IF(COUNTIF(Flows!$M$2:$M$1500,$A129&amp;"|"&amp;AX$1&amp;"|Output"),"OUT",""))</f>
        <v/>
      </c>
      <c r="AY129" s="33" t="str">
        <f aca="false">IF(COUNTIF(Flows!$M$2:$M$1500,$A129&amp;"|"&amp;AY$1&amp;"|Input"),IF(COUNTIF(Flows!$M$2:$M$1500,$A129&amp;"|"&amp;AY$1&amp;"|Output"),"I/O","IN"),IF(COUNTIF(Flows!$M$2:$M$1500,$A129&amp;"|"&amp;AY$1&amp;"|Output"),"OUT",""))</f>
        <v/>
      </c>
      <c r="AZ129" s="33" t="str">
        <f aca="false">IF(COUNTIF(Flows!$M$2:$M$1500,$A129&amp;"|"&amp;AZ$1&amp;"|Input"),IF(COUNTIF(Flows!$M$2:$M$1500,$A129&amp;"|"&amp;AZ$1&amp;"|Output"),"I/O","IN"),IF(COUNTIF(Flows!$M$2:$M$1500,$A129&amp;"|"&amp;AZ$1&amp;"|Output"),"OUT",""))</f>
        <v/>
      </c>
      <c r="BA129" s="33" t="str">
        <f aca="false">IF(COUNTIF(Flows!$M$2:$M$1500,$A129&amp;"|"&amp;BA$1&amp;"|Input"),IF(COUNTIF(Flows!$M$2:$M$1500,$A129&amp;"|"&amp;BA$1&amp;"|Output"),"I/O","IN"),IF(COUNTIF(Flows!$M$2:$M$1500,$A129&amp;"|"&amp;BA$1&amp;"|Output"),"OUT",""))</f>
        <v/>
      </c>
      <c r="BB129" s="33" t="str">
        <f aca="false">IF(COUNTIF(Flows!$M$2:$M$1500,$A129&amp;"|"&amp;BB$1&amp;"|Input"),IF(COUNTIF(Flows!$M$2:$M$1500,$A129&amp;"|"&amp;BB$1&amp;"|Output"),"I/O","IN"),IF(COUNTIF(Flows!$M$2:$M$1500,$A129&amp;"|"&amp;BB$1&amp;"|Output"),"OUT",""))</f>
        <v/>
      </c>
      <c r="BC129" s="33" t="str">
        <f aca="false">IF(COUNTIF(Flows!$M$2:$M$1500,$A129&amp;"|"&amp;BC$1&amp;"|Input"),IF(COUNTIF(Flows!$M$2:$M$1500,$A129&amp;"|"&amp;BC$1&amp;"|Output"),"I/O","IN"),IF(COUNTIF(Flows!$M$2:$M$1500,$A129&amp;"|"&amp;BC$1&amp;"|Output"),"OUT",""))</f>
        <v/>
      </c>
      <c r="BD129" s="33" t="str">
        <f aca="false">IF(COUNTIF(Flows!$M$2:$M$1500,$A129&amp;"|"&amp;BD$1&amp;"|Input"),IF(COUNTIF(Flows!$M$2:$M$1500,$A129&amp;"|"&amp;BD$1&amp;"|Output"),"I/O","IN"),IF(COUNTIF(Flows!$M$2:$M$1500,$A129&amp;"|"&amp;BD$1&amp;"|Output"),"OUT",""))</f>
        <v>IN</v>
      </c>
      <c r="BE129" s="33" t="str">
        <f aca="false">IF(COUNTIF(Flows!$M$2:$M$1500,$A129&amp;"|"&amp;BE$1&amp;"|Input"),IF(COUNTIF(Flows!$M$2:$M$1500,$A129&amp;"|"&amp;BE$1&amp;"|Output"),"I/O","IN"),IF(COUNTIF(Flows!$M$2:$M$1500,$A129&amp;"|"&amp;BE$1&amp;"|Output"),"OUT",""))</f>
        <v/>
      </c>
      <c r="BF129" s="33" t="str">
        <f aca="false">IF(COUNTIF(Flows!$M$2:$M$1500,$A129&amp;"|"&amp;BF$1&amp;"|Input"),IF(COUNTIF(Flows!$M$2:$M$1500,$A129&amp;"|"&amp;BF$1&amp;"|Output"),"I/O","IN"),IF(COUNTIF(Flows!$M$2:$M$1500,$A129&amp;"|"&amp;BF$1&amp;"|Output"),"OUT",""))</f>
        <v/>
      </c>
      <c r="BG129" s="33" t="str">
        <f aca="false">IF(COUNTIF(Flows!$M$2:$M$1500,$A129&amp;"|"&amp;BG$1&amp;"|Input"),IF(COUNTIF(Flows!$M$2:$M$1500,$A129&amp;"|"&amp;BG$1&amp;"|Output"),"I/O","IN"),IF(COUNTIF(Flows!$M$2:$M$1500,$A129&amp;"|"&amp;BG$1&amp;"|Output"),"OUT",""))</f>
        <v/>
      </c>
      <c r="BH129" s="33" t="str">
        <f aca="false">IF(COUNTIF(Flows!$M$2:$M$1500,$A129&amp;"|"&amp;BH$1&amp;"|Input"),IF(COUNTIF(Flows!$M$2:$M$1500,$A129&amp;"|"&amp;BH$1&amp;"|Output"),"I/O","IN"),IF(COUNTIF(Flows!$M$2:$M$1500,$A129&amp;"|"&amp;BH$1&amp;"|Output"),"OUT",""))</f>
        <v/>
      </c>
      <c r="BI129" s="33" t="str">
        <f aca="false">IF(COUNTIF(Flows!$M$2:$M$1500,$A129&amp;"|"&amp;BI$1&amp;"|Input"),IF(COUNTIF(Flows!$M$2:$M$1500,$A129&amp;"|"&amp;BI$1&amp;"|Output"),"I/O","IN"),IF(COUNTIF(Flows!$M$2:$M$1500,$A129&amp;"|"&amp;BI$1&amp;"|Output"),"OUT",""))</f>
        <v/>
      </c>
      <c r="BJ129" s="33" t="str">
        <f aca="false">IF(COUNTIF(Flows!$M$2:$M$1500,$A129&amp;"|"&amp;BJ$1&amp;"|Input"),IF(COUNTIF(Flows!$M$2:$M$1500,$A129&amp;"|"&amp;BJ$1&amp;"|Output"),"I/O","IN"),IF(COUNTIF(Flows!$M$2:$M$1500,$A129&amp;"|"&amp;BJ$1&amp;"|Output"),"OUT",""))</f>
        <v/>
      </c>
      <c r="BK129" s="33" t="str">
        <f aca="false">IF(COUNTIF(Flows!$M$2:$M$1500,$A129&amp;"|"&amp;BK$1&amp;"|Input"),IF(COUNTIF(Flows!$M$2:$M$1500,$A129&amp;"|"&amp;BK$1&amp;"|Output"),"I/O","IN"),IF(COUNTIF(Flows!$M$2:$M$1500,$A129&amp;"|"&amp;BK$1&amp;"|Output"),"OUT",""))</f>
        <v/>
      </c>
    </row>
    <row r="130" customFormat="false" ht="15" hidden="false" customHeight="true" outlineLevel="0" collapsed="false">
      <c r="A130" s="6" t="str">
        <f aca="false">Systems!B130</f>
        <v>Herb Spiral</v>
      </c>
      <c r="B130" s="33" t="str">
        <f aca="false">IF(COUNTIF(Flows!$M$2:$M$1500,$A130&amp;"|"&amp;B$1&amp;"|Input"),IF(COUNTIF(Flows!$M$2:$M$1500,$A130&amp;"|"&amp;B$1&amp;"|Output"),"I/O","IN"),IF(COUNTIF(Flows!$M$2:$M$1500,$A130&amp;"|"&amp;B$1&amp;"|Output"),"OUT",""))</f>
        <v>IN</v>
      </c>
      <c r="C130" s="33" t="str">
        <f aca="false">IF(COUNTIF(Flows!$M$2:$M$1500,$A130&amp;"|"&amp;C$1&amp;"|Input"),IF(COUNTIF(Flows!$M$2:$M$1500,$A130&amp;"|"&amp;C$1&amp;"|Output"),"I/O","IN"),IF(COUNTIF(Flows!$M$2:$M$1500,$A130&amp;"|"&amp;C$1&amp;"|Output"),"OUT",""))</f>
        <v/>
      </c>
      <c r="D130" s="33" t="str">
        <f aca="false">IF(COUNTIF(Flows!$M$2:$M$1500,$A130&amp;"|"&amp;D$1&amp;"|Input"),IF(COUNTIF(Flows!$M$2:$M$1500,$A130&amp;"|"&amp;D$1&amp;"|Output"),"I/O","IN"),IF(COUNTIF(Flows!$M$2:$M$1500,$A130&amp;"|"&amp;D$1&amp;"|Output"),"OUT",""))</f>
        <v/>
      </c>
      <c r="E130" s="33" t="str">
        <f aca="false">IF(COUNTIF(Flows!$M$2:$M$1500,$A130&amp;"|"&amp;E$1&amp;"|Input"),IF(COUNTIF(Flows!$M$2:$M$1500,$A130&amp;"|"&amp;E$1&amp;"|Output"),"I/O","IN"),IF(COUNTIF(Flows!$M$2:$M$1500,$A130&amp;"|"&amp;E$1&amp;"|Output"),"OUT",""))</f>
        <v/>
      </c>
      <c r="F130" s="33" t="str">
        <f aca="false">IF(COUNTIF(Flows!$M$2:$M$1500,$A130&amp;"|"&amp;F$1&amp;"|Input"),IF(COUNTIF(Flows!$M$2:$M$1500,$A130&amp;"|"&amp;F$1&amp;"|Output"),"I/O","IN"),IF(COUNTIF(Flows!$M$2:$M$1500,$A130&amp;"|"&amp;F$1&amp;"|Output"),"OUT",""))</f>
        <v/>
      </c>
      <c r="G130" s="33" t="str">
        <f aca="false">IF(COUNTIF(Flows!$M$2:$M$1500,$A130&amp;"|"&amp;G$1&amp;"|Input"),IF(COUNTIF(Flows!$M$2:$M$1500,$A130&amp;"|"&amp;G$1&amp;"|Output"),"I/O","IN"),IF(COUNTIF(Flows!$M$2:$M$1500,$A130&amp;"|"&amp;G$1&amp;"|Output"),"OUT",""))</f>
        <v>OUT</v>
      </c>
      <c r="H130" s="33" t="str">
        <f aca="false">IF(COUNTIF(Flows!$M$2:$M$1500,$A130&amp;"|"&amp;H$1&amp;"|Input"),IF(COUNTIF(Flows!$M$2:$M$1500,$A130&amp;"|"&amp;H$1&amp;"|Output"),"I/O","IN"),IF(COUNTIF(Flows!$M$2:$M$1500,$A130&amp;"|"&amp;H$1&amp;"|Output"),"OUT",""))</f>
        <v/>
      </c>
      <c r="I130" s="33" t="str">
        <f aca="false">IF(COUNTIF(Flows!$M$2:$M$1500,$A130&amp;"|"&amp;I$1&amp;"|Input"),IF(COUNTIF(Flows!$M$2:$M$1500,$A130&amp;"|"&amp;I$1&amp;"|Output"),"I/O","IN"),IF(COUNTIF(Flows!$M$2:$M$1500,$A130&amp;"|"&amp;I$1&amp;"|Output"),"OUT",""))</f>
        <v/>
      </c>
      <c r="J130" s="33" t="str">
        <f aca="false">IF(COUNTIF(Flows!$M$2:$M$1500,$A130&amp;"|"&amp;J$1&amp;"|Input"),IF(COUNTIF(Flows!$M$2:$M$1500,$A130&amp;"|"&amp;J$1&amp;"|Output"),"I/O","IN"),IF(COUNTIF(Flows!$M$2:$M$1500,$A130&amp;"|"&amp;J$1&amp;"|Output"),"OUT",""))</f>
        <v/>
      </c>
      <c r="K130" s="33" t="str">
        <f aca="false">IF(COUNTIF(Flows!$M$2:$M$1500,$A130&amp;"|"&amp;K$1&amp;"|Input"),IF(COUNTIF(Flows!$M$2:$M$1500,$A130&amp;"|"&amp;K$1&amp;"|Output"),"I/O","IN"),IF(COUNTIF(Flows!$M$2:$M$1500,$A130&amp;"|"&amp;K$1&amp;"|Output"),"OUT",""))</f>
        <v/>
      </c>
      <c r="L130" s="33" t="str">
        <f aca="false">IF(COUNTIF(Flows!$M$2:$M$1500,$A130&amp;"|"&amp;L$1&amp;"|Input"),IF(COUNTIF(Flows!$M$2:$M$1500,$A130&amp;"|"&amp;L$1&amp;"|Output"),"I/O","IN"),IF(COUNTIF(Flows!$M$2:$M$1500,$A130&amp;"|"&amp;L$1&amp;"|Output"),"OUT",""))</f>
        <v/>
      </c>
      <c r="M130" s="33" t="str">
        <f aca="false">IF(COUNTIF(Flows!$M$2:$M$1500,$A130&amp;"|"&amp;M$1&amp;"|Input"),IF(COUNTIF(Flows!$M$2:$M$1500,$A130&amp;"|"&amp;M$1&amp;"|Output"),"I/O","IN"),IF(COUNTIF(Flows!$M$2:$M$1500,$A130&amp;"|"&amp;M$1&amp;"|Output"),"OUT",""))</f>
        <v/>
      </c>
      <c r="N130" s="33" t="str">
        <f aca="false">IF(COUNTIF(Flows!$M$2:$M$1500,$A130&amp;"|"&amp;N$1&amp;"|Input"),IF(COUNTIF(Flows!$M$2:$M$1500,$A130&amp;"|"&amp;N$1&amp;"|Output"),"I/O","IN"),IF(COUNTIF(Flows!$M$2:$M$1500,$A130&amp;"|"&amp;N$1&amp;"|Output"),"OUT",""))</f>
        <v/>
      </c>
      <c r="O130" s="33" t="str">
        <f aca="false">IF(COUNTIF(Flows!$M$2:$M$1500,$A130&amp;"|"&amp;O$1&amp;"|Input"),IF(COUNTIF(Flows!$M$2:$M$1500,$A130&amp;"|"&amp;O$1&amp;"|Output"),"I/O","IN"),IF(COUNTIF(Flows!$M$2:$M$1500,$A130&amp;"|"&amp;O$1&amp;"|Output"),"OUT",""))</f>
        <v/>
      </c>
      <c r="P130" s="33" t="str">
        <f aca="false">IF(COUNTIF(Flows!$M$2:$M$1500,$A130&amp;"|"&amp;P$1&amp;"|Input"),IF(COUNTIF(Flows!$M$2:$M$1500,$A130&amp;"|"&amp;P$1&amp;"|Output"),"I/O","IN"),IF(COUNTIF(Flows!$M$2:$M$1500,$A130&amp;"|"&amp;P$1&amp;"|Output"),"OUT",""))</f>
        <v/>
      </c>
      <c r="Q130" s="33" t="str">
        <f aca="false">IF(COUNTIF(Flows!$M$2:$M$1500,$A130&amp;"|"&amp;Q$1&amp;"|Input"),IF(COUNTIF(Flows!$M$2:$M$1500,$A130&amp;"|"&amp;Q$1&amp;"|Output"),"I/O","IN"),IF(COUNTIF(Flows!$M$2:$M$1500,$A130&amp;"|"&amp;Q$1&amp;"|Output"),"OUT",""))</f>
        <v/>
      </c>
      <c r="R130" s="33" t="str">
        <f aca="false">IF(COUNTIF(Flows!$M$2:$M$1500,$A130&amp;"|"&amp;R$1&amp;"|Input"),IF(COUNTIF(Flows!$M$2:$M$1500,$A130&amp;"|"&amp;R$1&amp;"|Output"),"I/O","IN"),IF(COUNTIF(Flows!$M$2:$M$1500,$A130&amp;"|"&amp;R$1&amp;"|Output"),"OUT",""))</f>
        <v/>
      </c>
      <c r="S130" s="33" t="str">
        <f aca="false">IF(COUNTIF(Flows!$M$2:$M$1500,$A130&amp;"|"&amp;S$1&amp;"|Input"),IF(COUNTIF(Flows!$M$2:$M$1500,$A130&amp;"|"&amp;S$1&amp;"|Output"),"I/O","IN"),IF(COUNTIF(Flows!$M$2:$M$1500,$A130&amp;"|"&amp;S$1&amp;"|Output"),"OUT",""))</f>
        <v/>
      </c>
      <c r="T130" s="33" t="str">
        <f aca="false">IF(COUNTIF(Flows!$M$2:$M$1500,$A130&amp;"|"&amp;T$1&amp;"|Input"),IF(COUNTIF(Flows!$M$2:$M$1500,$A130&amp;"|"&amp;T$1&amp;"|Output"),"I/O","IN"),IF(COUNTIF(Flows!$M$2:$M$1500,$A130&amp;"|"&amp;T$1&amp;"|Output"),"OUT",""))</f>
        <v/>
      </c>
      <c r="U130" s="33" t="str">
        <f aca="false">IF(COUNTIF(Flows!$M$2:$M$1500,$A130&amp;"|"&amp;U$1&amp;"|Input"),IF(COUNTIF(Flows!$M$2:$M$1500,$A130&amp;"|"&amp;U$1&amp;"|Output"),"I/O","IN"),IF(COUNTIF(Flows!$M$2:$M$1500,$A130&amp;"|"&amp;U$1&amp;"|Output"),"OUT",""))</f>
        <v/>
      </c>
      <c r="V130" s="33" t="str">
        <f aca="false">IF(COUNTIF(Flows!$M$2:$M$1500,$A130&amp;"|"&amp;V$1&amp;"|Input"),IF(COUNTIF(Flows!$M$2:$M$1500,$A130&amp;"|"&amp;V$1&amp;"|Output"),"I/O","IN"),IF(COUNTIF(Flows!$M$2:$M$1500,$A130&amp;"|"&amp;V$1&amp;"|Output"),"OUT",""))</f>
        <v/>
      </c>
      <c r="W130" s="33" t="str">
        <f aca="false">IF(COUNTIF(Flows!$M$2:$M$1500,$A130&amp;"|"&amp;W$1&amp;"|Input"),IF(COUNTIF(Flows!$M$2:$M$1500,$A130&amp;"|"&amp;W$1&amp;"|Output"),"I/O","IN"),IF(COUNTIF(Flows!$M$2:$M$1500,$A130&amp;"|"&amp;W$1&amp;"|Output"),"OUT",""))</f>
        <v/>
      </c>
      <c r="X130" s="33" t="str">
        <f aca="false">IF(COUNTIF(Flows!$M$2:$M$1500,$A130&amp;"|"&amp;X$1&amp;"|Input"),IF(COUNTIF(Flows!$M$2:$M$1500,$A130&amp;"|"&amp;X$1&amp;"|Output"),"I/O","IN"),IF(COUNTIF(Flows!$M$2:$M$1500,$A130&amp;"|"&amp;X$1&amp;"|Output"),"OUT",""))</f>
        <v>IN</v>
      </c>
      <c r="Y130" s="33" t="str">
        <f aca="false">IF(COUNTIF(Flows!$M$2:$M$1500,$A130&amp;"|"&amp;Y$1&amp;"|Input"),IF(COUNTIF(Flows!$M$2:$M$1500,$A130&amp;"|"&amp;Y$1&amp;"|Output"),"I/O","IN"),IF(COUNTIF(Flows!$M$2:$M$1500,$A130&amp;"|"&amp;Y$1&amp;"|Output"),"OUT",""))</f>
        <v/>
      </c>
      <c r="Z130" s="33" t="str">
        <f aca="false">IF(COUNTIF(Flows!$M$2:$M$1500,$A130&amp;"|"&amp;Z$1&amp;"|Input"),IF(COUNTIF(Flows!$M$2:$M$1500,$A130&amp;"|"&amp;Z$1&amp;"|Output"),"I/O","IN"),IF(COUNTIF(Flows!$M$2:$M$1500,$A130&amp;"|"&amp;Z$1&amp;"|Output"),"OUT",""))</f>
        <v/>
      </c>
      <c r="AA130" s="33" t="str">
        <f aca="false">IF(COUNTIF(Flows!$M$2:$M$1500,$A130&amp;"|"&amp;AA$1&amp;"|Input"),IF(COUNTIF(Flows!$M$2:$M$1500,$A130&amp;"|"&amp;AA$1&amp;"|Output"),"I/O","IN"),IF(COUNTIF(Flows!$M$2:$M$1500,$A130&amp;"|"&amp;AA$1&amp;"|Output"),"OUT",""))</f>
        <v/>
      </c>
      <c r="AB130" s="33" t="str">
        <f aca="false">IF(COUNTIF(Flows!$M$2:$M$1500,$A130&amp;"|"&amp;AB$1&amp;"|Input"),IF(COUNTIF(Flows!$M$2:$M$1500,$A130&amp;"|"&amp;AB$1&amp;"|Output"),"I/O","IN"),IF(COUNTIF(Flows!$M$2:$M$1500,$A130&amp;"|"&amp;AB$1&amp;"|Output"),"OUT",""))</f>
        <v/>
      </c>
      <c r="AC130" s="33" t="str">
        <f aca="false">IF(COUNTIF(Flows!$M$2:$M$1500,$A130&amp;"|"&amp;AC$1&amp;"|Input"),IF(COUNTIF(Flows!$M$2:$M$1500,$A130&amp;"|"&amp;AC$1&amp;"|Output"),"I/O","IN"),IF(COUNTIF(Flows!$M$2:$M$1500,$A130&amp;"|"&amp;AC$1&amp;"|Output"),"OUT",""))</f>
        <v/>
      </c>
      <c r="AD130" s="33" t="str">
        <f aca="false">IF(COUNTIF(Flows!$M$2:$M$1500,$A130&amp;"|"&amp;AD$1&amp;"|Input"),IF(COUNTIF(Flows!$M$2:$M$1500,$A130&amp;"|"&amp;AD$1&amp;"|Output"),"I/O","IN"),IF(COUNTIF(Flows!$M$2:$M$1500,$A130&amp;"|"&amp;AD$1&amp;"|Output"),"OUT",""))</f>
        <v/>
      </c>
      <c r="AE130" s="33" t="str">
        <f aca="false">IF(COUNTIF(Flows!$M$2:$M$1500,$A130&amp;"|"&amp;AE$1&amp;"|Input"),IF(COUNTIF(Flows!$M$2:$M$1500,$A130&amp;"|"&amp;AE$1&amp;"|Output"),"I/O","IN"),IF(COUNTIF(Flows!$M$2:$M$1500,$A130&amp;"|"&amp;AE$1&amp;"|Output"),"OUT",""))</f>
        <v/>
      </c>
      <c r="AF130" s="33" t="str">
        <f aca="false">IF(COUNTIF(Flows!$M$2:$M$1500,$A130&amp;"|"&amp;AF$1&amp;"|Input"),IF(COUNTIF(Flows!$M$2:$M$1500,$A130&amp;"|"&amp;AF$1&amp;"|Output"),"I/O","IN"),IF(COUNTIF(Flows!$M$2:$M$1500,$A130&amp;"|"&amp;AF$1&amp;"|Output"),"OUT",""))</f>
        <v/>
      </c>
      <c r="AG130" s="33" t="str">
        <f aca="false">IF(COUNTIF(Flows!$M$2:$M$1500,$A130&amp;"|"&amp;AG$1&amp;"|Input"),IF(COUNTIF(Flows!$M$2:$M$1500,$A130&amp;"|"&amp;AG$1&amp;"|Output"),"I/O","IN"),IF(COUNTIF(Flows!$M$2:$M$1500,$A130&amp;"|"&amp;AG$1&amp;"|Output"),"OUT",""))</f>
        <v/>
      </c>
      <c r="AH130" s="33" t="str">
        <f aca="false">IF(COUNTIF(Flows!$M$2:$M$1500,$A130&amp;"|"&amp;AH$1&amp;"|Input"),IF(COUNTIF(Flows!$M$2:$M$1500,$A130&amp;"|"&amp;AH$1&amp;"|Output"),"I/O","IN"),IF(COUNTIF(Flows!$M$2:$M$1500,$A130&amp;"|"&amp;AH$1&amp;"|Output"),"OUT",""))</f>
        <v/>
      </c>
      <c r="AI130" s="33" t="str">
        <f aca="false">IF(COUNTIF(Flows!$M$2:$M$1500,$A130&amp;"|"&amp;AI$1&amp;"|Input"),IF(COUNTIF(Flows!$M$2:$M$1500,$A130&amp;"|"&amp;AI$1&amp;"|Output"),"I/O","IN"),IF(COUNTIF(Flows!$M$2:$M$1500,$A130&amp;"|"&amp;AI$1&amp;"|Output"),"OUT",""))</f>
        <v/>
      </c>
      <c r="AJ130" s="33" t="str">
        <f aca="false">IF(COUNTIF(Flows!$M$2:$M$1500,$A130&amp;"|"&amp;AJ$1&amp;"|Input"),IF(COUNTIF(Flows!$M$2:$M$1500,$A130&amp;"|"&amp;AJ$1&amp;"|Output"),"I/O","IN"),IF(COUNTIF(Flows!$M$2:$M$1500,$A130&amp;"|"&amp;AJ$1&amp;"|Output"),"OUT",""))</f>
        <v/>
      </c>
      <c r="AK130" s="33" t="str">
        <f aca="false">IF(COUNTIF(Flows!$M$2:$M$1500,$A130&amp;"|"&amp;AK$1&amp;"|Input"),IF(COUNTIF(Flows!$M$2:$M$1500,$A130&amp;"|"&amp;AK$1&amp;"|Output"),"I/O","IN"),IF(COUNTIF(Flows!$M$2:$M$1500,$A130&amp;"|"&amp;AK$1&amp;"|Output"),"OUT",""))</f>
        <v/>
      </c>
      <c r="AL130" s="33" t="str">
        <f aca="false">IF(COUNTIF(Flows!$M$2:$M$1500,$A130&amp;"|"&amp;AL$1&amp;"|Input"),IF(COUNTIF(Flows!$M$2:$M$1500,$A130&amp;"|"&amp;AL$1&amp;"|Output"),"I/O","IN"),IF(COUNTIF(Flows!$M$2:$M$1500,$A130&amp;"|"&amp;AL$1&amp;"|Output"),"OUT",""))</f>
        <v/>
      </c>
      <c r="AM130" s="33" t="str">
        <f aca="false">IF(COUNTIF(Flows!$M$2:$M$1500,$A130&amp;"|"&amp;AM$1&amp;"|Input"),IF(COUNTIF(Flows!$M$2:$M$1500,$A130&amp;"|"&amp;AM$1&amp;"|Output"),"I/O","IN"),IF(COUNTIF(Flows!$M$2:$M$1500,$A130&amp;"|"&amp;AM$1&amp;"|Output"),"OUT",""))</f>
        <v/>
      </c>
      <c r="AN130" s="33" t="str">
        <f aca="false">IF(COUNTIF(Flows!$M$2:$M$1500,$A130&amp;"|"&amp;AN$1&amp;"|Input"),IF(COUNTIF(Flows!$M$2:$M$1500,$A130&amp;"|"&amp;AN$1&amp;"|Output"),"I/O","IN"),IF(COUNTIF(Flows!$M$2:$M$1500,$A130&amp;"|"&amp;AN$1&amp;"|Output"),"OUT",""))</f>
        <v/>
      </c>
      <c r="AO130" s="33" t="str">
        <f aca="false">IF(COUNTIF(Flows!$M$2:$M$1500,$A130&amp;"|"&amp;AO$1&amp;"|Input"),IF(COUNTIF(Flows!$M$2:$M$1500,$A130&amp;"|"&amp;AO$1&amp;"|Output"),"I/O","IN"),IF(COUNTIF(Flows!$M$2:$M$1500,$A130&amp;"|"&amp;AO$1&amp;"|Output"),"OUT",""))</f>
        <v/>
      </c>
      <c r="AP130" s="33" t="str">
        <f aca="false">IF(COUNTIF(Flows!$M$2:$M$1500,$A130&amp;"|"&amp;AP$1&amp;"|Input"),IF(COUNTIF(Flows!$M$2:$M$1500,$A130&amp;"|"&amp;AP$1&amp;"|Output"),"I/O","IN"),IF(COUNTIF(Flows!$M$2:$M$1500,$A130&amp;"|"&amp;AP$1&amp;"|Output"),"OUT",""))</f>
        <v/>
      </c>
      <c r="AQ130" s="33" t="str">
        <f aca="false">IF(COUNTIF(Flows!$M$2:$M$1500,$A130&amp;"|"&amp;AQ$1&amp;"|Input"),IF(COUNTIF(Flows!$M$2:$M$1500,$A130&amp;"|"&amp;AQ$1&amp;"|Output"),"I/O","IN"),IF(COUNTIF(Flows!$M$2:$M$1500,$A130&amp;"|"&amp;AQ$1&amp;"|Output"),"OUT",""))</f>
        <v/>
      </c>
      <c r="AR130" s="33" t="str">
        <f aca="false">IF(COUNTIF(Flows!$M$2:$M$1500,$A130&amp;"|"&amp;AR$1&amp;"|Input"),IF(COUNTIF(Flows!$M$2:$M$1500,$A130&amp;"|"&amp;AR$1&amp;"|Output"),"I/O","IN"),IF(COUNTIF(Flows!$M$2:$M$1500,$A130&amp;"|"&amp;AR$1&amp;"|Output"),"OUT",""))</f>
        <v/>
      </c>
      <c r="AS130" s="33" t="str">
        <f aca="false">IF(COUNTIF(Flows!$M$2:$M$1500,$A130&amp;"|"&amp;AS$1&amp;"|Input"),IF(COUNTIF(Flows!$M$2:$M$1500,$A130&amp;"|"&amp;AS$1&amp;"|Output"),"I/O","IN"),IF(COUNTIF(Flows!$M$2:$M$1500,$A130&amp;"|"&amp;AS$1&amp;"|Output"),"OUT",""))</f>
        <v/>
      </c>
      <c r="AT130" s="33" t="str">
        <f aca="false">IF(COUNTIF(Flows!$M$2:$M$1500,$A130&amp;"|"&amp;AT$1&amp;"|Input"),IF(COUNTIF(Flows!$M$2:$M$1500,$A130&amp;"|"&amp;AT$1&amp;"|Output"),"I/O","IN"),IF(COUNTIF(Flows!$M$2:$M$1500,$A130&amp;"|"&amp;AT$1&amp;"|Output"),"OUT",""))</f>
        <v/>
      </c>
      <c r="AU130" s="33" t="str">
        <f aca="false">IF(COUNTIF(Flows!$M$2:$M$1500,$A130&amp;"|"&amp;AU$1&amp;"|Input"),IF(COUNTIF(Flows!$M$2:$M$1500,$A130&amp;"|"&amp;AU$1&amp;"|Output"),"I/O","IN"),IF(COUNTIF(Flows!$M$2:$M$1500,$A130&amp;"|"&amp;AU$1&amp;"|Output"),"OUT",""))</f>
        <v/>
      </c>
      <c r="AV130" s="33" t="str">
        <f aca="false">IF(COUNTIF(Flows!$M$2:$M$1500,$A130&amp;"|"&amp;AV$1&amp;"|Input"),IF(COUNTIF(Flows!$M$2:$M$1500,$A130&amp;"|"&amp;AV$1&amp;"|Output"),"I/O","IN"),IF(COUNTIF(Flows!$M$2:$M$1500,$A130&amp;"|"&amp;AV$1&amp;"|Output"),"OUT",""))</f>
        <v/>
      </c>
      <c r="AW130" s="33" t="str">
        <f aca="false">IF(COUNTIF(Flows!$M$2:$M$1500,$A130&amp;"|"&amp;AW$1&amp;"|Input"),IF(COUNTIF(Flows!$M$2:$M$1500,$A130&amp;"|"&amp;AW$1&amp;"|Output"),"I/O","IN"),IF(COUNTIF(Flows!$M$2:$M$1500,$A130&amp;"|"&amp;AW$1&amp;"|Output"),"OUT",""))</f>
        <v/>
      </c>
      <c r="AX130" s="33" t="str">
        <f aca="false">IF(COUNTIF(Flows!$M$2:$M$1500,$A130&amp;"|"&amp;AX$1&amp;"|Input"),IF(COUNTIF(Flows!$M$2:$M$1500,$A130&amp;"|"&amp;AX$1&amp;"|Output"),"I/O","IN"),IF(COUNTIF(Flows!$M$2:$M$1500,$A130&amp;"|"&amp;AX$1&amp;"|Output"),"OUT",""))</f>
        <v/>
      </c>
      <c r="AY130" s="33" t="str">
        <f aca="false">IF(COUNTIF(Flows!$M$2:$M$1500,$A130&amp;"|"&amp;AY$1&amp;"|Input"),IF(COUNTIF(Flows!$M$2:$M$1500,$A130&amp;"|"&amp;AY$1&amp;"|Output"),"I/O","IN"),IF(COUNTIF(Flows!$M$2:$M$1500,$A130&amp;"|"&amp;AY$1&amp;"|Output"),"OUT",""))</f>
        <v/>
      </c>
      <c r="AZ130" s="33" t="str">
        <f aca="false">IF(COUNTIF(Flows!$M$2:$M$1500,$A130&amp;"|"&amp;AZ$1&amp;"|Input"),IF(COUNTIF(Flows!$M$2:$M$1500,$A130&amp;"|"&amp;AZ$1&amp;"|Output"),"I/O","IN"),IF(COUNTIF(Flows!$M$2:$M$1500,$A130&amp;"|"&amp;AZ$1&amp;"|Output"),"OUT",""))</f>
        <v/>
      </c>
      <c r="BA130" s="33" t="str">
        <f aca="false">IF(COUNTIF(Flows!$M$2:$M$1500,$A130&amp;"|"&amp;BA$1&amp;"|Input"),IF(COUNTIF(Flows!$M$2:$M$1500,$A130&amp;"|"&amp;BA$1&amp;"|Output"),"I/O","IN"),IF(COUNTIF(Flows!$M$2:$M$1500,$A130&amp;"|"&amp;BA$1&amp;"|Output"),"OUT",""))</f>
        <v/>
      </c>
      <c r="BB130" s="33" t="str">
        <f aca="false">IF(COUNTIF(Flows!$M$2:$M$1500,$A130&amp;"|"&amp;BB$1&amp;"|Input"),IF(COUNTIF(Flows!$M$2:$M$1500,$A130&amp;"|"&amp;BB$1&amp;"|Output"),"I/O","IN"),IF(COUNTIF(Flows!$M$2:$M$1500,$A130&amp;"|"&amp;BB$1&amp;"|Output"),"OUT",""))</f>
        <v/>
      </c>
      <c r="BC130" s="33" t="str">
        <f aca="false">IF(COUNTIF(Flows!$M$2:$M$1500,$A130&amp;"|"&amp;BC$1&amp;"|Input"),IF(COUNTIF(Flows!$M$2:$M$1500,$A130&amp;"|"&amp;BC$1&amp;"|Output"),"I/O","IN"),IF(COUNTIF(Flows!$M$2:$M$1500,$A130&amp;"|"&amp;BC$1&amp;"|Output"),"OUT",""))</f>
        <v>IN</v>
      </c>
      <c r="BD130" s="33" t="str">
        <f aca="false">IF(COUNTIF(Flows!$M$2:$M$1500,$A130&amp;"|"&amp;BD$1&amp;"|Input"),IF(COUNTIF(Flows!$M$2:$M$1500,$A130&amp;"|"&amp;BD$1&amp;"|Output"),"I/O","IN"),IF(COUNTIF(Flows!$M$2:$M$1500,$A130&amp;"|"&amp;BD$1&amp;"|Output"),"OUT",""))</f>
        <v/>
      </c>
      <c r="BE130" s="33" t="str">
        <f aca="false">IF(COUNTIF(Flows!$M$2:$M$1500,$A130&amp;"|"&amp;BE$1&amp;"|Input"),IF(COUNTIF(Flows!$M$2:$M$1500,$A130&amp;"|"&amp;BE$1&amp;"|Output"),"I/O","IN"),IF(COUNTIF(Flows!$M$2:$M$1500,$A130&amp;"|"&amp;BE$1&amp;"|Output"),"OUT",""))</f>
        <v/>
      </c>
      <c r="BF130" s="33" t="str">
        <f aca="false">IF(COUNTIF(Flows!$M$2:$M$1500,$A130&amp;"|"&amp;BF$1&amp;"|Input"),IF(COUNTIF(Flows!$M$2:$M$1500,$A130&amp;"|"&amp;BF$1&amp;"|Output"),"I/O","IN"),IF(COUNTIF(Flows!$M$2:$M$1500,$A130&amp;"|"&amp;BF$1&amp;"|Output"),"OUT",""))</f>
        <v/>
      </c>
      <c r="BG130" s="33" t="str">
        <f aca="false">IF(COUNTIF(Flows!$M$2:$M$1500,$A130&amp;"|"&amp;BG$1&amp;"|Input"),IF(COUNTIF(Flows!$M$2:$M$1500,$A130&amp;"|"&amp;BG$1&amp;"|Output"),"I/O","IN"),IF(COUNTIF(Flows!$M$2:$M$1500,$A130&amp;"|"&amp;BG$1&amp;"|Output"),"OUT",""))</f>
        <v/>
      </c>
      <c r="BH130" s="33" t="str">
        <f aca="false">IF(COUNTIF(Flows!$M$2:$M$1500,$A130&amp;"|"&amp;BH$1&amp;"|Input"),IF(COUNTIF(Flows!$M$2:$M$1500,$A130&amp;"|"&amp;BH$1&amp;"|Output"),"I/O","IN"),IF(COUNTIF(Flows!$M$2:$M$1500,$A130&amp;"|"&amp;BH$1&amp;"|Output"),"OUT",""))</f>
        <v/>
      </c>
      <c r="BI130" s="33" t="str">
        <f aca="false">IF(COUNTIF(Flows!$M$2:$M$1500,$A130&amp;"|"&amp;BI$1&amp;"|Input"),IF(COUNTIF(Flows!$M$2:$M$1500,$A130&amp;"|"&amp;BI$1&amp;"|Output"),"I/O","IN"),IF(COUNTIF(Flows!$M$2:$M$1500,$A130&amp;"|"&amp;BI$1&amp;"|Output"),"OUT",""))</f>
        <v>OUT</v>
      </c>
      <c r="BJ130" s="33" t="str">
        <f aca="false">IF(COUNTIF(Flows!$M$2:$M$1500,$A130&amp;"|"&amp;BJ$1&amp;"|Input"),IF(COUNTIF(Flows!$M$2:$M$1500,$A130&amp;"|"&amp;BJ$1&amp;"|Output"),"I/O","IN"),IF(COUNTIF(Flows!$M$2:$M$1500,$A130&amp;"|"&amp;BJ$1&amp;"|Output"),"OUT",""))</f>
        <v/>
      </c>
      <c r="BK130" s="33" t="str">
        <f aca="false">IF(COUNTIF(Flows!$M$2:$M$1500,$A130&amp;"|"&amp;BK$1&amp;"|Input"),IF(COUNTIF(Flows!$M$2:$M$1500,$A130&amp;"|"&amp;BK$1&amp;"|Output"),"I/O","IN"),IF(COUNTIF(Flows!$M$2:$M$1500,$A130&amp;"|"&amp;BK$1&amp;"|Output"),"OUT",""))</f>
        <v>OUT</v>
      </c>
    </row>
    <row r="131" customFormat="false" ht="15" hidden="false" customHeight="true" outlineLevel="0" collapsed="false">
      <c r="A131" s="6" t="str">
        <f aca="false">Systems!B131</f>
        <v>Apple Tree</v>
      </c>
      <c r="B131" s="33" t="str">
        <f aca="false">IF(COUNTIF(Flows!$M$2:$M$1500,$A131&amp;"|"&amp;B$1&amp;"|Input"),IF(COUNTIF(Flows!$M$2:$M$1500,$A131&amp;"|"&amp;B$1&amp;"|Output"),"I/O","IN"),IF(COUNTIF(Flows!$M$2:$M$1500,$A131&amp;"|"&amp;B$1&amp;"|Output"),"OUT",""))</f>
        <v>IN</v>
      </c>
      <c r="C131" s="33" t="str">
        <f aca="false">IF(COUNTIF(Flows!$M$2:$M$1500,$A131&amp;"|"&amp;C$1&amp;"|Input"),IF(COUNTIF(Flows!$M$2:$M$1500,$A131&amp;"|"&amp;C$1&amp;"|Output"),"I/O","IN"),IF(COUNTIF(Flows!$M$2:$M$1500,$A131&amp;"|"&amp;C$1&amp;"|Output"),"OUT",""))</f>
        <v/>
      </c>
      <c r="D131" s="33" t="str">
        <f aca="false">IF(COUNTIF(Flows!$M$2:$M$1500,$A131&amp;"|"&amp;D$1&amp;"|Input"),IF(COUNTIF(Flows!$M$2:$M$1500,$A131&amp;"|"&amp;D$1&amp;"|Output"),"I/O","IN"),IF(COUNTIF(Flows!$M$2:$M$1500,$A131&amp;"|"&amp;D$1&amp;"|Output"),"OUT",""))</f>
        <v/>
      </c>
      <c r="E131" s="33" t="str">
        <f aca="false">IF(COUNTIF(Flows!$M$2:$M$1500,$A131&amp;"|"&amp;E$1&amp;"|Input"),IF(COUNTIF(Flows!$M$2:$M$1500,$A131&amp;"|"&amp;E$1&amp;"|Output"),"I/O","IN"),IF(COUNTIF(Flows!$M$2:$M$1500,$A131&amp;"|"&amp;E$1&amp;"|Output"),"OUT",""))</f>
        <v/>
      </c>
      <c r="F131" s="33" t="str">
        <f aca="false">IF(COUNTIF(Flows!$M$2:$M$1500,$A131&amp;"|"&amp;F$1&amp;"|Input"),IF(COUNTIF(Flows!$M$2:$M$1500,$A131&amp;"|"&amp;F$1&amp;"|Output"),"I/O","IN"),IF(COUNTIF(Flows!$M$2:$M$1500,$A131&amp;"|"&amp;F$1&amp;"|Output"),"OUT",""))</f>
        <v/>
      </c>
      <c r="G131" s="33" t="str">
        <f aca="false">IF(COUNTIF(Flows!$M$2:$M$1500,$A131&amp;"|"&amp;G$1&amp;"|Input"),IF(COUNTIF(Flows!$M$2:$M$1500,$A131&amp;"|"&amp;G$1&amp;"|Output"),"I/O","IN"),IF(COUNTIF(Flows!$M$2:$M$1500,$A131&amp;"|"&amp;G$1&amp;"|Output"),"OUT",""))</f>
        <v>OUT</v>
      </c>
      <c r="H131" s="33" t="str">
        <f aca="false">IF(COUNTIF(Flows!$M$2:$M$1500,$A131&amp;"|"&amp;H$1&amp;"|Input"),IF(COUNTIF(Flows!$M$2:$M$1500,$A131&amp;"|"&amp;H$1&amp;"|Output"),"I/O","IN"),IF(COUNTIF(Flows!$M$2:$M$1500,$A131&amp;"|"&amp;H$1&amp;"|Output"),"OUT",""))</f>
        <v/>
      </c>
      <c r="I131" s="33" t="str">
        <f aca="false">IF(COUNTIF(Flows!$M$2:$M$1500,$A131&amp;"|"&amp;I$1&amp;"|Input"),IF(COUNTIF(Flows!$M$2:$M$1500,$A131&amp;"|"&amp;I$1&amp;"|Output"),"I/O","IN"),IF(COUNTIF(Flows!$M$2:$M$1500,$A131&amp;"|"&amp;I$1&amp;"|Output"),"OUT",""))</f>
        <v/>
      </c>
      <c r="J131" s="33" t="str">
        <f aca="false">IF(COUNTIF(Flows!$M$2:$M$1500,$A131&amp;"|"&amp;J$1&amp;"|Input"),IF(COUNTIF(Flows!$M$2:$M$1500,$A131&amp;"|"&amp;J$1&amp;"|Output"),"I/O","IN"),IF(COUNTIF(Flows!$M$2:$M$1500,$A131&amp;"|"&amp;J$1&amp;"|Output"),"OUT",""))</f>
        <v/>
      </c>
      <c r="K131" s="33" t="str">
        <f aca="false">IF(COUNTIF(Flows!$M$2:$M$1500,$A131&amp;"|"&amp;K$1&amp;"|Input"),IF(COUNTIF(Flows!$M$2:$M$1500,$A131&amp;"|"&amp;K$1&amp;"|Output"),"I/O","IN"),IF(COUNTIF(Flows!$M$2:$M$1500,$A131&amp;"|"&amp;K$1&amp;"|Output"),"OUT",""))</f>
        <v/>
      </c>
      <c r="L131" s="33" t="str">
        <f aca="false">IF(COUNTIF(Flows!$M$2:$M$1500,$A131&amp;"|"&amp;L$1&amp;"|Input"),IF(COUNTIF(Flows!$M$2:$M$1500,$A131&amp;"|"&amp;L$1&amp;"|Output"),"I/O","IN"),IF(COUNTIF(Flows!$M$2:$M$1500,$A131&amp;"|"&amp;L$1&amp;"|Output"),"OUT",""))</f>
        <v/>
      </c>
      <c r="M131" s="33" t="str">
        <f aca="false">IF(COUNTIF(Flows!$M$2:$M$1500,$A131&amp;"|"&amp;M$1&amp;"|Input"),IF(COUNTIF(Flows!$M$2:$M$1500,$A131&amp;"|"&amp;M$1&amp;"|Output"),"I/O","IN"),IF(COUNTIF(Flows!$M$2:$M$1500,$A131&amp;"|"&amp;M$1&amp;"|Output"),"OUT",""))</f>
        <v/>
      </c>
      <c r="N131" s="33" t="str">
        <f aca="false">IF(COUNTIF(Flows!$M$2:$M$1500,$A131&amp;"|"&amp;N$1&amp;"|Input"),IF(COUNTIF(Flows!$M$2:$M$1500,$A131&amp;"|"&amp;N$1&amp;"|Output"),"I/O","IN"),IF(COUNTIF(Flows!$M$2:$M$1500,$A131&amp;"|"&amp;N$1&amp;"|Output"),"OUT",""))</f>
        <v/>
      </c>
      <c r="O131" s="33" t="str">
        <f aca="false">IF(COUNTIF(Flows!$M$2:$M$1500,$A131&amp;"|"&amp;O$1&amp;"|Input"),IF(COUNTIF(Flows!$M$2:$M$1500,$A131&amp;"|"&amp;O$1&amp;"|Output"),"I/O","IN"),IF(COUNTIF(Flows!$M$2:$M$1500,$A131&amp;"|"&amp;O$1&amp;"|Output"),"OUT",""))</f>
        <v/>
      </c>
      <c r="P131" s="33" t="str">
        <f aca="false">IF(COUNTIF(Flows!$M$2:$M$1500,$A131&amp;"|"&amp;P$1&amp;"|Input"),IF(COUNTIF(Flows!$M$2:$M$1500,$A131&amp;"|"&amp;P$1&amp;"|Output"),"I/O","IN"),IF(COUNTIF(Flows!$M$2:$M$1500,$A131&amp;"|"&amp;P$1&amp;"|Output"),"OUT",""))</f>
        <v/>
      </c>
      <c r="Q131" s="33" t="str">
        <f aca="false">IF(COUNTIF(Flows!$M$2:$M$1500,$A131&amp;"|"&amp;Q$1&amp;"|Input"),IF(COUNTIF(Flows!$M$2:$M$1500,$A131&amp;"|"&amp;Q$1&amp;"|Output"),"I/O","IN"),IF(COUNTIF(Flows!$M$2:$M$1500,$A131&amp;"|"&amp;Q$1&amp;"|Output"),"OUT",""))</f>
        <v/>
      </c>
      <c r="R131" s="33" t="str">
        <f aca="false">IF(COUNTIF(Flows!$M$2:$M$1500,$A131&amp;"|"&amp;R$1&amp;"|Input"),IF(COUNTIF(Flows!$M$2:$M$1500,$A131&amp;"|"&amp;R$1&amp;"|Output"),"I/O","IN"),IF(COUNTIF(Flows!$M$2:$M$1500,$A131&amp;"|"&amp;R$1&amp;"|Output"),"OUT",""))</f>
        <v/>
      </c>
      <c r="S131" s="33" t="str">
        <f aca="false">IF(COUNTIF(Flows!$M$2:$M$1500,$A131&amp;"|"&amp;S$1&amp;"|Input"),IF(COUNTIF(Flows!$M$2:$M$1500,$A131&amp;"|"&amp;S$1&amp;"|Output"),"I/O","IN"),IF(COUNTIF(Flows!$M$2:$M$1500,$A131&amp;"|"&amp;S$1&amp;"|Output"),"OUT",""))</f>
        <v/>
      </c>
      <c r="T131" s="33" t="str">
        <f aca="false">IF(COUNTIF(Flows!$M$2:$M$1500,$A131&amp;"|"&amp;T$1&amp;"|Input"),IF(COUNTIF(Flows!$M$2:$M$1500,$A131&amp;"|"&amp;T$1&amp;"|Output"),"I/O","IN"),IF(COUNTIF(Flows!$M$2:$M$1500,$A131&amp;"|"&amp;T$1&amp;"|Output"),"OUT",""))</f>
        <v/>
      </c>
      <c r="U131" s="33" t="str">
        <f aca="false">IF(COUNTIF(Flows!$M$2:$M$1500,$A131&amp;"|"&amp;U$1&amp;"|Input"),IF(COUNTIF(Flows!$M$2:$M$1500,$A131&amp;"|"&amp;U$1&amp;"|Output"),"I/O","IN"),IF(COUNTIF(Flows!$M$2:$M$1500,$A131&amp;"|"&amp;U$1&amp;"|Output"),"OUT",""))</f>
        <v/>
      </c>
      <c r="V131" s="33" t="str">
        <f aca="false">IF(COUNTIF(Flows!$M$2:$M$1500,$A131&amp;"|"&amp;V$1&amp;"|Input"),IF(COUNTIF(Flows!$M$2:$M$1500,$A131&amp;"|"&amp;V$1&amp;"|Output"),"I/O","IN"),IF(COUNTIF(Flows!$M$2:$M$1500,$A131&amp;"|"&amp;V$1&amp;"|Output"),"OUT",""))</f>
        <v/>
      </c>
      <c r="W131" s="33" t="str">
        <f aca="false">IF(COUNTIF(Flows!$M$2:$M$1500,$A131&amp;"|"&amp;W$1&amp;"|Input"),IF(COUNTIF(Flows!$M$2:$M$1500,$A131&amp;"|"&amp;W$1&amp;"|Output"),"I/O","IN"),IF(COUNTIF(Flows!$M$2:$M$1500,$A131&amp;"|"&amp;W$1&amp;"|Output"),"OUT",""))</f>
        <v/>
      </c>
      <c r="X131" s="33" t="str">
        <f aca="false">IF(COUNTIF(Flows!$M$2:$M$1500,$A131&amp;"|"&amp;X$1&amp;"|Input"),IF(COUNTIF(Flows!$M$2:$M$1500,$A131&amp;"|"&amp;X$1&amp;"|Output"),"I/O","IN"),IF(COUNTIF(Flows!$M$2:$M$1500,$A131&amp;"|"&amp;X$1&amp;"|Output"),"OUT",""))</f>
        <v>IN</v>
      </c>
      <c r="Y131" s="33" t="str">
        <f aca="false">IF(COUNTIF(Flows!$M$2:$M$1500,$A131&amp;"|"&amp;Y$1&amp;"|Input"),IF(COUNTIF(Flows!$M$2:$M$1500,$A131&amp;"|"&amp;Y$1&amp;"|Output"),"I/O","IN"),IF(COUNTIF(Flows!$M$2:$M$1500,$A131&amp;"|"&amp;Y$1&amp;"|Output"),"OUT",""))</f>
        <v/>
      </c>
      <c r="Z131" s="33" t="str">
        <f aca="false">IF(COUNTIF(Flows!$M$2:$M$1500,$A131&amp;"|"&amp;Z$1&amp;"|Input"),IF(COUNTIF(Flows!$M$2:$M$1500,$A131&amp;"|"&amp;Z$1&amp;"|Output"),"I/O","IN"),IF(COUNTIF(Flows!$M$2:$M$1500,$A131&amp;"|"&amp;Z$1&amp;"|Output"),"OUT",""))</f>
        <v/>
      </c>
      <c r="AA131" s="33" t="str">
        <f aca="false">IF(COUNTIF(Flows!$M$2:$M$1500,$A131&amp;"|"&amp;AA$1&amp;"|Input"),IF(COUNTIF(Flows!$M$2:$M$1500,$A131&amp;"|"&amp;AA$1&amp;"|Output"),"I/O","IN"),IF(COUNTIF(Flows!$M$2:$M$1500,$A131&amp;"|"&amp;AA$1&amp;"|Output"),"OUT",""))</f>
        <v/>
      </c>
      <c r="AB131" s="33" t="str">
        <f aca="false">IF(COUNTIF(Flows!$M$2:$M$1500,$A131&amp;"|"&amp;AB$1&amp;"|Input"),IF(COUNTIF(Flows!$M$2:$M$1500,$A131&amp;"|"&amp;AB$1&amp;"|Output"),"I/O","IN"),IF(COUNTIF(Flows!$M$2:$M$1500,$A131&amp;"|"&amp;AB$1&amp;"|Output"),"OUT",""))</f>
        <v/>
      </c>
      <c r="AC131" s="33" t="str">
        <f aca="false">IF(COUNTIF(Flows!$M$2:$M$1500,$A131&amp;"|"&amp;AC$1&amp;"|Input"),IF(COUNTIF(Flows!$M$2:$M$1500,$A131&amp;"|"&amp;AC$1&amp;"|Output"),"I/O","IN"),IF(COUNTIF(Flows!$M$2:$M$1500,$A131&amp;"|"&amp;AC$1&amp;"|Output"),"OUT",""))</f>
        <v/>
      </c>
      <c r="AD131" s="33" t="str">
        <f aca="false">IF(COUNTIF(Flows!$M$2:$M$1500,$A131&amp;"|"&amp;AD$1&amp;"|Input"),IF(COUNTIF(Flows!$M$2:$M$1500,$A131&amp;"|"&amp;AD$1&amp;"|Output"),"I/O","IN"),IF(COUNTIF(Flows!$M$2:$M$1500,$A131&amp;"|"&amp;AD$1&amp;"|Output"),"OUT",""))</f>
        <v/>
      </c>
      <c r="AE131" s="33" t="str">
        <f aca="false">IF(COUNTIF(Flows!$M$2:$M$1500,$A131&amp;"|"&amp;AE$1&amp;"|Input"),IF(COUNTIF(Flows!$M$2:$M$1500,$A131&amp;"|"&amp;AE$1&amp;"|Output"),"I/O","IN"),IF(COUNTIF(Flows!$M$2:$M$1500,$A131&amp;"|"&amp;AE$1&amp;"|Output"),"OUT",""))</f>
        <v/>
      </c>
      <c r="AF131" s="33" t="str">
        <f aca="false">IF(COUNTIF(Flows!$M$2:$M$1500,$A131&amp;"|"&amp;AF$1&amp;"|Input"),IF(COUNTIF(Flows!$M$2:$M$1500,$A131&amp;"|"&amp;AF$1&amp;"|Output"),"I/O","IN"),IF(COUNTIF(Flows!$M$2:$M$1500,$A131&amp;"|"&amp;AF$1&amp;"|Output"),"OUT",""))</f>
        <v/>
      </c>
      <c r="AG131" s="33" t="str">
        <f aca="false">IF(COUNTIF(Flows!$M$2:$M$1500,$A131&amp;"|"&amp;AG$1&amp;"|Input"),IF(COUNTIF(Flows!$M$2:$M$1500,$A131&amp;"|"&amp;AG$1&amp;"|Output"),"I/O","IN"),IF(COUNTIF(Flows!$M$2:$M$1500,$A131&amp;"|"&amp;AG$1&amp;"|Output"),"OUT",""))</f>
        <v/>
      </c>
      <c r="AH131" s="33" t="str">
        <f aca="false">IF(COUNTIF(Flows!$M$2:$M$1500,$A131&amp;"|"&amp;AH$1&amp;"|Input"),IF(COUNTIF(Flows!$M$2:$M$1500,$A131&amp;"|"&amp;AH$1&amp;"|Output"),"I/O","IN"),IF(COUNTIF(Flows!$M$2:$M$1500,$A131&amp;"|"&amp;AH$1&amp;"|Output"),"OUT",""))</f>
        <v/>
      </c>
      <c r="AI131" s="33" t="str">
        <f aca="false">IF(COUNTIF(Flows!$M$2:$M$1500,$A131&amp;"|"&amp;AI$1&amp;"|Input"),IF(COUNTIF(Flows!$M$2:$M$1500,$A131&amp;"|"&amp;AI$1&amp;"|Output"),"I/O","IN"),IF(COUNTIF(Flows!$M$2:$M$1500,$A131&amp;"|"&amp;AI$1&amp;"|Output"),"OUT",""))</f>
        <v/>
      </c>
      <c r="AJ131" s="33" t="str">
        <f aca="false">IF(COUNTIF(Flows!$M$2:$M$1500,$A131&amp;"|"&amp;AJ$1&amp;"|Input"),IF(COUNTIF(Flows!$M$2:$M$1500,$A131&amp;"|"&amp;AJ$1&amp;"|Output"),"I/O","IN"),IF(COUNTIF(Flows!$M$2:$M$1500,$A131&amp;"|"&amp;AJ$1&amp;"|Output"),"OUT",""))</f>
        <v/>
      </c>
      <c r="AK131" s="33" t="str">
        <f aca="false">IF(COUNTIF(Flows!$M$2:$M$1500,$A131&amp;"|"&amp;AK$1&amp;"|Input"),IF(COUNTIF(Flows!$M$2:$M$1500,$A131&amp;"|"&amp;AK$1&amp;"|Output"),"I/O","IN"),IF(COUNTIF(Flows!$M$2:$M$1500,$A131&amp;"|"&amp;AK$1&amp;"|Output"),"OUT",""))</f>
        <v/>
      </c>
      <c r="AL131" s="33" t="str">
        <f aca="false">IF(COUNTIF(Flows!$M$2:$M$1500,$A131&amp;"|"&amp;AL$1&amp;"|Input"),IF(COUNTIF(Flows!$M$2:$M$1500,$A131&amp;"|"&amp;AL$1&amp;"|Output"),"I/O","IN"),IF(COUNTIF(Flows!$M$2:$M$1500,$A131&amp;"|"&amp;AL$1&amp;"|Output"),"OUT",""))</f>
        <v/>
      </c>
      <c r="AM131" s="33" t="str">
        <f aca="false">IF(COUNTIF(Flows!$M$2:$M$1500,$A131&amp;"|"&amp;AM$1&amp;"|Input"),IF(COUNTIF(Flows!$M$2:$M$1500,$A131&amp;"|"&amp;AM$1&amp;"|Output"),"I/O","IN"),IF(COUNTIF(Flows!$M$2:$M$1500,$A131&amp;"|"&amp;AM$1&amp;"|Output"),"OUT",""))</f>
        <v/>
      </c>
      <c r="AN131" s="33" t="str">
        <f aca="false">IF(COUNTIF(Flows!$M$2:$M$1500,$A131&amp;"|"&amp;AN$1&amp;"|Input"),IF(COUNTIF(Flows!$M$2:$M$1500,$A131&amp;"|"&amp;AN$1&amp;"|Output"),"I/O","IN"),IF(COUNTIF(Flows!$M$2:$M$1500,$A131&amp;"|"&amp;AN$1&amp;"|Output"),"OUT",""))</f>
        <v/>
      </c>
      <c r="AO131" s="33" t="str">
        <f aca="false">IF(COUNTIF(Flows!$M$2:$M$1500,$A131&amp;"|"&amp;AO$1&amp;"|Input"),IF(COUNTIF(Flows!$M$2:$M$1500,$A131&amp;"|"&amp;AO$1&amp;"|Output"),"I/O","IN"),IF(COUNTIF(Flows!$M$2:$M$1500,$A131&amp;"|"&amp;AO$1&amp;"|Output"),"OUT",""))</f>
        <v/>
      </c>
      <c r="AP131" s="33" t="str">
        <f aca="false">IF(COUNTIF(Flows!$M$2:$M$1500,$A131&amp;"|"&amp;AP$1&amp;"|Input"),IF(COUNTIF(Flows!$M$2:$M$1500,$A131&amp;"|"&amp;AP$1&amp;"|Output"),"I/O","IN"),IF(COUNTIF(Flows!$M$2:$M$1500,$A131&amp;"|"&amp;AP$1&amp;"|Output"),"OUT",""))</f>
        <v/>
      </c>
      <c r="AQ131" s="33" t="str">
        <f aca="false">IF(COUNTIF(Flows!$M$2:$M$1500,$A131&amp;"|"&amp;AQ$1&amp;"|Input"),IF(COUNTIF(Flows!$M$2:$M$1500,$A131&amp;"|"&amp;AQ$1&amp;"|Output"),"I/O","IN"),IF(COUNTIF(Flows!$M$2:$M$1500,$A131&amp;"|"&amp;AQ$1&amp;"|Output"),"OUT",""))</f>
        <v/>
      </c>
      <c r="AR131" s="33" t="str">
        <f aca="false">IF(COUNTIF(Flows!$M$2:$M$1500,$A131&amp;"|"&amp;AR$1&amp;"|Input"),IF(COUNTIF(Flows!$M$2:$M$1500,$A131&amp;"|"&amp;AR$1&amp;"|Output"),"I/O","IN"),IF(COUNTIF(Flows!$M$2:$M$1500,$A131&amp;"|"&amp;AR$1&amp;"|Output"),"OUT",""))</f>
        <v>OUT</v>
      </c>
      <c r="AS131" s="33" t="str">
        <f aca="false">IF(COUNTIF(Flows!$M$2:$M$1500,$A131&amp;"|"&amp;AS$1&amp;"|Input"),IF(COUNTIF(Flows!$M$2:$M$1500,$A131&amp;"|"&amp;AS$1&amp;"|Output"),"I/O","IN"),IF(COUNTIF(Flows!$M$2:$M$1500,$A131&amp;"|"&amp;AS$1&amp;"|Output"),"OUT",""))</f>
        <v>IN</v>
      </c>
      <c r="AT131" s="33" t="str">
        <f aca="false">IF(COUNTIF(Flows!$M$2:$M$1500,$A131&amp;"|"&amp;AT$1&amp;"|Input"),IF(COUNTIF(Flows!$M$2:$M$1500,$A131&amp;"|"&amp;AT$1&amp;"|Output"),"I/O","IN"),IF(COUNTIF(Flows!$M$2:$M$1500,$A131&amp;"|"&amp;AT$1&amp;"|Output"),"OUT",""))</f>
        <v/>
      </c>
      <c r="AU131" s="33" t="str">
        <f aca="false">IF(COUNTIF(Flows!$M$2:$M$1500,$A131&amp;"|"&amp;AU$1&amp;"|Input"),IF(COUNTIF(Flows!$M$2:$M$1500,$A131&amp;"|"&amp;AU$1&amp;"|Output"),"I/O","IN"),IF(COUNTIF(Flows!$M$2:$M$1500,$A131&amp;"|"&amp;AU$1&amp;"|Output"),"OUT",""))</f>
        <v/>
      </c>
      <c r="AV131" s="33" t="str">
        <f aca="false">IF(COUNTIF(Flows!$M$2:$M$1500,$A131&amp;"|"&amp;AV$1&amp;"|Input"),IF(COUNTIF(Flows!$M$2:$M$1500,$A131&amp;"|"&amp;AV$1&amp;"|Output"),"I/O","IN"),IF(COUNTIF(Flows!$M$2:$M$1500,$A131&amp;"|"&amp;AV$1&amp;"|Output"),"OUT",""))</f>
        <v/>
      </c>
      <c r="AW131" s="33" t="str">
        <f aca="false">IF(COUNTIF(Flows!$M$2:$M$1500,$A131&amp;"|"&amp;AW$1&amp;"|Input"),IF(COUNTIF(Flows!$M$2:$M$1500,$A131&amp;"|"&amp;AW$1&amp;"|Output"),"I/O","IN"),IF(COUNTIF(Flows!$M$2:$M$1500,$A131&amp;"|"&amp;AW$1&amp;"|Output"),"OUT",""))</f>
        <v/>
      </c>
      <c r="AX131" s="33" t="str">
        <f aca="false">IF(COUNTIF(Flows!$M$2:$M$1500,$A131&amp;"|"&amp;AX$1&amp;"|Input"),IF(COUNTIF(Flows!$M$2:$M$1500,$A131&amp;"|"&amp;AX$1&amp;"|Output"),"I/O","IN"),IF(COUNTIF(Flows!$M$2:$M$1500,$A131&amp;"|"&amp;AX$1&amp;"|Output"),"OUT",""))</f>
        <v/>
      </c>
      <c r="AY131" s="33" t="str">
        <f aca="false">IF(COUNTIF(Flows!$M$2:$M$1500,$A131&amp;"|"&amp;AY$1&amp;"|Input"),IF(COUNTIF(Flows!$M$2:$M$1500,$A131&amp;"|"&amp;AY$1&amp;"|Output"),"I/O","IN"),IF(COUNTIF(Flows!$M$2:$M$1500,$A131&amp;"|"&amp;AY$1&amp;"|Output"),"OUT",""))</f>
        <v/>
      </c>
      <c r="AZ131" s="33" t="str">
        <f aca="false">IF(COUNTIF(Flows!$M$2:$M$1500,$A131&amp;"|"&amp;AZ$1&amp;"|Input"),IF(COUNTIF(Flows!$M$2:$M$1500,$A131&amp;"|"&amp;AZ$1&amp;"|Output"),"I/O","IN"),IF(COUNTIF(Flows!$M$2:$M$1500,$A131&amp;"|"&amp;AZ$1&amp;"|Output"),"OUT",""))</f>
        <v/>
      </c>
      <c r="BA131" s="33" t="str">
        <f aca="false">IF(COUNTIF(Flows!$M$2:$M$1500,$A131&amp;"|"&amp;BA$1&amp;"|Input"),IF(COUNTIF(Flows!$M$2:$M$1500,$A131&amp;"|"&amp;BA$1&amp;"|Output"),"I/O","IN"),IF(COUNTIF(Flows!$M$2:$M$1500,$A131&amp;"|"&amp;BA$1&amp;"|Output"),"OUT",""))</f>
        <v/>
      </c>
      <c r="BB131" s="33" t="str">
        <f aca="false">IF(COUNTIF(Flows!$M$2:$M$1500,$A131&amp;"|"&amp;BB$1&amp;"|Input"),IF(COUNTIF(Flows!$M$2:$M$1500,$A131&amp;"|"&amp;BB$1&amp;"|Output"),"I/O","IN"),IF(COUNTIF(Flows!$M$2:$M$1500,$A131&amp;"|"&amp;BB$1&amp;"|Output"),"OUT",""))</f>
        <v/>
      </c>
      <c r="BC131" s="33" t="str">
        <f aca="false">IF(COUNTIF(Flows!$M$2:$M$1500,$A131&amp;"|"&amp;BC$1&amp;"|Input"),IF(COUNTIF(Flows!$M$2:$M$1500,$A131&amp;"|"&amp;BC$1&amp;"|Output"),"I/O","IN"),IF(COUNTIF(Flows!$M$2:$M$1500,$A131&amp;"|"&amp;BC$1&amp;"|Output"),"OUT",""))</f>
        <v>IN</v>
      </c>
      <c r="BD131" s="33" t="str">
        <f aca="false">IF(COUNTIF(Flows!$M$2:$M$1500,$A131&amp;"|"&amp;BD$1&amp;"|Input"),IF(COUNTIF(Flows!$M$2:$M$1500,$A131&amp;"|"&amp;BD$1&amp;"|Output"),"I/O","IN"),IF(COUNTIF(Flows!$M$2:$M$1500,$A131&amp;"|"&amp;BD$1&amp;"|Output"),"OUT",""))</f>
        <v/>
      </c>
      <c r="BE131" s="33" t="str">
        <f aca="false">IF(COUNTIF(Flows!$M$2:$M$1500,$A131&amp;"|"&amp;BE$1&amp;"|Input"),IF(COUNTIF(Flows!$M$2:$M$1500,$A131&amp;"|"&amp;BE$1&amp;"|Output"),"I/O","IN"),IF(COUNTIF(Flows!$M$2:$M$1500,$A131&amp;"|"&amp;BE$1&amp;"|Output"),"OUT",""))</f>
        <v/>
      </c>
      <c r="BF131" s="33" t="str">
        <f aca="false">IF(COUNTIF(Flows!$M$2:$M$1500,$A131&amp;"|"&amp;BF$1&amp;"|Input"),IF(COUNTIF(Flows!$M$2:$M$1500,$A131&amp;"|"&amp;BF$1&amp;"|Output"),"I/O","IN"),IF(COUNTIF(Flows!$M$2:$M$1500,$A131&amp;"|"&amp;BF$1&amp;"|Output"),"OUT",""))</f>
        <v/>
      </c>
      <c r="BG131" s="33" t="str">
        <f aca="false">IF(COUNTIF(Flows!$M$2:$M$1500,$A131&amp;"|"&amp;BG$1&amp;"|Input"),IF(COUNTIF(Flows!$M$2:$M$1500,$A131&amp;"|"&amp;BG$1&amp;"|Output"),"I/O","IN"),IF(COUNTIF(Flows!$M$2:$M$1500,$A131&amp;"|"&amp;BG$1&amp;"|Output"),"OUT",""))</f>
        <v/>
      </c>
      <c r="BH131" s="33" t="str">
        <f aca="false">IF(COUNTIF(Flows!$M$2:$M$1500,$A131&amp;"|"&amp;BH$1&amp;"|Input"),IF(COUNTIF(Flows!$M$2:$M$1500,$A131&amp;"|"&amp;BH$1&amp;"|Output"),"I/O","IN"),IF(COUNTIF(Flows!$M$2:$M$1500,$A131&amp;"|"&amp;BH$1&amp;"|Output"),"OUT",""))</f>
        <v>IN</v>
      </c>
      <c r="BI131" s="33" t="str">
        <f aca="false">IF(COUNTIF(Flows!$M$2:$M$1500,$A131&amp;"|"&amp;BI$1&amp;"|Input"),IF(COUNTIF(Flows!$M$2:$M$1500,$A131&amp;"|"&amp;BI$1&amp;"|Output"),"I/O","IN"),IF(COUNTIF(Flows!$M$2:$M$1500,$A131&amp;"|"&amp;BI$1&amp;"|Output"),"OUT",""))</f>
        <v>OUT</v>
      </c>
      <c r="BJ131" s="33" t="str">
        <f aca="false">IF(COUNTIF(Flows!$M$2:$M$1500,$A131&amp;"|"&amp;BJ$1&amp;"|Input"),IF(COUNTIF(Flows!$M$2:$M$1500,$A131&amp;"|"&amp;BJ$1&amp;"|Output"),"I/O","IN"),IF(COUNTIF(Flows!$M$2:$M$1500,$A131&amp;"|"&amp;BJ$1&amp;"|Output"),"OUT",""))</f>
        <v>IN</v>
      </c>
      <c r="BK131" s="33" t="str">
        <f aca="false">IF(COUNTIF(Flows!$M$2:$M$1500,$A131&amp;"|"&amp;BK$1&amp;"|Input"),IF(COUNTIF(Flows!$M$2:$M$1500,$A131&amp;"|"&amp;BK$1&amp;"|Output"),"I/O","IN"),IF(COUNTIF(Flows!$M$2:$M$1500,$A131&amp;"|"&amp;BK$1&amp;"|Output"),"OUT",""))</f>
        <v/>
      </c>
    </row>
    <row r="132" customFormat="false" ht="15" hidden="false" customHeight="true" outlineLevel="0" collapsed="false">
      <c r="A132" s="6" t="str">
        <f aca="false">Systems!B132</f>
        <v>Hazelnut Bush</v>
      </c>
      <c r="B132" s="33" t="str">
        <f aca="false">IF(COUNTIF(Flows!$M$2:$M$1500,$A132&amp;"|"&amp;B$1&amp;"|Input"),IF(COUNTIF(Flows!$M$2:$M$1500,$A132&amp;"|"&amp;B$1&amp;"|Output"),"I/O","IN"),IF(COUNTIF(Flows!$M$2:$M$1500,$A132&amp;"|"&amp;B$1&amp;"|Output"),"OUT",""))</f>
        <v>IN</v>
      </c>
      <c r="C132" s="33" t="str">
        <f aca="false">IF(COUNTIF(Flows!$M$2:$M$1500,$A132&amp;"|"&amp;C$1&amp;"|Input"),IF(COUNTIF(Flows!$M$2:$M$1500,$A132&amp;"|"&amp;C$1&amp;"|Output"),"I/O","IN"),IF(COUNTIF(Flows!$M$2:$M$1500,$A132&amp;"|"&amp;C$1&amp;"|Output"),"OUT",""))</f>
        <v/>
      </c>
      <c r="D132" s="33" t="str">
        <f aca="false">IF(COUNTIF(Flows!$M$2:$M$1500,$A132&amp;"|"&amp;D$1&amp;"|Input"),IF(COUNTIF(Flows!$M$2:$M$1500,$A132&amp;"|"&amp;D$1&amp;"|Output"),"I/O","IN"),IF(COUNTIF(Flows!$M$2:$M$1500,$A132&amp;"|"&amp;D$1&amp;"|Output"),"OUT",""))</f>
        <v/>
      </c>
      <c r="E132" s="33" t="str">
        <f aca="false">IF(COUNTIF(Flows!$M$2:$M$1500,$A132&amp;"|"&amp;E$1&amp;"|Input"),IF(COUNTIF(Flows!$M$2:$M$1500,$A132&amp;"|"&amp;E$1&amp;"|Output"),"I/O","IN"),IF(COUNTIF(Flows!$M$2:$M$1500,$A132&amp;"|"&amp;E$1&amp;"|Output"),"OUT",""))</f>
        <v/>
      </c>
      <c r="F132" s="33" t="str">
        <f aca="false">IF(COUNTIF(Flows!$M$2:$M$1500,$A132&amp;"|"&amp;F$1&amp;"|Input"),IF(COUNTIF(Flows!$M$2:$M$1500,$A132&amp;"|"&amp;F$1&amp;"|Output"),"I/O","IN"),IF(COUNTIF(Flows!$M$2:$M$1500,$A132&amp;"|"&amp;F$1&amp;"|Output"),"OUT",""))</f>
        <v/>
      </c>
      <c r="G132" s="33" t="str">
        <f aca="false">IF(COUNTIF(Flows!$M$2:$M$1500,$A132&amp;"|"&amp;G$1&amp;"|Input"),IF(COUNTIF(Flows!$M$2:$M$1500,$A132&amp;"|"&amp;G$1&amp;"|Output"),"I/O","IN"),IF(COUNTIF(Flows!$M$2:$M$1500,$A132&amp;"|"&amp;G$1&amp;"|Output"),"OUT",""))</f>
        <v/>
      </c>
      <c r="H132" s="33" t="str">
        <f aca="false">IF(COUNTIF(Flows!$M$2:$M$1500,$A132&amp;"|"&amp;H$1&amp;"|Input"),IF(COUNTIF(Flows!$M$2:$M$1500,$A132&amp;"|"&amp;H$1&amp;"|Output"),"I/O","IN"),IF(COUNTIF(Flows!$M$2:$M$1500,$A132&amp;"|"&amp;H$1&amp;"|Output"),"OUT",""))</f>
        <v/>
      </c>
      <c r="I132" s="33" t="str">
        <f aca="false">IF(COUNTIF(Flows!$M$2:$M$1500,$A132&amp;"|"&amp;I$1&amp;"|Input"),IF(COUNTIF(Flows!$M$2:$M$1500,$A132&amp;"|"&amp;I$1&amp;"|Output"),"I/O","IN"),IF(COUNTIF(Flows!$M$2:$M$1500,$A132&amp;"|"&amp;I$1&amp;"|Output"),"OUT",""))</f>
        <v/>
      </c>
      <c r="J132" s="33" t="str">
        <f aca="false">IF(COUNTIF(Flows!$M$2:$M$1500,$A132&amp;"|"&amp;J$1&amp;"|Input"),IF(COUNTIF(Flows!$M$2:$M$1500,$A132&amp;"|"&amp;J$1&amp;"|Output"),"I/O","IN"),IF(COUNTIF(Flows!$M$2:$M$1500,$A132&amp;"|"&amp;J$1&amp;"|Output"),"OUT",""))</f>
        <v/>
      </c>
      <c r="K132" s="33" t="str">
        <f aca="false">IF(COUNTIF(Flows!$M$2:$M$1500,$A132&amp;"|"&amp;K$1&amp;"|Input"),IF(COUNTIF(Flows!$M$2:$M$1500,$A132&amp;"|"&amp;K$1&amp;"|Output"),"I/O","IN"),IF(COUNTIF(Flows!$M$2:$M$1500,$A132&amp;"|"&amp;K$1&amp;"|Output"),"OUT",""))</f>
        <v/>
      </c>
      <c r="L132" s="33" t="str">
        <f aca="false">IF(COUNTIF(Flows!$M$2:$M$1500,$A132&amp;"|"&amp;L$1&amp;"|Input"),IF(COUNTIF(Flows!$M$2:$M$1500,$A132&amp;"|"&amp;L$1&amp;"|Output"),"I/O","IN"),IF(COUNTIF(Flows!$M$2:$M$1500,$A132&amp;"|"&amp;L$1&amp;"|Output"),"OUT",""))</f>
        <v/>
      </c>
      <c r="M132" s="33" t="str">
        <f aca="false">IF(COUNTIF(Flows!$M$2:$M$1500,$A132&amp;"|"&amp;M$1&amp;"|Input"),IF(COUNTIF(Flows!$M$2:$M$1500,$A132&amp;"|"&amp;M$1&amp;"|Output"),"I/O","IN"),IF(COUNTIF(Flows!$M$2:$M$1500,$A132&amp;"|"&amp;M$1&amp;"|Output"),"OUT",""))</f>
        <v/>
      </c>
      <c r="N132" s="33" t="str">
        <f aca="false">IF(COUNTIF(Flows!$M$2:$M$1500,$A132&amp;"|"&amp;N$1&amp;"|Input"),IF(COUNTIF(Flows!$M$2:$M$1500,$A132&amp;"|"&amp;N$1&amp;"|Output"),"I/O","IN"),IF(COUNTIF(Flows!$M$2:$M$1500,$A132&amp;"|"&amp;N$1&amp;"|Output"),"OUT",""))</f>
        <v/>
      </c>
      <c r="O132" s="33" t="str">
        <f aca="false">IF(COUNTIF(Flows!$M$2:$M$1500,$A132&amp;"|"&amp;O$1&amp;"|Input"),IF(COUNTIF(Flows!$M$2:$M$1500,$A132&amp;"|"&amp;O$1&amp;"|Output"),"I/O","IN"),IF(COUNTIF(Flows!$M$2:$M$1500,$A132&amp;"|"&amp;O$1&amp;"|Output"),"OUT",""))</f>
        <v>OUT</v>
      </c>
      <c r="P132" s="33" t="str">
        <f aca="false">IF(COUNTIF(Flows!$M$2:$M$1500,$A132&amp;"|"&amp;P$1&amp;"|Input"),IF(COUNTIF(Flows!$M$2:$M$1500,$A132&amp;"|"&amp;P$1&amp;"|Output"),"I/O","IN"),IF(COUNTIF(Flows!$M$2:$M$1500,$A132&amp;"|"&amp;P$1&amp;"|Output"),"OUT",""))</f>
        <v/>
      </c>
      <c r="Q132" s="33" t="str">
        <f aca="false">IF(COUNTIF(Flows!$M$2:$M$1500,$A132&amp;"|"&amp;Q$1&amp;"|Input"),IF(COUNTIF(Flows!$M$2:$M$1500,$A132&amp;"|"&amp;Q$1&amp;"|Output"),"I/O","IN"),IF(COUNTIF(Flows!$M$2:$M$1500,$A132&amp;"|"&amp;Q$1&amp;"|Output"),"OUT",""))</f>
        <v/>
      </c>
      <c r="R132" s="33" t="str">
        <f aca="false">IF(COUNTIF(Flows!$M$2:$M$1500,$A132&amp;"|"&amp;R$1&amp;"|Input"),IF(COUNTIF(Flows!$M$2:$M$1500,$A132&amp;"|"&amp;R$1&amp;"|Output"),"I/O","IN"),IF(COUNTIF(Flows!$M$2:$M$1500,$A132&amp;"|"&amp;R$1&amp;"|Output"),"OUT",""))</f>
        <v/>
      </c>
      <c r="S132" s="33" t="str">
        <f aca="false">IF(COUNTIF(Flows!$M$2:$M$1500,$A132&amp;"|"&amp;S$1&amp;"|Input"),IF(COUNTIF(Flows!$M$2:$M$1500,$A132&amp;"|"&amp;S$1&amp;"|Output"),"I/O","IN"),IF(COUNTIF(Flows!$M$2:$M$1500,$A132&amp;"|"&amp;S$1&amp;"|Output"),"OUT",""))</f>
        <v/>
      </c>
      <c r="T132" s="33" t="str">
        <f aca="false">IF(COUNTIF(Flows!$M$2:$M$1500,$A132&amp;"|"&amp;T$1&amp;"|Input"),IF(COUNTIF(Flows!$M$2:$M$1500,$A132&amp;"|"&amp;T$1&amp;"|Output"),"I/O","IN"),IF(COUNTIF(Flows!$M$2:$M$1500,$A132&amp;"|"&amp;T$1&amp;"|Output"),"OUT",""))</f>
        <v/>
      </c>
      <c r="U132" s="33" t="str">
        <f aca="false">IF(COUNTIF(Flows!$M$2:$M$1500,$A132&amp;"|"&amp;U$1&amp;"|Input"),IF(COUNTIF(Flows!$M$2:$M$1500,$A132&amp;"|"&amp;U$1&amp;"|Output"),"I/O","IN"),IF(COUNTIF(Flows!$M$2:$M$1500,$A132&amp;"|"&amp;U$1&amp;"|Output"),"OUT",""))</f>
        <v/>
      </c>
      <c r="V132" s="33" t="str">
        <f aca="false">IF(COUNTIF(Flows!$M$2:$M$1500,$A132&amp;"|"&amp;V$1&amp;"|Input"),IF(COUNTIF(Flows!$M$2:$M$1500,$A132&amp;"|"&amp;V$1&amp;"|Output"),"I/O","IN"),IF(COUNTIF(Flows!$M$2:$M$1500,$A132&amp;"|"&amp;V$1&amp;"|Output"),"OUT",""))</f>
        <v/>
      </c>
      <c r="W132" s="33" t="str">
        <f aca="false">IF(COUNTIF(Flows!$M$2:$M$1500,$A132&amp;"|"&amp;W$1&amp;"|Input"),IF(COUNTIF(Flows!$M$2:$M$1500,$A132&amp;"|"&amp;W$1&amp;"|Output"),"I/O","IN"),IF(COUNTIF(Flows!$M$2:$M$1500,$A132&amp;"|"&amp;W$1&amp;"|Output"),"OUT",""))</f>
        <v/>
      </c>
      <c r="X132" s="33" t="str">
        <f aca="false">IF(COUNTIF(Flows!$M$2:$M$1500,$A132&amp;"|"&amp;X$1&amp;"|Input"),IF(COUNTIF(Flows!$M$2:$M$1500,$A132&amp;"|"&amp;X$1&amp;"|Output"),"I/O","IN"),IF(COUNTIF(Flows!$M$2:$M$1500,$A132&amp;"|"&amp;X$1&amp;"|Output"),"OUT",""))</f>
        <v>IN</v>
      </c>
      <c r="Y132" s="33" t="str">
        <f aca="false">IF(COUNTIF(Flows!$M$2:$M$1500,$A132&amp;"|"&amp;Y$1&amp;"|Input"),IF(COUNTIF(Flows!$M$2:$M$1500,$A132&amp;"|"&amp;Y$1&amp;"|Output"),"I/O","IN"),IF(COUNTIF(Flows!$M$2:$M$1500,$A132&amp;"|"&amp;Y$1&amp;"|Output"),"OUT",""))</f>
        <v/>
      </c>
      <c r="Z132" s="33" t="str">
        <f aca="false">IF(COUNTIF(Flows!$M$2:$M$1500,$A132&amp;"|"&amp;Z$1&amp;"|Input"),IF(COUNTIF(Flows!$M$2:$M$1500,$A132&amp;"|"&amp;Z$1&amp;"|Output"),"I/O","IN"),IF(COUNTIF(Flows!$M$2:$M$1500,$A132&amp;"|"&amp;Z$1&amp;"|Output"),"OUT",""))</f>
        <v/>
      </c>
      <c r="AA132" s="33" t="str">
        <f aca="false">IF(COUNTIF(Flows!$M$2:$M$1500,$A132&amp;"|"&amp;AA$1&amp;"|Input"),IF(COUNTIF(Flows!$M$2:$M$1500,$A132&amp;"|"&amp;AA$1&amp;"|Output"),"I/O","IN"),IF(COUNTIF(Flows!$M$2:$M$1500,$A132&amp;"|"&amp;AA$1&amp;"|Output"),"OUT",""))</f>
        <v/>
      </c>
      <c r="AB132" s="33" t="str">
        <f aca="false">IF(COUNTIF(Flows!$M$2:$M$1500,$A132&amp;"|"&amp;AB$1&amp;"|Input"),IF(COUNTIF(Flows!$M$2:$M$1500,$A132&amp;"|"&amp;AB$1&amp;"|Output"),"I/O","IN"),IF(COUNTIF(Flows!$M$2:$M$1500,$A132&amp;"|"&amp;AB$1&amp;"|Output"),"OUT",""))</f>
        <v/>
      </c>
      <c r="AC132" s="33" t="str">
        <f aca="false">IF(COUNTIF(Flows!$M$2:$M$1500,$A132&amp;"|"&amp;AC$1&amp;"|Input"),IF(COUNTIF(Flows!$M$2:$M$1500,$A132&amp;"|"&amp;AC$1&amp;"|Output"),"I/O","IN"),IF(COUNTIF(Flows!$M$2:$M$1500,$A132&amp;"|"&amp;AC$1&amp;"|Output"),"OUT",""))</f>
        <v/>
      </c>
      <c r="AD132" s="33" t="str">
        <f aca="false">IF(COUNTIF(Flows!$M$2:$M$1500,$A132&amp;"|"&amp;AD$1&amp;"|Input"),IF(COUNTIF(Flows!$M$2:$M$1500,$A132&amp;"|"&amp;AD$1&amp;"|Output"),"I/O","IN"),IF(COUNTIF(Flows!$M$2:$M$1500,$A132&amp;"|"&amp;AD$1&amp;"|Output"),"OUT",""))</f>
        <v/>
      </c>
      <c r="AE132" s="33" t="str">
        <f aca="false">IF(COUNTIF(Flows!$M$2:$M$1500,$A132&amp;"|"&amp;AE$1&amp;"|Input"),IF(COUNTIF(Flows!$M$2:$M$1500,$A132&amp;"|"&amp;AE$1&amp;"|Output"),"I/O","IN"),IF(COUNTIF(Flows!$M$2:$M$1500,$A132&amp;"|"&amp;AE$1&amp;"|Output"),"OUT",""))</f>
        <v/>
      </c>
      <c r="AF132" s="33" t="str">
        <f aca="false">IF(COUNTIF(Flows!$M$2:$M$1500,$A132&amp;"|"&amp;AF$1&amp;"|Input"),IF(COUNTIF(Flows!$M$2:$M$1500,$A132&amp;"|"&amp;AF$1&amp;"|Output"),"I/O","IN"),IF(COUNTIF(Flows!$M$2:$M$1500,$A132&amp;"|"&amp;AF$1&amp;"|Output"),"OUT",""))</f>
        <v/>
      </c>
      <c r="AG132" s="33" t="str">
        <f aca="false">IF(COUNTIF(Flows!$M$2:$M$1500,$A132&amp;"|"&amp;AG$1&amp;"|Input"),IF(COUNTIF(Flows!$M$2:$M$1500,$A132&amp;"|"&amp;AG$1&amp;"|Output"),"I/O","IN"),IF(COUNTIF(Flows!$M$2:$M$1500,$A132&amp;"|"&amp;AG$1&amp;"|Output"),"OUT",""))</f>
        <v/>
      </c>
      <c r="AH132" s="33" t="str">
        <f aca="false">IF(COUNTIF(Flows!$M$2:$M$1500,$A132&amp;"|"&amp;AH$1&amp;"|Input"),IF(COUNTIF(Flows!$M$2:$M$1500,$A132&amp;"|"&amp;AH$1&amp;"|Output"),"I/O","IN"),IF(COUNTIF(Flows!$M$2:$M$1500,$A132&amp;"|"&amp;AH$1&amp;"|Output"),"OUT",""))</f>
        <v/>
      </c>
      <c r="AI132" s="33" t="str">
        <f aca="false">IF(COUNTIF(Flows!$M$2:$M$1500,$A132&amp;"|"&amp;AI$1&amp;"|Input"),IF(COUNTIF(Flows!$M$2:$M$1500,$A132&amp;"|"&amp;AI$1&amp;"|Output"),"I/O","IN"),IF(COUNTIF(Flows!$M$2:$M$1500,$A132&amp;"|"&amp;AI$1&amp;"|Output"),"OUT",""))</f>
        <v/>
      </c>
      <c r="AJ132" s="33" t="str">
        <f aca="false">IF(COUNTIF(Flows!$M$2:$M$1500,$A132&amp;"|"&amp;AJ$1&amp;"|Input"),IF(COUNTIF(Flows!$M$2:$M$1500,$A132&amp;"|"&amp;AJ$1&amp;"|Output"),"I/O","IN"),IF(COUNTIF(Flows!$M$2:$M$1500,$A132&amp;"|"&amp;AJ$1&amp;"|Output"),"OUT",""))</f>
        <v/>
      </c>
      <c r="AK132" s="33" t="str">
        <f aca="false">IF(COUNTIF(Flows!$M$2:$M$1500,$A132&amp;"|"&amp;AK$1&amp;"|Input"),IF(COUNTIF(Flows!$M$2:$M$1500,$A132&amp;"|"&amp;AK$1&amp;"|Output"),"I/O","IN"),IF(COUNTIF(Flows!$M$2:$M$1500,$A132&amp;"|"&amp;AK$1&amp;"|Output"),"OUT",""))</f>
        <v/>
      </c>
      <c r="AL132" s="33" t="str">
        <f aca="false">IF(COUNTIF(Flows!$M$2:$M$1500,$A132&amp;"|"&amp;AL$1&amp;"|Input"),IF(COUNTIF(Flows!$M$2:$M$1500,$A132&amp;"|"&amp;AL$1&amp;"|Output"),"I/O","IN"),IF(COUNTIF(Flows!$M$2:$M$1500,$A132&amp;"|"&amp;AL$1&amp;"|Output"),"OUT",""))</f>
        <v/>
      </c>
      <c r="AM132" s="33" t="str">
        <f aca="false">IF(COUNTIF(Flows!$M$2:$M$1500,$A132&amp;"|"&amp;AM$1&amp;"|Input"),IF(COUNTIF(Flows!$M$2:$M$1500,$A132&amp;"|"&amp;AM$1&amp;"|Output"),"I/O","IN"),IF(COUNTIF(Flows!$M$2:$M$1500,$A132&amp;"|"&amp;AM$1&amp;"|Output"),"OUT",""))</f>
        <v/>
      </c>
      <c r="AN132" s="33" t="str">
        <f aca="false">IF(COUNTIF(Flows!$M$2:$M$1500,$A132&amp;"|"&amp;AN$1&amp;"|Input"),IF(COUNTIF(Flows!$M$2:$M$1500,$A132&amp;"|"&amp;AN$1&amp;"|Output"),"I/O","IN"),IF(COUNTIF(Flows!$M$2:$M$1500,$A132&amp;"|"&amp;AN$1&amp;"|Output"),"OUT",""))</f>
        <v/>
      </c>
      <c r="AO132" s="33" t="str">
        <f aca="false">IF(COUNTIF(Flows!$M$2:$M$1500,$A132&amp;"|"&amp;AO$1&amp;"|Input"),IF(COUNTIF(Flows!$M$2:$M$1500,$A132&amp;"|"&amp;AO$1&amp;"|Output"),"I/O","IN"),IF(COUNTIF(Flows!$M$2:$M$1500,$A132&amp;"|"&amp;AO$1&amp;"|Output"),"OUT",""))</f>
        <v/>
      </c>
      <c r="AP132" s="33" t="str">
        <f aca="false">IF(COUNTIF(Flows!$M$2:$M$1500,$A132&amp;"|"&amp;AP$1&amp;"|Input"),IF(COUNTIF(Flows!$M$2:$M$1500,$A132&amp;"|"&amp;AP$1&amp;"|Output"),"I/O","IN"),IF(COUNTIF(Flows!$M$2:$M$1500,$A132&amp;"|"&amp;AP$1&amp;"|Output"),"OUT",""))</f>
        <v/>
      </c>
      <c r="AQ132" s="33" t="str">
        <f aca="false">IF(COUNTIF(Flows!$M$2:$M$1500,$A132&amp;"|"&amp;AQ$1&amp;"|Input"),IF(COUNTIF(Flows!$M$2:$M$1500,$A132&amp;"|"&amp;AQ$1&amp;"|Output"),"I/O","IN"),IF(COUNTIF(Flows!$M$2:$M$1500,$A132&amp;"|"&amp;AQ$1&amp;"|Output"),"OUT",""))</f>
        <v/>
      </c>
      <c r="AR132" s="33" t="str">
        <f aca="false">IF(COUNTIF(Flows!$M$2:$M$1500,$A132&amp;"|"&amp;AR$1&amp;"|Input"),IF(COUNTIF(Flows!$M$2:$M$1500,$A132&amp;"|"&amp;AR$1&amp;"|Output"),"I/O","IN"),IF(COUNTIF(Flows!$M$2:$M$1500,$A132&amp;"|"&amp;AR$1&amp;"|Output"),"OUT",""))</f>
        <v>OUT</v>
      </c>
      <c r="AS132" s="33" t="str">
        <f aca="false">IF(COUNTIF(Flows!$M$2:$M$1500,$A132&amp;"|"&amp;AS$1&amp;"|Input"),IF(COUNTIF(Flows!$M$2:$M$1500,$A132&amp;"|"&amp;AS$1&amp;"|Output"),"I/O","IN"),IF(COUNTIF(Flows!$M$2:$M$1500,$A132&amp;"|"&amp;AS$1&amp;"|Output"),"OUT",""))</f>
        <v/>
      </c>
      <c r="AT132" s="33" t="str">
        <f aca="false">IF(COUNTIF(Flows!$M$2:$M$1500,$A132&amp;"|"&amp;AT$1&amp;"|Input"),IF(COUNTIF(Flows!$M$2:$M$1500,$A132&amp;"|"&amp;AT$1&amp;"|Output"),"I/O","IN"),IF(COUNTIF(Flows!$M$2:$M$1500,$A132&amp;"|"&amp;AT$1&amp;"|Output"),"OUT",""))</f>
        <v/>
      </c>
      <c r="AU132" s="33" t="str">
        <f aca="false">IF(COUNTIF(Flows!$M$2:$M$1500,$A132&amp;"|"&amp;AU$1&amp;"|Input"),IF(COUNTIF(Flows!$M$2:$M$1500,$A132&amp;"|"&amp;AU$1&amp;"|Output"),"I/O","IN"),IF(COUNTIF(Flows!$M$2:$M$1500,$A132&amp;"|"&amp;AU$1&amp;"|Output"),"OUT",""))</f>
        <v/>
      </c>
      <c r="AV132" s="33" t="str">
        <f aca="false">IF(COUNTIF(Flows!$M$2:$M$1500,$A132&amp;"|"&amp;AV$1&amp;"|Input"),IF(COUNTIF(Flows!$M$2:$M$1500,$A132&amp;"|"&amp;AV$1&amp;"|Output"),"I/O","IN"),IF(COUNTIF(Flows!$M$2:$M$1500,$A132&amp;"|"&amp;AV$1&amp;"|Output"),"OUT",""))</f>
        <v/>
      </c>
      <c r="AW132" s="33" t="str">
        <f aca="false">IF(COUNTIF(Flows!$M$2:$M$1500,$A132&amp;"|"&amp;AW$1&amp;"|Input"),IF(COUNTIF(Flows!$M$2:$M$1500,$A132&amp;"|"&amp;AW$1&amp;"|Output"),"I/O","IN"),IF(COUNTIF(Flows!$M$2:$M$1500,$A132&amp;"|"&amp;AW$1&amp;"|Output"),"OUT",""))</f>
        <v/>
      </c>
      <c r="AX132" s="33" t="str">
        <f aca="false">IF(COUNTIF(Flows!$M$2:$M$1500,$A132&amp;"|"&amp;AX$1&amp;"|Input"),IF(COUNTIF(Flows!$M$2:$M$1500,$A132&amp;"|"&amp;AX$1&amp;"|Output"),"I/O","IN"),IF(COUNTIF(Flows!$M$2:$M$1500,$A132&amp;"|"&amp;AX$1&amp;"|Output"),"OUT",""))</f>
        <v/>
      </c>
      <c r="AY132" s="33" t="str">
        <f aca="false">IF(COUNTIF(Flows!$M$2:$M$1500,$A132&amp;"|"&amp;AY$1&amp;"|Input"),IF(COUNTIF(Flows!$M$2:$M$1500,$A132&amp;"|"&amp;AY$1&amp;"|Output"),"I/O","IN"),IF(COUNTIF(Flows!$M$2:$M$1500,$A132&amp;"|"&amp;AY$1&amp;"|Output"),"OUT",""))</f>
        <v/>
      </c>
      <c r="AZ132" s="33" t="str">
        <f aca="false">IF(COUNTIF(Flows!$M$2:$M$1500,$A132&amp;"|"&amp;AZ$1&amp;"|Input"),IF(COUNTIF(Flows!$M$2:$M$1500,$A132&amp;"|"&amp;AZ$1&amp;"|Output"),"I/O","IN"),IF(COUNTIF(Flows!$M$2:$M$1500,$A132&amp;"|"&amp;AZ$1&amp;"|Output"),"OUT",""))</f>
        <v/>
      </c>
      <c r="BA132" s="33" t="str">
        <f aca="false">IF(COUNTIF(Flows!$M$2:$M$1500,$A132&amp;"|"&amp;BA$1&amp;"|Input"),IF(COUNTIF(Flows!$M$2:$M$1500,$A132&amp;"|"&amp;BA$1&amp;"|Output"),"I/O","IN"),IF(COUNTIF(Flows!$M$2:$M$1500,$A132&amp;"|"&amp;BA$1&amp;"|Output"),"OUT",""))</f>
        <v/>
      </c>
      <c r="BB132" s="33" t="str">
        <f aca="false">IF(COUNTIF(Flows!$M$2:$M$1500,$A132&amp;"|"&amp;BB$1&amp;"|Input"),IF(COUNTIF(Flows!$M$2:$M$1500,$A132&amp;"|"&amp;BB$1&amp;"|Output"),"I/O","IN"),IF(COUNTIF(Flows!$M$2:$M$1500,$A132&amp;"|"&amp;BB$1&amp;"|Output"),"OUT",""))</f>
        <v/>
      </c>
      <c r="BC132" s="33" t="str">
        <f aca="false">IF(COUNTIF(Flows!$M$2:$M$1500,$A132&amp;"|"&amp;BC$1&amp;"|Input"),IF(COUNTIF(Flows!$M$2:$M$1500,$A132&amp;"|"&amp;BC$1&amp;"|Output"),"I/O","IN"),IF(COUNTIF(Flows!$M$2:$M$1500,$A132&amp;"|"&amp;BC$1&amp;"|Output"),"OUT",""))</f>
        <v>IN</v>
      </c>
      <c r="BD132" s="33" t="str">
        <f aca="false">IF(COUNTIF(Flows!$M$2:$M$1500,$A132&amp;"|"&amp;BD$1&amp;"|Input"),IF(COUNTIF(Flows!$M$2:$M$1500,$A132&amp;"|"&amp;BD$1&amp;"|Output"),"I/O","IN"),IF(COUNTIF(Flows!$M$2:$M$1500,$A132&amp;"|"&amp;BD$1&amp;"|Output"),"OUT",""))</f>
        <v/>
      </c>
      <c r="BE132" s="33" t="str">
        <f aca="false">IF(COUNTIF(Flows!$M$2:$M$1500,$A132&amp;"|"&amp;BE$1&amp;"|Input"),IF(COUNTIF(Flows!$M$2:$M$1500,$A132&amp;"|"&amp;BE$1&amp;"|Output"),"I/O","IN"),IF(COUNTIF(Flows!$M$2:$M$1500,$A132&amp;"|"&amp;BE$1&amp;"|Output"),"OUT",""))</f>
        <v/>
      </c>
      <c r="BF132" s="33" t="str">
        <f aca="false">IF(COUNTIF(Flows!$M$2:$M$1500,$A132&amp;"|"&amp;BF$1&amp;"|Input"),IF(COUNTIF(Flows!$M$2:$M$1500,$A132&amp;"|"&amp;BF$1&amp;"|Output"),"I/O","IN"),IF(COUNTIF(Flows!$M$2:$M$1500,$A132&amp;"|"&amp;BF$1&amp;"|Output"),"OUT",""))</f>
        <v/>
      </c>
      <c r="BG132" s="33" t="str">
        <f aca="false">IF(COUNTIF(Flows!$M$2:$M$1500,$A132&amp;"|"&amp;BG$1&amp;"|Input"),IF(COUNTIF(Flows!$M$2:$M$1500,$A132&amp;"|"&amp;BG$1&amp;"|Output"),"I/O","IN"),IF(COUNTIF(Flows!$M$2:$M$1500,$A132&amp;"|"&amp;BG$1&amp;"|Output"),"OUT",""))</f>
        <v/>
      </c>
      <c r="BH132" s="33" t="str">
        <f aca="false">IF(COUNTIF(Flows!$M$2:$M$1500,$A132&amp;"|"&amp;BH$1&amp;"|Input"),IF(COUNTIF(Flows!$M$2:$M$1500,$A132&amp;"|"&amp;BH$1&amp;"|Output"),"I/O","IN"),IF(COUNTIF(Flows!$M$2:$M$1500,$A132&amp;"|"&amp;BH$1&amp;"|Output"),"OUT",""))</f>
        <v/>
      </c>
      <c r="BI132" s="33" t="str">
        <f aca="false">IF(COUNTIF(Flows!$M$2:$M$1500,$A132&amp;"|"&amp;BI$1&amp;"|Input"),IF(COUNTIF(Flows!$M$2:$M$1500,$A132&amp;"|"&amp;BI$1&amp;"|Output"),"I/O","IN"),IF(COUNTIF(Flows!$M$2:$M$1500,$A132&amp;"|"&amp;BI$1&amp;"|Output"),"OUT",""))</f>
        <v/>
      </c>
      <c r="BJ132" s="33" t="str">
        <f aca="false">IF(COUNTIF(Flows!$M$2:$M$1500,$A132&amp;"|"&amp;BJ$1&amp;"|Input"),IF(COUNTIF(Flows!$M$2:$M$1500,$A132&amp;"|"&amp;BJ$1&amp;"|Output"),"I/O","IN"),IF(COUNTIF(Flows!$M$2:$M$1500,$A132&amp;"|"&amp;BJ$1&amp;"|Output"),"OUT",""))</f>
        <v/>
      </c>
      <c r="BK132" s="33" t="str">
        <f aca="false">IF(COUNTIF(Flows!$M$2:$M$1500,$A132&amp;"|"&amp;BK$1&amp;"|Input"),IF(COUNTIF(Flows!$M$2:$M$1500,$A132&amp;"|"&amp;BK$1&amp;"|Output"),"I/O","IN"),IF(COUNTIF(Flows!$M$2:$M$1500,$A132&amp;"|"&amp;BK$1&amp;"|Output"),"OUT",""))</f>
        <v/>
      </c>
    </row>
    <row r="133" customFormat="false" ht="15" hidden="false" customHeight="true" outlineLevel="0" collapsed="false">
      <c r="A133" s="6" t="str">
        <f aca="false">Systems!B133</f>
        <v>Raspberry Patch (25 ft row)</v>
      </c>
      <c r="B133" s="33" t="str">
        <f aca="false">IF(COUNTIF(Flows!$M$2:$M$1500,$A133&amp;"|"&amp;B$1&amp;"|Input"),IF(COUNTIF(Flows!$M$2:$M$1500,$A133&amp;"|"&amp;B$1&amp;"|Output"),"I/O","IN"),IF(COUNTIF(Flows!$M$2:$M$1500,$A133&amp;"|"&amp;B$1&amp;"|Output"),"OUT",""))</f>
        <v>IN</v>
      </c>
      <c r="C133" s="33" t="str">
        <f aca="false">IF(COUNTIF(Flows!$M$2:$M$1500,$A133&amp;"|"&amp;C$1&amp;"|Input"),IF(COUNTIF(Flows!$M$2:$M$1500,$A133&amp;"|"&amp;C$1&amp;"|Output"),"I/O","IN"),IF(COUNTIF(Flows!$M$2:$M$1500,$A133&amp;"|"&amp;C$1&amp;"|Output"),"OUT",""))</f>
        <v/>
      </c>
      <c r="D133" s="33" t="str">
        <f aca="false">IF(COUNTIF(Flows!$M$2:$M$1500,$A133&amp;"|"&amp;D$1&amp;"|Input"),IF(COUNTIF(Flows!$M$2:$M$1500,$A133&amp;"|"&amp;D$1&amp;"|Output"),"I/O","IN"),IF(COUNTIF(Flows!$M$2:$M$1500,$A133&amp;"|"&amp;D$1&amp;"|Output"),"OUT",""))</f>
        <v/>
      </c>
      <c r="E133" s="33" t="str">
        <f aca="false">IF(COUNTIF(Flows!$M$2:$M$1500,$A133&amp;"|"&amp;E$1&amp;"|Input"),IF(COUNTIF(Flows!$M$2:$M$1500,$A133&amp;"|"&amp;E$1&amp;"|Output"),"I/O","IN"),IF(COUNTIF(Flows!$M$2:$M$1500,$A133&amp;"|"&amp;E$1&amp;"|Output"),"OUT",""))</f>
        <v/>
      </c>
      <c r="F133" s="33" t="str">
        <f aca="false">IF(COUNTIF(Flows!$M$2:$M$1500,$A133&amp;"|"&amp;F$1&amp;"|Input"),IF(COUNTIF(Flows!$M$2:$M$1500,$A133&amp;"|"&amp;F$1&amp;"|Output"),"I/O","IN"),IF(COUNTIF(Flows!$M$2:$M$1500,$A133&amp;"|"&amp;F$1&amp;"|Output"),"OUT",""))</f>
        <v/>
      </c>
      <c r="G133" s="33" t="str">
        <f aca="false">IF(COUNTIF(Flows!$M$2:$M$1500,$A133&amp;"|"&amp;G$1&amp;"|Input"),IF(COUNTIF(Flows!$M$2:$M$1500,$A133&amp;"|"&amp;G$1&amp;"|Output"),"I/O","IN"),IF(COUNTIF(Flows!$M$2:$M$1500,$A133&amp;"|"&amp;G$1&amp;"|Output"),"OUT",""))</f>
        <v>OUT</v>
      </c>
      <c r="H133" s="33" t="str">
        <f aca="false">IF(COUNTIF(Flows!$M$2:$M$1500,$A133&amp;"|"&amp;H$1&amp;"|Input"),IF(COUNTIF(Flows!$M$2:$M$1500,$A133&amp;"|"&amp;H$1&amp;"|Output"),"I/O","IN"),IF(COUNTIF(Flows!$M$2:$M$1500,$A133&amp;"|"&amp;H$1&amp;"|Output"),"OUT",""))</f>
        <v/>
      </c>
      <c r="I133" s="33" t="str">
        <f aca="false">IF(COUNTIF(Flows!$M$2:$M$1500,$A133&amp;"|"&amp;I$1&amp;"|Input"),IF(COUNTIF(Flows!$M$2:$M$1500,$A133&amp;"|"&amp;I$1&amp;"|Output"),"I/O","IN"),IF(COUNTIF(Flows!$M$2:$M$1500,$A133&amp;"|"&amp;I$1&amp;"|Output"),"OUT",""))</f>
        <v/>
      </c>
      <c r="J133" s="33" t="str">
        <f aca="false">IF(COUNTIF(Flows!$M$2:$M$1500,$A133&amp;"|"&amp;J$1&amp;"|Input"),IF(COUNTIF(Flows!$M$2:$M$1500,$A133&amp;"|"&amp;J$1&amp;"|Output"),"I/O","IN"),IF(COUNTIF(Flows!$M$2:$M$1500,$A133&amp;"|"&amp;J$1&amp;"|Output"),"OUT",""))</f>
        <v/>
      </c>
      <c r="K133" s="33" t="str">
        <f aca="false">IF(COUNTIF(Flows!$M$2:$M$1500,$A133&amp;"|"&amp;K$1&amp;"|Input"),IF(COUNTIF(Flows!$M$2:$M$1500,$A133&amp;"|"&amp;K$1&amp;"|Output"),"I/O","IN"),IF(COUNTIF(Flows!$M$2:$M$1500,$A133&amp;"|"&amp;K$1&amp;"|Output"),"OUT",""))</f>
        <v/>
      </c>
      <c r="L133" s="33" t="str">
        <f aca="false">IF(COUNTIF(Flows!$M$2:$M$1500,$A133&amp;"|"&amp;L$1&amp;"|Input"),IF(COUNTIF(Flows!$M$2:$M$1500,$A133&amp;"|"&amp;L$1&amp;"|Output"),"I/O","IN"),IF(COUNTIF(Flows!$M$2:$M$1500,$A133&amp;"|"&amp;L$1&amp;"|Output"),"OUT",""))</f>
        <v/>
      </c>
      <c r="M133" s="33" t="str">
        <f aca="false">IF(COUNTIF(Flows!$M$2:$M$1500,$A133&amp;"|"&amp;M$1&amp;"|Input"),IF(COUNTIF(Flows!$M$2:$M$1500,$A133&amp;"|"&amp;M$1&amp;"|Output"),"I/O","IN"),IF(COUNTIF(Flows!$M$2:$M$1500,$A133&amp;"|"&amp;M$1&amp;"|Output"),"OUT",""))</f>
        <v/>
      </c>
      <c r="N133" s="33" t="str">
        <f aca="false">IF(COUNTIF(Flows!$M$2:$M$1500,$A133&amp;"|"&amp;N$1&amp;"|Input"),IF(COUNTIF(Flows!$M$2:$M$1500,$A133&amp;"|"&amp;N$1&amp;"|Output"),"I/O","IN"),IF(COUNTIF(Flows!$M$2:$M$1500,$A133&amp;"|"&amp;N$1&amp;"|Output"),"OUT",""))</f>
        <v/>
      </c>
      <c r="O133" s="33" t="str">
        <f aca="false">IF(COUNTIF(Flows!$M$2:$M$1500,$A133&amp;"|"&amp;O$1&amp;"|Input"),IF(COUNTIF(Flows!$M$2:$M$1500,$A133&amp;"|"&amp;O$1&amp;"|Output"),"I/O","IN"),IF(COUNTIF(Flows!$M$2:$M$1500,$A133&amp;"|"&amp;O$1&amp;"|Output"),"OUT",""))</f>
        <v/>
      </c>
      <c r="P133" s="33" t="str">
        <f aca="false">IF(COUNTIF(Flows!$M$2:$M$1500,$A133&amp;"|"&amp;P$1&amp;"|Input"),IF(COUNTIF(Flows!$M$2:$M$1500,$A133&amp;"|"&amp;P$1&amp;"|Output"),"I/O","IN"),IF(COUNTIF(Flows!$M$2:$M$1500,$A133&amp;"|"&amp;P$1&amp;"|Output"),"OUT",""))</f>
        <v/>
      </c>
      <c r="Q133" s="33" t="str">
        <f aca="false">IF(COUNTIF(Flows!$M$2:$M$1500,$A133&amp;"|"&amp;Q$1&amp;"|Input"),IF(COUNTIF(Flows!$M$2:$M$1500,$A133&amp;"|"&amp;Q$1&amp;"|Output"),"I/O","IN"),IF(COUNTIF(Flows!$M$2:$M$1500,$A133&amp;"|"&amp;Q$1&amp;"|Output"),"OUT",""))</f>
        <v/>
      </c>
      <c r="R133" s="33" t="str">
        <f aca="false">IF(COUNTIF(Flows!$M$2:$M$1500,$A133&amp;"|"&amp;R$1&amp;"|Input"),IF(COUNTIF(Flows!$M$2:$M$1500,$A133&amp;"|"&amp;R$1&amp;"|Output"),"I/O","IN"),IF(COUNTIF(Flows!$M$2:$M$1500,$A133&amp;"|"&amp;R$1&amp;"|Output"),"OUT",""))</f>
        <v/>
      </c>
      <c r="S133" s="33" t="str">
        <f aca="false">IF(COUNTIF(Flows!$M$2:$M$1500,$A133&amp;"|"&amp;S$1&amp;"|Input"),IF(COUNTIF(Flows!$M$2:$M$1500,$A133&amp;"|"&amp;S$1&amp;"|Output"),"I/O","IN"),IF(COUNTIF(Flows!$M$2:$M$1500,$A133&amp;"|"&amp;S$1&amp;"|Output"),"OUT",""))</f>
        <v/>
      </c>
      <c r="T133" s="33" t="str">
        <f aca="false">IF(COUNTIF(Flows!$M$2:$M$1500,$A133&amp;"|"&amp;T$1&amp;"|Input"),IF(COUNTIF(Flows!$M$2:$M$1500,$A133&amp;"|"&amp;T$1&amp;"|Output"),"I/O","IN"),IF(COUNTIF(Flows!$M$2:$M$1500,$A133&amp;"|"&amp;T$1&amp;"|Output"),"OUT",""))</f>
        <v/>
      </c>
      <c r="U133" s="33" t="str">
        <f aca="false">IF(COUNTIF(Flows!$M$2:$M$1500,$A133&amp;"|"&amp;U$1&amp;"|Input"),IF(COUNTIF(Flows!$M$2:$M$1500,$A133&amp;"|"&amp;U$1&amp;"|Output"),"I/O","IN"),IF(COUNTIF(Flows!$M$2:$M$1500,$A133&amp;"|"&amp;U$1&amp;"|Output"),"OUT",""))</f>
        <v/>
      </c>
      <c r="V133" s="33" t="str">
        <f aca="false">IF(COUNTIF(Flows!$M$2:$M$1500,$A133&amp;"|"&amp;V$1&amp;"|Input"),IF(COUNTIF(Flows!$M$2:$M$1500,$A133&amp;"|"&amp;V$1&amp;"|Output"),"I/O","IN"),IF(COUNTIF(Flows!$M$2:$M$1500,$A133&amp;"|"&amp;V$1&amp;"|Output"),"OUT",""))</f>
        <v/>
      </c>
      <c r="W133" s="33" t="str">
        <f aca="false">IF(COUNTIF(Flows!$M$2:$M$1500,$A133&amp;"|"&amp;W$1&amp;"|Input"),IF(COUNTIF(Flows!$M$2:$M$1500,$A133&amp;"|"&amp;W$1&amp;"|Output"),"I/O","IN"),IF(COUNTIF(Flows!$M$2:$M$1500,$A133&amp;"|"&amp;W$1&amp;"|Output"),"OUT",""))</f>
        <v/>
      </c>
      <c r="X133" s="33" t="str">
        <f aca="false">IF(COUNTIF(Flows!$M$2:$M$1500,$A133&amp;"|"&amp;X$1&amp;"|Input"),IF(COUNTIF(Flows!$M$2:$M$1500,$A133&amp;"|"&amp;X$1&amp;"|Output"),"I/O","IN"),IF(COUNTIF(Flows!$M$2:$M$1500,$A133&amp;"|"&amp;X$1&amp;"|Output"),"OUT",""))</f>
        <v>IN</v>
      </c>
      <c r="Y133" s="33" t="str">
        <f aca="false">IF(COUNTIF(Flows!$M$2:$M$1500,$A133&amp;"|"&amp;Y$1&amp;"|Input"),IF(COUNTIF(Flows!$M$2:$M$1500,$A133&amp;"|"&amp;Y$1&amp;"|Output"),"I/O","IN"),IF(COUNTIF(Flows!$M$2:$M$1500,$A133&amp;"|"&amp;Y$1&amp;"|Output"),"OUT",""))</f>
        <v/>
      </c>
      <c r="Z133" s="33" t="str">
        <f aca="false">IF(COUNTIF(Flows!$M$2:$M$1500,$A133&amp;"|"&amp;Z$1&amp;"|Input"),IF(COUNTIF(Flows!$M$2:$M$1500,$A133&amp;"|"&amp;Z$1&amp;"|Output"),"I/O","IN"),IF(COUNTIF(Flows!$M$2:$M$1500,$A133&amp;"|"&amp;Z$1&amp;"|Output"),"OUT",""))</f>
        <v/>
      </c>
      <c r="AA133" s="33" t="str">
        <f aca="false">IF(COUNTIF(Flows!$M$2:$M$1500,$A133&amp;"|"&amp;AA$1&amp;"|Input"),IF(COUNTIF(Flows!$M$2:$M$1500,$A133&amp;"|"&amp;AA$1&amp;"|Output"),"I/O","IN"),IF(COUNTIF(Flows!$M$2:$M$1500,$A133&amp;"|"&amp;AA$1&amp;"|Output"),"OUT",""))</f>
        <v/>
      </c>
      <c r="AB133" s="33" t="str">
        <f aca="false">IF(COUNTIF(Flows!$M$2:$M$1500,$A133&amp;"|"&amp;AB$1&amp;"|Input"),IF(COUNTIF(Flows!$M$2:$M$1500,$A133&amp;"|"&amp;AB$1&amp;"|Output"),"I/O","IN"),IF(COUNTIF(Flows!$M$2:$M$1500,$A133&amp;"|"&amp;AB$1&amp;"|Output"),"OUT",""))</f>
        <v/>
      </c>
      <c r="AC133" s="33" t="str">
        <f aca="false">IF(COUNTIF(Flows!$M$2:$M$1500,$A133&amp;"|"&amp;AC$1&amp;"|Input"),IF(COUNTIF(Flows!$M$2:$M$1500,$A133&amp;"|"&amp;AC$1&amp;"|Output"),"I/O","IN"),IF(COUNTIF(Flows!$M$2:$M$1500,$A133&amp;"|"&amp;AC$1&amp;"|Output"),"OUT",""))</f>
        <v/>
      </c>
      <c r="AD133" s="33" t="str">
        <f aca="false">IF(COUNTIF(Flows!$M$2:$M$1500,$A133&amp;"|"&amp;AD$1&amp;"|Input"),IF(COUNTIF(Flows!$M$2:$M$1500,$A133&amp;"|"&amp;AD$1&amp;"|Output"),"I/O","IN"),IF(COUNTIF(Flows!$M$2:$M$1500,$A133&amp;"|"&amp;AD$1&amp;"|Output"),"OUT",""))</f>
        <v/>
      </c>
      <c r="AE133" s="33" t="str">
        <f aca="false">IF(COUNTIF(Flows!$M$2:$M$1500,$A133&amp;"|"&amp;AE$1&amp;"|Input"),IF(COUNTIF(Flows!$M$2:$M$1500,$A133&amp;"|"&amp;AE$1&amp;"|Output"),"I/O","IN"),IF(COUNTIF(Flows!$M$2:$M$1500,$A133&amp;"|"&amp;AE$1&amp;"|Output"),"OUT",""))</f>
        <v/>
      </c>
      <c r="AF133" s="33" t="str">
        <f aca="false">IF(COUNTIF(Flows!$M$2:$M$1500,$A133&amp;"|"&amp;AF$1&amp;"|Input"),IF(COUNTIF(Flows!$M$2:$M$1500,$A133&amp;"|"&amp;AF$1&amp;"|Output"),"I/O","IN"),IF(COUNTIF(Flows!$M$2:$M$1500,$A133&amp;"|"&amp;AF$1&amp;"|Output"),"OUT",""))</f>
        <v/>
      </c>
      <c r="AG133" s="33" t="str">
        <f aca="false">IF(COUNTIF(Flows!$M$2:$M$1500,$A133&amp;"|"&amp;AG$1&amp;"|Input"),IF(COUNTIF(Flows!$M$2:$M$1500,$A133&amp;"|"&amp;AG$1&amp;"|Output"),"I/O","IN"),IF(COUNTIF(Flows!$M$2:$M$1500,$A133&amp;"|"&amp;AG$1&amp;"|Output"),"OUT",""))</f>
        <v/>
      </c>
      <c r="AH133" s="33" t="str">
        <f aca="false">IF(COUNTIF(Flows!$M$2:$M$1500,$A133&amp;"|"&amp;AH$1&amp;"|Input"),IF(COUNTIF(Flows!$M$2:$M$1500,$A133&amp;"|"&amp;AH$1&amp;"|Output"),"I/O","IN"),IF(COUNTIF(Flows!$M$2:$M$1500,$A133&amp;"|"&amp;AH$1&amp;"|Output"),"OUT",""))</f>
        <v/>
      </c>
      <c r="AI133" s="33" t="str">
        <f aca="false">IF(COUNTIF(Flows!$M$2:$M$1500,$A133&amp;"|"&amp;AI$1&amp;"|Input"),IF(COUNTIF(Flows!$M$2:$M$1500,$A133&amp;"|"&amp;AI$1&amp;"|Output"),"I/O","IN"),IF(COUNTIF(Flows!$M$2:$M$1500,$A133&amp;"|"&amp;AI$1&amp;"|Output"),"OUT",""))</f>
        <v/>
      </c>
      <c r="AJ133" s="33" t="str">
        <f aca="false">IF(COUNTIF(Flows!$M$2:$M$1500,$A133&amp;"|"&amp;AJ$1&amp;"|Input"),IF(COUNTIF(Flows!$M$2:$M$1500,$A133&amp;"|"&amp;AJ$1&amp;"|Output"),"I/O","IN"),IF(COUNTIF(Flows!$M$2:$M$1500,$A133&amp;"|"&amp;AJ$1&amp;"|Output"),"OUT",""))</f>
        <v/>
      </c>
      <c r="AK133" s="33" t="str">
        <f aca="false">IF(COUNTIF(Flows!$M$2:$M$1500,$A133&amp;"|"&amp;AK$1&amp;"|Input"),IF(COUNTIF(Flows!$M$2:$M$1500,$A133&amp;"|"&amp;AK$1&amp;"|Output"),"I/O","IN"),IF(COUNTIF(Flows!$M$2:$M$1500,$A133&amp;"|"&amp;AK$1&amp;"|Output"),"OUT",""))</f>
        <v/>
      </c>
      <c r="AL133" s="33" t="str">
        <f aca="false">IF(COUNTIF(Flows!$M$2:$M$1500,$A133&amp;"|"&amp;AL$1&amp;"|Input"),IF(COUNTIF(Flows!$M$2:$M$1500,$A133&amp;"|"&amp;AL$1&amp;"|Output"),"I/O","IN"),IF(COUNTIF(Flows!$M$2:$M$1500,$A133&amp;"|"&amp;AL$1&amp;"|Output"),"OUT",""))</f>
        <v/>
      </c>
      <c r="AM133" s="33" t="str">
        <f aca="false">IF(COUNTIF(Flows!$M$2:$M$1500,$A133&amp;"|"&amp;AM$1&amp;"|Input"),IF(COUNTIF(Flows!$M$2:$M$1500,$A133&amp;"|"&amp;AM$1&amp;"|Output"),"I/O","IN"),IF(COUNTIF(Flows!$M$2:$M$1500,$A133&amp;"|"&amp;AM$1&amp;"|Output"),"OUT",""))</f>
        <v/>
      </c>
      <c r="AN133" s="33" t="str">
        <f aca="false">IF(COUNTIF(Flows!$M$2:$M$1500,$A133&amp;"|"&amp;AN$1&amp;"|Input"),IF(COUNTIF(Flows!$M$2:$M$1500,$A133&amp;"|"&amp;AN$1&amp;"|Output"),"I/O","IN"),IF(COUNTIF(Flows!$M$2:$M$1500,$A133&amp;"|"&amp;AN$1&amp;"|Output"),"OUT",""))</f>
        <v/>
      </c>
      <c r="AO133" s="33" t="str">
        <f aca="false">IF(COUNTIF(Flows!$M$2:$M$1500,$A133&amp;"|"&amp;AO$1&amp;"|Input"),IF(COUNTIF(Flows!$M$2:$M$1500,$A133&amp;"|"&amp;AO$1&amp;"|Output"),"I/O","IN"),IF(COUNTIF(Flows!$M$2:$M$1500,$A133&amp;"|"&amp;AO$1&amp;"|Output"),"OUT",""))</f>
        <v/>
      </c>
      <c r="AP133" s="33" t="str">
        <f aca="false">IF(COUNTIF(Flows!$M$2:$M$1500,$A133&amp;"|"&amp;AP$1&amp;"|Input"),IF(COUNTIF(Flows!$M$2:$M$1500,$A133&amp;"|"&amp;AP$1&amp;"|Output"),"I/O","IN"),IF(COUNTIF(Flows!$M$2:$M$1500,$A133&amp;"|"&amp;AP$1&amp;"|Output"),"OUT",""))</f>
        <v/>
      </c>
      <c r="AQ133" s="33" t="str">
        <f aca="false">IF(COUNTIF(Flows!$M$2:$M$1500,$A133&amp;"|"&amp;AQ$1&amp;"|Input"),IF(COUNTIF(Flows!$M$2:$M$1500,$A133&amp;"|"&amp;AQ$1&amp;"|Output"),"I/O","IN"),IF(COUNTIF(Flows!$M$2:$M$1500,$A133&amp;"|"&amp;AQ$1&amp;"|Output"),"OUT",""))</f>
        <v/>
      </c>
      <c r="AR133" s="33" t="str">
        <f aca="false">IF(COUNTIF(Flows!$M$2:$M$1500,$A133&amp;"|"&amp;AR$1&amp;"|Input"),IF(COUNTIF(Flows!$M$2:$M$1500,$A133&amp;"|"&amp;AR$1&amp;"|Output"),"I/O","IN"),IF(COUNTIF(Flows!$M$2:$M$1500,$A133&amp;"|"&amp;AR$1&amp;"|Output"),"OUT",""))</f>
        <v/>
      </c>
      <c r="AS133" s="33" t="str">
        <f aca="false">IF(COUNTIF(Flows!$M$2:$M$1500,$A133&amp;"|"&amp;AS$1&amp;"|Input"),IF(COUNTIF(Flows!$M$2:$M$1500,$A133&amp;"|"&amp;AS$1&amp;"|Output"),"I/O","IN"),IF(COUNTIF(Flows!$M$2:$M$1500,$A133&amp;"|"&amp;AS$1&amp;"|Output"),"OUT",""))</f>
        <v>IN</v>
      </c>
      <c r="AT133" s="33" t="str">
        <f aca="false">IF(COUNTIF(Flows!$M$2:$M$1500,$A133&amp;"|"&amp;AT$1&amp;"|Input"),IF(COUNTIF(Flows!$M$2:$M$1500,$A133&amp;"|"&amp;AT$1&amp;"|Output"),"I/O","IN"),IF(COUNTIF(Flows!$M$2:$M$1500,$A133&amp;"|"&amp;AT$1&amp;"|Output"),"OUT",""))</f>
        <v/>
      </c>
      <c r="AU133" s="33" t="str">
        <f aca="false">IF(COUNTIF(Flows!$M$2:$M$1500,$A133&amp;"|"&amp;AU$1&amp;"|Input"),IF(COUNTIF(Flows!$M$2:$M$1500,$A133&amp;"|"&amp;AU$1&amp;"|Output"),"I/O","IN"),IF(COUNTIF(Flows!$M$2:$M$1500,$A133&amp;"|"&amp;AU$1&amp;"|Output"),"OUT",""))</f>
        <v/>
      </c>
      <c r="AV133" s="33" t="str">
        <f aca="false">IF(COUNTIF(Flows!$M$2:$M$1500,$A133&amp;"|"&amp;AV$1&amp;"|Input"),IF(COUNTIF(Flows!$M$2:$M$1500,$A133&amp;"|"&amp;AV$1&amp;"|Output"),"I/O","IN"),IF(COUNTIF(Flows!$M$2:$M$1500,$A133&amp;"|"&amp;AV$1&amp;"|Output"),"OUT",""))</f>
        <v/>
      </c>
      <c r="AW133" s="33" t="str">
        <f aca="false">IF(COUNTIF(Flows!$M$2:$M$1500,$A133&amp;"|"&amp;AW$1&amp;"|Input"),IF(COUNTIF(Flows!$M$2:$M$1500,$A133&amp;"|"&amp;AW$1&amp;"|Output"),"I/O","IN"),IF(COUNTIF(Flows!$M$2:$M$1500,$A133&amp;"|"&amp;AW$1&amp;"|Output"),"OUT",""))</f>
        <v/>
      </c>
      <c r="AX133" s="33" t="str">
        <f aca="false">IF(COUNTIF(Flows!$M$2:$M$1500,$A133&amp;"|"&amp;AX$1&amp;"|Input"),IF(COUNTIF(Flows!$M$2:$M$1500,$A133&amp;"|"&amp;AX$1&amp;"|Output"),"I/O","IN"),IF(COUNTIF(Flows!$M$2:$M$1500,$A133&amp;"|"&amp;AX$1&amp;"|Output"),"OUT",""))</f>
        <v/>
      </c>
      <c r="AY133" s="33" t="str">
        <f aca="false">IF(COUNTIF(Flows!$M$2:$M$1500,$A133&amp;"|"&amp;AY$1&amp;"|Input"),IF(COUNTIF(Flows!$M$2:$M$1500,$A133&amp;"|"&amp;AY$1&amp;"|Output"),"I/O","IN"),IF(COUNTIF(Flows!$M$2:$M$1500,$A133&amp;"|"&amp;AY$1&amp;"|Output"),"OUT",""))</f>
        <v/>
      </c>
      <c r="AZ133" s="33" t="str">
        <f aca="false">IF(COUNTIF(Flows!$M$2:$M$1500,$A133&amp;"|"&amp;AZ$1&amp;"|Input"),IF(COUNTIF(Flows!$M$2:$M$1500,$A133&amp;"|"&amp;AZ$1&amp;"|Output"),"I/O","IN"),IF(COUNTIF(Flows!$M$2:$M$1500,$A133&amp;"|"&amp;AZ$1&amp;"|Output"),"OUT",""))</f>
        <v/>
      </c>
      <c r="BA133" s="33" t="str">
        <f aca="false">IF(COUNTIF(Flows!$M$2:$M$1500,$A133&amp;"|"&amp;BA$1&amp;"|Input"),IF(COUNTIF(Flows!$M$2:$M$1500,$A133&amp;"|"&amp;BA$1&amp;"|Output"),"I/O","IN"),IF(COUNTIF(Flows!$M$2:$M$1500,$A133&amp;"|"&amp;BA$1&amp;"|Output"),"OUT",""))</f>
        <v/>
      </c>
      <c r="BB133" s="33" t="str">
        <f aca="false">IF(COUNTIF(Flows!$M$2:$M$1500,$A133&amp;"|"&amp;BB$1&amp;"|Input"),IF(COUNTIF(Flows!$M$2:$M$1500,$A133&amp;"|"&amp;BB$1&amp;"|Output"),"I/O","IN"),IF(COUNTIF(Flows!$M$2:$M$1500,$A133&amp;"|"&amp;BB$1&amp;"|Output"),"OUT",""))</f>
        <v/>
      </c>
      <c r="BC133" s="33" t="str">
        <f aca="false">IF(COUNTIF(Flows!$M$2:$M$1500,$A133&amp;"|"&amp;BC$1&amp;"|Input"),IF(COUNTIF(Flows!$M$2:$M$1500,$A133&amp;"|"&amp;BC$1&amp;"|Output"),"I/O","IN"),IF(COUNTIF(Flows!$M$2:$M$1500,$A133&amp;"|"&amp;BC$1&amp;"|Output"),"OUT",""))</f>
        <v>IN</v>
      </c>
      <c r="BD133" s="33" t="str">
        <f aca="false">IF(COUNTIF(Flows!$M$2:$M$1500,$A133&amp;"|"&amp;BD$1&amp;"|Input"),IF(COUNTIF(Flows!$M$2:$M$1500,$A133&amp;"|"&amp;BD$1&amp;"|Output"),"I/O","IN"),IF(COUNTIF(Flows!$M$2:$M$1500,$A133&amp;"|"&amp;BD$1&amp;"|Output"),"OUT",""))</f>
        <v/>
      </c>
      <c r="BE133" s="33" t="str">
        <f aca="false">IF(COUNTIF(Flows!$M$2:$M$1500,$A133&amp;"|"&amp;BE$1&amp;"|Input"),IF(COUNTIF(Flows!$M$2:$M$1500,$A133&amp;"|"&amp;BE$1&amp;"|Output"),"I/O","IN"),IF(COUNTIF(Flows!$M$2:$M$1500,$A133&amp;"|"&amp;BE$1&amp;"|Output"),"OUT",""))</f>
        <v/>
      </c>
      <c r="BF133" s="33" t="str">
        <f aca="false">IF(COUNTIF(Flows!$M$2:$M$1500,$A133&amp;"|"&amp;BF$1&amp;"|Input"),IF(COUNTIF(Flows!$M$2:$M$1500,$A133&amp;"|"&amp;BF$1&amp;"|Output"),"I/O","IN"),IF(COUNTIF(Flows!$M$2:$M$1500,$A133&amp;"|"&amp;BF$1&amp;"|Output"),"OUT",""))</f>
        <v/>
      </c>
      <c r="BG133" s="33" t="str">
        <f aca="false">IF(COUNTIF(Flows!$M$2:$M$1500,$A133&amp;"|"&amp;BG$1&amp;"|Input"),IF(COUNTIF(Flows!$M$2:$M$1500,$A133&amp;"|"&amp;BG$1&amp;"|Output"),"I/O","IN"),IF(COUNTIF(Flows!$M$2:$M$1500,$A133&amp;"|"&amp;BG$1&amp;"|Output"),"OUT",""))</f>
        <v/>
      </c>
      <c r="BH133" s="33" t="str">
        <f aca="false">IF(COUNTIF(Flows!$M$2:$M$1500,$A133&amp;"|"&amp;BH$1&amp;"|Input"),IF(COUNTIF(Flows!$M$2:$M$1500,$A133&amp;"|"&amp;BH$1&amp;"|Output"),"I/O","IN"),IF(COUNTIF(Flows!$M$2:$M$1500,$A133&amp;"|"&amp;BH$1&amp;"|Output"),"OUT",""))</f>
        <v>IN</v>
      </c>
      <c r="BI133" s="33" t="str">
        <f aca="false">IF(COUNTIF(Flows!$M$2:$M$1500,$A133&amp;"|"&amp;BI$1&amp;"|Input"),IF(COUNTIF(Flows!$M$2:$M$1500,$A133&amp;"|"&amp;BI$1&amp;"|Output"),"I/O","IN"),IF(COUNTIF(Flows!$M$2:$M$1500,$A133&amp;"|"&amp;BI$1&amp;"|Output"),"OUT",""))</f>
        <v>OUT</v>
      </c>
      <c r="BJ133" s="33" t="str">
        <f aca="false">IF(COUNTIF(Flows!$M$2:$M$1500,$A133&amp;"|"&amp;BJ$1&amp;"|Input"),IF(COUNTIF(Flows!$M$2:$M$1500,$A133&amp;"|"&amp;BJ$1&amp;"|Output"),"I/O","IN"),IF(COUNTIF(Flows!$M$2:$M$1500,$A133&amp;"|"&amp;BJ$1&amp;"|Output"),"OUT",""))</f>
        <v/>
      </c>
      <c r="BK133" s="33" t="str">
        <f aca="false">IF(COUNTIF(Flows!$M$2:$M$1500,$A133&amp;"|"&amp;BK$1&amp;"|Input"),IF(COUNTIF(Flows!$M$2:$M$1500,$A133&amp;"|"&amp;BK$1&amp;"|Output"),"I/O","IN"),IF(COUNTIF(Flows!$M$2:$M$1500,$A133&amp;"|"&amp;BK$1&amp;"|Output"),"OUT",""))</f>
        <v/>
      </c>
    </row>
    <row r="134" customFormat="false" ht="15" hidden="false" customHeight="true" outlineLevel="0" collapsed="false">
      <c r="A134" s="6" t="str">
        <f aca="false">Systems!B134</f>
        <v>Clover Cover Crop</v>
      </c>
      <c r="B134" s="33" t="str">
        <f aca="false">IF(COUNTIF(Flows!$M$2:$M$1500,$A134&amp;"|"&amp;B$1&amp;"|Input"),IF(COUNTIF(Flows!$M$2:$M$1500,$A134&amp;"|"&amp;B$1&amp;"|Output"),"I/O","IN"),IF(COUNTIF(Flows!$M$2:$M$1500,$A134&amp;"|"&amp;B$1&amp;"|Output"),"OUT",""))</f>
        <v/>
      </c>
      <c r="C134" s="33" t="str">
        <f aca="false">IF(COUNTIF(Flows!$M$2:$M$1500,$A134&amp;"|"&amp;C$1&amp;"|Input"),IF(COUNTIF(Flows!$M$2:$M$1500,$A134&amp;"|"&amp;C$1&amp;"|Output"),"I/O","IN"),IF(COUNTIF(Flows!$M$2:$M$1500,$A134&amp;"|"&amp;C$1&amp;"|Output"),"OUT",""))</f>
        <v/>
      </c>
      <c r="D134" s="33" t="str">
        <f aca="false">IF(COUNTIF(Flows!$M$2:$M$1500,$A134&amp;"|"&amp;D$1&amp;"|Input"),IF(COUNTIF(Flows!$M$2:$M$1500,$A134&amp;"|"&amp;D$1&amp;"|Output"),"I/O","IN"),IF(COUNTIF(Flows!$M$2:$M$1500,$A134&amp;"|"&amp;D$1&amp;"|Output"),"OUT",""))</f>
        <v/>
      </c>
      <c r="E134" s="33" t="str">
        <f aca="false">IF(COUNTIF(Flows!$M$2:$M$1500,$A134&amp;"|"&amp;E$1&amp;"|Input"),IF(COUNTIF(Flows!$M$2:$M$1500,$A134&amp;"|"&amp;E$1&amp;"|Output"),"I/O","IN"),IF(COUNTIF(Flows!$M$2:$M$1500,$A134&amp;"|"&amp;E$1&amp;"|Output"),"OUT",""))</f>
        <v/>
      </c>
      <c r="F134" s="33" t="str">
        <f aca="false">IF(COUNTIF(Flows!$M$2:$M$1500,$A134&amp;"|"&amp;F$1&amp;"|Input"),IF(COUNTIF(Flows!$M$2:$M$1500,$A134&amp;"|"&amp;F$1&amp;"|Output"),"I/O","IN"),IF(COUNTIF(Flows!$M$2:$M$1500,$A134&amp;"|"&amp;F$1&amp;"|Output"),"OUT",""))</f>
        <v/>
      </c>
      <c r="G134" s="33" t="str">
        <f aca="false">IF(COUNTIF(Flows!$M$2:$M$1500,$A134&amp;"|"&amp;G$1&amp;"|Input"),IF(COUNTIF(Flows!$M$2:$M$1500,$A134&amp;"|"&amp;G$1&amp;"|Output"),"I/O","IN"),IF(COUNTIF(Flows!$M$2:$M$1500,$A134&amp;"|"&amp;G$1&amp;"|Output"),"OUT",""))</f>
        <v/>
      </c>
      <c r="H134" s="33" t="str">
        <f aca="false">IF(COUNTIF(Flows!$M$2:$M$1500,$A134&amp;"|"&amp;H$1&amp;"|Input"),IF(COUNTIF(Flows!$M$2:$M$1500,$A134&amp;"|"&amp;H$1&amp;"|Output"),"I/O","IN"),IF(COUNTIF(Flows!$M$2:$M$1500,$A134&amp;"|"&amp;H$1&amp;"|Output"),"OUT",""))</f>
        <v/>
      </c>
      <c r="I134" s="33" t="str">
        <f aca="false">IF(COUNTIF(Flows!$M$2:$M$1500,$A134&amp;"|"&amp;I$1&amp;"|Input"),IF(COUNTIF(Flows!$M$2:$M$1500,$A134&amp;"|"&amp;I$1&amp;"|Output"),"I/O","IN"),IF(COUNTIF(Flows!$M$2:$M$1500,$A134&amp;"|"&amp;I$1&amp;"|Output"),"OUT",""))</f>
        <v/>
      </c>
      <c r="J134" s="33" t="str">
        <f aca="false">IF(COUNTIF(Flows!$M$2:$M$1500,$A134&amp;"|"&amp;J$1&amp;"|Input"),IF(COUNTIF(Flows!$M$2:$M$1500,$A134&amp;"|"&amp;J$1&amp;"|Output"),"I/O","IN"),IF(COUNTIF(Flows!$M$2:$M$1500,$A134&amp;"|"&amp;J$1&amp;"|Output"),"OUT",""))</f>
        <v/>
      </c>
      <c r="K134" s="33" t="str">
        <f aca="false">IF(COUNTIF(Flows!$M$2:$M$1500,$A134&amp;"|"&amp;K$1&amp;"|Input"),IF(COUNTIF(Flows!$M$2:$M$1500,$A134&amp;"|"&amp;K$1&amp;"|Output"),"I/O","IN"),IF(COUNTIF(Flows!$M$2:$M$1500,$A134&amp;"|"&amp;K$1&amp;"|Output"),"OUT",""))</f>
        <v/>
      </c>
      <c r="L134" s="33" t="str">
        <f aca="false">IF(COUNTIF(Flows!$M$2:$M$1500,$A134&amp;"|"&amp;L$1&amp;"|Input"),IF(COUNTIF(Flows!$M$2:$M$1500,$A134&amp;"|"&amp;L$1&amp;"|Output"),"I/O","IN"),IF(COUNTIF(Flows!$M$2:$M$1500,$A134&amp;"|"&amp;L$1&amp;"|Output"),"OUT",""))</f>
        <v/>
      </c>
      <c r="M134" s="33" t="str">
        <f aca="false">IF(COUNTIF(Flows!$M$2:$M$1500,$A134&amp;"|"&amp;M$1&amp;"|Input"),IF(COUNTIF(Flows!$M$2:$M$1500,$A134&amp;"|"&amp;M$1&amp;"|Output"),"I/O","IN"),IF(COUNTIF(Flows!$M$2:$M$1500,$A134&amp;"|"&amp;M$1&amp;"|Output"),"OUT",""))</f>
        <v/>
      </c>
      <c r="N134" s="33" t="str">
        <f aca="false">IF(COUNTIF(Flows!$M$2:$M$1500,$A134&amp;"|"&amp;N$1&amp;"|Input"),IF(COUNTIF(Flows!$M$2:$M$1500,$A134&amp;"|"&amp;N$1&amp;"|Output"),"I/O","IN"),IF(COUNTIF(Flows!$M$2:$M$1500,$A134&amp;"|"&amp;N$1&amp;"|Output"),"OUT",""))</f>
        <v/>
      </c>
      <c r="O134" s="33" t="str">
        <f aca="false">IF(COUNTIF(Flows!$M$2:$M$1500,$A134&amp;"|"&amp;O$1&amp;"|Input"),IF(COUNTIF(Flows!$M$2:$M$1500,$A134&amp;"|"&amp;O$1&amp;"|Output"),"I/O","IN"),IF(COUNTIF(Flows!$M$2:$M$1500,$A134&amp;"|"&amp;O$1&amp;"|Output"),"OUT",""))</f>
        <v/>
      </c>
      <c r="P134" s="33" t="str">
        <f aca="false">IF(COUNTIF(Flows!$M$2:$M$1500,$A134&amp;"|"&amp;P$1&amp;"|Input"),IF(COUNTIF(Flows!$M$2:$M$1500,$A134&amp;"|"&amp;P$1&amp;"|Output"),"I/O","IN"),IF(COUNTIF(Flows!$M$2:$M$1500,$A134&amp;"|"&amp;P$1&amp;"|Output"),"OUT",""))</f>
        <v/>
      </c>
      <c r="Q134" s="33" t="str">
        <f aca="false">IF(COUNTIF(Flows!$M$2:$M$1500,$A134&amp;"|"&amp;Q$1&amp;"|Input"),IF(COUNTIF(Flows!$M$2:$M$1500,$A134&amp;"|"&amp;Q$1&amp;"|Output"),"I/O","IN"),IF(COUNTIF(Flows!$M$2:$M$1500,$A134&amp;"|"&amp;Q$1&amp;"|Output"),"OUT",""))</f>
        <v/>
      </c>
      <c r="R134" s="33" t="str">
        <f aca="false">IF(COUNTIF(Flows!$M$2:$M$1500,$A134&amp;"|"&amp;R$1&amp;"|Input"),IF(COUNTIF(Flows!$M$2:$M$1500,$A134&amp;"|"&amp;R$1&amp;"|Output"),"I/O","IN"),IF(COUNTIF(Flows!$M$2:$M$1500,$A134&amp;"|"&amp;R$1&amp;"|Output"),"OUT",""))</f>
        <v/>
      </c>
      <c r="S134" s="33" t="str">
        <f aca="false">IF(COUNTIF(Flows!$M$2:$M$1500,$A134&amp;"|"&amp;S$1&amp;"|Input"),IF(COUNTIF(Flows!$M$2:$M$1500,$A134&amp;"|"&amp;S$1&amp;"|Output"),"I/O","IN"),IF(COUNTIF(Flows!$M$2:$M$1500,$A134&amp;"|"&amp;S$1&amp;"|Output"),"OUT",""))</f>
        <v/>
      </c>
      <c r="T134" s="33" t="str">
        <f aca="false">IF(COUNTIF(Flows!$M$2:$M$1500,$A134&amp;"|"&amp;T$1&amp;"|Input"),IF(COUNTIF(Flows!$M$2:$M$1500,$A134&amp;"|"&amp;T$1&amp;"|Output"),"I/O","IN"),IF(COUNTIF(Flows!$M$2:$M$1500,$A134&amp;"|"&amp;T$1&amp;"|Output"),"OUT",""))</f>
        <v/>
      </c>
      <c r="U134" s="33" t="str">
        <f aca="false">IF(COUNTIF(Flows!$M$2:$M$1500,$A134&amp;"|"&amp;U$1&amp;"|Input"),IF(COUNTIF(Flows!$M$2:$M$1500,$A134&amp;"|"&amp;U$1&amp;"|Output"),"I/O","IN"),IF(COUNTIF(Flows!$M$2:$M$1500,$A134&amp;"|"&amp;U$1&amp;"|Output"),"OUT",""))</f>
        <v/>
      </c>
      <c r="V134" s="33" t="str">
        <f aca="false">IF(COUNTIF(Flows!$M$2:$M$1500,$A134&amp;"|"&amp;V$1&amp;"|Input"),IF(COUNTIF(Flows!$M$2:$M$1500,$A134&amp;"|"&amp;V$1&amp;"|Output"),"I/O","IN"),IF(COUNTIF(Flows!$M$2:$M$1500,$A134&amp;"|"&amp;V$1&amp;"|Output"),"OUT",""))</f>
        <v/>
      </c>
      <c r="W134" s="33" t="str">
        <f aca="false">IF(COUNTIF(Flows!$M$2:$M$1500,$A134&amp;"|"&amp;W$1&amp;"|Input"),IF(COUNTIF(Flows!$M$2:$M$1500,$A134&amp;"|"&amp;W$1&amp;"|Output"),"I/O","IN"),IF(COUNTIF(Flows!$M$2:$M$1500,$A134&amp;"|"&amp;W$1&amp;"|Output"),"OUT",""))</f>
        <v/>
      </c>
      <c r="X134" s="33" t="str">
        <f aca="false">IF(COUNTIF(Flows!$M$2:$M$1500,$A134&amp;"|"&amp;X$1&amp;"|Input"),IF(COUNTIF(Flows!$M$2:$M$1500,$A134&amp;"|"&amp;X$1&amp;"|Output"),"I/O","IN"),IF(COUNTIF(Flows!$M$2:$M$1500,$A134&amp;"|"&amp;X$1&amp;"|Output"),"OUT",""))</f>
        <v/>
      </c>
      <c r="Y134" s="33" t="str">
        <f aca="false">IF(COUNTIF(Flows!$M$2:$M$1500,$A134&amp;"|"&amp;Y$1&amp;"|Input"),IF(COUNTIF(Flows!$M$2:$M$1500,$A134&amp;"|"&amp;Y$1&amp;"|Output"),"I/O","IN"),IF(COUNTIF(Flows!$M$2:$M$1500,$A134&amp;"|"&amp;Y$1&amp;"|Output"),"OUT",""))</f>
        <v/>
      </c>
      <c r="Z134" s="33" t="str">
        <f aca="false">IF(COUNTIF(Flows!$M$2:$M$1500,$A134&amp;"|"&amp;Z$1&amp;"|Input"),IF(COUNTIF(Flows!$M$2:$M$1500,$A134&amp;"|"&amp;Z$1&amp;"|Output"),"I/O","IN"),IF(COUNTIF(Flows!$M$2:$M$1500,$A134&amp;"|"&amp;Z$1&amp;"|Output"),"OUT",""))</f>
        <v/>
      </c>
      <c r="AA134" s="33" t="str">
        <f aca="false">IF(COUNTIF(Flows!$M$2:$M$1500,$A134&amp;"|"&amp;AA$1&amp;"|Input"),IF(COUNTIF(Flows!$M$2:$M$1500,$A134&amp;"|"&amp;AA$1&amp;"|Output"),"I/O","IN"),IF(COUNTIF(Flows!$M$2:$M$1500,$A134&amp;"|"&amp;AA$1&amp;"|Output"),"OUT",""))</f>
        <v/>
      </c>
      <c r="AB134" s="33" t="str">
        <f aca="false">IF(COUNTIF(Flows!$M$2:$M$1500,$A134&amp;"|"&amp;AB$1&amp;"|Input"),IF(COUNTIF(Flows!$M$2:$M$1500,$A134&amp;"|"&amp;AB$1&amp;"|Output"),"I/O","IN"),IF(COUNTIF(Flows!$M$2:$M$1500,$A134&amp;"|"&amp;AB$1&amp;"|Output"),"OUT",""))</f>
        <v/>
      </c>
      <c r="AC134" s="33" t="str">
        <f aca="false">IF(COUNTIF(Flows!$M$2:$M$1500,$A134&amp;"|"&amp;AC$1&amp;"|Input"),IF(COUNTIF(Flows!$M$2:$M$1500,$A134&amp;"|"&amp;AC$1&amp;"|Output"),"I/O","IN"),IF(COUNTIF(Flows!$M$2:$M$1500,$A134&amp;"|"&amp;AC$1&amp;"|Output"),"OUT",""))</f>
        <v/>
      </c>
      <c r="AD134" s="33" t="str">
        <f aca="false">IF(COUNTIF(Flows!$M$2:$M$1500,$A134&amp;"|"&amp;AD$1&amp;"|Input"),IF(COUNTIF(Flows!$M$2:$M$1500,$A134&amp;"|"&amp;AD$1&amp;"|Output"),"I/O","IN"),IF(COUNTIF(Flows!$M$2:$M$1500,$A134&amp;"|"&amp;AD$1&amp;"|Output"),"OUT",""))</f>
        <v/>
      </c>
      <c r="AE134" s="33" t="str">
        <f aca="false">IF(COUNTIF(Flows!$M$2:$M$1500,$A134&amp;"|"&amp;AE$1&amp;"|Input"),IF(COUNTIF(Flows!$M$2:$M$1500,$A134&amp;"|"&amp;AE$1&amp;"|Output"),"I/O","IN"),IF(COUNTIF(Flows!$M$2:$M$1500,$A134&amp;"|"&amp;AE$1&amp;"|Output"),"OUT",""))</f>
        <v/>
      </c>
      <c r="AF134" s="33" t="str">
        <f aca="false">IF(COUNTIF(Flows!$M$2:$M$1500,$A134&amp;"|"&amp;AF$1&amp;"|Input"),IF(COUNTIF(Flows!$M$2:$M$1500,$A134&amp;"|"&amp;AF$1&amp;"|Output"),"I/O","IN"),IF(COUNTIF(Flows!$M$2:$M$1500,$A134&amp;"|"&amp;AF$1&amp;"|Output"),"OUT",""))</f>
        <v/>
      </c>
      <c r="AG134" s="33" t="str">
        <f aca="false">IF(COUNTIF(Flows!$M$2:$M$1500,$A134&amp;"|"&amp;AG$1&amp;"|Input"),IF(COUNTIF(Flows!$M$2:$M$1500,$A134&amp;"|"&amp;AG$1&amp;"|Output"),"I/O","IN"),IF(COUNTIF(Flows!$M$2:$M$1500,$A134&amp;"|"&amp;AG$1&amp;"|Output"),"OUT",""))</f>
        <v/>
      </c>
      <c r="AH134" s="33" t="str">
        <f aca="false">IF(COUNTIF(Flows!$M$2:$M$1500,$A134&amp;"|"&amp;AH$1&amp;"|Input"),IF(COUNTIF(Flows!$M$2:$M$1500,$A134&amp;"|"&amp;AH$1&amp;"|Output"),"I/O","IN"),IF(COUNTIF(Flows!$M$2:$M$1500,$A134&amp;"|"&amp;AH$1&amp;"|Output"),"OUT",""))</f>
        <v/>
      </c>
      <c r="AI134" s="33" t="str">
        <f aca="false">IF(COUNTIF(Flows!$M$2:$M$1500,$A134&amp;"|"&amp;AI$1&amp;"|Input"),IF(COUNTIF(Flows!$M$2:$M$1500,$A134&amp;"|"&amp;AI$1&amp;"|Output"),"I/O","IN"),IF(COUNTIF(Flows!$M$2:$M$1500,$A134&amp;"|"&amp;AI$1&amp;"|Output"),"OUT",""))</f>
        <v/>
      </c>
      <c r="AJ134" s="33" t="str">
        <f aca="false">IF(COUNTIF(Flows!$M$2:$M$1500,$A134&amp;"|"&amp;AJ$1&amp;"|Input"),IF(COUNTIF(Flows!$M$2:$M$1500,$A134&amp;"|"&amp;AJ$1&amp;"|Output"),"I/O","IN"),IF(COUNTIF(Flows!$M$2:$M$1500,$A134&amp;"|"&amp;AJ$1&amp;"|Output"),"OUT",""))</f>
        <v/>
      </c>
      <c r="AK134" s="33" t="str">
        <f aca="false">IF(COUNTIF(Flows!$M$2:$M$1500,$A134&amp;"|"&amp;AK$1&amp;"|Input"),IF(COUNTIF(Flows!$M$2:$M$1500,$A134&amp;"|"&amp;AK$1&amp;"|Output"),"I/O","IN"),IF(COUNTIF(Flows!$M$2:$M$1500,$A134&amp;"|"&amp;AK$1&amp;"|Output"),"OUT",""))</f>
        <v/>
      </c>
      <c r="AL134" s="33" t="str">
        <f aca="false">IF(COUNTIF(Flows!$M$2:$M$1500,$A134&amp;"|"&amp;AL$1&amp;"|Input"),IF(COUNTIF(Flows!$M$2:$M$1500,$A134&amp;"|"&amp;AL$1&amp;"|Output"),"I/O","IN"),IF(COUNTIF(Flows!$M$2:$M$1500,$A134&amp;"|"&amp;AL$1&amp;"|Output"),"OUT",""))</f>
        <v/>
      </c>
      <c r="AM134" s="33" t="str">
        <f aca="false">IF(COUNTIF(Flows!$M$2:$M$1500,$A134&amp;"|"&amp;AM$1&amp;"|Input"),IF(COUNTIF(Flows!$M$2:$M$1500,$A134&amp;"|"&amp;AM$1&amp;"|Output"),"I/O","IN"),IF(COUNTIF(Flows!$M$2:$M$1500,$A134&amp;"|"&amp;AM$1&amp;"|Output"),"OUT",""))</f>
        <v/>
      </c>
      <c r="AN134" s="33" t="str">
        <f aca="false">IF(COUNTIF(Flows!$M$2:$M$1500,$A134&amp;"|"&amp;AN$1&amp;"|Input"),IF(COUNTIF(Flows!$M$2:$M$1500,$A134&amp;"|"&amp;AN$1&amp;"|Output"),"I/O","IN"),IF(COUNTIF(Flows!$M$2:$M$1500,$A134&amp;"|"&amp;AN$1&amp;"|Output"),"OUT",""))</f>
        <v/>
      </c>
      <c r="AO134" s="33" t="str">
        <f aca="false">IF(COUNTIF(Flows!$M$2:$M$1500,$A134&amp;"|"&amp;AO$1&amp;"|Input"),IF(COUNTIF(Flows!$M$2:$M$1500,$A134&amp;"|"&amp;AO$1&amp;"|Output"),"I/O","IN"),IF(COUNTIF(Flows!$M$2:$M$1500,$A134&amp;"|"&amp;AO$1&amp;"|Output"),"OUT",""))</f>
        <v/>
      </c>
      <c r="AP134" s="33" t="str">
        <f aca="false">IF(COUNTIF(Flows!$M$2:$M$1500,$A134&amp;"|"&amp;AP$1&amp;"|Input"),IF(COUNTIF(Flows!$M$2:$M$1500,$A134&amp;"|"&amp;AP$1&amp;"|Output"),"I/O","IN"),IF(COUNTIF(Flows!$M$2:$M$1500,$A134&amp;"|"&amp;AP$1&amp;"|Output"),"OUT",""))</f>
        <v>OUT</v>
      </c>
      <c r="AQ134" s="33" t="str">
        <f aca="false">IF(COUNTIF(Flows!$M$2:$M$1500,$A134&amp;"|"&amp;AQ$1&amp;"|Input"),IF(COUNTIF(Flows!$M$2:$M$1500,$A134&amp;"|"&amp;AQ$1&amp;"|Output"),"I/O","IN"),IF(COUNTIF(Flows!$M$2:$M$1500,$A134&amp;"|"&amp;AQ$1&amp;"|Output"),"OUT",""))</f>
        <v/>
      </c>
      <c r="AR134" s="33" t="str">
        <f aca="false">IF(COUNTIF(Flows!$M$2:$M$1500,$A134&amp;"|"&amp;AR$1&amp;"|Input"),IF(COUNTIF(Flows!$M$2:$M$1500,$A134&amp;"|"&amp;AR$1&amp;"|Output"),"I/O","IN"),IF(COUNTIF(Flows!$M$2:$M$1500,$A134&amp;"|"&amp;AR$1&amp;"|Output"),"OUT",""))</f>
        <v/>
      </c>
      <c r="AS134" s="33" t="str">
        <f aca="false">IF(COUNTIF(Flows!$M$2:$M$1500,$A134&amp;"|"&amp;AS$1&amp;"|Input"),IF(COUNTIF(Flows!$M$2:$M$1500,$A134&amp;"|"&amp;AS$1&amp;"|Output"),"I/O","IN"),IF(COUNTIF(Flows!$M$2:$M$1500,$A134&amp;"|"&amp;AS$1&amp;"|Output"),"OUT",""))</f>
        <v/>
      </c>
      <c r="AT134" s="33" t="str">
        <f aca="false">IF(COUNTIF(Flows!$M$2:$M$1500,$A134&amp;"|"&amp;AT$1&amp;"|Input"),IF(COUNTIF(Flows!$M$2:$M$1500,$A134&amp;"|"&amp;AT$1&amp;"|Output"),"I/O","IN"),IF(COUNTIF(Flows!$M$2:$M$1500,$A134&amp;"|"&amp;AT$1&amp;"|Output"),"OUT",""))</f>
        <v/>
      </c>
      <c r="AU134" s="33" t="str">
        <f aca="false">IF(COUNTIF(Flows!$M$2:$M$1500,$A134&amp;"|"&amp;AU$1&amp;"|Input"),IF(COUNTIF(Flows!$M$2:$M$1500,$A134&amp;"|"&amp;AU$1&amp;"|Output"),"I/O","IN"),IF(COUNTIF(Flows!$M$2:$M$1500,$A134&amp;"|"&amp;AU$1&amp;"|Output"),"OUT",""))</f>
        <v/>
      </c>
      <c r="AV134" s="33" t="str">
        <f aca="false">IF(COUNTIF(Flows!$M$2:$M$1500,$A134&amp;"|"&amp;AV$1&amp;"|Input"),IF(COUNTIF(Flows!$M$2:$M$1500,$A134&amp;"|"&amp;AV$1&amp;"|Output"),"I/O","IN"),IF(COUNTIF(Flows!$M$2:$M$1500,$A134&amp;"|"&amp;AV$1&amp;"|Output"),"OUT",""))</f>
        <v/>
      </c>
      <c r="AW134" s="33" t="str">
        <f aca="false">IF(COUNTIF(Flows!$M$2:$M$1500,$A134&amp;"|"&amp;AW$1&amp;"|Input"),IF(COUNTIF(Flows!$M$2:$M$1500,$A134&amp;"|"&amp;AW$1&amp;"|Output"),"I/O","IN"),IF(COUNTIF(Flows!$M$2:$M$1500,$A134&amp;"|"&amp;AW$1&amp;"|Output"),"OUT",""))</f>
        <v/>
      </c>
      <c r="AX134" s="33" t="str">
        <f aca="false">IF(COUNTIF(Flows!$M$2:$M$1500,$A134&amp;"|"&amp;AX$1&amp;"|Input"),IF(COUNTIF(Flows!$M$2:$M$1500,$A134&amp;"|"&amp;AX$1&amp;"|Output"),"I/O","IN"),IF(COUNTIF(Flows!$M$2:$M$1500,$A134&amp;"|"&amp;AX$1&amp;"|Output"),"OUT",""))</f>
        <v/>
      </c>
      <c r="AY134" s="33" t="str">
        <f aca="false">IF(COUNTIF(Flows!$M$2:$M$1500,$A134&amp;"|"&amp;AY$1&amp;"|Input"),IF(COUNTIF(Flows!$M$2:$M$1500,$A134&amp;"|"&amp;AY$1&amp;"|Output"),"I/O","IN"),IF(COUNTIF(Flows!$M$2:$M$1500,$A134&amp;"|"&amp;AY$1&amp;"|Output"),"OUT",""))</f>
        <v/>
      </c>
      <c r="AZ134" s="33" t="str">
        <f aca="false">IF(COUNTIF(Flows!$M$2:$M$1500,$A134&amp;"|"&amp;AZ$1&amp;"|Input"),IF(COUNTIF(Flows!$M$2:$M$1500,$A134&amp;"|"&amp;AZ$1&amp;"|Output"),"I/O","IN"),IF(COUNTIF(Flows!$M$2:$M$1500,$A134&amp;"|"&amp;AZ$1&amp;"|Output"),"OUT",""))</f>
        <v/>
      </c>
      <c r="BA134" s="33" t="str">
        <f aca="false">IF(COUNTIF(Flows!$M$2:$M$1500,$A134&amp;"|"&amp;BA$1&amp;"|Input"),IF(COUNTIF(Flows!$M$2:$M$1500,$A134&amp;"|"&amp;BA$1&amp;"|Output"),"I/O","IN"),IF(COUNTIF(Flows!$M$2:$M$1500,$A134&amp;"|"&amp;BA$1&amp;"|Output"),"OUT",""))</f>
        <v/>
      </c>
      <c r="BB134" s="33" t="str">
        <f aca="false">IF(COUNTIF(Flows!$M$2:$M$1500,$A134&amp;"|"&amp;BB$1&amp;"|Input"),IF(COUNTIF(Flows!$M$2:$M$1500,$A134&amp;"|"&amp;BB$1&amp;"|Output"),"I/O","IN"),IF(COUNTIF(Flows!$M$2:$M$1500,$A134&amp;"|"&amp;BB$1&amp;"|Output"),"OUT",""))</f>
        <v>IN</v>
      </c>
      <c r="BC134" s="33" t="str">
        <f aca="false">IF(COUNTIF(Flows!$M$2:$M$1500,$A134&amp;"|"&amp;BC$1&amp;"|Input"),IF(COUNTIF(Flows!$M$2:$M$1500,$A134&amp;"|"&amp;BC$1&amp;"|Output"),"I/O","IN"),IF(COUNTIF(Flows!$M$2:$M$1500,$A134&amp;"|"&amp;BC$1&amp;"|Output"),"OUT",""))</f>
        <v/>
      </c>
      <c r="BD134" s="33" t="str">
        <f aca="false">IF(COUNTIF(Flows!$M$2:$M$1500,$A134&amp;"|"&amp;BD$1&amp;"|Input"),IF(COUNTIF(Flows!$M$2:$M$1500,$A134&amp;"|"&amp;BD$1&amp;"|Output"),"I/O","IN"),IF(COUNTIF(Flows!$M$2:$M$1500,$A134&amp;"|"&amp;BD$1&amp;"|Output"),"OUT",""))</f>
        <v>OUT</v>
      </c>
      <c r="BE134" s="33" t="str">
        <f aca="false">IF(COUNTIF(Flows!$M$2:$M$1500,$A134&amp;"|"&amp;BE$1&amp;"|Input"),IF(COUNTIF(Flows!$M$2:$M$1500,$A134&amp;"|"&amp;BE$1&amp;"|Output"),"I/O","IN"),IF(COUNTIF(Flows!$M$2:$M$1500,$A134&amp;"|"&amp;BE$1&amp;"|Output"),"OUT",""))</f>
        <v/>
      </c>
      <c r="BF134" s="33" t="str">
        <f aca="false">IF(COUNTIF(Flows!$M$2:$M$1500,$A134&amp;"|"&amp;BF$1&amp;"|Input"),IF(COUNTIF(Flows!$M$2:$M$1500,$A134&amp;"|"&amp;BF$1&amp;"|Output"),"I/O","IN"),IF(COUNTIF(Flows!$M$2:$M$1500,$A134&amp;"|"&amp;BF$1&amp;"|Output"),"OUT",""))</f>
        <v/>
      </c>
      <c r="BG134" s="33" t="str">
        <f aca="false">IF(COUNTIF(Flows!$M$2:$M$1500,$A134&amp;"|"&amp;BG$1&amp;"|Input"),IF(COUNTIF(Flows!$M$2:$M$1500,$A134&amp;"|"&amp;BG$1&amp;"|Output"),"I/O","IN"),IF(COUNTIF(Flows!$M$2:$M$1500,$A134&amp;"|"&amp;BG$1&amp;"|Output"),"OUT",""))</f>
        <v/>
      </c>
      <c r="BH134" s="33" t="str">
        <f aca="false">IF(COUNTIF(Flows!$M$2:$M$1500,$A134&amp;"|"&amp;BH$1&amp;"|Input"),IF(COUNTIF(Flows!$M$2:$M$1500,$A134&amp;"|"&amp;BH$1&amp;"|Output"),"I/O","IN"),IF(COUNTIF(Flows!$M$2:$M$1500,$A134&amp;"|"&amp;BH$1&amp;"|Output"),"OUT",""))</f>
        <v/>
      </c>
      <c r="BI134" s="33" t="str">
        <f aca="false">IF(COUNTIF(Flows!$M$2:$M$1500,$A134&amp;"|"&amp;BI$1&amp;"|Input"),IF(COUNTIF(Flows!$M$2:$M$1500,$A134&amp;"|"&amp;BI$1&amp;"|Output"),"I/O","IN"),IF(COUNTIF(Flows!$M$2:$M$1500,$A134&amp;"|"&amp;BI$1&amp;"|Output"),"OUT",""))</f>
        <v>OUT</v>
      </c>
      <c r="BJ134" s="33" t="str">
        <f aca="false">IF(COUNTIF(Flows!$M$2:$M$1500,$A134&amp;"|"&amp;BJ$1&amp;"|Input"),IF(COUNTIF(Flows!$M$2:$M$1500,$A134&amp;"|"&amp;BJ$1&amp;"|Output"),"I/O","IN"),IF(COUNTIF(Flows!$M$2:$M$1500,$A134&amp;"|"&amp;BJ$1&amp;"|Output"),"OUT",""))</f>
        <v/>
      </c>
      <c r="BK134" s="33" t="str">
        <f aca="false">IF(COUNTIF(Flows!$M$2:$M$1500,$A134&amp;"|"&amp;BK$1&amp;"|Input"),IF(COUNTIF(Flows!$M$2:$M$1500,$A134&amp;"|"&amp;BK$1&amp;"|Output"),"I/O","IN"),IF(COUNTIF(Flows!$M$2:$M$1500,$A134&amp;"|"&amp;BK$1&amp;"|Output"),"OUT",""))</f>
        <v/>
      </c>
    </row>
    <row r="135" customFormat="false" ht="15" hidden="false" customHeight="true" outlineLevel="0" collapsed="false">
      <c r="A135" s="6" t="str">
        <f aca="false">Systems!B135</f>
        <v>Bat House</v>
      </c>
      <c r="B135" s="33" t="str">
        <f aca="false">IF(COUNTIF(Flows!$M$2:$M$1500,$A135&amp;"|"&amp;B$1&amp;"|Input"),IF(COUNTIF(Flows!$M$2:$M$1500,$A135&amp;"|"&amp;B$1&amp;"|Output"),"I/O","IN"),IF(COUNTIF(Flows!$M$2:$M$1500,$A135&amp;"|"&amp;B$1&amp;"|Output"),"OUT",""))</f>
        <v/>
      </c>
      <c r="C135" s="33" t="str">
        <f aca="false">IF(COUNTIF(Flows!$M$2:$M$1500,$A135&amp;"|"&amp;C$1&amp;"|Input"),IF(COUNTIF(Flows!$M$2:$M$1500,$A135&amp;"|"&amp;C$1&amp;"|Output"),"I/O","IN"),IF(COUNTIF(Flows!$M$2:$M$1500,$A135&amp;"|"&amp;C$1&amp;"|Output"),"OUT",""))</f>
        <v/>
      </c>
      <c r="D135" s="33" t="str">
        <f aca="false">IF(COUNTIF(Flows!$M$2:$M$1500,$A135&amp;"|"&amp;D$1&amp;"|Input"),IF(COUNTIF(Flows!$M$2:$M$1500,$A135&amp;"|"&amp;D$1&amp;"|Output"),"I/O","IN"),IF(COUNTIF(Flows!$M$2:$M$1500,$A135&amp;"|"&amp;D$1&amp;"|Output"),"OUT",""))</f>
        <v/>
      </c>
      <c r="E135" s="33" t="str">
        <f aca="false">IF(COUNTIF(Flows!$M$2:$M$1500,$A135&amp;"|"&amp;E$1&amp;"|Input"),IF(COUNTIF(Flows!$M$2:$M$1500,$A135&amp;"|"&amp;E$1&amp;"|Output"),"I/O","IN"),IF(COUNTIF(Flows!$M$2:$M$1500,$A135&amp;"|"&amp;E$1&amp;"|Output"),"OUT",""))</f>
        <v/>
      </c>
      <c r="F135" s="33" t="str">
        <f aca="false">IF(COUNTIF(Flows!$M$2:$M$1500,$A135&amp;"|"&amp;F$1&amp;"|Input"),IF(COUNTIF(Flows!$M$2:$M$1500,$A135&amp;"|"&amp;F$1&amp;"|Output"),"I/O","IN"),IF(COUNTIF(Flows!$M$2:$M$1500,$A135&amp;"|"&amp;F$1&amp;"|Output"),"OUT",""))</f>
        <v/>
      </c>
      <c r="G135" s="33" t="str">
        <f aca="false">IF(COUNTIF(Flows!$M$2:$M$1500,$A135&amp;"|"&amp;G$1&amp;"|Input"),IF(COUNTIF(Flows!$M$2:$M$1500,$A135&amp;"|"&amp;G$1&amp;"|Output"),"I/O","IN"),IF(COUNTIF(Flows!$M$2:$M$1500,$A135&amp;"|"&amp;G$1&amp;"|Output"),"OUT",""))</f>
        <v/>
      </c>
      <c r="H135" s="33" t="str">
        <f aca="false">IF(COUNTIF(Flows!$M$2:$M$1500,$A135&amp;"|"&amp;H$1&amp;"|Input"),IF(COUNTIF(Flows!$M$2:$M$1500,$A135&amp;"|"&amp;H$1&amp;"|Output"),"I/O","IN"),IF(COUNTIF(Flows!$M$2:$M$1500,$A135&amp;"|"&amp;H$1&amp;"|Output"),"OUT",""))</f>
        <v/>
      </c>
      <c r="I135" s="33" t="str">
        <f aca="false">IF(COUNTIF(Flows!$M$2:$M$1500,$A135&amp;"|"&amp;I$1&amp;"|Input"),IF(COUNTIF(Flows!$M$2:$M$1500,$A135&amp;"|"&amp;I$1&amp;"|Output"),"I/O","IN"),IF(COUNTIF(Flows!$M$2:$M$1500,$A135&amp;"|"&amp;I$1&amp;"|Output"),"OUT",""))</f>
        <v/>
      </c>
      <c r="J135" s="33" t="str">
        <f aca="false">IF(COUNTIF(Flows!$M$2:$M$1500,$A135&amp;"|"&amp;J$1&amp;"|Input"),IF(COUNTIF(Flows!$M$2:$M$1500,$A135&amp;"|"&amp;J$1&amp;"|Output"),"I/O","IN"),IF(COUNTIF(Flows!$M$2:$M$1500,$A135&amp;"|"&amp;J$1&amp;"|Output"),"OUT",""))</f>
        <v/>
      </c>
      <c r="K135" s="33" t="str">
        <f aca="false">IF(COUNTIF(Flows!$M$2:$M$1500,$A135&amp;"|"&amp;K$1&amp;"|Input"),IF(COUNTIF(Flows!$M$2:$M$1500,$A135&amp;"|"&amp;K$1&amp;"|Output"),"I/O","IN"),IF(COUNTIF(Flows!$M$2:$M$1500,$A135&amp;"|"&amp;K$1&amp;"|Output"),"OUT",""))</f>
        <v/>
      </c>
      <c r="L135" s="33" t="str">
        <f aca="false">IF(COUNTIF(Flows!$M$2:$M$1500,$A135&amp;"|"&amp;L$1&amp;"|Input"),IF(COUNTIF(Flows!$M$2:$M$1500,$A135&amp;"|"&amp;L$1&amp;"|Output"),"I/O","IN"),IF(COUNTIF(Flows!$M$2:$M$1500,$A135&amp;"|"&amp;L$1&amp;"|Output"),"OUT",""))</f>
        <v/>
      </c>
      <c r="M135" s="33" t="str">
        <f aca="false">IF(COUNTIF(Flows!$M$2:$M$1500,$A135&amp;"|"&amp;M$1&amp;"|Input"),IF(COUNTIF(Flows!$M$2:$M$1500,$A135&amp;"|"&amp;M$1&amp;"|Output"),"I/O","IN"),IF(COUNTIF(Flows!$M$2:$M$1500,$A135&amp;"|"&amp;M$1&amp;"|Output"),"OUT",""))</f>
        <v/>
      </c>
      <c r="N135" s="33" t="str">
        <f aca="false">IF(COUNTIF(Flows!$M$2:$M$1500,$A135&amp;"|"&amp;N$1&amp;"|Input"),IF(COUNTIF(Flows!$M$2:$M$1500,$A135&amp;"|"&amp;N$1&amp;"|Output"),"I/O","IN"),IF(COUNTIF(Flows!$M$2:$M$1500,$A135&amp;"|"&amp;N$1&amp;"|Output"),"OUT",""))</f>
        <v/>
      </c>
      <c r="O135" s="33" t="str">
        <f aca="false">IF(COUNTIF(Flows!$M$2:$M$1500,$A135&amp;"|"&amp;O$1&amp;"|Input"),IF(COUNTIF(Flows!$M$2:$M$1500,$A135&amp;"|"&amp;O$1&amp;"|Output"),"I/O","IN"),IF(COUNTIF(Flows!$M$2:$M$1500,$A135&amp;"|"&amp;O$1&amp;"|Output"),"OUT",""))</f>
        <v/>
      </c>
      <c r="P135" s="33" t="str">
        <f aca="false">IF(COUNTIF(Flows!$M$2:$M$1500,$A135&amp;"|"&amp;P$1&amp;"|Input"),IF(COUNTIF(Flows!$M$2:$M$1500,$A135&amp;"|"&amp;P$1&amp;"|Output"),"I/O","IN"),IF(COUNTIF(Flows!$M$2:$M$1500,$A135&amp;"|"&amp;P$1&amp;"|Output"),"OUT",""))</f>
        <v/>
      </c>
      <c r="Q135" s="33" t="str">
        <f aca="false">IF(COUNTIF(Flows!$M$2:$M$1500,$A135&amp;"|"&amp;Q$1&amp;"|Input"),IF(COUNTIF(Flows!$M$2:$M$1500,$A135&amp;"|"&amp;Q$1&amp;"|Output"),"I/O","IN"),IF(COUNTIF(Flows!$M$2:$M$1500,$A135&amp;"|"&amp;Q$1&amp;"|Output"),"OUT",""))</f>
        <v/>
      </c>
      <c r="R135" s="33" t="str">
        <f aca="false">IF(COUNTIF(Flows!$M$2:$M$1500,$A135&amp;"|"&amp;R$1&amp;"|Input"),IF(COUNTIF(Flows!$M$2:$M$1500,$A135&amp;"|"&amp;R$1&amp;"|Output"),"I/O","IN"),IF(COUNTIF(Flows!$M$2:$M$1500,$A135&amp;"|"&amp;R$1&amp;"|Output"),"OUT",""))</f>
        <v/>
      </c>
      <c r="S135" s="33" t="str">
        <f aca="false">IF(COUNTIF(Flows!$M$2:$M$1500,$A135&amp;"|"&amp;S$1&amp;"|Input"),IF(COUNTIF(Flows!$M$2:$M$1500,$A135&amp;"|"&amp;S$1&amp;"|Output"),"I/O","IN"),IF(COUNTIF(Flows!$M$2:$M$1500,$A135&amp;"|"&amp;S$1&amp;"|Output"),"OUT",""))</f>
        <v/>
      </c>
      <c r="T135" s="33" t="str">
        <f aca="false">IF(COUNTIF(Flows!$M$2:$M$1500,$A135&amp;"|"&amp;T$1&amp;"|Input"),IF(COUNTIF(Flows!$M$2:$M$1500,$A135&amp;"|"&amp;T$1&amp;"|Output"),"I/O","IN"),IF(COUNTIF(Flows!$M$2:$M$1500,$A135&amp;"|"&amp;T$1&amp;"|Output"),"OUT",""))</f>
        <v/>
      </c>
      <c r="U135" s="33" t="str">
        <f aca="false">IF(COUNTIF(Flows!$M$2:$M$1500,$A135&amp;"|"&amp;U$1&amp;"|Input"),IF(COUNTIF(Flows!$M$2:$M$1500,$A135&amp;"|"&amp;U$1&amp;"|Output"),"I/O","IN"),IF(COUNTIF(Flows!$M$2:$M$1500,$A135&amp;"|"&amp;U$1&amp;"|Output"),"OUT",""))</f>
        <v/>
      </c>
      <c r="V135" s="33" t="str">
        <f aca="false">IF(COUNTIF(Flows!$M$2:$M$1500,$A135&amp;"|"&amp;V$1&amp;"|Input"),IF(COUNTIF(Flows!$M$2:$M$1500,$A135&amp;"|"&amp;V$1&amp;"|Output"),"I/O","IN"),IF(COUNTIF(Flows!$M$2:$M$1500,$A135&amp;"|"&amp;V$1&amp;"|Output"),"OUT",""))</f>
        <v/>
      </c>
      <c r="W135" s="33" t="str">
        <f aca="false">IF(COUNTIF(Flows!$M$2:$M$1500,$A135&amp;"|"&amp;W$1&amp;"|Input"),IF(COUNTIF(Flows!$M$2:$M$1500,$A135&amp;"|"&amp;W$1&amp;"|Output"),"I/O","IN"),IF(COUNTIF(Flows!$M$2:$M$1500,$A135&amp;"|"&amp;W$1&amp;"|Output"),"OUT",""))</f>
        <v/>
      </c>
      <c r="X135" s="33" t="str">
        <f aca="false">IF(COUNTIF(Flows!$M$2:$M$1500,$A135&amp;"|"&amp;X$1&amp;"|Input"),IF(COUNTIF(Flows!$M$2:$M$1500,$A135&amp;"|"&amp;X$1&amp;"|Output"),"I/O","IN"),IF(COUNTIF(Flows!$M$2:$M$1500,$A135&amp;"|"&amp;X$1&amp;"|Output"),"OUT",""))</f>
        <v/>
      </c>
      <c r="Y135" s="33" t="str">
        <f aca="false">IF(COUNTIF(Flows!$M$2:$M$1500,$A135&amp;"|"&amp;Y$1&amp;"|Input"),IF(COUNTIF(Flows!$M$2:$M$1500,$A135&amp;"|"&amp;Y$1&amp;"|Output"),"I/O","IN"),IF(COUNTIF(Flows!$M$2:$M$1500,$A135&amp;"|"&amp;Y$1&amp;"|Output"),"OUT",""))</f>
        <v/>
      </c>
      <c r="Z135" s="33" t="str">
        <f aca="false">IF(COUNTIF(Flows!$M$2:$M$1500,$A135&amp;"|"&amp;Z$1&amp;"|Input"),IF(COUNTIF(Flows!$M$2:$M$1500,$A135&amp;"|"&amp;Z$1&amp;"|Output"),"I/O","IN"),IF(COUNTIF(Flows!$M$2:$M$1500,$A135&amp;"|"&amp;Z$1&amp;"|Output"),"OUT",""))</f>
        <v/>
      </c>
      <c r="AA135" s="33" t="str">
        <f aca="false">IF(COUNTIF(Flows!$M$2:$M$1500,$A135&amp;"|"&amp;AA$1&amp;"|Input"),IF(COUNTIF(Flows!$M$2:$M$1500,$A135&amp;"|"&amp;AA$1&amp;"|Output"),"I/O","IN"),IF(COUNTIF(Flows!$M$2:$M$1500,$A135&amp;"|"&amp;AA$1&amp;"|Output"),"OUT",""))</f>
        <v/>
      </c>
      <c r="AB135" s="33" t="str">
        <f aca="false">IF(COUNTIF(Flows!$M$2:$M$1500,$A135&amp;"|"&amp;AB$1&amp;"|Input"),IF(COUNTIF(Flows!$M$2:$M$1500,$A135&amp;"|"&amp;AB$1&amp;"|Output"),"I/O","IN"),IF(COUNTIF(Flows!$M$2:$M$1500,$A135&amp;"|"&amp;AB$1&amp;"|Output"),"OUT",""))</f>
        <v/>
      </c>
      <c r="AC135" s="33" t="str">
        <f aca="false">IF(COUNTIF(Flows!$M$2:$M$1500,$A135&amp;"|"&amp;AC$1&amp;"|Input"),IF(COUNTIF(Flows!$M$2:$M$1500,$A135&amp;"|"&amp;AC$1&amp;"|Output"),"I/O","IN"),IF(COUNTIF(Flows!$M$2:$M$1500,$A135&amp;"|"&amp;AC$1&amp;"|Output"),"OUT",""))</f>
        <v/>
      </c>
      <c r="AD135" s="33" t="str">
        <f aca="false">IF(COUNTIF(Flows!$M$2:$M$1500,$A135&amp;"|"&amp;AD$1&amp;"|Input"),IF(COUNTIF(Flows!$M$2:$M$1500,$A135&amp;"|"&amp;AD$1&amp;"|Output"),"I/O","IN"),IF(COUNTIF(Flows!$M$2:$M$1500,$A135&amp;"|"&amp;AD$1&amp;"|Output"),"OUT",""))</f>
        <v/>
      </c>
      <c r="AE135" s="33" t="str">
        <f aca="false">IF(COUNTIF(Flows!$M$2:$M$1500,$A135&amp;"|"&amp;AE$1&amp;"|Input"),IF(COUNTIF(Flows!$M$2:$M$1500,$A135&amp;"|"&amp;AE$1&amp;"|Output"),"I/O","IN"),IF(COUNTIF(Flows!$M$2:$M$1500,$A135&amp;"|"&amp;AE$1&amp;"|Output"),"OUT",""))</f>
        <v/>
      </c>
      <c r="AF135" s="33" t="str">
        <f aca="false">IF(COUNTIF(Flows!$M$2:$M$1500,$A135&amp;"|"&amp;AF$1&amp;"|Input"),IF(COUNTIF(Flows!$M$2:$M$1500,$A135&amp;"|"&amp;AF$1&amp;"|Output"),"I/O","IN"),IF(COUNTIF(Flows!$M$2:$M$1500,$A135&amp;"|"&amp;AF$1&amp;"|Output"),"OUT",""))</f>
        <v/>
      </c>
      <c r="AG135" s="33" t="str">
        <f aca="false">IF(COUNTIF(Flows!$M$2:$M$1500,$A135&amp;"|"&amp;AG$1&amp;"|Input"),IF(COUNTIF(Flows!$M$2:$M$1500,$A135&amp;"|"&amp;AG$1&amp;"|Output"),"I/O","IN"),IF(COUNTIF(Flows!$M$2:$M$1500,$A135&amp;"|"&amp;AG$1&amp;"|Output"),"OUT",""))</f>
        <v/>
      </c>
      <c r="AH135" s="33" t="str">
        <f aca="false">IF(COUNTIF(Flows!$M$2:$M$1500,$A135&amp;"|"&amp;AH$1&amp;"|Input"),IF(COUNTIF(Flows!$M$2:$M$1500,$A135&amp;"|"&amp;AH$1&amp;"|Output"),"I/O","IN"),IF(COUNTIF(Flows!$M$2:$M$1500,$A135&amp;"|"&amp;AH$1&amp;"|Output"),"OUT",""))</f>
        <v/>
      </c>
      <c r="AI135" s="33" t="str">
        <f aca="false">IF(COUNTIF(Flows!$M$2:$M$1500,$A135&amp;"|"&amp;AI$1&amp;"|Input"),IF(COUNTIF(Flows!$M$2:$M$1500,$A135&amp;"|"&amp;AI$1&amp;"|Output"),"I/O","IN"),IF(COUNTIF(Flows!$M$2:$M$1500,$A135&amp;"|"&amp;AI$1&amp;"|Output"),"OUT",""))</f>
        <v/>
      </c>
      <c r="AJ135" s="33" t="str">
        <f aca="false">IF(COUNTIF(Flows!$M$2:$M$1500,$A135&amp;"|"&amp;AJ$1&amp;"|Input"),IF(COUNTIF(Flows!$M$2:$M$1500,$A135&amp;"|"&amp;AJ$1&amp;"|Output"),"I/O","IN"),IF(COUNTIF(Flows!$M$2:$M$1500,$A135&amp;"|"&amp;AJ$1&amp;"|Output"),"OUT",""))</f>
        <v/>
      </c>
      <c r="AK135" s="33" t="str">
        <f aca="false">IF(COUNTIF(Flows!$M$2:$M$1500,$A135&amp;"|"&amp;AK$1&amp;"|Input"),IF(COUNTIF(Flows!$M$2:$M$1500,$A135&amp;"|"&amp;AK$1&amp;"|Output"),"I/O","IN"),IF(COUNTIF(Flows!$M$2:$M$1500,$A135&amp;"|"&amp;AK$1&amp;"|Output"),"OUT",""))</f>
        <v/>
      </c>
      <c r="AL135" s="33" t="str">
        <f aca="false">IF(COUNTIF(Flows!$M$2:$M$1500,$A135&amp;"|"&amp;AL$1&amp;"|Input"),IF(COUNTIF(Flows!$M$2:$M$1500,$A135&amp;"|"&amp;AL$1&amp;"|Output"),"I/O","IN"),IF(COUNTIF(Flows!$M$2:$M$1500,$A135&amp;"|"&amp;AL$1&amp;"|Output"),"OUT",""))</f>
        <v/>
      </c>
      <c r="AM135" s="33" t="str">
        <f aca="false">IF(COUNTIF(Flows!$M$2:$M$1500,$A135&amp;"|"&amp;AM$1&amp;"|Input"),IF(COUNTIF(Flows!$M$2:$M$1500,$A135&amp;"|"&amp;AM$1&amp;"|Output"),"I/O","IN"),IF(COUNTIF(Flows!$M$2:$M$1500,$A135&amp;"|"&amp;AM$1&amp;"|Output"),"OUT",""))</f>
        <v/>
      </c>
      <c r="AN135" s="33" t="str">
        <f aca="false">IF(COUNTIF(Flows!$M$2:$M$1500,$A135&amp;"|"&amp;AN$1&amp;"|Input"),IF(COUNTIF(Flows!$M$2:$M$1500,$A135&amp;"|"&amp;AN$1&amp;"|Output"),"I/O","IN"),IF(COUNTIF(Flows!$M$2:$M$1500,$A135&amp;"|"&amp;AN$1&amp;"|Output"),"OUT",""))</f>
        <v/>
      </c>
      <c r="AO135" s="33" t="str">
        <f aca="false">IF(COUNTIF(Flows!$M$2:$M$1500,$A135&amp;"|"&amp;AO$1&amp;"|Input"),IF(COUNTIF(Flows!$M$2:$M$1500,$A135&amp;"|"&amp;AO$1&amp;"|Output"),"I/O","IN"),IF(COUNTIF(Flows!$M$2:$M$1500,$A135&amp;"|"&amp;AO$1&amp;"|Output"),"OUT",""))</f>
        <v>IN</v>
      </c>
      <c r="AP135" s="33" t="str">
        <f aca="false">IF(COUNTIF(Flows!$M$2:$M$1500,$A135&amp;"|"&amp;AP$1&amp;"|Input"),IF(COUNTIF(Flows!$M$2:$M$1500,$A135&amp;"|"&amp;AP$1&amp;"|Output"),"I/O","IN"),IF(COUNTIF(Flows!$M$2:$M$1500,$A135&amp;"|"&amp;AP$1&amp;"|Output"),"OUT",""))</f>
        <v/>
      </c>
      <c r="AQ135" s="33" t="str">
        <f aca="false">IF(COUNTIF(Flows!$M$2:$M$1500,$A135&amp;"|"&amp;AQ$1&amp;"|Input"),IF(COUNTIF(Flows!$M$2:$M$1500,$A135&amp;"|"&amp;AQ$1&amp;"|Output"),"I/O","IN"),IF(COUNTIF(Flows!$M$2:$M$1500,$A135&amp;"|"&amp;AQ$1&amp;"|Output"),"OUT",""))</f>
        <v/>
      </c>
      <c r="AR135" s="33" t="str">
        <f aca="false">IF(COUNTIF(Flows!$M$2:$M$1500,$A135&amp;"|"&amp;AR$1&amp;"|Input"),IF(COUNTIF(Flows!$M$2:$M$1500,$A135&amp;"|"&amp;AR$1&amp;"|Output"),"I/O","IN"),IF(COUNTIF(Flows!$M$2:$M$1500,$A135&amp;"|"&amp;AR$1&amp;"|Output"),"OUT",""))</f>
        <v/>
      </c>
      <c r="AS135" s="33" t="str">
        <f aca="false">IF(COUNTIF(Flows!$M$2:$M$1500,$A135&amp;"|"&amp;AS$1&amp;"|Input"),IF(COUNTIF(Flows!$M$2:$M$1500,$A135&amp;"|"&amp;AS$1&amp;"|Output"),"I/O","IN"),IF(COUNTIF(Flows!$M$2:$M$1500,$A135&amp;"|"&amp;AS$1&amp;"|Output"),"OUT",""))</f>
        <v/>
      </c>
      <c r="AT135" s="33" t="str">
        <f aca="false">IF(COUNTIF(Flows!$M$2:$M$1500,$A135&amp;"|"&amp;AT$1&amp;"|Input"),IF(COUNTIF(Flows!$M$2:$M$1500,$A135&amp;"|"&amp;AT$1&amp;"|Output"),"I/O","IN"),IF(COUNTIF(Flows!$M$2:$M$1500,$A135&amp;"|"&amp;AT$1&amp;"|Output"),"OUT",""))</f>
        <v/>
      </c>
      <c r="AU135" s="33" t="str">
        <f aca="false">IF(COUNTIF(Flows!$M$2:$M$1500,$A135&amp;"|"&amp;AU$1&amp;"|Input"),IF(COUNTIF(Flows!$M$2:$M$1500,$A135&amp;"|"&amp;AU$1&amp;"|Output"),"I/O","IN"),IF(COUNTIF(Flows!$M$2:$M$1500,$A135&amp;"|"&amp;AU$1&amp;"|Output"),"OUT",""))</f>
        <v/>
      </c>
      <c r="AV135" s="33" t="str">
        <f aca="false">IF(COUNTIF(Flows!$M$2:$M$1500,$A135&amp;"|"&amp;AV$1&amp;"|Input"),IF(COUNTIF(Flows!$M$2:$M$1500,$A135&amp;"|"&amp;AV$1&amp;"|Output"),"I/O","IN"),IF(COUNTIF(Flows!$M$2:$M$1500,$A135&amp;"|"&amp;AV$1&amp;"|Output"),"OUT",""))</f>
        <v/>
      </c>
      <c r="AW135" s="33" t="str">
        <f aca="false">IF(COUNTIF(Flows!$M$2:$M$1500,$A135&amp;"|"&amp;AW$1&amp;"|Input"),IF(COUNTIF(Flows!$M$2:$M$1500,$A135&amp;"|"&amp;AW$1&amp;"|Output"),"I/O","IN"),IF(COUNTIF(Flows!$M$2:$M$1500,$A135&amp;"|"&amp;AW$1&amp;"|Output"),"OUT",""))</f>
        <v/>
      </c>
      <c r="AX135" s="33" t="str">
        <f aca="false">IF(COUNTIF(Flows!$M$2:$M$1500,$A135&amp;"|"&amp;AX$1&amp;"|Input"),IF(COUNTIF(Flows!$M$2:$M$1500,$A135&amp;"|"&amp;AX$1&amp;"|Output"),"I/O","IN"),IF(COUNTIF(Flows!$M$2:$M$1500,$A135&amp;"|"&amp;AX$1&amp;"|Output"),"OUT",""))</f>
        <v/>
      </c>
      <c r="AY135" s="33" t="str">
        <f aca="false">IF(COUNTIF(Flows!$M$2:$M$1500,$A135&amp;"|"&amp;AY$1&amp;"|Input"),IF(COUNTIF(Flows!$M$2:$M$1500,$A135&amp;"|"&amp;AY$1&amp;"|Output"),"I/O","IN"),IF(COUNTIF(Flows!$M$2:$M$1500,$A135&amp;"|"&amp;AY$1&amp;"|Output"),"OUT",""))</f>
        <v/>
      </c>
      <c r="AZ135" s="33" t="str">
        <f aca="false">IF(COUNTIF(Flows!$M$2:$M$1500,$A135&amp;"|"&amp;AZ$1&amp;"|Input"),IF(COUNTIF(Flows!$M$2:$M$1500,$A135&amp;"|"&amp;AZ$1&amp;"|Output"),"I/O","IN"),IF(COUNTIF(Flows!$M$2:$M$1500,$A135&amp;"|"&amp;AZ$1&amp;"|Output"),"OUT",""))</f>
        <v/>
      </c>
      <c r="BA135" s="33" t="str">
        <f aca="false">IF(COUNTIF(Flows!$M$2:$M$1500,$A135&amp;"|"&amp;BA$1&amp;"|Input"),IF(COUNTIF(Flows!$M$2:$M$1500,$A135&amp;"|"&amp;BA$1&amp;"|Output"),"I/O","IN"),IF(COUNTIF(Flows!$M$2:$M$1500,$A135&amp;"|"&amp;BA$1&amp;"|Output"),"OUT",""))</f>
        <v/>
      </c>
      <c r="BB135" s="33" t="str">
        <f aca="false">IF(COUNTIF(Flows!$M$2:$M$1500,$A135&amp;"|"&amp;BB$1&amp;"|Input"),IF(COUNTIF(Flows!$M$2:$M$1500,$A135&amp;"|"&amp;BB$1&amp;"|Output"),"I/O","IN"),IF(COUNTIF(Flows!$M$2:$M$1500,$A135&amp;"|"&amp;BB$1&amp;"|Output"),"OUT",""))</f>
        <v/>
      </c>
      <c r="BC135" s="33" t="str">
        <f aca="false">IF(COUNTIF(Flows!$M$2:$M$1500,$A135&amp;"|"&amp;BC$1&amp;"|Input"),IF(COUNTIF(Flows!$M$2:$M$1500,$A135&amp;"|"&amp;BC$1&amp;"|Output"),"I/O","IN"),IF(COUNTIF(Flows!$M$2:$M$1500,$A135&amp;"|"&amp;BC$1&amp;"|Output"),"OUT",""))</f>
        <v/>
      </c>
      <c r="BD135" s="33" t="str">
        <f aca="false">IF(COUNTIF(Flows!$M$2:$M$1500,$A135&amp;"|"&amp;BD$1&amp;"|Input"),IF(COUNTIF(Flows!$M$2:$M$1500,$A135&amp;"|"&amp;BD$1&amp;"|Output"),"I/O","IN"),IF(COUNTIF(Flows!$M$2:$M$1500,$A135&amp;"|"&amp;BD$1&amp;"|Output"),"OUT",""))</f>
        <v/>
      </c>
      <c r="BE135" s="33" t="str">
        <f aca="false">IF(COUNTIF(Flows!$M$2:$M$1500,$A135&amp;"|"&amp;BE$1&amp;"|Input"),IF(COUNTIF(Flows!$M$2:$M$1500,$A135&amp;"|"&amp;BE$1&amp;"|Output"),"I/O","IN"),IF(COUNTIF(Flows!$M$2:$M$1500,$A135&amp;"|"&amp;BE$1&amp;"|Output"),"OUT",""))</f>
        <v/>
      </c>
      <c r="BF135" s="33" t="str">
        <f aca="false">IF(COUNTIF(Flows!$M$2:$M$1500,$A135&amp;"|"&amp;BF$1&amp;"|Input"),IF(COUNTIF(Flows!$M$2:$M$1500,$A135&amp;"|"&amp;BF$1&amp;"|Output"),"I/O","IN"),IF(COUNTIF(Flows!$M$2:$M$1500,$A135&amp;"|"&amp;BF$1&amp;"|Output"),"OUT",""))</f>
        <v/>
      </c>
      <c r="BG135" s="33" t="str">
        <f aca="false">IF(COUNTIF(Flows!$M$2:$M$1500,$A135&amp;"|"&amp;BG$1&amp;"|Input"),IF(COUNTIF(Flows!$M$2:$M$1500,$A135&amp;"|"&amp;BG$1&amp;"|Output"),"I/O","IN"),IF(COUNTIF(Flows!$M$2:$M$1500,$A135&amp;"|"&amp;BG$1&amp;"|Output"),"OUT",""))</f>
        <v/>
      </c>
      <c r="BH135" s="33" t="str">
        <f aca="false">IF(COUNTIF(Flows!$M$2:$M$1500,$A135&amp;"|"&amp;BH$1&amp;"|Input"),IF(COUNTIF(Flows!$M$2:$M$1500,$A135&amp;"|"&amp;BH$1&amp;"|Output"),"I/O","IN"),IF(COUNTIF(Flows!$M$2:$M$1500,$A135&amp;"|"&amp;BH$1&amp;"|Output"),"OUT",""))</f>
        <v/>
      </c>
      <c r="BI135" s="33" t="str">
        <f aca="false">IF(COUNTIF(Flows!$M$2:$M$1500,$A135&amp;"|"&amp;BI$1&amp;"|Input"),IF(COUNTIF(Flows!$M$2:$M$1500,$A135&amp;"|"&amp;BI$1&amp;"|Output"),"I/O","IN"),IF(COUNTIF(Flows!$M$2:$M$1500,$A135&amp;"|"&amp;BI$1&amp;"|Output"),"OUT",""))</f>
        <v/>
      </c>
      <c r="BJ135" s="33" t="str">
        <f aca="false">IF(COUNTIF(Flows!$M$2:$M$1500,$A135&amp;"|"&amp;BJ$1&amp;"|Input"),IF(COUNTIF(Flows!$M$2:$M$1500,$A135&amp;"|"&amp;BJ$1&amp;"|Output"),"I/O","IN"),IF(COUNTIF(Flows!$M$2:$M$1500,$A135&amp;"|"&amp;BJ$1&amp;"|Output"),"OUT",""))</f>
        <v>OUT</v>
      </c>
      <c r="BK135" s="33" t="str">
        <f aca="false">IF(COUNTIF(Flows!$M$2:$M$1500,$A135&amp;"|"&amp;BK$1&amp;"|Input"),IF(COUNTIF(Flows!$M$2:$M$1500,$A135&amp;"|"&amp;BK$1&amp;"|Output"),"I/O","IN"),IF(COUNTIF(Flows!$M$2:$M$1500,$A135&amp;"|"&amp;BK$1&amp;"|Output"),"OUT",""))</f>
        <v>OUT</v>
      </c>
    </row>
    <row r="136" customFormat="false" ht="15" hidden="false" customHeight="true" outlineLevel="0" collapsed="false">
      <c r="A136" s="6" t="str">
        <f aca="false">Systems!B136</f>
        <v>Pollinator Meadow (1,000 sq ft)</v>
      </c>
      <c r="B136" s="33" t="str">
        <f aca="false">IF(COUNTIF(Flows!$M$2:$M$1500,$A136&amp;"|"&amp;B$1&amp;"|Input"),IF(COUNTIF(Flows!$M$2:$M$1500,$A136&amp;"|"&amp;B$1&amp;"|Output"),"I/O","IN"),IF(COUNTIF(Flows!$M$2:$M$1500,$A136&amp;"|"&amp;B$1&amp;"|Output"),"OUT",""))</f>
        <v/>
      </c>
      <c r="C136" s="33" t="str">
        <f aca="false">IF(COUNTIF(Flows!$M$2:$M$1500,$A136&amp;"|"&amp;C$1&amp;"|Input"),IF(COUNTIF(Flows!$M$2:$M$1500,$A136&amp;"|"&amp;C$1&amp;"|Output"),"I/O","IN"),IF(COUNTIF(Flows!$M$2:$M$1500,$A136&amp;"|"&amp;C$1&amp;"|Output"),"OUT",""))</f>
        <v/>
      </c>
      <c r="D136" s="33" t="str">
        <f aca="false">IF(COUNTIF(Flows!$M$2:$M$1500,$A136&amp;"|"&amp;D$1&amp;"|Input"),IF(COUNTIF(Flows!$M$2:$M$1500,$A136&amp;"|"&amp;D$1&amp;"|Output"),"I/O","IN"),IF(COUNTIF(Flows!$M$2:$M$1500,$A136&amp;"|"&amp;D$1&amp;"|Output"),"OUT",""))</f>
        <v/>
      </c>
      <c r="E136" s="33" t="str">
        <f aca="false">IF(COUNTIF(Flows!$M$2:$M$1500,$A136&amp;"|"&amp;E$1&amp;"|Input"),IF(COUNTIF(Flows!$M$2:$M$1500,$A136&amp;"|"&amp;E$1&amp;"|Output"),"I/O","IN"),IF(COUNTIF(Flows!$M$2:$M$1500,$A136&amp;"|"&amp;E$1&amp;"|Output"),"OUT",""))</f>
        <v/>
      </c>
      <c r="F136" s="33" t="str">
        <f aca="false">IF(COUNTIF(Flows!$M$2:$M$1500,$A136&amp;"|"&amp;F$1&amp;"|Input"),IF(COUNTIF(Flows!$M$2:$M$1500,$A136&amp;"|"&amp;F$1&amp;"|Output"),"I/O","IN"),IF(COUNTIF(Flows!$M$2:$M$1500,$A136&amp;"|"&amp;F$1&amp;"|Output"),"OUT",""))</f>
        <v/>
      </c>
      <c r="G136" s="33" t="str">
        <f aca="false">IF(COUNTIF(Flows!$M$2:$M$1500,$A136&amp;"|"&amp;G$1&amp;"|Input"),IF(COUNTIF(Flows!$M$2:$M$1500,$A136&amp;"|"&amp;G$1&amp;"|Output"),"I/O","IN"),IF(COUNTIF(Flows!$M$2:$M$1500,$A136&amp;"|"&amp;G$1&amp;"|Output"),"OUT",""))</f>
        <v/>
      </c>
      <c r="H136" s="33" t="str">
        <f aca="false">IF(COUNTIF(Flows!$M$2:$M$1500,$A136&amp;"|"&amp;H$1&amp;"|Input"),IF(COUNTIF(Flows!$M$2:$M$1500,$A136&amp;"|"&amp;H$1&amp;"|Output"),"I/O","IN"),IF(COUNTIF(Flows!$M$2:$M$1500,$A136&amp;"|"&amp;H$1&amp;"|Output"),"OUT",""))</f>
        <v/>
      </c>
      <c r="I136" s="33" t="str">
        <f aca="false">IF(COUNTIF(Flows!$M$2:$M$1500,$A136&amp;"|"&amp;I$1&amp;"|Input"),IF(COUNTIF(Flows!$M$2:$M$1500,$A136&amp;"|"&amp;I$1&amp;"|Output"),"I/O","IN"),IF(COUNTIF(Flows!$M$2:$M$1500,$A136&amp;"|"&amp;I$1&amp;"|Output"),"OUT",""))</f>
        <v/>
      </c>
      <c r="J136" s="33" t="str">
        <f aca="false">IF(COUNTIF(Flows!$M$2:$M$1500,$A136&amp;"|"&amp;J$1&amp;"|Input"),IF(COUNTIF(Flows!$M$2:$M$1500,$A136&amp;"|"&amp;J$1&amp;"|Output"),"I/O","IN"),IF(COUNTIF(Flows!$M$2:$M$1500,$A136&amp;"|"&amp;J$1&amp;"|Output"),"OUT",""))</f>
        <v/>
      </c>
      <c r="K136" s="33" t="str">
        <f aca="false">IF(COUNTIF(Flows!$M$2:$M$1500,$A136&amp;"|"&amp;K$1&amp;"|Input"),IF(COUNTIF(Flows!$M$2:$M$1500,$A136&amp;"|"&amp;K$1&amp;"|Output"),"I/O","IN"),IF(COUNTIF(Flows!$M$2:$M$1500,$A136&amp;"|"&amp;K$1&amp;"|Output"),"OUT",""))</f>
        <v/>
      </c>
      <c r="L136" s="33" t="str">
        <f aca="false">IF(COUNTIF(Flows!$M$2:$M$1500,$A136&amp;"|"&amp;L$1&amp;"|Input"),IF(COUNTIF(Flows!$M$2:$M$1500,$A136&amp;"|"&amp;L$1&amp;"|Output"),"I/O","IN"),IF(COUNTIF(Flows!$M$2:$M$1500,$A136&amp;"|"&amp;L$1&amp;"|Output"),"OUT",""))</f>
        <v/>
      </c>
      <c r="M136" s="33" t="str">
        <f aca="false">IF(COUNTIF(Flows!$M$2:$M$1500,$A136&amp;"|"&amp;M$1&amp;"|Input"),IF(COUNTIF(Flows!$M$2:$M$1500,$A136&amp;"|"&amp;M$1&amp;"|Output"),"I/O","IN"),IF(COUNTIF(Flows!$M$2:$M$1500,$A136&amp;"|"&amp;M$1&amp;"|Output"),"OUT",""))</f>
        <v/>
      </c>
      <c r="N136" s="33" t="str">
        <f aca="false">IF(COUNTIF(Flows!$M$2:$M$1500,$A136&amp;"|"&amp;N$1&amp;"|Input"),IF(COUNTIF(Flows!$M$2:$M$1500,$A136&amp;"|"&amp;N$1&amp;"|Output"),"I/O","IN"),IF(COUNTIF(Flows!$M$2:$M$1500,$A136&amp;"|"&amp;N$1&amp;"|Output"),"OUT",""))</f>
        <v/>
      </c>
      <c r="O136" s="33" t="str">
        <f aca="false">IF(COUNTIF(Flows!$M$2:$M$1500,$A136&amp;"|"&amp;O$1&amp;"|Input"),IF(COUNTIF(Flows!$M$2:$M$1500,$A136&amp;"|"&amp;O$1&amp;"|Output"),"I/O","IN"),IF(COUNTIF(Flows!$M$2:$M$1500,$A136&amp;"|"&amp;O$1&amp;"|Output"),"OUT",""))</f>
        <v/>
      </c>
      <c r="P136" s="33" t="str">
        <f aca="false">IF(COUNTIF(Flows!$M$2:$M$1500,$A136&amp;"|"&amp;P$1&amp;"|Input"),IF(COUNTIF(Flows!$M$2:$M$1500,$A136&amp;"|"&amp;P$1&amp;"|Output"),"I/O","IN"),IF(COUNTIF(Flows!$M$2:$M$1500,$A136&amp;"|"&amp;P$1&amp;"|Output"),"OUT",""))</f>
        <v/>
      </c>
      <c r="Q136" s="33" t="str">
        <f aca="false">IF(COUNTIF(Flows!$M$2:$M$1500,$A136&amp;"|"&amp;Q$1&amp;"|Input"),IF(COUNTIF(Flows!$M$2:$M$1500,$A136&amp;"|"&amp;Q$1&amp;"|Output"),"I/O","IN"),IF(COUNTIF(Flows!$M$2:$M$1500,$A136&amp;"|"&amp;Q$1&amp;"|Output"),"OUT",""))</f>
        <v/>
      </c>
      <c r="R136" s="33" t="str">
        <f aca="false">IF(COUNTIF(Flows!$M$2:$M$1500,$A136&amp;"|"&amp;R$1&amp;"|Input"),IF(COUNTIF(Flows!$M$2:$M$1500,$A136&amp;"|"&amp;R$1&amp;"|Output"),"I/O","IN"),IF(COUNTIF(Flows!$M$2:$M$1500,$A136&amp;"|"&amp;R$1&amp;"|Output"),"OUT",""))</f>
        <v/>
      </c>
      <c r="S136" s="33" t="str">
        <f aca="false">IF(COUNTIF(Flows!$M$2:$M$1500,$A136&amp;"|"&amp;S$1&amp;"|Input"),IF(COUNTIF(Flows!$M$2:$M$1500,$A136&amp;"|"&amp;S$1&amp;"|Output"),"I/O","IN"),IF(COUNTIF(Flows!$M$2:$M$1500,$A136&amp;"|"&amp;S$1&amp;"|Output"),"OUT",""))</f>
        <v/>
      </c>
      <c r="T136" s="33" t="str">
        <f aca="false">IF(COUNTIF(Flows!$M$2:$M$1500,$A136&amp;"|"&amp;T$1&amp;"|Input"),IF(COUNTIF(Flows!$M$2:$M$1500,$A136&amp;"|"&amp;T$1&amp;"|Output"),"I/O","IN"),IF(COUNTIF(Flows!$M$2:$M$1500,$A136&amp;"|"&amp;T$1&amp;"|Output"),"OUT",""))</f>
        <v/>
      </c>
      <c r="U136" s="33" t="str">
        <f aca="false">IF(COUNTIF(Flows!$M$2:$M$1500,$A136&amp;"|"&amp;U$1&amp;"|Input"),IF(COUNTIF(Flows!$M$2:$M$1500,$A136&amp;"|"&amp;U$1&amp;"|Output"),"I/O","IN"),IF(COUNTIF(Flows!$M$2:$M$1500,$A136&amp;"|"&amp;U$1&amp;"|Output"),"OUT",""))</f>
        <v/>
      </c>
      <c r="V136" s="33" t="str">
        <f aca="false">IF(COUNTIF(Flows!$M$2:$M$1500,$A136&amp;"|"&amp;V$1&amp;"|Input"),IF(COUNTIF(Flows!$M$2:$M$1500,$A136&amp;"|"&amp;V$1&amp;"|Output"),"I/O","IN"),IF(COUNTIF(Flows!$M$2:$M$1500,$A136&amp;"|"&amp;V$1&amp;"|Output"),"OUT",""))</f>
        <v/>
      </c>
      <c r="W136" s="33" t="str">
        <f aca="false">IF(COUNTIF(Flows!$M$2:$M$1500,$A136&amp;"|"&amp;W$1&amp;"|Input"),IF(COUNTIF(Flows!$M$2:$M$1500,$A136&amp;"|"&amp;W$1&amp;"|Output"),"I/O","IN"),IF(COUNTIF(Flows!$M$2:$M$1500,$A136&amp;"|"&amp;W$1&amp;"|Output"),"OUT",""))</f>
        <v/>
      </c>
      <c r="X136" s="33" t="str">
        <f aca="false">IF(COUNTIF(Flows!$M$2:$M$1500,$A136&amp;"|"&amp;X$1&amp;"|Input"),IF(COUNTIF(Flows!$M$2:$M$1500,$A136&amp;"|"&amp;X$1&amp;"|Output"),"I/O","IN"),IF(COUNTIF(Flows!$M$2:$M$1500,$A136&amp;"|"&amp;X$1&amp;"|Output"),"OUT",""))</f>
        <v>IN</v>
      </c>
      <c r="Y136" s="33" t="str">
        <f aca="false">IF(COUNTIF(Flows!$M$2:$M$1500,$A136&amp;"|"&amp;Y$1&amp;"|Input"),IF(COUNTIF(Flows!$M$2:$M$1500,$A136&amp;"|"&amp;Y$1&amp;"|Output"),"I/O","IN"),IF(COUNTIF(Flows!$M$2:$M$1500,$A136&amp;"|"&amp;Y$1&amp;"|Output"),"OUT",""))</f>
        <v/>
      </c>
      <c r="Z136" s="33" t="str">
        <f aca="false">IF(COUNTIF(Flows!$M$2:$M$1500,$A136&amp;"|"&amp;Z$1&amp;"|Input"),IF(COUNTIF(Flows!$M$2:$M$1500,$A136&amp;"|"&amp;Z$1&amp;"|Output"),"I/O","IN"),IF(COUNTIF(Flows!$M$2:$M$1500,$A136&amp;"|"&amp;Z$1&amp;"|Output"),"OUT",""))</f>
        <v/>
      </c>
      <c r="AA136" s="33" t="str">
        <f aca="false">IF(COUNTIF(Flows!$M$2:$M$1500,$A136&amp;"|"&amp;AA$1&amp;"|Input"),IF(COUNTIF(Flows!$M$2:$M$1500,$A136&amp;"|"&amp;AA$1&amp;"|Output"),"I/O","IN"),IF(COUNTIF(Flows!$M$2:$M$1500,$A136&amp;"|"&amp;AA$1&amp;"|Output"),"OUT",""))</f>
        <v/>
      </c>
      <c r="AB136" s="33" t="str">
        <f aca="false">IF(COUNTIF(Flows!$M$2:$M$1500,$A136&amp;"|"&amp;AB$1&amp;"|Input"),IF(COUNTIF(Flows!$M$2:$M$1500,$A136&amp;"|"&amp;AB$1&amp;"|Output"),"I/O","IN"),IF(COUNTIF(Flows!$M$2:$M$1500,$A136&amp;"|"&amp;AB$1&amp;"|Output"),"OUT",""))</f>
        <v/>
      </c>
      <c r="AC136" s="33" t="str">
        <f aca="false">IF(COUNTIF(Flows!$M$2:$M$1500,$A136&amp;"|"&amp;AC$1&amp;"|Input"),IF(COUNTIF(Flows!$M$2:$M$1500,$A136&amp;"|"&amp;AC$1&amp;"|Output"),"I/O","IN"),IF(COUNTIF(Flows!$M$2:$M$1500,$A136&amp;"|"&amp;AC$1&amp;"|Output"),"OUT",""))</f>
        <v/>
      </c>
      <c r="AD136" s="33" t="str">
        <f aca="false">IF(COUNTIF(Flows!$M$2:$M$1500,$A136&amp;"|"&amp;AD$1&amp;"|Input"),IF(COUNTIF(Flows!$M$2:$M$1500,$A136&amp;"|"&amp;AD$1&amp;"|Output"),"I/O","IN"),IF(COUNTIF(Flows!$M$2:$M$1500,$A136&amp;"|"&amp;AD$1&amp;"|Output"),"OUT",""))</f>
        <v/>
      </c>
      <c r="AE136" s="33" t="str">
        <f aca="false">IF(COUNTIF(Flows!$M$2:$M$1500,$A136&amp;"|"&amp;AE$1&amp;"|Input"),IF(COUNTIF(Flows!$M$2:$M$1500,$A136&amp;"|"&amp;AE$1&amp;"|Output"),"I/O","IN"),IF(COUNTIF(Flows!$M$2:$M$1500,$A136&amp;"|"&amp;AE$1&amp;"|Output"),"OUT",""))</f>
        <v/>
      </c>
      <c r="AF136" s="33" t="str">
        <f aca="false">IF(COUNTIF(Flows!$M$2:$M$1500,$A136&amp;"|"&amp;AF$1&amp;"|Input"),IF(COUNTIF(Flows!$M$2:$M$1500,$A136&amp;"|"&amp;AF$1&amp;"|Output"),"I/O","IN"),IF(COUNTIF(Flows!$M$2:$M$1500,$A136&amp;"|"&amp;AF$1&amp;"|Output"),"OUT",""))</f>
        <v/>
      </c>
      <c r="AG136" s="33" t="str">
        <f aca="false">IF(COUNTIF(Flows!$M$2:$M$1500,$A136&amp;"|"&amp;AG$1&amp;"|Input"),IF(COUNTIF(Flows!$M$2:$M$1500,$A136&amp;"|"&amp;AG$1&amp;"|Output"),"I/O","IN"),IF(COUNTIF(Flows!$M$2:$M$1500,$A136&amp;"|"&amp;AG$1&amp;"|Output"),"OUT",""))</f>
        <v/>
      </c>
      <c r="AH136" s="33" t="str">
        <f aca="false">IF(COUNTIF(Flows!$M$2:$M$1500,$A136&amp;"|"&amp;AH$1&amp;"|Input"),IF(COUNTIF(Flows!$M$2:$M$1500,$A136&amp;"|"&amp;AH$1&amp;"|Output"),"I/O","IN"),IF(COUNTIF(Flows!$M$2:$M$1500,$A136&amp;"|"&amp;AH$1&amp;"|Output"),"OUT",""))</f>
        <v/>
      </c>
      <c r="AI136" s="33" t="str">
        <f aca="false">IF(COUNTIF(Flows!$M$2:$M$1500,$A136&amp;"|"&amp;AI$1&amp;"|Input"),IF(COUNTIF(Flows!$M$2:$M$1500,$A136&amp;"|"&amp;AI$1&amp;"|Output"),"I/O","IN"),IF(COUNTIF(Flows!$M$2:$M$1500,$A136&amp;"|"&amp;AI$1&amp;"|Output"),"OUT",""))</f>
        <v/>
      </c>
      <c r="AJ136" s="33" t="str">
        <f aca="false">IF(COUNTIF(Flows!$M$2:$M$1500,$A136&amp;"|"&amp;AJ$1&amp;"|Input"),IF(COUNTIF(Flows!$M$2:$M$1500,$A136&amp;"|"&amp;AJ$1&amp;"|Output"),"I/O","IN"),IF(COUNTIF(Flows!$M$2:$M$1500,$A136&amp;"|"&amp;AJ$1&amp;"|Output"),"OUT",""))</f>
        <v/>
      </c>
      <c r="AK136" s="33" t="str">
        <f aca="false">IF(COUNTIF(Flows!$M$2:$M$1500,$A136&amp;"|"&amp;AK$1&amp;"|Input"),IF(COUNTIF(Flows!$M$2:$M$1500,$A136&amp;"|"&amp;AK$1&amp;"|Output"),"I/O","IN"),IF(COUNTIF(Flows!$M$2:$M$1500,$A136&amp;"|"&amp;AK$1&amp;"|Output"),"OUT",""))</f>
        <v/>
      </c>
      <c r="AL136" s="33" t="str">
        <f aca="false">IF(COUNTIF(Flows!$M$2:$M$1500,$A136&amp;"|"&amp;AL$1&amp;"|Input"),IF(COUNTIF(Flows!$M$2:$M$1500,$A136&amp;"|"&amp;AL$1&amp;"|Output"),"I/O","IN"),IF(COUNTIF(Flows!$M$2:$M$1500,$A136&amp;"|"&amp;AL$1&amp;"|Output"),"OUT",""))</f>
        <v/>
      </c>
      <c r="AM136" s="33" t="str">
        <f aca="false">IF(COUNTIF(Flows!$M$2:$M$1500,$A136&amp;"|"&amp;AM$1&amp;"|Input"),IF(COUNTIF(Flows!$M$2:$M$1500,$A136&amp;"|"&amp;AM$1&amp;"|Output"),"I/O","IN"),IF(COUNTIF(Flows!$M$2:$M$1500,$A136&amp;"|"&amp;AM$1&amp;"|Output"),"OUT",""))</f>
        <v/>
      </c>
      <c r="AN136" s="33" t="str">
        <f aca="false">IF(COUNTIF(Flows!$M$2:$M$1500,$A136&amp;"|"&amp;AN$1&amp;"|Input"),IF(COUNTIF(Flows!$M$2:$M$1500,$A136&amp;"|"&amp;AN$1&amp;"|Output"),"I/O","IN"),IF(COUNTIF(Flows!$M$2:$M$1500,$A136&amp;"|"&amp;AN$1&amp;"|Output"),"OUT",""))</f>
        <v/>
      </c>
      <c r="AO136" s="33" t="str">
        <f aca="false">IF(COUNTIF(Flows!$M$2:$M$1500,$A136&amp;"|"&amp;AO$1&amp;"|Input"),IF(COUNTIF(Flows!$M$2:$M$1500,$A136&amp;"|"&amp;AO$1&amp;"|Output"),"I/O","IN"),IF(COUNTIF(Flows!$M$2:$M$1500,$A136&amp;"|"&amp;AO$1&amp;"|Output"),"OUT",""))</f>
        <v/>
      </c>
      <c r="AP136" s="33" t="str">
        <f aca="false">IF(COUNTIF(Flows!$M$2:$M$1500,$A136&amp;"|"&amp;AP$1&amp;"|Input"),IF(COUNTIF(Flows!$M$2:$M$1500,$A136&amp;"|"&amp;AP$1&amp;"|Output"),"I/O","IN"),IF(COUNTIF(Flows!$M$2:$M$1500,$A136&amp;"|"&amp;AP$1&amp;"|Output"),"OUT",""))</f>
        <v/>
      </c>
      <c r="AQ136" s="33" t="str">
        <f aca="false">IF(COUNTIF(Flows!$M$2:$M$1500,$A136&amp;"|"&amp;AQ$1&amp;"|Input"),IF(COUNTIF(Flows!$M$2:$M$1500,$A136&amp;"|"&amp;AQ$1&amp;"|Output"),"I/O","IN"),IF(COUNTIF(Flows!$M$2:$M$1500,$A136&amp;"|"&amp;AQ$1&amp;"|Output"),"OUT",""))</f>
        <v/>
      </c>
      <c r="AR136" s="33" t="str">
        <f aca="false">IF(COUNTIF(Flows!$M$2:$M$1500,$A136&amp;"|"&amp;AR$1&amp;"|Input"),IF(COUNTIF(Flows!$M$2:$M$1500,$A136&amp;"|"&amp;AR$1&amp;"|Output"),"I/O","IN"),IF(COUNTIF(Flows!$M$2:$M$1500,$A136&amp;"|"&amp;AR$1&amp;"|Output"),"OUT",""))</f>
        <v/>
      </c>
      <c r="AS136" s="33" t="str">
        <f aca="false">IF(COUNTIF(Flows!$M$2:$M$1500,$A136&amp;"|"&amp;AS$1&amp;"|Input"),IF(COUNTIF(Flows!$M$2:$M$1500,$A136&amp;"|"&amp;AS$1&amp;"|Output"),"I/O","IN"),IF(COUNTIF(Flows!$M$2:$M$1500,$A136&amp;"|"&amp;AS$1&amp;"|Output"),"OUT",""))</f>
        <v/>
      </c>
      <c r="AT136" s="33" t="str">
        <f aca="false">IF(COUNTIF(Flows!$M$2:$M$1500,$A136&amp;"|"&amp;AT$1&amp;"|Input"),IF(COUNTIF(Flows!$M$2:$M$1500,$A136&amp;"|"&amp;AT$1&amp;"|Output"),"I/O","IN"),IF(COUNTIF(Flows!$M$2:$M$1500,$A136&amp;"|"&amp;AT$1&amp;"|Output"),"OUT",""))</f>
        <v/>
      </c>
      <c r="AU136" s="33" t="str">
        <f aca="false">IF(COUNTIF(Flows!$M$2:$M$1500,$A136&amp;"|"&amp;AU$1&amp;"|Input"),IF(COUNTIF(Flows!$M$2:$M$1500,$A136&amp;"|"&amp;AU$1&amp;"|Output"),"I/O","IN"),IF(COUNTIF(Flows!$M$2:$M$1500,$A136&amp;"|"&amp;AU$1&amp;"|Output"),"OUT",""))</f>
        <v/>
      </c>
      <c r="AV136" s="33" t="str">
        <f aca="false">IF(COUNTIF(Flows!$M$2:$M$1500,$A136&amp;"|"&amp;AV$1&amp;"|Input"),IF(COUNTIF(Flows!$M$2:$M$1500,$A136&amp;"|"&amp;AV$1&amp;"|Output"),"I/O","IN"),IF(COUNTIF(Flows!$M$2:$M$1500,$A136&amp;"|"&amp;AV$1&amp;"|Output"),"OUT",""))</f>
        <v/>
      </c>
      <c r="AW136" s="33" t="str">
        <f aca="false">IF(COUNTIF(Flows!$M$2:$M$1500,$A136&amp;"|"&amp;AW$1&amp;"|Input"),IF(COUNTIF(Flows!$M$2:$M$1500,$A136&amp;"|"&amp;AW$1&amp;"|Output"),"I/O","IN"),IF(COUNTIF(Flows!$M$2:$M$1500,$A136&amp;"|"&amp;AW$1&amp;"|Output"),"OUT",""))</f>
        <v/>
      </c>
      <c r="AX136" s="33" t="str">
        <f aca="false">IF(COUNTIF(Flows!$M$2:$M$1500,$A136&amp;"|"&amp;AX$1&amp;"|Input"),IF(COUNTIF(Flows!$M$2:$M$1500,$A136&amp;"|"&amp;AX$1&amp;"|Output"),"I/O","IN"),IF(COUNTIF(Flows!$M$2:$M$1500,$A136&amp;"|"&amp;AX$1&amp;"|Output"),"OUT",""))</f>
        <v/>
      </c>
      <c r="AY136" s="33" t="str">
        <f aca="false">IF(COUNTIF(Flows!$M$2:$M$1500,$A136&amp;"|"&amp;AY$1&amp;"|Input"),IF(COUNTIF(Flows!$M$2:$M$1500,$A136&amp;"|"&amp;AY$1&amp;"|Output"),"I/O","IN"),IF(COUNTIF(Flows!$M$2:$M$1500,$A136&amp;"|"&amp;AY$1&amp;"|Output"),"OUT",""))</f>
        <v/>
      </c>
      <c r="AZ136" s="33" t="str">
        <f aca="false">IF(COUNTIF(Flows!$M$2:$M$1500,$A136&amp;"|"&amp;AZ$1&amp;"|Input"),IF(COUNTIF(Flows!$M$2:$M$1500,$A136&amp;"|"&amp;AZ$1&amp;"|Output"),"I/O","IN"),IF(COUNTIF(Flows!$M$2:$M$1500,$A136&amp;"|"&amp;AZ$1&amp;"|Output"),"OUT",""))</f>
        <v/>
      </c>
      <c r="BA136" s="33" t="str">
        <f aca="false">IF(COUNTIF(Flows!$M$2:$M$1500,$A136&amp;"|"&amp;BA$1&amp;"|Input"),IF(COUNTIF(Flows!$M$2:$M$1500,$A136&amp;"|"&amp;BA$1&amp;"|Output"),"I/O","IN"),IF(COUNTIF(Flows!$M$2:$M$1500,$A136&amp;"|"&amp;BA$1&amp;"|Output"),"OUT",""))</f>
        <v/>
      </c>
      <c r="BB136" s="33" t="str">
        <f aca="false">IF(COUNTIF(Flows!$M$2:$M$1500,$A136&amp;"|"&amp;BB$1&amp;"|Input"),IF(COUNTIF(Flows!$M$2:$M$1500,$A136&amp;"|"&amp;BB$1&amp;"|Output"),"I/O","IN"),IF(COUNTIF(Flows!$M$2:$M$1500,$A136&amp;"|"&amp;BB$1&amp;"|Output"),"OUT",""))</f>
        <v>IN</v>
      </c>
      <c r="BC136" s="33" t="str">
        <f aca="false">IF(COUNTIF(Flows!$M$2:$M$1500,$A136&amp;"|"&amp;BC$1&amp;"|Input"),IF(COUNTIF(Flows!$M$2:$M$1500,$A136&amp;"|"&amp;BC$1&amp;"|Output"),"I/O","IN"),IF(COUNTIF(Flows!$M$2:$M$1500,$A136&amp;"|"&amp;BC$1&amp;"|Output"),"OUT",""))</f>
        <v/>
      </c>
      <c r="BD136" s="33" t="str">
        <f aca="false">IF(COUNTIF(Flows!$M$2:$M$1500,$A136&amp;"|"&amp;BD$1&amp;"|Input"),IF(COUNTIF(Flows!$M$2:$M$1500,$A136&amp;"|"&amp;BD$1&amp;"|Output"),"I/O","IN"),IF(COUNTIF(Flows!$M$2:$M$1500,$A136&amp;"|"&amp;BD$1&amp;"|Output"),"OUT",""))</f>
        <v/>
      </c>
      <c r="BE136" s="33" t="str">
        <f aca="false">IF(COUNTIF(Flows!$M$2:$M$1500,$A136&amp;"|"&amp;BE$1&amp;"|Input"),IF(COUNTIF(Flows!$M$2:$M$1500,$A136&amp;"|"&amp;BE$1&amp;"|Output"),"I/O","IN"),IF(COUNTIF(Flows!$M$2:$M$1500,$A136&amp;"|"&amp;BE$1&amp;"|Output"),"OUT",""))</f>
        <v/>
      </c>
      <c r="BF136" s="33" t="str">
        <f aca="false">IF(COUNTIF(Flows!$M$2:$M$1500,$A136&amp;"|"&amp;BF$1&amp;"|Input"),IF(COUNTIF(Flows!$M$2:$M$1500,$A136&amp;"|"&amp;BF$1&amp;"|Output"),"I/O","IN"),IF(COUNTIF(Flows!$M$2:$M$1500,$A136&amp;"|"&amp;BF$1&amp;"|Output"),"OUT",""))</f>
        <v/>
      </c>
      <c r="BG136" s="33" t="str">
        <f aca="false">IF(COUNTIF(Flows!$M$2:$M$1500,$A136&amp;"|"&amp;BG$1&amp;"|Input"),IF(COUNTIF(Flows!$M$2:$M$1500,$A136&amp;"|"&amp;BG$1&amp;"|Output"),"I/O","IN"),IF(COUNTIF(Flows!$M$2:$M$1500,$A136&amp;"|"&amp;BG$1&amp;"|Output"),"OUT",""))</f>
        <v/>
      </c>
      <c r="BH136" s="33" t="str">
        <f aca="false">IF(COUNTIF(Flows!$M$2:$M$1500,$A136&amp;"|"&amp;BH$1&amp;"|Input"),IF(COUNTIF(Flows!$M$2:$M$1500,$A136&amp;"|"&amp;BH$1&amp;"|Output"),"I/O","IN"),IF(COUNTIF(Flows!$M$2:$M$1500,$A136&amp;"|"&amp;BH$1&amp;"|Output"),"OUT",""))</f>
        <v/>
      </c>
      <c r="BI136" s="33" t="str">
        <f aca="false">IF(COUNTIF(Flows!$M$2:$M$1500,$A136&amp;"|"&amp;BI$1&amp;"|Input"),IF(COUNTIF(Flows!$M$2:$M$1500,$A136&amp;"|"&amp;BI$1&amp;"|Output"),"I/O","IN"),IF(COUNTIF(Flows!$M$2:$M$1500,$A136&amp;"|"&amp;BI$1&amp;"|Output"),"OUT",""))</f>
        <v>OUT</v>
      </c>
      <c r="BJ136" s="33" t="str">
        <f aca="false">IF(COUNTIF(Flows!$M$2:$M$1500,$A136&amp;"|"&amp;BJ$1&amp;"|Input"),IF(COUNTIF(Flows!$M$2:$M$1500,$A136&amp;"|"&amp;BJ$1&amp;"|Output"),"I/O","IN"),IF(COUNTIF(Flows!$M$2:$M$1500,$A136&amp;"|"&amp;BJ$1&amp;"|Output"),"OUT",""))</f>
        <v>OUT</v>
      </c>
      <c r="BK136" s="33" t="str">
        <f aca="false">IF(COUNTIF(Flows!$M$2:$M$1500,$A136&amp;"|"&amp;BK$1&amp;"|Input"),IF(COUNTIF(Flows!$M$2:$M$1500,$A136&amp;"|"&amp;BK$1&amp;"|Output"),"I/O","IN"),IF(COUNTIF(Flows!$M$2:$M$1500,$A136&amp;"|"&amp;BK$1&amp;"|Output"),"OUT",""))</f>
        <v>OUT</v>
      </c>
    </row>
    <row r="137" customFormat="false" ht="15" hidden="false" customHeight="true" outlineLevel="0" collapsed="false">
      <c r="A137" s="6" t="str">
        <f aca="false">Systems!B137</f>
        <v>Native Hedgerow (100 ft)</v>
      </c>
      <c r="B137" s="33" t="str">
        <f aca="false">IF(COUNTIF(Flows!$M$2:$M$1500,$A137&amp;"|"&amp;B$1&amp;"|Input"),IF(COUNTIF(Flows!$M$2:$M$1500,$A137&amp;"|"&amp;B$1&amp;"|Output"),"I/O","IN"),IF(COUNTIF(Flows!$M$2:$M$1500,$A137&amp;"|"&amp;B$1&amp;"|Output"),"OUT",""))</f>
        <v>IN</v>
      </c>
      <c r="C137" s="33" t="str">
        <f aca="false">IF(COUNTIF(Flows!$M$2:$M$1500,$A137&amp;"|"&amp;C$1&amp;"|Input"),IF(COUNTIF(Flows!$M$2:$M$1500,$A137&amp;"|"&amp;C$1&amp;"|Output"),"I/O","IN"),IF(COUNTIF(Flows!$M$2:$M$1500,$A137&amp;"|"&amp;C$1&amp;"|Output"),"OUT",""))</f>
        <v/>
      </c>
      <c r="D137" s="33" t="str">
        <f aca="false">IF(COUNTIF(Flows!$M$2:$M$1500,$A137&amp;"|"&amp;D$1&amp;"|Input"),IF(COUNTIF(Flows!$M$2:$M$1500,$A137&amp;"|"&amp;D$1&amp;"|Output"),"I/O","IN"),IF(COUNTIF(Flows!$M$2:$M$1500,$A137&amp;"|"&amp;D$1&amp;"|Output"),"OUT",""))</f>
        <v/>
      </c>
      <c r="E137" s="33" t="str">
        <f aca="false">IF(COUNTIF(Flows!$M$2:$M$1500,$A137&amp;"|"&amp;E$1&amp;"|Input"),IF(COUNTIF(Flows!$M$2:$M$1500,$A137&amp;"|"&amp;E$1&amp;"|Output"),"I/O","IN"),IF(COUNTIF(Flows!$M$2:$M$1500,$A137&amp;"|"&amp;E$1&amp;"|Output"),"OUT",""))</f>
        <v/>
      </c>
      <c r="F137" s="33" t="str">
        <f aca="false">IF(COUNTIF(Flows!$M$2:$M$1500,$A137&amp;"|"&amp;F$1&amp;"|Input"),IF(COUNTIF(Flows!$M$2:$M$1500,$A137&amp;"|"&amp;F$1&amp;"|Output"),"I/O","IN"),IF(COUNTIF(Flows!$M$2:$M$1500,$A137&amp;"|"&amp;F$1&amp;"|Output"),"OUT",""))</f>
        <v/>
      </c>
      <c r="G137" s="33" t="str">
        <f aca="false">IF(COUNTIF(Flows!$M$2:$M$1500,$A137&amp;"|"&amp;G$1&amp;"|Input"),IF(COUNTIF(Flows!$M$2:$M$1500,$A137&amp;"|"&amp;G$1&amp;"|Output"),"I/O","IN"),IF(COUNTIF(Flows!$M$2:$M$1500,$A137&amp;"|"&amp;G$1&amp;"|Output"),"OUT",""))</f>
        <v/>
      </c>
      <c r="H137" s="33" t="str">
        <f aca="false">IF(COUNTIF(Flows!$M$2:$M$1500,$A137&amp;"|"&amp;H$1&amp;"|Input"),IF(COUNTIF(Flows!$M$2:$M$1500,$A137&amp;"|"&amp;H$1&amp;"|Output"),"I/O","IN"),IF(COUNTIF(Flows!$M$2:$M$1500,$A137&amp;"|"&amp;H$1&amp;"|Output"),"OUT",""))</f>
        <v/>
      </c>
      <c r="I137" s="33" t="str">
        <f aca="false">IF(COUNTIF(Flows!$M$2:$M$1500,$A137&amp;"|"&amp;I$1&amp;"|Input"),IF(COUNTIF(Flows!$M$2:$M$1500,$A137&amp;"|"&amp;I$1&amp;"|Output"),"I/O","IN"),IF(COUNTIF(Flows!$M$2:$M$1500,$A137&amp;"|"&amp;I$1&amp;"|Output"),"OUT",""))</f>
        <v/>
      </c>
      <c r="J137" s="33" t="str">
        <f aca="false">IF(COUNTIF(Flows!$M$2:$M$1500,$A137&amp;"|"&amp;J$1&amp;"|Input"),IF(COUNTIF(Flows!$M$2:$M$1500,$A137&amp;"|"&amp;J$1&amp;"|Output"),"I/O","IN"),IF(COUNTIF(Flows!$M$2:$M$1500,$A137&amp;"|"&amp;J$1&amp;"|Output"),"OUT",""))</f>
        <v/>
      </c>
      <c r="K137" s="33" t="str">
        <f aca="false">IF(COUNTIF(Flows!$M$2:$M$1500,$A137&amp;"|"&amp;K$1&amp;"|Input"),IF(COUNTIF(Flows!$M$2:$M$1500,$A137&amp;"|"&amp;K$1&amp;"|Output"),"I/O","IN"),IF(COUNTIF(Flows!$M$2:$M$1500,$A137&amp;"|"&amp;K$1&amp;"|Output"),"OUT",""))</f>
        <v/>
      </c>
      <c r="L137" s="33" t="str">
        <f aca="false">IF(COUNTIF(Flows!$M$2:$M$1500,$A137&amp;"|"&amp;L$1&amp;"|Input"),IF(COUNTIF(Flows!$M$2:$M$1500,$A137&amp;"|"&amp;L$1&amp;"|Output"),"I/O","IN"),IF(COUNTIF(Flows!$M$2:$M$1500,$A137&amp;"|"&amp;L$1&amp;"|Output"),"OUT",""))</f>
        <v/>
      </c>
      <c r="M137" s="33" t="str">
        <f aca="false">IF(COUNTIF(Flows!$M$2:$M$1500,$A137&amp;"|"&amp;M$1&amp;"|Input"),IF(COUNTIF(Flows!$M$2:$M$1500,$A137&amp;"|"&amp;M$1&amp;"|Output"),"I/O","IN"),IF(COUNTIF(Flows!$M$2:$M$1500,$A137&amp;"|"&amp;M$1&amp;"|Output"),"OUT",""))</f>
        <v/>
      </c>
      <c r="N137" s="33" t="str">
        <f aca="false">IF(COUNTIF(Flows!$M$2:$M$1500,$A137&amp;"|"&amp;N$1&amp;"|Input"),IF(COUNTIF(Flows!$M$2:$M$1500,$A137&amp;"|"&amp;N$1&amp;"|Output"),"I/O","IN"),IF(COUNTIF(Flows!$M$2:$M$1500,$A137&amp;"|"&amp;N$1&amp;"|Output"),"OUT",""))</f>
        <v/>
      </c>
      <c r="O137" s="33" t="str">
        <f aca="false">IF(COUNTIF(Flows!$M$2:$M$1500,$A137&amp;"|"&amp;O$1&amp;"|Input"),IF(COUNTIF(Flows!$M$2:$M$1500,$A137&amp;"|"&amp;O$1&amp;"|Output"),"I/O","IN"),IF(COUNTIF(Flows!$M$2:$M$1500,$A137&amp;"|"&amp;O$1&amp;"|Output"),"OUT",""))</f>
        <v/>
      </c>
      <c r="P137" s="33" t="str">
        <f aca="false">IF(COUNTIF(Flows!$M$2:$M$1500,$A137&amp;"|"&amp;P$1&amp;"|Input"),IF(COUNTIF(Flows!$M$2:$M$1500,$A137&amp;"|"&amp;P$1&amp;"|Output"),"I/O","IN"),IF(COUNTIF(Flows!$M$2:$M$1500,$A137&amp;"|"&amp;P$1&amp;"|Output"),"OUT",""))</f>
        <v/>
      </c>
      <c r="Q137" s="33" t="str">
        <f aca="false">IF(COUNTIF(Flows!$M$2:$M$1500,$A137&amp;"|"&amp;Q$1&amp;"|Input"),IF(COUNTIF(Flows!$M$2:$M$1500,$A137&amp;"|"&amp;Q$1&amp;"|Output"),"I/O","IN"),IF(COUNTIF(Flows!$M$2:$M$1500,$A137&amp;"|"&amp;Q$1&amp;"|Output"),"OUT",""))</f>
        <v/>
      </c>
      <c r="R137" s="33" t="str">
        <f aca="false">IF(COUNTIF(Flows!$M$2:$M$1500,$A137&amp;"|"&amp;R$1&amp;"|Input"),IF(COUNTIF(Flows!$M$2:$M$1500,$A137&amp;"|"&amp;R$1&amp;"|Output"),"I/O","IN"),IF(COUNTIF(Flows!$M$2:$M$1500,$A137&amp;"|"&amp;R$1&amp;"|Output"),"OUT",""))</f>
        <v/>
      </c>
      <c r="S137" s="33" t="str">
        <f aca="false">IF(COUNTIF(Flows!$M$2:$M$1500,$A137&amp;"|"&amp;S$1&amp;"|Input"),IF(COUNTIF(Flows!$M$2:$M$1500,$A137&amp;"|"&amp;S$1&amp;"|Output"),"I/O","IN"),IF(COUNTIF(Flows!$M$2:$M$1500,$A137&amp;"|"&amp;S$1&amp;"|Output"),"OUT",""))</f>
        <v/>
      </c>
      <c r="T137" s="33" t="str">
        <f aca="false">IF(COUNTIF(Flows!$M$2:$M$1500,$A137&amp;"|"&amp;T$1&amp;"|Input"),IF(COUNTIF(Flows!$M$2:$M$1500,$A137&amp;"|"&amp;T$1&amp;"|Output"),"I/O","IN"),IF(COUNTIF(Flows!$M$2:$M$1500,$A137&amp;"|"&amp;T$1&amp;"|Output"),"OUT",""))</f>
        <v/>
      </c>
      <c r="U137" s="33" t="str">
        <f aca="false">IF(COUNTIF(Flows!$M$2:$M$1500,$A137&amp;"|"&amp;U$1&amp;"|Input"),IF(COUNTIF(Flows!$M$2:$M$1500,$A137&amp;"|"&amp;U$1&amp;"|Output"),"I/O","IN"),IF(COUNTIF(Flows!$M$2:$M$1500,$A137&amp;"|"&amp;U$1&amp;"|Output"),"OUT",""))</f>
        <v/>
      </c>
      <c r="V137" s="33" t="str">
        <f aca="false">IF(COUNTIF(Flows!$M$2:$M$1500,$A137&amp;"|"&amp;V$1&amp;"|Input"),IF(COUNTIF(Flows!$M$2:$M$1500,$A137&amp;"|"&amp;V$1&amp;"|Output"),"I/O","IN"),IF(COUNTIF(Flows!$M$2:$M$1500,$A137&amp;"|"&amp;V$1&amp;"|Output"),"OUT",""))</f>
        <v/>
      </c>
      <c r="W137" s="33" t="str">
        <f aca="false">IF(COUNTIF(Flows!$M$2:$M$1500,$A137&amp;"|"&amp;W$1&amp;"|Input"),IF(COUNTIF(Flows!$M$2:$M$1500,$A137&amp;"|"&amp;W$1&amp;"|Output"),"I/O","IN"),IF(COUNTIF(Flows!$M$2:$M$1500,$A137&amp;"|"&amp;W$1&amp;"|Output"),"OUT",""))</f>
        <v/>
      </c>
      <c r="X137" s="33" t="str">
        <f aca="false">IF(COUNTIF(Flows!$M$2:$M$1500,$A137&amp;"|"&amp;X$1&amp;"|Input"),IF(COUNTIF(Flows!$M$2:$M$1500,$A137&amp;"|"&amp;X$1&amp;"|Output"),"I/O","IN"),IF(COUNTIF(Flows!$M$2:$M$1500,$A137&amp;"|"&amp;X$1&amp;"|Output"),"OUT",""))</f>
        <v>IN</v>
      </c>
      <c r="Y137" s="33" t="str">
        <f aca="false">IF(COUNTIF(Flows!$M$2:$M$1500,$A137&amp;"|"&amp;Y$1&amp;"|Input"),IF(COUNTIF(Flows!$M$2:$M$1500,$A137&amp;"|"&amp;Y$1&amp;"|Output"),"I/O","IN"),IF(COUNTIF(Flows!$M$2:$M$1500,$A137&amp;"|"&amp;Y$1&amp;"|Output"),"OUT",""))</f>
        <v/>
      </c>
      <c r="Z137" s="33" t="str">
        <f aca="false">IF(COUNTIF(Flows!$M$2:$M$1500,$A137&amp;"|"&amp;Z$1&amp;"|Input"),IF(COUNTIF(Flows!$M$2:$M$1500,$A137&amp;"|"&amp;Z$1&amp;"|Output"),"I/O","IN"),IF(COUNTIF(Flows!$M$2:$M$1500,$A137&amp;"|"&amp;Z$1&amp;"|Output"),"OUT",""))</f>
        <v/>
      </c>
      <c r="AA137" s="33" t="str">
        <f aca="false">IF(COUNTIF(Flows!$M$2:$M$1500,$A137&amp;"|"&amp;AA$1&amp;"|Input"),IF(COUNTIF(Flows!$M$2:$M$1500,$A137&amp;"|"&amp;AA$1&amp;"|Output"),"I/O","IN"),IF(COUNTIF(Flows!$M$2:$M$1500,$A137&amp;"|"&amp;AA$1&amp;"|Output"),"OUT",""))</f>
        <v/>
      </c>
      <c r="AB137" s="33" t="str">
        <f aca="false">IF(COUNTIF(Flows!$M$2:$M$1500,$A137&amp;"|"&amp;AB$1&amp;"|Input"),IF(COUNTIF(Flows!$M$2:$M$1500,$A137&amp;"|"&amp;AB$1&amp;"|Output"),"I/O","IN"),IF(COUNTIF(Flows!$M$2:$M$1500,$A137&amp;"|"&amp;AB$1&amp;"|Output"),"OUT",""))</f>
        <v/>
      </c>
      <c r="AC137" s="33" t="str">
        <f aca="false">IF(COUNTIF(Flows!$M$2:$M$1500,$A137&amp;"|"&amp;AC$1&amp;"|Input"),IF(COUNTIF(Flows!$M$2:$M$1500,$A137&amp;"|"&amp;AC$1&amp;"|Output"),"I/O","IN"),IF(COUNTIF(Flows!$M$2:$M$1500,$A137&amp;"|"&amp;AC$1&amp;"|Output"),"OUT",""))</f>
        <v/>
      </c>
      <c r="AD137" s="33" t="str">
        <f aca="false">IF(COUNTIF(Flows!$M$2:$M$1500,$A137&amp;"|"&amp;AD$1&amp;"|Input"),IF(COUNTIF(Flows!$M$2:$M$1500,$A137&amp;"|"&amp;AD$1&amp;"|Output"),"I/O","IN"),IF(COUNTIF(Flows!$M$2:$M$1500,$A137&amp;"|"&amp;AD$1&amp;"|Output"),"OUT",""))</f>
        <v/>
      </c>
      <c r="AE137" s="33" t="str">
        <f aca="false">IF(COUNTIF(Flows!$M$2:$M$1500,$A137&amp;"|"&amp;AE$1&amp;"|Input"),IF(COUNTIF(Flows!$M$2:$M$1500,$A137&amp;"|"&amp;AE$1&amp;"|Output"),"I/O","IN"),IF(COUNTIF(Flows!$M$2:$M$1500,$A137&amp;"|"&amp;AE$1&amp;"|Output"),"OUT",""))</f>
        <v/>
      </c>
      <c r="AF137" s="33" t="str">
        <f aca="false">IF(COUNTIF(Flows!$M$2:$M$1500,$A137&amp;"|"&amp;AF$1&amp;"|Input"),IF(COUNTIF(Flows!$M$2:$M$1500,$A137&amp;"|"&amp;AF$1&amp;"|Output"),"I/O","IN"),IF(COUNTIF(Flows!$M$2:$M$1500,$A137&amp;"|"&amp;AF$1&amp;"|Output"),"OUT",""))</f>
        <v/>
      </c>
      <c r="AG137" s="33" t="str">
        <f aca="false">IF(COUNTIF(Flows!$M$2:$M$1500,$A137&amp;"|"&amp;AG$1&amp;"|Input"),IF(COUNTIF(Flows!$M$2:$M$1500,$A137&amp;"|"&amp;AG$1&amp;"|Output"),"I/O","IN"),IF(COUNTIF(Flows!$M$2:$M$1500,$A137&amp;"|"&amp;AG$1&amp;"|Output"),"OUT",""))</f>
        <v/>
      </c>
      <c r="AH137" s="33" t="str">
        <f aca="false">IF(COUNTIF(Flows!$M$2:$M$1500,$A137&amp;"|"&amp;AH$1&amp;"|Input"),IF(COUNTIF(Flows!$M$2:$M$1500,$A137&amp;"|"&amp;AH$1&amp;"|Output"),"I/O","IN"),IF(COUNTIF(Flows!$M$2:$M$1500,$A137&amp;"|"&amp;AH$1&amp;"|Output"),"OUT",""))</f>
        <v/>
      </c>
      <c r="AI137" s="33" t="str">
        <f aca="false">IF(COUNTIF(Flows!$M$2:$M$1500,$A137&amp;"|"&amp;AI$1&amp;"|Input"),IF(COUNTIF(Flows!$M$2:$M$1500,$A137&amp;"|"&amp;AI$1&amp;"|Output"),"I/O","IN"),IF(COUNTIF(Flows!$M$2:$M$1500,$A137&amp;"|"&amp;AI$1&amp;"|Output"),"OUT",""))</f>
        <v/>
      </c>
      <c r="AJ137" s="33" t="str">
        <f aca="false">IF(COUNTIF(Flows!$M$2:$M$1500,$A137&amp;"|"&amp;AJ$1&amp;"|Input"),IF(COUNTIF(Flows!$M$2:$M$1500,$A137&amp;"|"&amp;AJ$1&amp;"|Output"),"I/O","IN"),IF(COUNTIF(Flows!$M$2:$M$1500,$A137&amp;"|"&amp;AJ$1&amp;"|Output"),"OUT",""))</f>
        <v/>
      </c>
      <c r="AK137" s="33" t="str">
        <f aca="false">IF(COUNTIF(Flows!$M$2:$M$1500,$A137&amp;"|"&amp;AK$1&amp;"|Input"),IF(COUNTIF(Flows!$M$2:$M$1500,$A137&amp;"|"&amp;AK$1&amp;"|Output"),"I/O","IN"),IF(COUNTIF(Flows!$M$2:$M$1500,$A137&amp;"|"&amp;AK$1&amp;"|Output"),"OUT",""))</f>
        <v/>
      </c>
      <c r="AL137" s="33" t="str">
        <f aca="false">IF(COUNTIF(Flows!$M$2:$M$1500,$A137&amp;"|"&amp;AL$1&amp;"|Input"),IF(COUNTIF(Flows!$M$2:$M$1500,$A137&amp;"|"&amp;AL$1&amp;"|Output"),"I/O","IN"),IF(COUNTIF(Flows!$M$2:$M$1500,$A137&amp;"|"&amp;AL$1&amp;"|Output"),"OUT",""))</f>
        <v/>
      </c>
      <c r="AM137" s="33" t="str">
        <f aca="false">IF(COUNTIF(Flows!$M$2:$M$1500,$A137&amp;"|"&amp;AM$1&amp;"|Input"),IF(COUNTIF(Flows!$M$2:$M$1500,$A137&amp;"|"&amp;AM$1&amp;"|Output"),"I/O","IN"),IF(COUNTIF(Flows!$M$2:$M$1500,$A137&amp;"|"&amp;AM$1&amp;"|Output"),"OUT",""))</f>
        <v/>
      </c>
      <c r="AN137" s="33" t="str">
        <f aca="false">IF(COUNTIF(Flows!$M$2:$M$1500,$A137&amp;"|"&amp;AN$1&amp;"|Input"),IF(COUNTIF(Flows!$M$2:$M$1500,$A137&amp;"|"&amp;AN$1&amp;"|Output"),"I/O","IN"),IF(COUNTIF(Flows!$M$2:$M$1500,$A137&amp;"|"&amp;AN$1&amp;"|Output"),"OUT",""))</f>
        <v/>
      </c>
      <c r="AO137" s="33" t="str">
        <f aca="false">IF(COUNTIF(Flows!$M$2:$M$1500,$A137&amp;"|"&amp;AO$1&amp;"|Input"),IF(COUNTIF(Flows!$M$2:$M$1500,$A137&amp;"|"&amp;AO$1&amp;"|Output"),"I/O","IN"),IF(COUNTIF(Flows!$M$2:$M$1500,$A137&amp;"|"&amp;AO$1&amp;"|Output"),"OUT",""))</f>
        <v/>
      </c>
      <c r="AP137" s="33" t="str">
        <f aca="false">IF(COUNTIF(Flows!$M$2:$M$1500,$A137&amp;"|"&amp;AP$1&amp;"|Input"),IF(COUNTIF(Flows!$M$2:$M$1500,$A137&amp;"|"&amp;AP$1&amp;"|Output"),"I/O","IN"),IF(COUNTIF(Flows!$M$2:$M$1500,$A137&amp;"|"&amp;AP$1&amp;"|Output"),"OUT",""))</f>
        <v/>
      </c>
      <c r="AQ137" s="33" t="str">
        <f aca="false">IF(COUNTIF(Flows!$M$2:$M$1500,$A137&amp;"|"&amp;AQ$1&amp;"|Input"),IF(COUNTIF(Flows!$M$2:$M$1500,$A137&amp;"|"&amp;AQ$1&amp;"|Output"),"I/O","IN"),IF(COUNTIF(Flows!$M$2:$M$1500,$A137&amp;"|"&amp;AQ$1&amp;"|Output"),"OUT",""))</f>
        <v/>
      </c>
      <c r="AR137" s="33" t="str">
        <f aca="false">IF(COUNTIF(Flows!$M$2:$M$1500,$A137&amp;"|"&amp;AR$1&amp;"|Input"),IF(COUNTIF(Flows!$M$2:$M$1500,$A137&amp;"|"&amp;AR$1&amp;"|Output"),"I/O","IN"),IF(COUNTIF(Flows!$M$2:$M$1500,$A137&amp;"|"&amp;AR$1&amp;"|Output"),"OUT",""))</f>
        <v>OUT</v>
      </c>
      <c r="AS137" s="33" t="str">
        <f aca="false">IF(COUNTIF(Flows!$M$2:$M$1500,$A137&amp;"|"&amp;AS$1&amp;"|Input"),IF(COUNTIF(Flows!$M$2:$M$1500,$A137&amp;"|"&amp;AS$1&amp;"|Output"),"I/O","IN"),IF(COUNTIF(Flows!$M$2:$M$1500,$A137&amp;"|"&amp;AS$1&amp;"|Output"),"OUT",""))</f>
        <v/>
      </c>
      <c r="AT137" s="33" t="str">
        <f aca="false">IF(COUNTIF(Flows!$M$2:$M$1500,$A137&amp;"|"&amp;AT$1&amp;"|Input"),IF(COUNTIF(Flows!$M$2:$M$1500,$A137&amp;"|"&amp;AT$1&amp;"|Output"),"I/O","IN"),IF(COUNTIF(Flows!$M$2:$M$1500,$A137&amp;"|"&amp;AT$1&amp;"|Output"),"OUT",""))</f>
        <v/>
      </c>
      <c r="AU137" s="33" t="str">
        <f aca="false">IF(COUNTIF(Flows!$M$2:$M$1500,$A137&amp;"|"&amp;AU$1&amp;"|Input"),IF(COUNTIF(Flows!$M$2:$M$1500,$A137&amp;"|"&amp;AU$1&amp;"|Output"),"I/O","IN"),IF(COUNTIF(Flows!$M$2:$M$1500,$A137&amp;"|"&amp;AU$1&amp;"|Output"),"OUT",""))</f>
        <v/>
      </c>
      <c r="AV137" s="33" t="str">
        <f aca="false">IF(COUNTIF(Flows!$M$2:$M$1500,$A137&amp;"|"&amp;AV$1&amp;"|Input"),IF(COUNTIF(Flows!$M$2:$M$1500,$A137&amp;"|"&amp;AV$1&amp;"|Output"),"I/O","IN"),IF(COUNTIF(Flows!$M$2:$M$1500,$A137&amp;"|"&amp;AV$1&amp;"|Output"),"OUT",""))</f>
        <v/>
      </c>
      <c r="AW137" s="33" t="str">
        <f aca="false">IF(COUNTIF(Flows!$M$2:$M$1500,$A137&amp;"|"&amp;AW$1&amp;"|Input"),IF(COUNTIF(Flows!$M$2:$M$1500,$A137&amp;"|"&amp;AW$1&amp;"|Output"),"I/O","IN"),IF(COUNTIF(Flows!$M$2:$M$1500,$A137&amp;"|"&amp;AW$1&amp;"|Output"),"OUT",""))</f>
        <v/>
      </c>
      <c r="AX137" s="33" t="str">
        <f aca="false">IF(COUNTIF(Flows!$M$2:$M$1500,$A137&amp;"|"&amp;AX$1&amp;"|Input"),IF(COUNTIF(Flows!$M$2:$M$1500,$A137&amp;"|"&amp;AX$1&amp;"|Output"),"I/O","IN"),IF(COUNTIF(Flows!$M$2:$M$1500,$A137&amp;"|"&amp;AX$1&amp;"|Output"),"OUT",""))</f>
        <v/>
      </c>
      <c r="AY137" s="33" t="str">
        <f aca="false">IF(COUNTIF(Flows!$M$2:$M$1500,$A137&amp;"|"&amp;AY$1&amp;"|Input"),IF(COUNTIF(Flows!$M$2:$M$1500,$A137&amp;"|"&amp;AY$1&amp;"|Output"),"I/O","IN"),IF(COUNTIF(Flows!$M$2:$M$1500,$A137&amp;"|"&amp;AY$1&amp;"|Output"),"OUT",""))</f>
        <v/>
      </c>
      <c r="AZ137" s="33" t="str">
        <f aca="false">IF(COUNTIF(Flows!$M$2:$M$1500,$A137&amp;"|"&amp;AZ$1&amp;"|Input"),IF(COUNTIF(Flows!$M$2:$M$1500,$A137&amp;"|"&amp;AZ$1&amp;"|Output"),"I/O","IN"),IF(COUNTIF(Flows!$M$2:$M$1500,$A137&amp;"|"&amp;AZ$1&amp;"|Output"),"OUT",""))</f>
        <v/>
      </c>
      <c r="BA137" s="33" t="str">
        <f aca="false">IF(COUNTIF(Flows!$M$2:$M$1500,$A137&amp;"|"&amp;BA$1&amp;"|Input"),IF(COUNTIF(Flows!$M$2:$M$1500,$A137&amp;"|"&amp;BA$1&amp;"|Output"),"I/O","IN"),IF(COUNTIF(Flows!$M$2:$M$1500,$A137&amp;"|"&amp;BA$1&amp;"|Output"),"OUT",""))</f>
        <v/>
      </c>
      <c r="BB137" s="33" t="str">
        <f aca="false">IF(COUNTIF(Flows!$M$2:$M$1500,$A137&amp;"|"&amp;BB$1&amp;"|Input"),IF(COUNTIF(Flows!$M$2:$M$1500,$A137&amp;"|"&amp;BB$1&amp;"|Output"),"I/O","IN"),IF(COUNTIF(Flows!$M$2:$M$1500,$A137&amp;"|"&amp;BB$1&amp;"|Output"),"OUT",""))</f>
        <v/>
      </c>
      <c r="BC137" s="33" t="str">
        <f aca="false">IF(COUNTIF(Flows!$M$2:$M$1500,$A137&amp;"|"&amp;BC$1&amp;"|Input"),IF(COUNTIF(Flows!$M$2:$M$1500,$A137&amp;"|"&amp;BC$1&amp;"|Output"),"I/O","IN"),IF(COUNTIF(Flows!$M$2:$M$1500,$A137&amp;"|"&amp;BC$1&amp;"|Output"),"OUT",""))</f>
        <v>IN</v>
      </c>
      <c r="BD137" s="33" t="str">
        <f aca="false">IF(COUNTIF(Flows!$M$2:$M$1500,$A137&amp;"|"&amp;BD$1&amp;"|Input"),IF(COUNTIF(Flows!$M$2:$M$1500,$A137&amp;"|"&amp;BD$1&amp;"|Output"),"I/O","IN"),IF(COUNTIF(Flows!$M$2:$M$1500,$A137&amp;"|"&amp;BD$1&amp;"|Output"),"OUT",""))</f>
        <v/>
      </c>
      <c r="BE137" s="33" t="str">
        <f aca="false">IF(COUNTIF(Flows!$M$2:$M$1500,$A137&amp;"|"&amp;BE$1&amp;"|Input"),IF(COUNTIF(Flows!$M$2:$M$1500,$A137&amp;"|"&amp;BE$1&amp;"|Output"),"I/O","IN"),IF(COUNTIF(Flows!$M$2:$M$1500,$A137&amp;"|"&amp;BE$1&amp;"|Output"),"OUT",""))</f>
        <v/>
      </c>
      <c r="BF137" s="33" t="str">
        <f aca="false">IF(COUNTIF(Flows!$M$2:$M$1500,$A137&amp;"|"&amp;BF$1&amp;"|Input"),IF(COUNTIF(Flows!$M$2:$M$1500,$A137&amp;"|"&amp;BF$1&amp;"|Output"),"I/O","IN"),IF(COUNTIF(Flows!$M$2:$M$1500,$A137&amp;"|"&amp;BF$1&amp;"|Output"),"OUT",""))</f>
        <v/>
      </c>
      <c r="BG137" s="33" t="str">
        <f aca="false">IF(COUNTIF(Flows!$M$2:$M$1500,$A137&amp;"|"&amp;BG$1&amp;"|Input"),IF(COUNTIF(Flows!$M$2:$M$1500,$A137&amp;"|"&amp;BG$1&amp;"|Output"),"I/O","IN"),IF(COUNTIF(Flows!$M$2:$M$1500,$A137&amp;"|"&amp;BG$1&amp;"|Output"),"OUT",""))</f>
        <v/>
      </c>
      <c r="BH137" s="33" t="str">
        <f aca="false">IF(COUNTIF(Flows!$M$2:$M$1500,$A137&amp;"|"&amp;BH$1&amp;"|Input"),IF(COUNTIF(Flows!$M$2:$M$1500,$A137&amp;"|"&amp;BH$1&amp;"|Output"),"I/O","IN"),IF(COUNTIF(Flows!$M$2:$M$1500,$A137&amp;"|"&amp;BH$1&amp;"|Output"),"OUT",""))</f>
        <v/>
      </c>
      <c r="BI137" s="33" t="str">
        <f aca="false">IF(COUNTIF(Flows!$M$2:$M$1500,$A137&amp;"|"&amp;BI$1&amp;"|Input"),IF(COUNTIF(Flows!$M$2:$M$1500,$A137&amp;"|"&amp;BI$1&amp;"|Output"),"I/O","IN"),IF(COUNTIF(Flows!$M$2:$M$1500,$A137&amp;"|"&amp;BI$1&amp;"|Output"),"OUT",""))</f>
        <v>OUT</v>
      </c>
      <c r="BJ137" s="33" t="str">
        <f aca="false">IF(COUNTIF(Flows!$M$2:$M$1500,$A137&amp;"|"&amp;BJ$1&amp;"|Input"),IF(COUNTIF(Flows!$M$2:$M$1500,$A137&amp;"|"&amp;BJ$1&amp;"|Output"),"I/O","IN"),IF(COUNTIF(Flows!$M$2:$M$1500,$A137&amp;"|"&amp;BJ$1&amp;"|Output"),"OUT",""))</f>
        <v>OUT</v>
      </c>
      <c r="BK137" s="33" t="str">
        <f aca="false">IF(COUNTIF(Flows!$M$2:$M$1500,$A137&amp;"|"&amp;BK$1&amp;"|Input"),IF(COUNTIF(Flows!$M$2:$M$1500,$A137&amp;"|"&amp;BK$1&amp;"|Output"),"I/O","IN"),IF(COUNTIF(Flows!$M$2:$M$1500,$A137&amp;"|"&amp;BK$1&amp;"|Output"),"OUT",""))</f>
        <v>OUT</v>
      </c>
    </row>
    <row r="138" customFormat="false" ht="15" hidden="false" customHeight="true" outlineLevel="0" collapsed="false">
      <c r="A138" s="6" t="str">
        <f aca="false">Systems!B138</f>
        <v>Mason Bee House</v>
      </c>
      <c r="B138" s="33" t="str">
        <f aca="false">IF(COUNTIF(Flows!$M$2:$M$1500,$A138&amp;"|"&amp;B$1&amp;"|Input"),IF(COUNTIF(Flows!$M$2:$M$1500,$A138&amp;"|"&amp;B$1&amp;"|Output"),"I/O","IN"),IF(COUNTIF(Flows!$M$2:$M$1500,$A138&amp;"|"&amp;B$1&amp;"|Output"),"OUT",""))</f>
        <v/>
      </c>
      <c r="C138" s="33" t="str">
        <f aca="false">IF(COUNTIF(Flows!$M$2:$M$1500,$A138&amp;"|"&amp;C$1&amp;"|Input"),IF(COUNTIF(Flows!$M$2:$M$1500,$A138&amp;"|"&amp;C$1&amp;"|Output"),"I/O","IN"),IF(COUNTIF(Flows!$M$2:$M$1500,$A138&amp;"|"&amp;C$1&amp;"|Output"),"OUT",""))</f>
        <v/>
      </c>
      <c r="D138" s="33" t="str">
        <f aca="false">IF(COUNTIF(Flows!$M$2:$M$1500,$A138&amp;"|"&amp;D$1&amp;"|Input"),IF(COUNTIF(Flows!$M$2:$M$1500,$A138&amp;"|"&amp;D$1&amp;"|Output"),"I/O","IN"),IF(COUNTIF(Flows!$M$2:$M$1500,$A138&amp;"|"&amp;D$1&amp;"|Output"),"OUT",""))</f>
        <v/>
      </c>
      <c r="E138" s="33" t="str">
        <f aca="false">IF(COUNTIF(Flows!$M$2:$M$1500,$A138&amp;"|"&amp;E$1&amp;"|Input"),IF(COUNTIF(Flows!$M$2:$M$1500,$A138&amp;"|"&amp;E$1&amp;"|Output"),"I/O","IN"),IF(COUNTIF(Flows!$M$2:$M$1500,$A138&amp;"|"&amp;E$1&amp;"|Output"),"OUT",""))</f>
        <v/>
      </c>
      <c r="F138" s="33" t="str">
        <f aca="false">IF(COUNTIF(Flows!$M$2:$M$1500,$A138&amp;"|"&amp;F$1&amp;"|Input"),IF(COUNTIF(Flows!$M$2:$M$1500,$A138&amp;"|"&amp;F$1&amp;"|Output"),"I/O","IN"),IF(COUNTIF(Flows!$M$2:$M$1500,$A138&amp;"|"&amp;F$1&amp;"|Output"),"OUT",""))</f>
        <v/>
      </c>
      <c r="G138" s="33" t="str">
        <f aca="false">IF(COUNTIF(Flows!$M$2:$M$1500,$A138&amp;"|"&amp;G$1&amp;"|Input"),IF(COUNTIF(Flows!$M$2:$M$1500,$A138&amp;"|"&amp;G$1&amp;"|Output"),"I/O","IN"),IF(COUNTIF(Flows!$M$2:$M$1500,$A138&amp;"|"&amp;G$1&amp;"|Output"),"OUT",""))</f>
        <v/>
      </c>
      <c r="H138" s="33" t="str">
        <f aca="false">IF(COUNTIF(Flows!$M$2:$M$1500,$A138&amp;"|"&amp;H$1&amp;"|Input"),IF(COUNTIF(Flows!$M$2:$M$1500,$A138&amp;"|"&amp;H$1&amp;"|Output"),"I/O","IN"),IF(COUNTIF(Flows!$M$2:$M$1500,$A138&amp;"|"&amp;H$1&amp;"|Output"),"OUT",""))</f>
        <v/>
      </c>
      <c r="I138" s="33" t="str">
        <f aca="false">IF(COUNTIF(Flows!$M$2:$M$1500,$A138&amp;"|"&amp;I$1&amp;"|Input"),IF(COUNTIF(Flows!$M$2:$M$1500,$A138&amp;"|"&amp;I$1&amp;"|Output"),"I/O","IN"),IF(COUNTIF(Flows!$M$2:$M$1500,$A138&amp;"|"&amp;I$1&amp;"|Output"),"OUT",""))</f>
        <v/>
      </c>
      <c r="J138" s="33" t="str">
        <f aca="false">IF(COUNTIF(Flows!$M$2:$M$1500,$A138&amp;"|"&amp;J$1&amp;"|Input"),IF(COUNTIF(Flows!$M$2:$M$1500,$A138&amp;"|"&amp;J$1&amp;"|Output"),"I/O","IN"),IF(COUNTIF(Flows!$M$2:$M$1500,$A138&amp;"|"&amp;J$1&amp;"|Output"),"OUT",""))</f>
        <v/>
      </c>
      <c r="K138" s="33" t="str">
        <f aca="false">IF(COUNTIF(Flows!$M$2:$M$1500,$A138&amp;"|"&amp;K$1&amp;"|Input"),IF(COUNTIF(Flows!$M$2:$M$1500,$A138&amp;"|"&amp;K$1&amp;"|Output"),"I/O","IN"),IF(COUNTIF(Flows!$M$2:$M$1500,$A138&amp;"|"&amp;K$1&amp;"|Output"),"OUT",""))</f>
        <v/>
      </c>
      <c r="L138" s="33" t="str">
        <f aca="false">IF(COUNTIF(Flows!$M$2:$M$1500,$A138&amp;"|"&amp;L$1&amp;"|Input"),IF(COUNTIF(Flows!$M$2:$M$1500,$A138&amp;"|"&amp;L$1&amp;"|Output"),"I/O","IN"),IF(COUNTIF(Flows!$M$2:$M$1500,$A138&amp;"|"&amp;L$1&amp;"|Output"),"OUT",""))</f>
        <v/>
      </c>
      <c r="M138" s="33" t="str">
        <f aca="false">IF(COUNTIF(Flows!$M$2:$M$1500,$A138&amp;"|"&amp;M$1&amp;"|Input"),IF(COUNTIF(Flows!$M$2:$M$1500,$A138&amp;"|"&amp;M$1&amp;"|Output"),"I/O","IN"),IF(COUNTIF(Flows!$M$2:$M$1500,$A138&amp;"|"&amp;M$1&amp;"|Output"),"OUT",""))</f>
        <v/>
      </c>
      <c r="N138" s="33" t="str">
        <f aca="false">IF(COUNTIF(Flows!$M$2:$M$1500,$A138&amp;"|"&amp;N$1&amp;"|Input"),IF(COUNTIF(Flows!$M$2:$M$1500,$A138&amp;"|"&amp;N$1&amp;"|Output"),"I/O","IN"),IF(COUNTIF(Flows!$M$2:$M$1500,$A138&amp;"|"&amp;N$1&amp;"|Output"),"OUT",""))</f>
        <v/>
      </c>
      <c r="O138" s="33" t="str">
        <f aca="false">IF(COUNTIF(Flows!$M$2:$M$1500,$A138&amp;"|"&amp;O$1&amp;"|Input"),IF(COUNTIF(Flows!$M$2:$M$1500,$A138&amp;"|"&amp;O$1&amp;"|Output"),"I/O","IN"),IF(COUNTIF(Flows!$M$2:$M$1500,$A138&amp;"|"&amp;O$1&amp;"|Output"),"OUT",""))</f>
        <v/>
      </c>
      <c r="P138" s="33" t="str">
        <f aca="false">IF(COUNTIF(Flows!$M$2:$M$1500,$A138&amp;"|"&amp;P$1&amp;"|Input"),IF(COUNTIF(Flows!$M$2:$M$1500,$A138&amp;"|"&amp;P$1&amp;"|Output"),"I/O","IN"),IF(COUNTIF(Flows!$M$2:$M$1500,$A138&amp;"|"&amp;P$1&amp;"|Output"),"OUT",""))</f>
        <v/>
      </c>
      <c r="Q138" s="33" t="str">
        <f aca="false">IF(COUNTIF(Flows!$M$2:$M$1500,$A138&amp;"|"&amp;Q$1&amp;"|Input"),IF(COUNTIF(Flows!$M$2:$M$1500,$A138&amp;"|"&amp;Q$1&amp;"|Output"),"I/O","IN"),IF(COUNTIF(Flows!$M$2:$M$1500,$A138&amp;"|"&amp;Q$1&amp;"|Output"),"OUT",""))</f>
        <v/>
      </c>
      <c r="R138" s="33" t="str">
        <f aca="false">IF(COUNTIF(Flows!$M$2:$M$1500,$A138&amp;"|"&amp;R$1&amp;"|Input"),IF(COUNTIF(Flows!$M$2:$M$1500,$A138&amp;"|"&amp;R$1&amp;"|Output"),"I/O","IN"),IF(COUNTIF(Flows!$M$2:$M$1500,$A138&amp;"|"&amp;R$1&amp;"|Output"),"OUT",""))</f>
        <v/>
      </c>
      <c r="S138" s="33" t="str">
        <f aca="false">IF(COUNTIF(Flows!$M$2:$M$1500,$A138&amp;"|"&amp;S$1&amp;"|Input"),IF(COUNTIF(Flows!$M$2:$M$1500,$A138&amp;"|"&amp;S$1&amp;"|Output"),"I/O","IN"),IF(COUNTIF(Flows!$M$2:$M$1500,$A138&amp;"|"&amp;S$1&amp;"|Output"),"OUT",""))</f>
        <v/>
      </c>
      <c r="T138" s="33" t="str">
        <f aca="false">IF(COUNTIF(Flows!$M$2:$M$1500,$A138&amp;"|"&amp;T$1&amp;"|Input"),IF(COUNTIF(Flows!$M$2:$M$1500,$A138&amp;"|"&amp;T$1&amp;"|Output"),"I/O","IN"),IF(COUNTIF(Flows!$M$2:$M$1500,$A138&amp;"|"&amp;T$1&amp;"|Output"),"OUT",""))</f>
        <v/>
      </c>
      <c r="U138" s="33" t="str">
        <f aca="false">IF(COUNTIF(Flows!$M$2:$M$1500,$A138&amp;"|"&amp;U$1&amp;"|Input"),IF(COUNTIF(Flows!$M$2:$M$1500,$A138&amp;"|"&amp;U$1&amp;"|Output"),"I/O","IN"),IF(COUNTIF(Flows!$M$2:$M$1500,$A138&amp;"|"&amp;U$1&amp;"|Output"),"OUT",""))</f>
        <v/>
      </c>
      <c r="V138" s="33" t="str">
        <f aca="false">IF(COUNTIF(Flows!$M$2:$M$1500,$A138&amp;"|"&amp;V$1&amp;"|Input"),IF(COUNTIF(Flows!$M$2:$M$1500,$A138&amp;"|"&amp;V$1&amp;"|Output"),"I/O","IN"),IF(COUNTIF(Flows!$M$2:$M$1500,$A138&amp;"|"&amp;V$1&amp;"|Output"),"OUT",""))</f>
        <v/>
      </c>
      <c r="W138" s="33" t="str">
        <f aca="false">IF(COUNTIF(Flows!$M$2:$M$1500,$A138&amp;"|"&amp;W$1&amp;"|Input"),IF(COUNTIF(Flows!$M$2:$M$1500,$A138&amp;"|"&amp;W$1&amp;"|Output"),"I/O","IN"),IF(COUNTIF(Flows!$M$2:$M$1500,$A138&amp;"|"&amp;W$1&amp;"|Output"),"OUT",""))</f>
        <v/>
      </c>
      <c r="X138" s="33" t="str">
        <f aca="false">IF(COUNTIF(Flows!$M$2:$M$1500,$A138&amp;"|"&amp;X$1&amp;"|Input"),IF(COUNTIF(Flows!$M$2:$M$1500,$A138&amp;"|"&amp;X$1&amp;"|Output"),"I/O","IN"),IF(COUNTIF(Flows!$M$2:$M$1500,$A138&amp;"|"&amp;X$1&amp;"|Output"),"OUT",""))</f>
        <v>IN</v>
      </c>
      <c r="Y138" s="33" t="str">
        <f aca="false">IF(COUNTIF(Flows!$M$2:$M$1500,$A138&amp;"|"&amp;Y$1&amp;"|Input"),IF(COUNTIF(Flows!$M$2:$M$1500,$A138&amp;"|"&amp;Y$1&amp;"|Output"),"I/O","IN"),IF(COUNTIF(Flows!$M$2:$M$1500,$A138&amp;"|"&amp;Y$1&amp;"|Output"),"OUT",""))</f>
        <v/>
      </c>
      <c r="Z138" s="33" t="str">
        <f aca="false">IF(COUNTIF(Flows!$M$2:$M$1500,$A138&amp;"|"&amp;Z$1&amp;"|Input"),IF(COUNTIF(Flows!$M$2:$M$1500,$A138&amp;"|"&amp;Z$1&amp;"|Output"),"I/O","IN"),IF(COUNTIF(Flows!$M$2:$M$1500,$A138&amp;"|"&amp;Z$1&amp;"|Output"),"OUT",""))</f>
        <v/>
      </c>
      <c r="AA138" s="33" t="str">
        <f aca="false">IF(COUNTIF(Flows!$M$2:$M$1500,$A138&amp;"|"&amp;AA$1&amp;"|Input"),IF(COUNTIF(Flows!$M$2:$M$1500,$A138&amp;"|"&amp;AA$1&amp;"|Output"),"I/O","IN"),IF(COUNTIF(Flows!$M$2:$M$1500,$A138&amp;"|"&amp;AA$1&amp;"|Output"),"OUT",""))</f>
        <v/>
      </c>
      <c r="AB138" s="33" t="str">
        <f aca="false">IF(COUNTIF(Flows!$M$2:$M$1500,$A138&amp;"|"&amp;AB$1&amp;"|Input"),IF(COUNTIF(Flows!$M$2:$M$1500,$A138&amp;"|"&amp;AB$1&amp;"|Output"),"I/O","IN"),IF(COUNTIF(Flows!$M$2:$M$1500,$A138&amp;"|"&amp;AB$1&amp;"|Output"),"OUT",""))</f>
        <v/>
      </c>
      <c r="AC138" s="33" t="str">
        <f aca="false">IF(COUNTIF(Flows!$M$2:$M$1500,$A138&amp;"|"&amp;AC$1&amp;"|Input"),IF(COUNTIF(Flows!$M$2:$M$1500,$A138&amp;"|"&amp;AC$1&amp;"|Output"),"I/O","IN"),IF(COUNTIF(Flows!$M$2:$M$1500,$A138&amp;"|"&amp;AC$1&amp;"|Output"),"OUT",""))</f>
        <v/>
      </c>
      <c r="AD138" s="33" t="str">
        <f aca="false">IF(COUNTIF(Flows!$M$2:$M$1500,$A138&amp;"|"&amp;AD$1&amp;"|Input"),IF(COUNTIF(Flows!$M$2:$M$1500,$A138&amp;"|"&amp;AD$1&amp;"|Output"),"I/O","IN"),IF(COUNTIF(Flows!$M$2:$M$1500,$A138&amp;"|"&amp;AD$1&amp;"|Output"),"OUT",""))</f>
        <v/>
      </c>
      <c r="AE138" s="33" t="str">
        <f aca="false">IF(COUNTIF(Flows!$M$2:$M$1500,$A138&amp;"|"&amp;AE$1&amp;"|Input"),IF(COUNTIF(Flows!$M$2:$M$1500,$A138&amp;"|"&amp;AE$1&amp;"|Output"),"I/O","IN"),IF(COUNTIF(Flows!$M$2:$M$1500,$A138&amp;"|"&amp;AE$1&amp;"|Output"),"OUT",""))</f>
        <v/>
      </c>
      <c r="AF138" s="33" t="str">
        <f aca="false">IF(COUNTIF(Flows!$M$2:$M$1500,$A138&amp;"|"&amp;AF$1&amp;"|Input"),IF(COUNTIF(Flows!$M$2:$M$1500,$A138&amp;"|"&amp;AF$1&amp;"|Output"),"I/O","IN"),IF(COUNTIF(Flows!$M$2:$M$1500,$A138&amp;"|"&amp;AF$1&amp;"|Output"),"OUT",""))</f>
        <v/>
      </c>
      <c r="AG138" s="33" t="str">
        <f aca="false">IF(COUNTIF(Flows!$M$2:$M$1500,$A138&amp;"|"&amp;AG$1&amp;"|Input"),IF(COUNTIF(Flows!$M$2:$M$1500,$A138&amp;"|"&amp;AG$1&amp;"|Output"),"I/O","IN"),IF(COUNTIF(Flows!$M$2:$M$1500,$A138&amp;"|"&amp;AG$1&amp;"|Output"),"OUT",""))</f>
        <v/>
      </c>
      <c r="AH138" s="33" t="str">
        <f aca="false">IF(COUNTIF(Flows!$M$2:$M$1500,$A138&amp;"|"&amp;AH$1&amp;"|Input"),IF(COUNTIF(Flows!$M$2:$M$1500,$A138&amp;"|"&amp;AH$1&amp;"|Output"),"I/O","IN"),IF(COUNTIF(Flows!$M$2:$M$1500,$A138&amp;"|"&amp;AH$1&amp;"|Output"),"OUT",""))</f>
        <v/>
      </c>
      <c r="AI138" s="33" t="str">
        <f aca="false">IF(COUNTIF(Flows!$M$2:$M$1500,$A138&amp;"|"&amp;AI$1&amp;"|Input"),IF(COUNTIF(Flows!$M$2:$M$1500,$A138&amp;"|"&amp;AI$1&amp;"|Output"),"I/O","IN"),IF(COUNTIF(Flows!$M$2:$M$1500,$A138&amp;"|"&amp;AI$1&amp;"|Output"),"OUT",""))</f>
        <v/>
      </c>
      <c r="AJ138" s="33" t="str">
        <f aca="false">IF(COUNTIF(Flows!$M$2:$M$1500,$A138&amp;"|"&amp;AJ$1&amp;"|Input"),IF(COUNTIF(Flows!$M$2:$M$1500,$A138&amp;"|"&amp;AJ$1&amp;"|Output"),"I/O","IN"),IF(COUNTIF(Flows!$M$2:$M$1500,$A138&amp;"|"&amp;AJ$1&amp;"|Output"),"OUT",""))</f>
        <v/>
      </c>
      <c r="AK138" s="33" t="str">
        <f aca="false">IF(COUNTIF(Flows!$M$2:$M$1500,$A138&amp;"|"&amp;AK$1&amp;"|Input"),IF(COUNTIF(Flows!$M$2:$M$1500,$A138&amp;"|"&amp;AK$1&amp;"|Output"),"I/O","IN"),IF(COUNTIF(Flows!$M$2:$M$1500,$A138&amp;"|"&amp;AK$1&amp;"|Output"),"OUT",""))</f>
        <v/>
      </c>
      <c r="AL138" s="33" t="str">
        <f aca="false">IF(COUNTIF(Flows!$M$2:$M$1500,$A138&amp;"|"&amp;AL$1&amp;"|Input"),IF(COUNTIF(Flows!$M$2:$M$1500,$A138&amp;"|"&amp;AL$1&amp;"|Output"),"I/O","IN"),IF(COUNTIF(Flows!$M$2:$M$1500,$A138&amp;"|"&amp;AL$1&amp;"|Output"),"OUT",""))</f>
        <v/>
      </c>
      <c r="AM138" s="33" t="str">
        <f aca="false">IF(COUNTIF(Flows!$M$2:$M$1500,$A138&amp;"|"&amp;AM$1&amp;"|Input"),IF(COUNTIF(Flows!$M$2:$M$1500,$A138&amp;"|"&amp;AM$1&amp;"|Output"),"I/O","IN"),IF(COUNTIF(Flows!$M$2:$M$1500,$A138&amp;"|"&amp;AM$1&amp;"|Output"),"OUT",""))</f>
        <v/>
      </c>
      <c r="AN138" s="33" t="str">
        <f aca="false">IF(COUNTIF(Flows!$M$2:$M$1500,$A138&amp;"|"&amp;AN$1&amp;"|Input"),IF(COUNTIF(Flows!$M$2:$M$1500,$A138&amp;"|"&amp;AN$1&amp;"|Output"),"I/O","IN"),IF(COUNTIF(Flows!$M$2:$M$1500,$A138&amp;"|"&amp;AN$1&amp;"|Output"),"OUT",""))</f>
        <v/>
      </c>
      <c r="AO138" s="33" t="str">
        <f aca="false">IF(COUNTIF(Flows!$M$2:$M$1500,$A138&amp;"|"&amp;AO$1&amp;"|Input"),IF(COUNTIF(Flows!$M$2:$M$1500,$A138&amp;"|"&amp;AO$1&amp;"|Output"),"I/O","IN"),IF(COUNTIF(Flows!$M$2:$M$1500,$A138&amp;"|"&amp;AO$1&amp;"|Output"),"OUT",""))</f>
        <v/>
      </c>
      <c r="AP138" s="33" t="str">
        <f aca="false">IF(COUNTIF(Flows!$M$2:$M$1500,$A138&amp;"|"&amp;AP$1&amp;"|Input"),IF(COUNTIF(Flows!$M$2:$M$1500,$A138&amp;"|"&amp;AP$1&amp;"|Output"),"I/O","IN"),IF(COUNTIF(Flows!$M$2:$M$1500,$A138&amp;"|"&amp;AP$1&amp;"|Output"),"OUT",""))</f>
        <v/>
      </c>
      <c r="AQ138" s="33" t="str">
        <f aca="false">IF(COUNTIF(Flows!$M$2:$M$1500,$A138&amp;"|"&amp;AQ$1&amp;"|Input"),IF(COUNTIF(Flows!$M$2:$M$1500,$A138&amp;"|"&amp;AQ$1&amp;"|Output"),"I/O","IN"),IF(COUNTIF(Flows!$M$2:$M$1500,$A138&amp;"|"&amp;AQ$1&amp;"|Output"),"OUT",""))</f>
        <v/>
      </c>
      <c r="AR138" s="33" t="str">
        <f aca="false">IF(COUNTIF(Flows!$M$2:$M$1500,$A138&amp;"|"&amp;AR$1&amp;"|Input"),IF(COUNTIF(Flows!$M$2:$M$1500,$A138&amp;"|"&amp;AR$1&amp;"|Output"),"I/O","IN"),IF(COUNTIF(Flows!$M$2:$M$1500,$A138&amp;"|"&amp;AR$1&amp;"|Output"),"OUT",""))</f>
        <v/>
      </c>
      <c r="AS138" s="33" t="str">
        <f aca="false">IF(COUNTIF(Flows!$M$2:$M$1500,$A138&amp;"|"&amp;AS$1&amp;"|Input"),IF(COUNTIF(Flows!$M$2:$M$1500,$A138&amp;"|"&amp;AS$1&amp;"|Output"),"I/O","IN"),IF(COUNTIF(Flows!$M$2:$M$1500,$A138&amp;"|"&amp;AS$1&amp;"|Output"),"OUT",""))</f>
        <v/>
      </c>
      <c r="AT138" s="33" t="str">
        <f aca="false">IF(COUNTIF(Flows!$M$2:$M$1500,$A138&amp;"|"&amp;AT$1&amp;"|Input"),IF(COUNTIF(Flows!$M$2:$M$1500,$A138&amp;"|"&amp;AT$1&amp;"|Output"),"I/O","IN"),IF(COUNTIF(Flows!$M$2:$M$1500,$A138&amp;"|"&amp;AT$1&amp;"|Output"),"OUT",""))</f>
        <v/>
      </c>
      <c r="AU138" s="33" t="str">
        <f aca="false">IF(COUNTIF(Flows!$M$2:$M$1500,$A138&amp;"|"&amp;AU$1&amp;"|Input"),IF(COUNTIF(Flows!$M$2:$M$1500,$A138&amp;"|"&amp;AU$1&amp;"|Output"),"I/O","IN"),IF(COUNTIF(Flows!$M$2:$M$1500,$A138&amp;"|"&amp;AU$1&amp;"|Output"),"OUT",""))</f>
        <v/>
      </c>
      <c r="AV138" s="33" t="str">
        <f aca="false">IF(COUNTIF(Flows!$M$2:$M$1500,$A138&amp;"|"&amp;AV$1&amp;"|Input"),IF(COUNTIF(Flows!$M$2:$M$1500,$A138&amp;"|"&amp;AV$1&amp;"|Output"),"I/O","IN"),IF(COUNTIF(Flows!$M$2:$M$1500,$A138&amp;"|"&amp;AV$1&amp;"|Output"),"OUT",""))</f>
        <v/>
      </c>
      <c r="AW138" s="33" t="str">
        <f aca="false">IF(COUNTIF(Flows!$M$2:$M$1500,$A138&amp;"|"&amp;AW$1&amp;"|Input"),IF(COUNTIF(Flows!$M$2:$M$1500,$A138&amp;"|"&amp;AW$1&amp;"|Output"),"I/O","IN"),IF(COUNTIF(Flows!$M$2:$M$1500,$A138&amp;"|"&amp;AW$1&amp;"|Output"),"OUT",""))</f>
        <v/>
      </c>
      <c r="AX138" s="33" t="str">
        <f aca="false">IF(COUNTIF(Flows!$M$2:$M$1500,$A138&amp;"|"&amp;AX$1&amp;"|Input"),IF(COUNTIF(Flows!$M$2:$M$1500,$A138&amp;"|"&amp;AX$1&amp;"|Output"),"I/O","IN"),IF(COUNTIF(Flows!$M$2:$M$1500,$A138&amp;"|"&amp;AX$1&amp;"|Output"),"OUT",""))</f>
        <v/>
      </c>
      <c r="AY138" s="33" t="str">
        <f aca="false">IF(COUNTIF(Flows!$M$2:$M$1500,$A138&amp;"|"&amp;AY$1&amp;"|Input"),IF(COUNTIF(Flows!$M$2:$M$1500,$A138&amp;"|"&amp;AY$1&amp;"|Output"),"I/O","IN"),IF(COUNTIF(Flows!$M$2:$M$1500,$A138&amp;"|"&amp;AY$1&amp;"|Output"),"OUT",""))</f>
        <v/>
      </c>
      <c r="AZ138" s="33" t="str">
        <f aca="false">IF(COUNTIF(Flows!$M$2:$M$1500,$A138&amp;"|"&amp;AZ$1&amp;"|Input"),IF(COUNTIF(Flows!$M$2:$M$1500,$A138&amp;"|"&amp;AZ$1&amp;"|Output"),"I/O","IN"),IF(COUNTIF(Flows!$M$2:$M$1500,$A138&amp;"|"&amp;AZ$1&amp;"|Output"),"OUT",""))</f>
        <v/>
      </c>
      <c r="BA138" s="33" t="str">
        <f aca="false">IF(COUNTIF(Flows!$M$2:$M$1500,$A138&amp;"|"&amp;BA$1&amp;"|Input"),IF(COUNTIF(Flows!$M$2:$M$1500,$A138&amp;"|"&amp;BA$1&amp;"|Output"),"I/O","IN"),IF(COUNTIF(Flows!$M$2:$M$1500,$A138&amp;"|"&amp;BA$1&amp;"|Output"),"OUT",""))</f>
        <v/>
      </c>
      <c r="BB138" s="33" t="str">
        <f aca="false">IF(COUNTIF(Flows!$M$2:$M$1500,$A138&amp;"|"&amp;BB$1&amp;"|Input"),IF(COUNTIF(Flows!$M$2:$M$1500,$A138&amp;"|"&amp;BB$1&amp;"|Output"),"I/O","IN"),IF(COUNTIF(Flows!$M$2:$M$1500,$A138&amp;"|"&amp;BB$1&amp;"|Output"),"OUT",""))</f>
        <v/>
      </c>
      <c r="BC138" s="33" t="str">
        <f aca="false">IF(COUNTIF(Flows!$M$2:$M$1500,$A138&amp;"|"&amp;BC$1&amp;"|Input"),IF(COUNTIF(Flows!$M$2:$M$1500,$A138&amp;"|"&amp;BC$1&amp;"|Output"),"I/O","IN"),IF(COUNTIF(Flows!$M$2:$M$1500,$A138&amp;"|"&amp;BC$1&amp;"|Output"),"OUT",""))</f>
        <v/>
      </c>
      <c r="BD138" s="33" t="str">
        <f aca="false">IF(COUNTIF(Flows!$M$2:$M$1500,$A138&amp;"|"&amp;BD$1&amp;"|Input"),IF(COUNTIF(Flows!$M$2:$M$1500,$A138&amp;"|"&amp;BD$1&amp;"|Output"),"I/O","IN"),IF(COUNTIF(Flows!$M$2:$M$1500,$A138&amp;"|"&amp;BD$1&amp;"|Output"),"OUT",""))</f>
        <v/>
      </c>
      <c r="BE138" s="33" t="str">
        <f aca="false">IF(COUNTIF(Flows!$M$2:$M$1500,$A138&amp;"|"&amp;BE$1&amp;"|Input"),IF(COUNTIF(Flows!$M$2:$M$1500,$A138&amp;"|"&amp;BE$1&amp;"|Output"),"I/O","IN"),IF(COUNTIF(Flows!$M$2:$M$1500,$A138&amp;"|"&amp;BE$1&amp;"|Output"),"OUT",""))</f>
        <v/>
      </c>
      <c r="BF138" s="33" t="str">
        <f aca="false">IF(COUNTIF(Flows!$M$2:$M$1500,$A138&amp;"|"&amp;BF$1&amp;"|Input"),IF(COUNTIF(Flows!$M$2:$M$1500,$A138&amp;"|"&amp;BF$1&amp;"|Output"),"I/O","IN"),IF(COUNTIF(Flows!$M$2:$M$1500,$A138&amp;"|"&amp;BF$1&amp;"|Output"),"OUT",""))</f>
        <v/>
      </c>
      <c r="BG138" s="33" t="str">
        <f aca="false">IF(COUNTIF(Flows!$M$2:$M$1500,$A138&amp;"|"&amp;BG$1&amp;"|Input"),IF(COUNTIF(Flows!$M$2:$M$1500,$A138&amp;"|"&amp;BG$1&amp;"|Output"),"I/O","IN"),IF(COUNTIF(Flows!$M$2:$M$1500,$A138&amp;"|"&amp;BG$1&amp;"|Output"),"OUT",""))</f>
        <v/>
      </c>
      <c r="BH138" s="33" t="str">
        <f aca="false">IF(COUNTIF(Flows!$M$2:$M$1500,$A138&amp;"|"&amp;BH$1&amp;"|Input"),IF(COUNTIF(Flows!$M$2:$M$1500,$A138&amp;"|"&amp;BH$1&amp;"|Output"),"I/O","IN"),IF(COUNTIF(Flows!$M$2:$M$1500,$A138&amp;"|"&amp;BH$1&amp;"|Output"),"OUT",""))</f>
        <v>OUT</v>
      </c>
      <c r="BI138" s="33" t="str">
        <f aca="false">IF(COUNTIF(Flows!$M$2:$M$1500,$A138&amp;"|"&amp;BI$1&amp;"|Input"),IF(COUNTIF(Flows!$M$2:$M$1500,$A138&amp;"|"&amp;BI$1&amp;"|Output"),"I/O","IN"),IF(COUNTIF(Flows!$M$2:$M$1500,$A138&amp;"|"&amp;BI$1&amp;"|Output"),"OUT",""))</f>
        <v>IN</v>
      </c>
      <c r="BJ138" s="33" t="str">
        <f aca="false">IF(COUNTIF(Flows!$M$2:$M$1500,$A138&amp;"|"&amp;BJ$1&amp;"|Input"),IF(COUNTIF(Flows!$M$2:$M$1500,$A138&amp;"|"&amp;BJ$1&amp;"|Output"),"I/O","IN"),IF(COUNTIF(Flows!$M$2:$M$1500,$A138&amp;"|"&amp;BJ$1&amp;"|Output"),"OUT",""))</f>
        <v/>
      </c>
      <c r="BK138" s="33" t="str">
        <f aca="false">IF(COUNTIF(Flows!$M$2:$M$1500,$A138&amp;"|"&amp;BK$1&amp;"|Input"),IF(COUNTIF(Flows!$M$2:$M$1500,$A138&amp;"|"&amp;BK$1&amp;"|Output"),"I/O","IN"),IF(COUNTIF(Flows!$M$2:$M$1500,$A138&amp;"|"&amp;BK$1&amp;"|Output"),"OUT",""))</f>
        <v/>
      </c>
    </row>
    <row r="139" customFormat="false" ht="15" hidden="false" customHeight="true" outlineLevel="0" collapsed="false">
      <c r="A139" s="6" t="str">
        <f aca="false">Systems!B139</f>
        <v>Mealworm Farm</v>
      </c>
      <c r="B139" s="33" t="str">
        <f aca="false">IF(COUNTIF(Flows!$M$2:$M$1500,$A139&amp;"|"&amp;B$1&amp;"|Input"),IF(COUNTIF(Flows!$M$2:$M$1500,$A139&amp;"|"&amp;B$1&amp;"|Output"),"I/O","IN"),IF(COUNTIF(Flows!$M$2:$M$1500,$A139&amp;"|"&amp;B$1&amp;"|Output"),"OUT",""))</f>
        <v/>
      </c>
      <c r="C139" s="33" t="str">
        <f aca="false">IF(COUNTIF(Flows!$M$2:$M$1500,$A139&amp;"|"&amp;C$1&amp;"|Input"),IF(COUNTIF(Flows!$M$2:$M$1500,$A139&amp;"|"&amp;C$1&amp;"|Output"),"I/O","IN"),IF(COUNTIF(Flows!$M$2:$M$1500,$A139&amp;"|"&amp;C$1&amp;"|Output"),"OUT",""))</f>
        <v/>
      </c>
      <c r="D139" s="33" t="str">
        <f aca="false">IF(COUNTIF(Flows!$M$2:$M$1500,$A139&amp;"|"&amp;D$1&amp;"|Input"),IF(COUNTIF(Flows!$M$2:$M$1500,$A139&amp;"|"&amp;D$1&amp;"|Output"),"I/O","IN"),IF(COUNTIF(Flows!$M$2:$M$1500,$A139&amp;"|"&amp;D$1&amp;"|Output"),"OUT",""))</f>
        <v/>
      </c>
      <c r="E139" s="33" t="str">
        <f aca="false">IF(COUNTIF(Flows!$M$2:$M$1500,$A139&amp;"|"&amp;E$1&amp;"|Input"),IF(COUNTIF(Flows!$M$2:$M$1500,$A139&amp;"|"&amp;E$1&amp;"|Output"),"I/O","IN"),IF(COUNTIF(Flows!$M$2:$M$1500,$A139&amp;"|"&amp;E$1&amp;"|Output"),"OUT",""))</f>
        <v/>
      </c>
      <c r="F139" s="33" t="str">
        <f aca="false">IF(COUNTIF(Flows!$M$2:$M$1500,$A139&amp;"|"&amp;F$1&amp;"|Input"),IF(COUNTIF(Flows!$M$2:$M$1500,$A139&amp;"|"&amp;F$1&amp;"|Output"),"I/O","IN"),IF(COUNTIF(Flows!$M$2:$M$1500,$A139&amp;"|"&amp;F$1&amp;"|Output"),"OUT",""))</f>
        <v/>
      </c>
      <c r="G139" s="33" t="str">
        <f aca="false">IF(COUNTIF(Flows!$M$2:$M$1500,$A139&amp;"|"&amp;G$1&amp;"|Input"),IF(COUNTIF(Flows!$M$2:$M$1500,$A139&amp;"|"&amp;G$1&amp;"|Output"),"I/O","IN"),IF(COUNTIF(Flows!$M$2:$M$1500,$A139&amp;"|"&amp;G$1&amp;"|Output"),"OUT",""))</f>
        <v/>
      </c>
      <c r="H139" s="33" t="str">
        <f aca="false">IF(COUNTIF(Flows!$M$2:$M$1500,$A139&amp;"|"&amp;H$1&amp;"|Input"),IF(COUNTIF(Flows!$M$2:$M$1500,$A139&amp;"|"&amp;H$1&amp;"|Output"),"I/O","IN"),IF(COUNTIF(Flows!$M$2:$M$1500,$A139&amp;"|"&amp;H$1&amp;"|Output"),"OUT",""))</f>
        <v/>
      </c>
      <c r="I139" s="33" t="str">
        <f aca="false">IF(COUNTIF(Flows!$M$2:$M$1500,$A139&amp;"|"&amp;I$1&amp;"|Input"),IF(COUNTIF(Flows!$M$2:$M$1500,$A139&amp;"|"&amp;I$1&amp;"|Output"),"I/O","IN"),IF(COUNTIF(Flows!$M$2:$M$1500,$A139&amp;"|"&amp;I$1&amp;"|Output"),"OUT",""))</f>
        <v/>
      </c>
      <c r="J139" s="33" t="str">
        <f aca="false">IF(COUNTIF(Flows!$M$2:$M$1500,$A139&amp;"|"&amp;J$1&amp;"|Input"),IF(COUNTIF(Flows!$M$2:$M$1500,$A139&amp;"|"&amp;J$1&amp;"|Output"),"I/O","IN"),IF(COUNTIF(Flows!$M$2:$M$1500,$A139&amp;"|"&amp;J$1&amp;"|Output"),"OUT",""))</f>
        <v/>
      </c>
      <c r="K139" s="33" t="str">
        <f aca="false">IF(COUNTIF(Flows!$M$2:$M$1500,$A139&amp;"|"&amp;K$1&amp;"|Input"),IF(COUNTIF(Flows!$M$2:$M$1500,$A139&amp;"|"&amp;K$1&amp;"|Output"),"I/O","IN"),IF(COUNTIF(Flows!$M$2:$M$1500,$A139&amp;"|"&amp;K$1&amp;"|Output"),"OUT",""))</f>
        <v/>
      </c>
      <c r="L139" s="33" t="str">
        <f aca="false">IF(COUNTIF(Flows!$M$2:$M$1500,$A139&amp;"|"&amp;L$1&amp;"|Input"),IF(COUNTIF(Flows!$M$2:$M$1500,$A139&amp;"|"&amp;L$1&amp;"|Output"),"I/O","IN"),IF(COUNTIF(Flows!$M$2:$M$1500,$A139&amp;"|"&amp;L$1&amp;"|Output"),"OUT",""))</f>
        <v/>
      </c>
      <c r="M139" s="33" t="str">
        <f aca="false">IF(COUNTIF(Flows!$M$2:$M$1500,$A139&amp;"|"&amp;M$1&amp;"|Input"),IF(COUNTIF(Flows!$M$2:$M$1500,$A139&amp;"|"&amp;M$1&amp;"|Output"),"I/O","IN"),IF(COUNTIF(Flows!$M$2:$M$1500,$A139&amp;"|"&amp;M$1&amp;"|Output"),"OUT",""))</f>
        <v/>
      </c>
      <c r="N139" s="33" t="str">
        <f aca="false">IF(COUNTIF(Flows!$M$2:$M$1500,$A139&amp;"|"&amp;N$1&amp;"|Input"),IF(COUNTIF(Flows!$M$2:$M$1500,$A139&amp;"|"&amp;N$1&amp;"|Output"),"I/O","IN"),IF(COUNTIF(Flows!$M$2:$M$1500,$A139&amp;"|"&amp;N$1&amp;"|Output"),"OUT",""))</f>
        <v/>
      </c>
      <c r="O139" s="33" t="str">
        <f aca="false">IF(COUNTIF(Flows!$M$2:$M$1500,$A139&amp;"|"&amp;O$1&amp;"|Input"),IF(COUNTIF(Flows!$M$2:$M$1500,$A139&amp;"|"&amp;O$1&amp;"|Output"),"I/O","IN"),IF(COUNTIF(Flows!$M$2:$M$1500,$A139&amp;"|"&amp;O$1&amp;"|Output"),"OUT",""))</f>
        <v/>
      </c>
      <c r="P139" s="33" t="str">
        <f aca="false">IF(COUNTIF(Flows!$M$2:$M$1500,$A139&amp;"|"&amp;P$1&amp;"|Input"),IF(COUNTIF(Flows!$M$2:$M$1500,$A139&amp;"|"&amp;P$1&amp;"|Output"),"I/O","IN"),IF(COUNTIF(Flows!$M$2:$M$1500,$A139&amp;"|"&amp;P$1&amp;"|Output"),"OUT",""))</f>
        <v/>
      </c>
      <c r="Q139" s="33" t="str">
        <f aca="false">IF(COUNTIF(Flows!$M$2:$M$1500,$A139&amp;"|"&amp;Q$1&amp;"|Input"),IF(COUNTIF(Flows!$M$2:$M$1500,$A139&amp;"|"&amp;Q$1&amp;"|Output"),"I/O","IN"),IF(COUNTIF(Flows!$M$2:$M$1500,$A139&amp;"|"&amp;Q$1&amp;"|Output"),"OUT",""))</f>
        <v/>
      </c>
      <c r="R139" s="33" t="str">
        <f aca="false">IF(COUNTIF(Flows!$M$2:$M$1500,$A139&amp;"|"&amp;R$1&amp;"|Input"),IF(COUNTIF(Flows!$M$2:$M$1500,$A139&amp;"|"&amp;R$1&amp;"|Output"),"I/O","IN"),IF(COUNTIF(Flows!$M$2:$M$1500,$A139&amp;"|"&amp;R$1&amp;"|Output"),"OUT",""))</f>
        <v/>
      </c>
      <c r="S139" s="33" t="str">
        <f aca="false">IF(COUNTIF(Flows!$M$2:$M$1500,$A139&amp;"|"&amp;S$1&amp;"|Input"),IF(COUNTIF(Flows!$M$2:$M$1500,$A139&amp;"|"&amp;S$1&amp;"|Output"),"I/O","IN"),IF(COUNTIF(Flows!$M$2:$M$1500,$A139&amp;"|"&amp;S$1&amp;"|Output"),"OUT",""))</f>
        <v/>
      </c>
      <c r="T139" s="33" t="str">
        <f aca="false">IF(COUNTIF(Flows!$M$2:$M$1500,$A139&amp;"|"&amp;T$1&amp;"|Input"),IF(COUNTIF(Flows!$M$2:$M$1500,$A139&amp;"|"&amp;T$1&amp;"|Output"),"I/O","IN"),IF(COUNTIF(Flows!$M$2:$M$1500,$A139&amp;"|"&amp;T$1&amp;"|Output"),"OUT",""))</f>
        <v/>
      </c>
      <c r="U139" s="33" t="str">
        <f aca="false">IF(COUNTIF(Flows!$M$2:$M$1500,$A139&amp;"|"&amp;U$1&amp;"|Input"),IF(COUNTIF(Flows!$M$2:$M$1500,$A139&amp;"|"&amp;U$1&amp;"|Output"),"I/O","IN"),IF(COUNTIF(Flows!$M$2:$M$1500,$A139&amp;"|"&amp;U$1&amp;"|Output"),"OUT",""))</f>
        <v/>
      </c>
      <c r="V139" s="33" t="str">
        <f aca="false">IF(COUNTIF(Flows!$M$2:$M$1500,$A139&amp;"|"&amp;V$1&amp;"|Input"),IF(COUNTIF(Flows!$M$2:$M$1500,$A139&amp;"|"&amp;V$1&amp;"|Output"),"I/O","IN"),IF(COUNTIF(Flows!$M$2:$M$1500,$A139&amp;"|"&amp;V$1&amp;"|Output"),"OUT",""))</f>
        <v/>
      </c>
      <c r="W139" s="33" t="str">
        <f aca="false">IF(COUNTIF(Flows!$M$2:$M$1500,$A139&amp;"|"&amp;W$1&amp;"|Input"),IF(COUNTIF(Flows!$M$2:$M$1500,$A139&amp;"|"&amp;W$1&amp;"|Output"),"I/O","IN"),IF(COUNTIF(Flows!$M$2:$M$1500,$A139&amp;"|"&amp;W$1&amp;"|Output"),"OUT",""))</f>
        <v/>
      </c>
      <c r="X139" s="33" t="str">
        <f aca="false">IF(COUNTIF(Flows!$M$2:$M$1500,$A139&amp;"|"&amp;X$1&amp;"|Input"),IF(COUNTIF(Flows!$M$2:$M$1500,$A139&amp;"|"&amp;X$1&amp;"|Output"),"I/O","IN"),IF(COUNTIF(Flows!$M$2:$M$1500,$A139&amp;"|"&amp;X$1&amp;"|Output"),"OUT",""))</f>
        <v>IN</v>
      </c>
      <c r="Y139" s="33" t="str">
        <f aca="false">IF(COUNTIF(Flows!$M$2:$M$1500,$A139&amp;"|"&amp;Y$1&amp;"|Input"),IF(COUNTIF(Flows!$M$2:$M$1500,$A139&amp;"|"&amp;Y$1&amp;"|Output"),"I/O","IN"),IF(COUNTIF(Flows!$M$2:$M$1500,$A139&amp;"|"&amp;Y$1&amp;"|Output"),"OUT",""))</f>
        <v/>
      </c>
      <c r="Z139" s="33" t="str">
        <f aca="false">IF(COUNTIF(Flows!$M$2:$M$1500,$A139&amp;"|"&amp;Z$1&amp;"|Input"),IF(COUNTIF(Flows!$M$2:$M$1500,$A139&amp;"|"&amp;Z$1&amp;"|Output"),"I/O","IN"),IF(COUNTIF(Flows!$M$2:$M$1500,$A139&amp;"|"&amp;Z$1&amp;"|Output"),"OUT",""))</f>
        <v/>
      </c>
      <c r="AA139" s="33" t="str">
        <f aca="false">IF(COUNTIF(Flows!$M$2:$M$1500,$A139&amp;"|"&amp;AA$1&amp;"|Input"),IF(COUNTIF(Flows!$M$2:$M$1500,$A139&amp;"|"&amp;AA$1&amp;"|Output"),"I/O","IN"),IF(COUNTIF(Flows!$M$2:$M$1500,$A139&amp;"|"&amp;AA$1&amp;"|Output"),"OUT",""))</f>
        <v/>
      </c>
      <c r="AB139" s="33" t="str">
        <f aca="false">IF(COUNTIF(Flows!$M$2:$M$1500,$A139&amp;"|"&amp;AB$1&amp;"|Input"),IF(COUNTIF(Flows!$M$2:$M$1500,$A139&amp;"|"&amp;AB$1&amp;"|Output"),"I/O","IN"),IF(COUNTIF(Flows!$M$2:$M$1500,$A139&amp;"|"&amp;AB$1&amp;"|Output"),"OUT",""))</f>
        <v/>
      </c>
      <c r="AC139" s="33" t="str">
        <f aca="false">IF(COUNTIF(Flows!$M$2:$M$1500,$A139&amp;"|"&amp;AC$1&amp;"|Input"),IF(COUNTIF(Flows!$M$2:$M$1500,$A139&amp;"|"&amp;AC$1&amp;"|Output"),"I/O","IN"),IF(COUNTIF(Flows!$M$2:$M$1500,$A139&amp;"|"&amp;AC$1&amp;"|Output"),"OUT",""))</f>
        <v/>
      </c>
      <c r="AD139" s="33" t="str">
        <f aca="false">IF(COUNTIF(Flows!$M$2:$M$1500,$A139&amp;"|"&amp;AD$1&amp;"|Input"),IF(COUNTIF(Flows!$M$2:$M$1500,$A139&amp;"|"&amp;AD$1&amp;"|Output"),"I/O","IN"),IF(COUNTIF(Flows!$M$2:$M$1500,$A139&amp;"|"&amp;AD$1&amp;"|Output"),"OUT",""))</f>
        <v/>
      </c>
      <c r="AE139" s="33" t="str">
        <f aca="false">IF(COUNTIF(Flows!$M$2:$M$1500,$A139&amp;"|"&amp;AE$1&amp;"|Input"),IF(COUNTIF(Flows!$M$2:$M$1500,$A139&amp;"|"&amp;AE$1&amp;"|Output"),"I/O","IN"),IF(COUNTIF(Flows!$M$2:$M$1500,$A139&amp;"|"&amp;AE$1&amp;"|Output"),"OUT",""))</f>
        <v/>
      </c>
      <c r="AF139" s="33" t="str">
        <f aca="false">IF(COUNTIF(Flows!$M$2:$M$1500,$A139&amp;"|"&amp;AF$1&amp;"|Input"),IF(COUNTIF(Flows!$M$2:$M$1500,$A139&amp;"|"&amp;AF$1&amp;"|Output"),"I/O","IN"),IF(COUNTIF(Flows!$M$2:$M$1500,$A139&amp;"|"&amp;AF$1&amp;"|Output"),"OUT",""))</f>
        <v/>
      </c>
      <c r="AG139" s="33" t="str">
        <f aca="false">IF(COUNTIF(Flows!$M$2:$M$1500,$A139&amp;"|"&amp;AG$1&amp;"|Input"),IF(COUNTIF(Flows!$M$2:$M$1500,$A139&amp;"|"&amp;AG$1&amp;"|Output"),"I/O","IN"),IF(COUNTIF(Flows!$M$2:$M$1500,$A139&amp;"|"&amp;AG$1&amp;"|Output"),"OUT",""))</f>
        <v/>
      </c>
      <c r="AH139" s="33" t="str">
        <f aca="false">IF(COUNTIF(Flows!$M$2:$M$1500,$A139&amp;"|"&amp;AH$1&amp;"|Input"),IF(COUNTIF(Flows!$M$2:$M$1500,$A139&amp;"|"&amp;AH$1&amp;"|Output"),"I/O","IN"),IF(COUNTIF(Flows!$M$2:$M$1500,$A139&amp;"|"&amp;AH$1&amp;"|Output"),"OUT",""))</f>
        <v/>
      </c>
      <c r="AI139" s="33" t="str">
        <f aca="false">IF(COUNTIF(Flows!$M$2:$M$1500,$A139&amp;"|"&amp;AI$1&amp;"|Input"),IF(COUNTIF(Flows!$M$2:$M$1500,$A139&amp;"|"&amp;AI$1&amp;"|Output"),"I/O","IN"),IF(COUNTIF(Flows!$M$2:$M$1500,$A139&amp;"|"&amp;AI$1&amp;"|Output"),"OUT",""))</f>
        <v/>
      </c>
      <c r="AJ139" s="33" t="str">
        <f aca="false">IF(COUNTIF(Flows!$M$2:$M$1500,$A139&amp;"|"&amp;AJ$1&amp;"|Input"),IF(COUNTIF(Flows!$M$2:$M$1500,$A139&amp;"|"&amp;AJ$1&amp;"|Output"),"I/O","IN"),IF(COUNTIF(Flows!$M$2:$M$1500,$A139&amp;"|"&amp;AJ$1&amp;"|Output"),"OUT",""))</f>
        <v/>
      </c>
      <c r="AK139" s="33" t="str">
        <f aca="false">IF(COUNTIF(Flows!$M$2:$M$1500,$A139&amp;"|"&amp;AK$1&amp;"|Input"),IF(COUNTIF(Flows!$M$2:$M$1500,$A139&amp;"|"&amp;AK$1&amp;"|Output"),"I/O","IN"),IF(COUNTIF(Flows!$M$2:$M$1500,$A139&amp;"|"&amp;AK$1&amp;"|Output"),"OUT",""))</f>
        <v/>
      </c>
      <c r="AL139" s="33" t="str">
        <f aca="false">IF(COUNTIF(Flows!$M$2:$M$1500,$A139&amp;"|"&amp;AL$1&amp;"|Input"),IF(COUNTIF(Flows!$M$2:$M$1500,$A139&amp;"|"&amp;AL$1&amp;"|Output"),"I/O","IN"),IF(COUNTIF(Flows!$M$2:$M$1500,$A139&amp;"|"&amp;AL$1&amp;"|Output"),"OUT",""))</f>
        <v/>
      </c>
      <c r="AM139" s="33" t="str">
        <f aca="false">IF(COUNTIF(Flows!$M$2:$M$1500,$A139&amp;"|"&amp;AM$1&amp;"|Input"),IF(COUNTIF(Flows!$M$2:$M$1500,$A139&amp;"|"&amp;AM$1&amp;"|Output"),"I/O","IN"),IF(COUNTIF(Flows!$M$2:$M$1500,$A139&amp;"|"&amp;AM$1&amp;"|Output"),"OUT",""))</f>
        <v/>
      </c>
      <c r="AN139" s="33" t="str">
        <f aca="false">IF(COUNTIF(Flows!$M$2:$M$1500,$A139&amp;"|"&amp;AN$1&amp;"|Input"),IF(COUNTIF(Flows!$M$2:$M$1500,$A139&amp;"|"&amp;AN$1&amp;"|Output"),"I/O","IN"),IF(COUNTIF(Flows!$M$2:$M$1500,$A139&amp;"|"&amp;AN$1&amp;"|Output"),"OUT",""))</f>
        <v/>
      </c>
      <c r="AO139" s="33" t="str">
        <f aca="false">IF(COUNTIF(Flows!$M$2:$M$1500,$A139&amp;"|"&amp;AO$1&amp;"|Input"),IF(COUNTIF(Flows!$M$2:$M$1500,$A139&amp;"|"&amp;AO$1&amp;"|Output"),"I/O","IN"),IF(COUNTIF(Flows!$M$2:$M$1500,$A139&amp;"|"&amp;AO$1&amp;"|Output"),"OUT",""))</f>
        <v/>
      </c>
      <c r="AP139" s="33" t="str">
        <f aca="false">IF(COUNTIF(Flows!$M$2:$M$1500,$A139&amp;"|"&amp;AP$1&amp;"|Input"),IF(COUNTIF(Flows!$M$2:$M$1500,$A139&amp;"|"&amp;AP$1&amp;"|Output"),"I/O","IN"),IF(COUNTIF(Flows!$M$2:$M$1500,$A139&amp;"|"&amp;AP$1&amp;"|Output"),"OUT",""))</f>
        <v/>
      </c>
      <c r="AQ139" s="33" t="str">
        <f aca="false">IF(COUNTIF(Flows!$M$2:$M$1500,$A139&amp;"|"&amp;AQ$1&amp;"|Input"),IF(COUNTIF(Flows!$M$2:$M$1500,$A139&amp;"|"&amp;AQ$1&amp;"|Output"),"I/O","IN"),IF(COUNTIF(Flows!$M$2:$M$1500,$A139&amp;"|"&amp;AQ$1&amp;"|Output"),"OUT",""))</f>
        <v/>
      </c>
      <c r="AR139" s="33" t="str">
        <f aca="false">IF(COUNTIF(Flows!$M$2:$M$1500,$A139&amp;"|"&amp;AR$1&amp;"|Input"),IF(COUNTIF(Flows!$M$2:$M$1500,$A139&amp;"|"&amp;AR$1&amp;"|Output"),"I/O","IN"),IF(COUNTIF(Flows!$M$2:$M$1500,$A139&amp;"|"&amp;AR$1&amp;"|Output"),"OUT",""))</f>
        <v/>
      </c>
      <c r="AS139" s="33" t="str">
        <f aca="false">IF(COUNTIF(Flows!$M$2:$M$1500,$A139&amp;"|"&amp;AS$1&amp;"|Input"),IF(COUNTIF(Flows!$M$2:$M$1500,$A139&amp;"|"&amp;AS$1&amp;"|Output"),"I/O","IN"),IF(COUNTIF(Flows!$M$2:$M$1500,$A139&amp;"|"&amp;AS$1&amp;"|Output"),"OUT",""))</f>
        <v/>
      </c>
      <c r="AT139" s="33" t="str">
        <f aca="false">IF(COUNTIF(Flows!$M$2:$M$1500,$A139&amp;"|"&amp;AT$1&amp;"|Input"),IF(COUNTIF(Flows!$M$2:$M$1500,$A139&amp;"|"&amp;AT$1&amp;"|Output"),"I/O","IN"),IF(COUNTIF(Flows!$M$2:$M$1500,$A139&amp;"|"&amp;AT$1&amp;"|Output"),"OUT",""))</f>
        <v>OUT</v>
      </c>
      <c r="AU139" s="33" t="str">
        <f aca="false">IF(COUNTIF(Flows!$M$2:$M$1500,$A139&amp;"|"&amp;AU$1&amp;"|Input"),IF(COUNTIF(Flows!$M$2:$M$1500,$A139&amp;"|"&amp;AU$1&amp;"|Output"),"I/O","IN"),IF(COUNTIF(Flows!$M$2:$M$1500,$A139&amp;"|"&amp;AU$1&amp;"|Output"),"OUT",""))</f>
        <v/>
      </c>
      <c r="AV139" s="33" t="str">
        <f aca="false">IF(COUNTIF(Flows!$M$2:$M$1500,$A139&amp;"|"&amp;AV$1&amp;"|Input"),IF(COUNTIF(Flows!$M$2:$M$1500,$A139&amp;"|"&amp;AV$1&amp;"|Output"),"I/O","IN"),IF(COUNTIF(Flows!$M$2:$M$1500,$A139&amp;"|"&amp;AV$1&amp;"|Output"),"OUT",""))</f>
        <v/>
      </c>
      <c r="AW139" s="33" t="str">
        <f aca="false">IF(COUNTIF(Flows!$M$2:$M$1500,$A139&amp;"|"&amp;AW$1&amp;"|Input"),IF(COUNTIF(Flows!$M$2:$M$1500,$A139&amp;"|"&amp;AW$1&amp;"|Output"),"I/O","IN"),IF(COUNTIF(Flows!$M$2:$M$1500,$A139&amp;"|"&amp;AW$1&amp;"|Output"),"OUT",""))</f>
        <v/>
      </c>
      <c r="AX139" s="33" t="str">
        <f aca="false">IF(COUNTIF(Flows!$M$2:$M$1500,$A139&amp;"|"&amp;AX$1&amp;"|Input"),IF(COUNTIF(Flows!$M$2:$M$1500,$A139&amp;"|"&amp;AX$1&amp;"|Output"),"I/O","IN"),IF(COUNTIF(Flows!$M$2:$M$1500,$A139&amp;"|"&amp;AX$1&amp;"|Output"),"OUT",""))</f>
        <v>IN</v>
      </c>
      <c r="AY139" s="33" t="str">
        <f aca="false">IF(COUNTIF(Flows!$M$2:$M$1500,$A139&amp;"|"&amp;AY$1&amp;"|Input"),IF(COUNTIF(Flows!$M$2:$M$1500,$A139&amp;"|"&amp;AY$1&amp;"|Output"),"I/O","IN"),IF(COUNTIF(Flows!$M$2:$M$1500,$A139&amp;"|"&amp;AY$1&amp;"|Output"),"OUT",""))</f>
        <v/>
      </c>
      <c r="AZ139" s="33" t="str">
        <f aca="false">IF(COUNTIF(Flows!$M$2:$M$1500,$A139&amp;"|"&amp;AZ$1&amp;"|Input"),IF(COUNTIF(Flows!$M$2:$M$1500,$A139&amp;"|"&amp;AZ$1&amp;"|Output"),"I/O","IN"),IF(COUNTIF(Flows!$M$2:$M$1500,$A139&amp;"|"&amp;AZ$1&amp;"|Output"),"OUT",""))</f>
        <v>IN</v>
      </c>
      <c r="BA139" s="33" t="str">
        <f aca="false">IF(COUNTIF(Flows!$M$2:$M$1500,$A139&amp;"|"&amp;BA$1&amp;"|Input"),IF(COUNTIF(Flows!$M$2:$M$1500,$A139&amp;"|"&amp;BA$1&amp;"|Output"),"I/O","IN"),IF(COUNTIF(Flows!$M$2:$M$1500,$A139&amp;"|"&amp;BA$1&amp;"|Output"),"OUT",""))</f>
        <v>OUT</v>
      </c>
      <c r="BB139" s="33" t="str">
        <f aca="false">IF(COUNTIF(Flows!$M$2:$M$1500,$A139&amp;"|"&amp;BB$1&amp;"|Input"),IF(COUNTIF(Flows!$M$2:$M$1500,$A139&amp;"|"&amp;BB$1&amp;"|Output"),"I/O","IN"),IF(COUNTIF(Flows!$M$2:$M$1500,$A139&amp;"|"&amp;BB$1&amp;"|Output"),"OUT",""))</f>
        <v/>
      </c>
      <c r="BC139" s="33" t="str">
        <f aca="false">IF(COUNTIF(Flows!$M$2:$M$1500,$A139&amp;"|"&amp;BC$1&amp;"|Input"),IF(COUNTIF(Flows!$M$2:$M$1500,$A139&amp;"|"&amp;BC$1&amp;"|Output"),"I/O","IN"),IF(COUNTIF(Flows!$M$2:$M$1500,$A139&amp;"|"&amp;BC$1&amp;"|Output"),"OUT",""))</f>
        <v/>
      </c>
      <c r="BD139" s="33" t="str">
        <f aca="false">IF(COUNTIF(Flows!$M$2:$M$1500,$A139&amp;"|"&amp;BD$1&amp;"|Input"),IF(COUNTIF(Flows!$M$2:$M$1500,$A139&amp;"|"&amp;BD$1&amp;"|Output"),"I/O","IN"),IF(COUNTIF(Flows!$M$2:$M$1500,$A139&amp;"|"&amp;BD$1&amp;"|Output"),"OUT",""))</f>
        <v/>
      </c>
      <c r="BE139" s="33" t="str">
        <f aca="false">IF(COUNTIF(Flows!$M$2:$M$1500,$A139&amp;"|"&amp;BE$1&amp;"|Input"),IF(COUNTIF(Flows!$M$2:$M$1500,$A139&amp;"|"&amp;BE$1&amp;"|Output"),"I/O","IN"),IF(COUNTIF(Flows!$M$2:$M$1500,$A139&amp;"|"&amp;BE$1&amp;"|Output"),"OUT",""))</f>
        <v/>
      </c>
      <c r="BF139" s="33" t="str">
        <f aca="false">IF(COUNTIF(Flows!$M$2:$M$1500,$A139&amp;"|"&amp;BF$1&amp;"|Input"),IF(COUNTIF(Flows!$M$2:$M$1500,$A139&amp;"|"&amp;BF$1&amp;"|Output"),"I/O","IN"),IF(COUNTIF(Flows!$M$2:$M$1500,$A139&amp;"|"&amp;BF$1&amp;"|Output"),"OUT",""))</f>
        <v/>
      </c>
      <c r="BG139" s="33" t="str">
        <f aca="false">IF(COUNTIF(Flows!$M$2:$M$1500,$A139&amp;"|"&amp;BG$1&amp;"|Input"),IF(COUNTIF(Flows!$M$2:$M$1500,$A139&amp;"|"&amp;BG$1&amp;"|Output"),"I/O","IN"),IF(COUNTIF(Flows!$M$2:$M$1500,$A139&amp;"|"&amp;BG$1&amp;"|Output"),"OUT",""))</f>
        <v/>
      </c>
      <c r="BH139" s="33" t="str">
        <f aca="false">IF(COUNTIF(Flows!$M$2:$M$1500,$A139&amp;"|"&amp;BH$1&amp;"|Input"),IF(COUNTIF(Flows!$M$2:$M$1500,$A139&amp;"|"&amp;BH$1&amp;"|Output"),"I/O","IN"),IF(COUNTIF(Flows!$M$2:$M$1500,$A139&amp;"|"&amp;BH$1&amp;"|Output"),"OUT",""))</f>
        <v/>
      </c>
      <c r="BI139" s="33" t="str">
        <f aca="false">IF(COUNTIF(Flows!$M$2:$M$1500,$A139&amp;"|"&amp;BI$1&amp;"|Input"),IF(COUNTIF(Flows!$M$2:$M$1500,$A139&amp;"|"&amp;BI$1&amp;"|Output"),"I/O","IN"),IF(COUNTIF(Flows!$M$2:$M$1500,$A139&amp;"|"&amp;BI$1&amp;"|Output"),"OUT",""))</f>
        <v/>
      </c>
      <c r="BJ139" s="33" t="str">
        <f aca="false">IF(COUNTIF(Flows!$M$2:$M$1500,$A139&amp;"|"&amp;BJ$1&amp;"|Input"),IF(COUNTIF(Flows!$M$2:$M$1500,$A139&amp;"|"&amp;BJ$1&amp;"|Output"),"I/O","IN"),IF(COUNTIF(Flows!$M$2:$M$1500,$A139&amp;"|"&amp;BJ$1&amp;"|Output"),"OUT",""))</f>
        <v/>
      </c>
      <c r="BK139" s="33" t="str">
        <f aca="false">IF(COUNTIF(Flows!$M$2:$M$1500,$A139&amp;"|"&amp;BK$1&amp;"|Input"),IF(COUNTIF(Flows!$M$2:$M$1500,$A139&amp;"|"&amp;BK$1&amp;"|Output"),"I/O","IN"),IF(COUNTIF(Flows!$M$2:$M$1500,$A139&amp;"|"&amp;BK$1&amp;"|Output"),"OUT",""))</f>
        <v/>
      </c>
    </row>
    <row r="140" customFormat="false" ht="15" hidden="false" customHeight="true" outlineLevel="0" collapsed="false">
      <c r="A140" s="6" t="str">
        <f aca="false">Systems!B140</f>
        <v>Dairy Goats (pair)</v>
      </c>
      <c r="B140" s="33" t="str">
        <f aca="false">IF(COUNTIF(Flows!$M$2:$M$1500,$A140&amp;"|"&amp;B$1&amp;"|Input"),IF(COUNTIF(Flows!$M$2:$M$1500,$A140&amp;"|"&amp;B$1&amp;"|Output"),"I/O","IN"),IF(COUNTIF(Flows!$M$2:$M$1500,$A140&amp;"|"&amp;B$1&amp;"|Output"),"OUT",""))</f>
        <v>IN</v>
      </c>
      <c r="C140" s="33" t="str">
        <f aca="false">IF(COUNTIF(Flows!$M$2:$M$1500,$A140&amp;"|"&amp;C$1&amp;"|Input"),IF(COUNTIF(Flows!$M$2:$M$1500,$A140&amp;"|"&amp;C$1&amp;"|Output"),"I/O","IN"),IF(COUNTIF(Flows!$M$2:$M$1500,$A140&amp;"|"&amp;C$1&amp;"|Output"),"OUT",""))</f>
        <v/>
      </c>
      <c r="D140" s="33" t="str">
        <f aca="false">IF(COUNTIF(Flows!$M$2:$M$1500,$A140&amp;"|"&amp;D$1&amp;"|Input"),IF(COUNTIF(Flows!$M$2:$M$1500,$A140&amp;"|"&amp;D$1&amp;"|Output"),"I/O","IN"),IF(COUNTIF(Flows!$M$2:$M$1500,$A140&amp;"|"&amp;D$1&amp;"|Output"),"OUT",""))</f>
        <v/>
      </c>
      <c r="E140" s="33" t="str">
        <f aca="false">IF(COUNTIF(Flows!$M$2:$M$1500,$A140&amp;"|"&amp;E$1&amp;"|Input"),IF(COUNTIF(Flows!$M$2:$M$1500,$A140&amp;"|"&amp;E$1&amp;"|Output"),"I/O","IN"),IF(COUNTIF(Flows!$M$2:$M$1500,$A140&amp;"|"&amp;E$1&amp;"|Output"),"OUT",""))</f>
        <v/>
      </c>
      <c r="F140" s="33" t="str">
        <f aca="false">IF(COUNTIF(Flows!$M$2:$M$1500,$A140&amp;"|"&amp;F$1&amp;"|Input"),IF(COUNTIF(Flows!$M$2:$M$1500,$A140&amp;"|"&amp;F$1&amp;"|Output"),"I/O","IN"),IF(COUNTIF(Flows!$M$2:$M$1500,$A140&amp;"|"&amp;F$1&amp;"|Output"),"OUT",""))</f>
        <v/>
      </c>
      <c r="G140" s="33" t="str">
        <f aca="false">IF(COUNTIF(Flows!$M$2:$M$1500,$A140&amp;"|"&amp;G$1&amp;"|Input"),IF(COUNTIF(Flows!$M$2:$M$1500,$A140&amp;"|"&amp;G$1&amp;"|Output"),"I/O","IN"),IF(COUNTIF(Flows!$M$2:$M$1500,$A140&amp;"|"&amp;G$1&amp;"|Output"),"OUT",""))</f>
        <v/>
      </c>
      <c r="H140" s="33" t="str">
        <f aca="false">IF(COUNTIF(Flows!$M$2:$M$1500,$A140&amp;"|"&amp;H$1&amp;"|Input"),IF(COUNTIF(Flows!$M$2:$M$1500,$A140&amp;"|"&amp;H$1&amp;"|Output"),"I/O","IN"),IF(COUNTIF(Flows!$M$2:$M$1500,$A140&amp;"|"&amp;H$1&amp;"|Output"),"OUT",""))</f>
        <v/>
      </c>
      <c r="I140" s="33" t="str">
        <f aca="false">IF(COUNTIF(Flows!$M$2:$M$1500,$A140&amp;"|"&amp;I$1&amp;"|Input"),IF(COUNTIF(Flows!$M$2:$M$1500,$A140&amp;"|"&amp;I$1&amp;"|Output"),"I/O","IN"),IF(COUNTIF(Flows!$M$2:$M$1500,$A140&amp;"|"&amp;I$1&amp;"|Output"),"OUT",""))</f>
        <v/>
      </c>
      <c r="J140" s="33" t="str">
        <f aca="false">IF(COUNTIF(Flows!$M$2:$M$1500,$A140&amp;"|"&amp;J$1&amp;"|Input"),IF(COUNTIF(Flows!$M$2:$M$1500,$A140&amp;"|"&amp;J$1&amp;"|Output"),"I/O","IN"),IF(COUNTIF(Flows!$M$2:$M$1500,$A140&amp;"|"&amp;J$1&amp;"|Output"),"OUT",""))</f>
        <v/>
      </c>
      <c r="K140" s="33" t="str">
        <f aca="false">IF(COUNTIF(Flows!$M$2:$M$1500,$A140&amp;"|"&amp;K$1&amp;"|Input"),IF(COUNTIF(Flows!$M$2:$M$1500,$A140&amp;"|"&amp;K$1&amp;"|Output"),"I/O","IN"),IF(COUNTIF(Flows!$M$2:$M$1500,$A140&amp;"|"&amp;K$1&amp;"|Output"),"OUT",""))</f>
        <v/>
      </c>
      <c r="L140" s="33" t="str">
        <f aca="false">IF(COUNTIF(Flows!$M$2:$M$1500,$A140&amp;"|"&amp;L$1&amp;"|Input"),IF(COUNTIF(Flows!$M$2:$M$1500,$A140&amp;"|"&amp;L$1&amp;"|Output"),"I/O","IN"),IF(COUNTIF(Flows!$M$2:$M$1500,$A140&amp;"|"&amp;L$1&amp;"|Output"),"OUT",""))</f>
        <v/>
      </c>
      <c r="M140" s="33" t="str">
        <f aca="false">IF(COUNTIF(Flows!$M$2:$M$1500,$A140&amp;"|"&amp;M$1&amp;"|Input"),IF(COUNTIF(Flows!$M$2:$M$1500,$A140&amp;"|"&amp;M$1&amp;"|Output"),"I/O","IN"),IF(COUNTIF(Flows!$M$2:$M$1500,$A140&amp;"|"&amp;M$1&amp;"|Output"),"OUT",""))</f>
        <v>OUT</v>
      </c>
      <c r="N140" s="33" t="str">
        <f aca="false">IF(COUNTIF(Flows!$M$2:$M$1500,$A140&amp;"|"&amp;N$1&amp;"|Input"),IF(COUNTIF(Flows!$M$2:$M$1500,$A140&amp;"|"&amp;N$1&amp;"|Output"),"I/O","IN"),IF(COUNTIF(Flows!$M$2:$M$1500,$A140&amp;"|"&amp;N$1&amp;"|Output"),"OUT",""))</f>
        <v/>
      </c>
      <c r="O140" s="33" t="str">
        <f aca="false">IF(COUNTIF(Flows!$M$2:$M$1500,$A140&amp;"|"&amp;O$1&amp;"|Input"),IF(COUNTIF(Flows!$M$2:$M$1500,$A140&amp;"|"&amp;O$1&amp;"|Output"),"I/O","IN"),IF(COUNTIF(Flows!$M$2:$M$1500,$A140&amp;"|"&amp;O$1&amp;"|Output"),"OUT",""))</f>
        <v/>
      </c>
      <c r="P140" s="33" t="str">
        <f aca="false">IF(COUNTIF(Flows!$M$2:$M$1500,$A140&amp;"|"&amp;P$1&amp;"|Input"),IF(COUNTIF(Flows!$M$2:$M$1500,$A140&amp;"|"&amp;P$1&amp;"|Output"),"I/O","IN"),IF(COUNTIF(Flows!$M$2:$M$1500,$A140&amp;"|"&amp;P$1&amp;"|Output"),"OUT",""))</f>
        <v/>
      </c>
      <c r="Q140" s="33" t="str">
        <f aca="false">IF(COUNTIF(Flows!$M$2:$M$1500,$A140&amp;"|"&amp;Q$1&amp;"|Input"),IF(COUNTIF(Flows!$M$2:$M$1500,$A140&amp;"|"&amp;Q$1&amp;"|Output"),"I/O","IN"),IF(COUNTIF(Flows!$M$2:$M$1500,$A140&amp;"|"&amp;Q$1&amp;"|Output"),"OUT",""))</f>
        <v/>
      </c>
      <c r="R140" s="33" t="str">
        <f aca="false">IF(COUNTIF(Flows!$M$2:$M$1500,$A140&amp;"|"&amp;R$1&amp;"|Input"),IF(COUNTIF(Flows!$M$2:$M$1500,$A140&amp;"|"&amp;R$1&amp;"|Output"),"I/O","IN"),IF(COUNTIF(Flows!$M$2:$M$1500,$A140&amp;"|"&amp;R$1&amp;"|Output"),"OUT",""))</f>
        <v/>
      </c>
      <c r="S140" s="33" t="str">
        <f aca="false">IF(COUNTIF(Flows!$M$2:$M$1500,$A140&amp;"|"&amp;S$1&amp;"|Input"),IF(COUNTIF(Flows!$M$2:$M$1500,$A140&amp;"|"&amp;S$1&amp;"|Output"),"I/O","IN"),IF(COUNTIF(Flows!$M$2:$M$1500,$A140&amp;"|"&amp;S$1&amp;"|Output"),"OUT",""))</f>
        <v/>
      </c>
      <c r="T140" s="33" t="str">
        <f aca="false">IF(COUNTIF(Flows!$M$2:$M$1500,$A140&amp;"|"&amp;T$1&amp;"|Input"),IF(COUNTIF(Flows!$M$2:$M$1500,$A140&amp;"|"&amp;T$1&amp;"|Output"),"I/O","IN"),IF(COUNTIF(Flows!$M$2:$M$1500,$A140&amp;"|"&amp;T$1&amp;"|Output"),"OUT",""))</f>
        <v/>
      </c>
      <c r="U140" s="33" t="str">
        <f aca="false">IF(COUNTIF(Flows!$M$2:$M$1500,$A140&amp;"|"&amp;U$1&amp;"|Input"),IF(COUNTIF(Flows!$M$2:$M$1500,$A140&amp;"|"&amp;U$1&amp;"|Output"),"I/O","IN"),IF(COUNTIF(Flows!$M$2:$M$1500,$A140&amp;"|"&amp;U$1&amp;"|Output"),"OUT",""))</f>
        <v/>
      </c>
      <c r="V140" s="33" t="str">
        <f aca="false">IF(COUNTIF(Flows!$M$2:$M$1500,$A140&amp;"|"&amp;V$1&amp;"|Input"),IF(COUNTIF(Flows!$M$2:$M$1500,$A140&amp;"|"&amp;V$1&amp;"|Output"),"I/O","IN"),IF(COUNTIF(Flows!$M$2:$M$1500,$A140&amp;"|"&amp;V$1&amp;"|Output"),"OUT",""))</f>
        <v/>
      </c>
      <c r="W140" s="33" t="str">
        <f aca="false">IF(COUNTIF(Flows!$M$2:$M$1500,$A140&amp;"|"&amp;W$1&amp;"|Input"),IF(COUNTIF(Flows!$M$2:$M$1500,$A140&amp;"|"&amp;W$1&amp;"|Output"),"I/O","IN"),IF(COUNTIF(Flows!$M$2:$M$1500,$A140&amp;"|"&amp;W$1&amp;"|Output"),"OUT",""))</f>
        <v/>
      </c>
      <c r="X140" s="33" t="str">
        <f aca="false">IF(COUNTIF(Flows!$M$2:$M$1500,$A140&amp;"|"&amp;X$1&amp;"|Input"),IF(COUNTIF(Flows!$M$2:$M$1500,$A140&amp;"|"&amp;X$1&amp;"|Output"),"I/O","IN"),IF(COUNTIF(Flows!$M$2:$M$1500,$A140&amp;"|"&amp;X$1&amp;"|Output"),"OUT",""))</f>
        <v>IN</v>
      </c>
      <c r="Y140" s="33" t="str">
        <f aca="false">IF(COUNTIF(Flows!$M$2:$M$1500,$A140&amp;"|"&amp;Y$1&amp;"|Input"),IF(COUNTIF(Flows!$M$2:$M$1500,$A140&amp;"|"&amp;Y$1&amp;"|Output"),"I/O","IN"),IF(COUNTIF(Flows!$M$2:$M$1500,$A140&amp;"|"&amp;Y$1&amp;"|Output"),"OUT",""))</f>
        <v/>
      </c>
      <c r="Z140" s="33" t="str">
        <f aca="false">IF(COUNTIF(Flows!$M$2:$M$1500,$A140&amp;"|"&amp;Z$1&amp;"|Input"),IF(COUNTIF(Flows!$M$2:$M$1500,$A140&amp;"|"&amp;Z$1&amp;"|Output"),"I/O","IN"),IF(COUNTIF(Flows!$M$2:$M$1500,$A140&amp;"|"&amp;Z$1&amp;"|Output"),"OUT",""))</f>
        <v/>
      </c>
      <c r="AA140" s="33" t="str">
        <f aca="false">IF(COUNTIF(Flows!$M$2:$M$1500,$A140&amp;"|"&amp;AA$1&amp;"|Input"),IF(COUNTIF(Flows!$M$2:$M$1500,$A140&amp;"|"&amp;AA$1&amp;"|Output"),"I/O","IN"),IF(COUNTIF(Flows!$M$2:$M$1500,$A140&amp;"|"&amp;AA$1&amp;"|Output"),"OUT",""))</f>
        <v/>
      </c>
      <c r="AB140" s="33" t="str">
        <f aca="false">IF(COUNTIF(Flows!$M$2:$M$1500,$A140&amp;"|"&amp;AB$1&amp;"|Input"),IF(COUNTIF(Flows!$M$2:$M$1500,$A140&amp;"|"&amp;AB$1&amp;"|Output"),"I/O","IN"),IF(COUNTIF(Flows!$M$2:$M$1500,$A140&amp;"|"&amp;AB$1&amp;"|Output"),"OUT",""))</f>
        <v/>
      </c>
      <c r="AC140" s="33" t="str">
        <f aca="false">IF(COUNTIF(Flows!$M$2:$M$1500,$A140&amp;"|"&amp;AC$1&amp;"|Input"),IF(COUNTIF(Flows!$M$2:$M$1500,$A140&amp;"|"&amp;AC$1&amp;"|Output"),"I/O","IN"),IF(COUNTIF(Flows!$M$2:$M$1500,$A140&amp;"|"&amp;AC$1&amp;"|Output"),"OUT",""))</f>
        <v/>
      </c>
      <c r="AD140" s="33" t="str">
        <f aca="false">IF(COUNTIF(Flows!$M$2:$M$1500,$A140&amp;"|"&amp;AD$1&amp;"|Input"),IF(COUNTIF(Flows!$M$2:$M$1500,$A140&amp;"|"&amp;AD$1&amp;"|Output"),"I/O","IN"),IF(COUNTIF(Flows!$M$2:$M$1500,$A140&amp;"|"&amp;AD$1&amp;"|Output"),"OUT",""))</f>
        <v/>
      </c>
      <c r="AE140" s="33" t="str">
        <f aca="false">IF(COUNTIF(Flows!$M$2:$M$1500,$A140&amp;"|"&amp;AE$1&amp;"|Input"),IF(COUNTIF(Flows!$M$2:$M$1500,$A140&amp;"|"&amp;AE$1&amp;"|Output"),"I/O","IN"),IF(COUNTIF(Flows!$M$2:$M$1500,$A140&amp;"|"&amp;AE$1&amp;"|Output"),"OUT",""))</f>
        <v/>
      </c>
      <c r="AF140" s="33" t="str">
        <f aca="false">IF(COUNTIF(Flows!$M$2:$M$1500,$A140&amp;"|"&amp;AF$1&amp;"|Input"),IF(COUNTIF(Flows!$M$2:$M$1500,$A140&amp;"|"&amp;AF$1&amp;"|Output"),"I/O","IN"),IF(COUNTIF(Flows!$M$2:$M$1500,$A140&amp;"|"&amp;AF$1&amp;"|Output"),"OUT",""))</f>
        <v/>
      </c>
      <c r="AG140" s="33" t="str">
        <f aca="false">IF(COUNTIF(Flows!$M$2:$M$1500,$A140&amp;"|"&amp;AG$1&amp;"|Input"),IF(COUNTIF(Flows!$M$2:$M$1500,$A140&amp;"|"&amp;AG$1&amp;"|Output"),"I/O","IN"),IF(COUNTIF(Flows!$M$2:$M$1500,$A140&amp;"|"&amp;AG$1&amp;"|Output"),"OUT",""))</f>
        <v/>
      </c>
      <c r="AH140" s="33" t="str">
        <f aca="false">IF(COUNTIF(Flows!$M$2:$M$1500,$A140&amp;"|"&amp;AH$1&amp;"|Input"),IF(COUNTIF(Flows!$M$2:$M$1500,$A140&amp;"|"&amp;AH$1&amp;"|Output"),"I/O","IN"),IF(COUNTIF(Flows!$M$2:$M$1500,$A140&amp;"|"&amp;AH$1&amp;"|Output"),"OUT",""))</f>
        <v/>
      </c>
      <c r="AI140" s="33" t="str">
        <f aca="false">IF(COUNTIF(Flows!$M$2:$M$1500,$A140&amp;"|"&amp;AI$1&amp;"|Input"),IF(COUNTIF(Flows!$M$2:$M$1500,$A140&amp;"|"&amp;AI$1&amp;"|Output"),"I/O","IN"),IF(COUNTIF(Flows!$M$2:$M$1500,$A140&amp;"|"&amp;AI$1&amp;"|Output"),"OUT",""))</f>
        <v/>
      </c>
      <c r="AJ140" s="33" t="str">
        <f aca="false">IF(COUNTIF(Flows!$M$2:$M$1500,$A140&amp;"|"&amp;AJ$1&amp;"|Input"),IF(COUNTIF(Flows!$M$2:$M$1500,$A140&amp;"|"&amp;AJ$1&amp;"|Output"),"I/O","IN"),IF(COUNTIF(Flows!$M$2:$M$1500,$A140&amp;"|"&amp;AJ$1&amp;"|Output"),"OUT",""))</f>
        <v>IN</v>
      </c>
      <c r="AK140" s="33" t="str">
        <f aca="false">IF(COUNTIF(Flows!$M$2:$M$1500,$A140&amp;"|"&amp;AK$1&amp;"|Input"),IF(COUNTIF(Flows!$M$2:$M$1500,$A140&amp;"|"&amp;AK$1&amp;"|Output"),"I/O","IN"),IF(COUNTIF(Flows!$M$2:$M$1500,$A140&amp;"|"&amp;AK$1&amp;"|Output"),"OUT",""))</f>
        <v/>
      </c>
      <c r="AL140" s="33" t="str">
        <f aca="false">IF(COUNTIF(Flows!$M$2:$M$1500,$A140&amp;"|"&amp;AL$1&amp;"|Input"),IF(COUNTIF(Flows!$M$2:$M$1500,$A140&amp;"|"&amp;AL$1&amp;"|Output"),"I/O","IN"),IF(COUNTIF(Flows!$M$2:$M$1500,$A140&amp;"|"&amp;AL$1&amp;"|Output"),"OUT",""))</f>
        <v/>
      </c>
      <c r="AM140" s="33" t="str">
        <f aca="false">IF(COUNTIF(Flows!$M$2:$M$1500,$A140&amp;"|"&amp;AM$1&amp;"|Input"),IF(COUNTIF(Flows!$M$2:$M$1500,$A140&amp;"|"&amp;AM$1&amp;"|Output"),"I/O","IN"),IF(COUNTIF(Flows!$M$2:$M$1500,$A140&amp;"|"&amp;AM$1&amp;"|Output"),"OUT",""))</f>
        <v/>
      </c>
      <c r="AN140" s="33" t="str">
        <f aca="false">IF(COUNTIF(Flows!$M$2:$M$1500,$A140&amp;"|"&amp;AN$1&amp;"|Input"),IF(COUNTIF(Flows!$M$2:$M$1500,$A140&amp;"|"&amp;AN$1&amp;"|Output"),"I/O","IN"),IF(COUNTIF(Flows!$M$2:$M$1500,$A140&amp;"|"&amp;AN$1&amp;"|Output"),"OUT",""))</f>
        <v/>
      </c>
      <c r="AO140" s="33" t="str">
        <f aca="false">IF(COUNTIF(Flows!$M$2:$M$1500,$A140&amp;"|"&amp;AO$1&amp;"|Input"),IF(COUNTIF(Flows!$M$2:$M$1500,$A140&amp;"|"&amp;AO$1&amp;"|Output"),"I/O","IN"),IF(COUNTIF(Flows!$M$2:$M$1500,$A140&amp;"|"&amp;AO$1&amp;"|Output"),"OUT",""))</f>
        <v/>
      </c>
      <c r="AP140" s="33" t="str">
        <f aca="false">IF(COUNTIF(Flows!$M$2:$M$1500,$A140&amp;"|"&amp;AP$1&amp;"|Input"),IF(COUNTIF(Flows!$M$2:$M$1500,$A140&amp;"|"&amp;AP$1&amp;"|Output"),"I/O","IN"),IF(COUNTIF(Flows!$M$2:$M$1500,$A140&amp;"|"&amp;AP$1&amp;"|Output"),"OUT",""))</f>
        <v>IN</v>
      </c>
      <c r="AQ140" s="33" t="str">
        <f aca="false">IF(COUNTIF(Flows!$M$2:$M$1500,$A140&amp;"|"&amp;AQ$1&amp;"|Input"),IF(COUNTIF(Flows!$M$2:$M$1500,$A140&amp;"|"&amp;AQ$1&amp;"|Output"),"I/O","IN"),IF(COUNTIF(Flows!$M$2:$M$1500,$A140&amp;"|"&amp;AQ$1&amp;"|Output"),"OUT",""))</f>
        <v>IN</v>
      </c>
      <c r="AR140" s="33" t="str">
        <f aca="false">IF(COUNTIF(Flows!$M$2:$M$1500,$A140&amp;"|"&amp;AR$1&amp;"|Input"),IF(COUNTIF(Flows!$M$2:$M$1500,$A140&amp;"|"&amp;AR$1&amp;"|Output"),"I/O","IN"),IF(COUNTIF(Flows!$M$2:$M$1500,$A140&amp;"|"&amp;AR$1&amp;"|Output"),"OUT",""))</f>
        <v/>
      </c>
      <c r="AS140" s="33" t="str">
        <f aca="false">IF(COUNTIF(Flows!$M$2:$M$1500,$A140&amp;"|"&amp;AS$1&amp;"|Input"),IF(COUNTIF(Flows!$M$2:$M$1500,$A140&amp;"|"&amp;AS$1&amp;"|Output"),"I/O","IN"),IF(COUNTIF(Flows!$M$2:$M$1500,$A140&amp;"|"&amp;AS$1&amp;"|Output"),"OUT",""))</f>
        <v/>
      </c>
      <c r="AT140" s="33" t="str">
        <f aca="false">IF(COUNTIF(Flows!$M$2:$M$1500,$A140&amp;"|"&amp;AT$1&amp;"|Input"),IF(COUNTIF(Flows!$M$2:$M$1500,$A140&amp;"|"&amp;AT$1&amp;"|Output"),"I/O","IN"),IF(COUNTIF(Flows!$M$2:$M$1500,$A140&amp;"|"&amp;AT$1&amp;"|Output"),"OUT",""))</f>
        <v>OUT</v>
      </c>
      <c r="AU140" s="33" t="str">
        <f aca="false">IF(COUNTIF(Flows!$M$2:$M$1500,$A140&amp;"|"&amp;AU$1&amp;"|Input"),IF(COUNTIF(Flows!$M$2:$M$1500,$A140&amp;"|"&amp;AU$1&amp;"|Output"),"I/O","IN"),IF(COUNTIF(Flows!$M$2:$M$1500,$A140&amp;"|"&amp;AU$1&amp;"|Output"),"OUT",""))</f>
        <v/>
      </c>
      <c r="AV140" s="33" t="str">
        <f aca="false">IF(COUNTIF(Flows!$M$2:$M$1500,$A140&amp;"|"&amp;AV$1&amp;"|Input"),IF(COUNTIF(Flows!$M$2:$M$1500,$A140&amp;"|"&amp;AV$1&amp;"|Output"),"I/O","IN"),IF(COUNTIF(Flows!$M$2:$M$1500,$A140&amp;"|"&amp;AV$1&amp;"|Output"),"OUT",""))</f>
        <v/>
      </c>
      <c r="AW140" s="33" t="str">
        <f aca="false">IF(COUNTIF(Flows!$M$2:$M$1500,$A140&amp;"|"&amp;AW$1&amp;"|Input"),IF(COUNTIF(Flows!$M$2:$M$1500,$A140&amp;"|"&amp;AW$1&amp;"|Output"),"I/O","IN"),IF(COUNTIF(Flows!$M$2:$M$1500,$A140&amp;"|"&amp;AW$1&amp;"|Output"),"OUT",""))</f>
        <v/>
      </c>
      <c r="AX140" s="33" t="str">
        <f aca="false">IF(COUNTIF(Flows!$M$2:$M$1500,$A140&amp;"|"&amp;AX$1&amp;"|Input"),IF(COUNTIF(Flows!$M$2:$M$1500,$A140&amp;"|"&amp;AX$1&amp;"|Output"),"I/O","IN"),IF(COUNTIF(Flows!$M$2:$M$1500,$A140&amp;"|"&amp;AX$1&amp;"|Output"),"OUT",""))</f>
        <v/>
      </c>
      <c r="AY140" s="33" t="str">
        <f aca="false">IF(COUNTIF(Flows!$M$2:$M$1500,$A140&amp;"|"&amp;AY$1&amp;"|Input"),IF(COUNTIF(Flows!$M$2:$M$1500,$A140&amp;"|"&amp;AY$1&amp;"|Output"),"I/O","IN"),IF(COUNTIF(Flows!$M$2:$M$1500,$A140&amp;"|"&amp;AY$1&amp;"|Output"),"OUT",""))</f>
        <v/>
      </c>
      <c r="AZ140" s="33" t="str">
        <f aca="false">IF(COUNTIF(Flows!$M$2:$M$1500,$A140&amp;"|"&amp;AZ$1&amp;"|Input"),IF(COUNTIF(Flows!$M$2:$M$1500,$A140&amp;"|"&amp;AZ$1&amp;"|Output"),"I/O","IN"),IF(COUNTIF(Flows!$M$2:$M$1500,$A140&amp;"|"&amp;AZ$1&amp;"|Output"),"OUT",""))</f>
        <v/>
      </c>
      <c r="BA140" s="33" t="str">
        <f aca="false">IF(COUNTIF(Flows!$M$2:$M$1500,$A140&amp;"|"&amp;BA$1&amp;"|Input"),IF(COUNTIF(Flows!$M$2:$M$1500,$A140&amp;"|"&amp;BA$1&amp;"|Output"),"I/O","IN"),IF(COUNTIF(Flows!$M$2:$M$1500,$A140&amp;"|"&amp;BA$1&amp;"|Output"),"OUT",""))</f>
        <v/>
      </c>
      <c r="BB140" s="33" t="str">
        <f aca="false">IF(COUNTIF(Flows!$M$2:$M$1500,$A140&amp;"|"&amp;BB$1&amp;"|Input"),IF(COUNTIF(Flows!$M$2:$M$1500,$A140&amp;"|"&amp;BB$1&amp;"|Output"),"I/O","IN"),IF(COUNTIF(Flows!$M$2:$M$1500,$A140&amp;"|"&amp;BB$1&amp;"|Output"),"OUT",""))</f>
        <v/>
      </c>
      <c r="BC140" s="33" t="str">
        <f aca="false">IF(COUNTIF(Flows!$M$2:$M$1500,$A140&amp;"|"&amp;BC$1&amp;"|Input"),IF(COUNTIF(Flows!$M$2:$M$1500,$A140&amp;"|"&amp;BC$1&amp;"|Output"),"I/O","IN"),IF(COUNTIF(Flows!$M$2:$M$1500,$A140&amp;"|"&amp;BC$1&amp;"|Output"),"OUT",""))</f>
        <v/>
      </c>
      <c r="BD140" s="33" t="str">
        <f aca="false">IF(COUNTIF(Flows!$M$2:$M$1500,$A140&amp;"|"&amp;BD$1&amp;"|Input"),IF(COUNTIF(Flows!$M$2:$M$1500,$A140&amp;"|"&amp;BD$1&amp;"|Output"),"I/O","IN"),IF(COUNTIF(Flows!$M$2:$M$1500,$A140&amp;"|"&amp;BD$1&amp;"|Output"),"OUT",""))</f>
        <v/>
      </c>
      <c r="BE140" s="33" t="str">
        <f aca="false">IF(COUNTIF(Flows!$M$2:$M$1500,$A140&amp;"|"&amp;BE$1&amp;"|Input"),IF(COUNTIF(Flows!$M$2:$M$1500,$A140&amp;"|"&amp;BE$1&amp;"|Output"),"I/O","IN"),IF(COUNTIF(Flows!$M$2:$M$1500,$A140&amp;"|"&amp;BE$1&amp;"|Output"),"OUT",""))</f>
        <v/>
      </c>
      <c r="BF140" s="33" t="str">
        <f aca="false">IF(COUNTIF(Flows!$M$2:$M$1500,$A140&amp;"|"&amp;BF$1&amp;"|Input"),IF(COUNTIF(Flows!$M$2:$M$1500,$A140&amp;"|"&amp;BF$1&amp;"|Output"),"I/O","IN"),IF(COUNTIF(Flows!$M$2:$M$1500,$A140&amp;"|"&amp;BF$1&amp;"|Output"),"OUT",""))</f>
        <v/>
      </c>
      <c r="BG140" s="33" t="str">
        <f aca="false">IF(COUNTIF(Flows!$M$2:$M$1500,$A140&amp;"|"&amp;BG$1&amp;"|Input"),IF(COUNTIF(Flows!$M$2:$M$1500,$A140&amp;"|"&amp;BG$1&amp;"|Output"),"I/O","IN"),IF(COUNTIF(Flows!$M$2:$M$1500,$A140&amp;"|"&amp;BG$1&amp;"|Output"),"OUT",""))</f>
        <v/>
      </c>
      <c r="BH140" s="33" t="str">
        <f aca="false">IF(COUNTIF(Flows!$M$2:$M$1500,$A140&amp;"|"&amp;BH$1&amp;"|Input"),IF(COUNTIF(Flows!$M$2:$M$1500,$A140&amp;"|"&amp;BH$1&amp;"|Output"),"I/O","IN"),IF(COUNTIF(Flows!$M$2:$M$1500,$A140&amp;"|"&amp;BH$1&amp;"|Output"),"OUT",""))</f>
        <v/>
      </c>
      <c r="BI140" s="33" t="str">
        <f aca="false">IF(COUNTIF(Flows!$M$2:$M$1500,$A140&amp;"|"&amp;BI$1&amp;"|Input"),IF(COUNTIF(Flows!$M$2:$M$1500,$A140&amp;"|"&amp;BI$1&amp;"|Output"),"I/O","IN"),IF(COUNTIF(Flows!$M$2:$M$1500,$A140&amp;"|"&amp;BI$1&amp;"|Output"),"OUT",""))</f>
        <v/>
      </c>
      <c r="BJ140" s="33" t="str">
        <f aca="false">IF(COUNTIF(Flows!$M$2:$M$1500,$A140&amp;"|"&amp;BJ$1&amp;"|Input"),IF(COUNTIF(Flows!$M$2:$M$1500,$A140&amp;"|"&amp;BJ$1&amp;"|Output"),"I/O","IN"),IF(COUNTIF(Flows!$M$2:$M$1500,$A140&amp;"|"&amp;BJ$1&amp;"|Output"),"OUT",""))</f>
        <v/>
      </c>
      <c r="BK140" s="33" t="str">
        <f aca="false">IF(COUNTIF(Flows!$M$2:$M$1500,$A140&amp;"|"&amp;BK$1&amp;"|Input"),IF(COUNTIF(Flows!$M$2:$M$1500,$A140&amp;"|"&amp;BK$1&amp;"|Output"),"I/O","IN"),IF(COUNTIF(Flows!$M$2:$M$1500,$A140&amp;"|"&amp;BK$1&amp;"|Output"),"OUT",""))</f>
        <v/>
      </c>
    </row>
    <row r="141" customFormat="false" ht="15" hidden="false" customHeight="true" outlineLevel="0" collapsed="false">
      <c r="A141" s="6" t="str">
        <f aca="false">Systems!B141</f>
        <v>Meat Rabbits (trio)</v>
      </c>
      <c r="B141" s="33" t="str">
        <f aca="false">IF(COUNTIF(Flows!$M$2:$M$1500,$A141&amp;"|"&amp;B$1&amp;"|Input"),IF(COUNTIF(Flows!$M$2:$M$1500,$A141&amp;"|"&amp;B$1&amp;"|Output"),"I/O","IN"),IF(COUNTIF(Flows!$M$2:$M$1500,$A141&amp;"|"&amp;B$1&amp;"|Output"),"OUT",""))</f>
        <v>IN</v>
      </c>
      <c r="C141" s="33" t="str">
        <f aca="false">IF(COUNTIF(Flows!$M$2:$M$1500,$A141&amp;"|"&amp;C$1&amp;"|Input"),IF(COUNTIF(Flows!$M$2:$M$1500,$A141&amp;"|"&amp;C$1&amp;"|Output"),"I/O","IN"),IF(COUNTIF(Flows!$M$2:$M$1500,$A141&amp;"|"&amp;C$1&amp;"|Output"),"OUT",""))</f>
        <v/>
      </c>
      <c r="D141" s="33" t="str">
        <f aca="false">IF(COUNTIF(Flows!$M$2:$M$1500,$A141&amp;"|"&amp;D$1&amp;"|Input"),IF(COUNTIF(Flows!$M$2:$M$1500,$A141&amp;"|"&amp;D$1&amp;"|Output"),"I/O","IN"),IF(COUNTIF(Flows!$M$2:$M$1500,$A141&amp;"|"&amp;D$1&amp;"|Output"),"OUT",""))</f>
        <v/>
      </c>
      <c r="E141" s="33" t="str">
        <f aca="false">IF(COUNTIF(Flows!$M$2:$M$1500,$A141&amp;"|"&amp;E$1&amp;"|Input"),IF(COUNTIF(Flows!$M$2:$M$1500,$A141&amp;"|"&amp;E$1&amp;"|Output"),"I/O","IN"),IF(COUNTIF(Flows!$M$2:$M$1500,$A141&amp;"|"&amp;E$1&amp;"|Output"),"OUT",""))</f>
        <v/>
      </c>
      <c r="F141" s="33" t="str">
        <f aca="false">IF(COUNTIF(Flows!$M$2:$M$1500,$A141&amp;"|"&amp;F$1&amp;"|Input"),IF(COUNTIF(Flows!$M$2:$M$1500,$A141&amp;"|"&amp;F$1&amp;"|Output"),"I/O","IN"),IF(COUNTIF(Flows!$M$2:$M$1500,$A141&amp;"|"&amp;F$1&amp;"|Output"),"OUT",""))</f>
        <v/>
      </c>
      <c r="G141" s="33" t="str">
        <f aca="false">IF(COUNTIF(Flows!$M$2:$M$1500,$A141&amp;"|"&amp;G$1&amp;"|Input"),IF(COUNTIF(Flows!$M$2:$M$1500,$A141&amp;"|"&amp;G$1&amp;"|Output"),"I/O","IN"),IF(COUNTIF(Flows!$M$2:$M$1500,$A141&amp;"|"&amp;G$1&amp;"|Output"),"OUT",""))</f>
        <v/>
      </c>
      <c r="H141" s="33" t="str">
        <f aca="false">IF(COUNTIF(Flows!$M$2:$M$1500,$A141&amp;"|"&amp;H$1&amp;"|Input"),IF(COUNTIF(Flows!$M$2:$M$1500,$A141&amp;"|"&amp;H$1&amp;"|Output"),"I/O","IN"),IF(COUNTIF(Flows!$M$2:$M$1500,$A141&amp;"|"&amp;H$1&amp;"|Output"),"OUT",""))</f>
        <v/>
      </c>
      <c r="I141" s="33" t="str">
        <f aca="false">IF(COUNTIF(Flows!$M$2:$M$1500,$A141&amp;"|"&amp;I$1&amp;"|Input"),IF(COUNTIF(Flows!$M$2:$M$1500,$A141&amp;"|"&amp;I$1&amp;"|Output"),"I/O","IN"),IF(COUNTIF(Flows!$M$2:$M$1500,$A141&amp;"|"&amp;I$1&amp;"|Output"),"OUT",""))</f>
        <v/>
      </c>
      <c r="J141" s="33" t="str">
        <f aca="false">IF(COUNTIF(Flows!$M$2:$M$1500,$A141&amp;"|"&amp;J$1&amp;"|Input"),IF(COUNTIF(Flows!$M$2:$M$1500,$A141&amp;"|"&amp;J$1&amp;"|Output"),"I/O","IN"),IF(COUNTIF(Flows!$M$2:$M$1500,$A141&amp;"|"&amp;J$1&amp;"|Output"),"OUT",""))</f>
        <v/>
      </c>
      <c r="K141" s="33" t="str">
        <f aca="false">IF(COUNTIF(Flows!$M$2:$M$1500,$A141&amp;"|"&amp;K$1&amp;"|Input"),IF(COUNTIF(Flows!$M$2:$M$1500,$A141&amp;"|"&amp;K$1&amp;"|Output"),"I/O","IN"),IF(COUNTIF(Flows!$M$2:$M$1500,$A141&amp;"|"&amp;K$1&amp;"|Output"),"OUT",""))</f>
        <v/>
      </c>
      <c r="L141" s="33" t="str">
        <f aca="false">IF(COUNTIF(Flows!$M$2:$M$1500,$A141&amp;"|"&amp;L$1&amp;"|Input"),IF(COUNTIF(Flows!$M$2:$M$1500,$A141&amp;"|"&amp;L$1&amp;"|Output"),"I/O","IN"),IF(COUNTIF(Flows!$M$2:$M$1500,$A141&amp;"|"&amp;L$1&amp;"|Output"),"OUT",""))</f>
        <v>OUT</v>
      </c>
      <c r="M141" s="33" t="str">
        <f aca="false">IF(COUNTIF(Flows!$M$2:$M$1500,$A141&amp;"|"&amp;M$1&amp;"|Input"),IF(COUNTIF(Flows!$M$2:$M$1500,$A141&amp;"|"&amp;M$1&amp;"|Output"),"I/O","IN"),IF(COUNTIF(Flows!$M$2:$M$1500,$A141&amp;"|"&amp;M$1&amp;"|Output"),"OUT",""))</f>
        <v/>
      </c>
      <c r="N141" s="33" t="str">
        <f aca="false">IF(COUNTIF(Flows!$M$2:$M$1500,$A141&amp;"|"&amp;N$1&amp;"|Input"),IF(COUNTIF(Flows!$M$2:$M$1500,$A141&amp;"|"&amp;N$1&amp;"|Output"),"I/O","IN"),IF(COUNTIF(Flows!$M$2:$M$1500,$A141&amp;"|"&amp;N$1&amp;"|Output"),"OUT",""))</f>
        <v/>
      </c>
      <c r="O141" s="33" t="str">
        <f aca="false">IF(COUNTIF(Flows!$M$2:$M$1500,$A141&amp;"|"&amp;O$1&amp;"|Input"),IF(COUNTIF(Flows!$M$2:$M$1500,$A141&amp;"|"&amp;O$1&amp;"|Output"),"I/O","IN"),IF(COUNTIF(Flows!$M$2:$M$1500,$A141&amp;"|"&amp;O$1&amp;"|Output"),"OUT",""))</f>
        <v/>
      </c>
      <c r="P141" s="33" t="str">
        <f aca="false">IF(COUNTIF(Flows!$M$2:$M$1500,$A141&amp;"|"&amp;P$1&amp;"|Input"),IF(COUNTIF(Flows!$M$2:$M$1500,$A141&amp;"|"&amp;P$1&amp;"|Output"),"I/O","IN"),IF(COUNTIF(Flows!$M$2:$M$1500,$A141&amp;"|"&amp;P$1&amp;"|Output"),"OUT",""))</f>
        <v/>
      </c>
      <c r="Q141" s="33" t="str">
        <f aca="false">IF(COUNTIF(Flows!$M$2:$M$1500,$A141&amp;"|"&amp;Q$1&amp;"|Input"),IF(COUNTIF(Flows!$M$2:$M$1500,$A141&amp;"|"&amp;Q$1&amp;"|Output"),"I/O","IN"),IF(COUNTIF(Flows!$M$2:$M$1500,$A141&amp;"|"&amp;Q$1&amp;"|Output"),"OUT",""))</f>
        <v/>
      </c>
      <c r="R141" s="33" t="str">
        <f aca="false">IF(COUNTIF(Flows!$M$2:$M$1500,$A141&amp;"|"&amp;R$1&amp;"|Input"),IF(COUNTIF(Flows!$M$2:$M$1500,$A141&amp;"|"&amp;R$1&amp;"|Output"),"I/O","IN"),IF(COUNTIF(Flows!$M$2:$M$1500,$A141&amp;"|"&amp;R$1&amp;"|Output"),"OUT",""))</f>
        <v/>
      </c>
      <c r="S141" s="33" t="str">
        <f aca="false">IF(COUNTIF(Flows!$M$2:$M$1500,$A141&amp;"|"&amp;S$1&amp;"|Input"),IF(COUNTIF(Flows!$M$2:$M$1500,$A141&amp;"|"&amp;S$1&amp;"|Output"),"I/O","IN"),IF(COUNTIF(Flows!$M$2:$M$1500,$A141&amp;"|"&amp;S$1&amp;"|Output"),"OUT",""))</f>
        <v/>
      </c>
      <c r="T141" s="33" t="str">
        <f aca="false">IF(COUNTIF(Flows!$M$2:$M$1500,$A141&amp;"|"&amp;T$1&amp;"|Input"),IF(COUNTIF(Flows!$M$2:$M$1500,$A141&amp;"|"&amp;T$1&amp;"|Output"),"I/O","IN"),IF(COUNTIF(Flows!$M$2:$M$1500,$A141&amp;"|"&amp;T$1&amp;"|Output"),"OUT",""))</f>
        <v/>
      </c>
      <c r="U141" s="33" t="str">
        <f aca="false">IF(COUNTIF(Flows!$M$2:$M$1500,$A141&amp;"|"&amp;U$1&amp;"|Input"),IF(COUNTIF(Flows!$M$2:$M$1500,$A141&amp;"|"&amp;U$1&amp;"|Output"),"I/O","IN"),IF(COUNTIF(Flows!$M$2:$M$1500,$A141&amp;"|"&amp;U$1&amp;"|Output"),"OUT",""))</f>
        <v/>
      </c>
      <c r="V141" s="33" t="str">
        <f aca="false">IF(COUNTIF(Flows!$M$2:$M$1500,$A141&amp;"|"&amp;V$1&amp;"|Input"),IF(COUNTIF(Flows!$M$2:$M$1500,$A141&amp;"|"&amp;V$1&amp;"|Output"),"I/O","IN"),IF(COUNTIF(Flows!$M$2:$M$1500,$A141&amp;"|"&amp;V$1&amp;"|Output"),"OUT",""))</f>
        <v/>
      </c>
      <c r="W141" s="33" t="str">
        <f aca="false">IF(COUNTIF(Flows!$M$2:$M$1500,$A141&amp;"|"&amp;W$1&amp;"|Input"),IF(COUNTIF(Flows!$M$2:$M$1500,$A141&amp;"|"&amp;W$1&amp;"|Output"),"I/O","IN"),IF(COUNTIF(Flows!$M$2:$M$1500,$A141&amp;"|"&amp;W$1&amp;"|Output"),"OUT",""))</f>
        <v/>
      </c>
      <c r="X141" s="33" t="str">
        <f aca="false">IF(COUNTIF(Flows!$M$2:$M$1500,$A141&amp;"|"&amp;X$1&amp;"|Input"),IF(COUNTIF(Flows!$M$2:$M$1500,$A141&amp;"|"&amp;X$1&amp;"|Output"),"I/O","IN"),IF(COUNTIF(Flows!$M$2:$M$1500,$A141&amp;"|"&amp;X$1&amp;"|Output"),"OUT",""))</f>
        <v>IN</v>
      </c>
      <c r="Y141" s="33" t="str">
        <f aca="false">IF(COUNTIF(Flows!$M$2:$M$1500,$A141&amp;"|"&amp;Y$1&amp;"|Input"),IF(COUNTIF(Flows!$M$2:$M$1500,$A141&amp;"|"&amp;Y$1&amp;"|Output"),"I/O","IN"),IF(COUNTIF(Flows!$M$2:$M$1500,$A141&amp;"|"&amp;Y$1&amp;"|Output"),"OUT",""))</f>
        <v/>
      </c>
      <c r="Z141" s="33" t="str">
        <f aca="false">IF(COUNTIF(Flows!$M$2:$M$1500,$A141&amp;"|"&amp;Z$1&amp;"|Input"),IF(COUNTIF(Flows!$M$2:$M$1500,$A141&amp;"|"&amp;Z$1&amp;"|Output"),"I/O","IN"),IF(COUNTIF(Flows!$M$2:$M$1500,$A141&amp;"|"&amp;Z$1&amp;"|Output"),"OUT",""))</f>
        <v/>
      </c>
      <c r="AA141" s="33" t="str">
        <f aca="false">IF(COUNTIF(Flows!$M$2:$M$1500,$A141&amp;"|"&amp;AA$1&amp;"|Input"),IF(COUNTIF(Flows!$M$2:$M$1500,$A141&amp;"|"&amp;AA$1&amp;"|Output"),"I/O","IN"),IF(COUNTIF(Flows!$M$2:$M$1500,$A141&amp;"|"&amp;AA$1&amp;"|Output"),"OUT",""))</f>
        <v/>
      </c>
      <c r="AB141" s="33" t="str">
        <f aca="false">IF(COUNTIF(Flows!$M$2:$M$1500,$A141&amp;"|"&amp;AB$1&amp;"|Input"),IF(COUNTIF(Flows!$M$2:$M$1500,$A141&amp;"|"&amp;AB$1&amp;"|Output"),"I/O","IN"),IF(COUNTIF(Flows!$M$2:$M$1500,$A141&amp;"|"&amp;AB$1&amp;"|Output"),"OUT",""))</f>
        <v/>
      </c>
      <c r="AC141" s="33" t="str">
        <f aca="false">IF(COUNTIF(Flows!$M$2:$M$1500,$A141&amp;"|"&amp;AC$1&amp;"|Input"),IF(COUNTIF(Flows!$M$2:$M$1500,$A141&amp;"|"&amp;AC$1&amp;"|Output"),"I/O","IN"),IF(COUNTIF(Flows!$M$2:$M$1500,$A141&amp;"|"&amp;AC$1&amp;"|Output"),"OUT",""))</f>
        <v/>
      </c>
      <c r="AD141" s="33" t="str">
        <f aca="false">IF(COUNTIF(Flows!$M$2:$M$1500,$A141&amp;"|"&amp;AD$1&amp;"|Input"),IF(COUNTIF(Flows!$M$2:$M$1500,$A141&amp;"|"&amp;AD$1&amp;"|Output"),"I/O","IN"),IF(COUNTIF(Flows!$M$2:$M$1500,$A141&amp;"|"&amp;AD$1&amp;"|Output"),"OUT",""))</f>
        <v/>
      </c>
      <c r="AE141" s="33" t="str">
        <f aca="false">IF(COUNTIF(Flows!$M$2:$M$1500,$A141&amp;"|"&amp;AE$1&amp;"|Input"),IF(COUNTIF(Flows!$M$2:$M$1500,$A141&amp;"|"&amp;AE$1&amp;"|Output"),"I/O","IN"),IF(COUNTIF(Flows!$M$2:$M$1500,$A141&amp;"|"&amp;AE$1&amp;"|Output"),"OUT",""))</f>
        <v/>
      </c>
      <c r="AF141" s="33" t="str">
        <f aca="false">IF(COUNTIF(Flows!$M$2:$M$1500,$A141&amp;"|"&amp;AF$1&amp;"|Input"),IF(COUNTIF(Flows!$M$2:$M$1500,$A141&amp;"|"&amp;AF$1&amp;"|Output"),"I/O","IN"),IF(COUNTIF(Flows!$M$2:$M$1500,$A141&amp;"|"&amp;AF$1&amp;"|Output"),"OUT",""))</f>
        <v/>
      </c>
      <c r="AG141" s="33" t="str">
        <f aca="false">IF(COUNTIF(Flows!$M$2:$M$1500,$A141&amp;"|"&amp;AG$1&amp;"|Input"),IF(COUNTIF(Flows!$M$2:$M$1500,$A141&amp;"|"&amp;AG$1&amp;"|Output"),"I/O","IN"),IF(COUNTIF(Flows!$M$2:$M$1500,$A141&amp;"|"&amp;AG$1&amp;"|Output"),"OUT",""))</f>
        <v/>
      </c>
      <c r="AH141" s="33" t="str">
        <f aca="false">IF(COUNTIF(Flows!$M$2:$M$1500,$A141&amp;"|"&amp;AH$1&amp;"|Input"),IF(COUNTIF(Flows!$M$2:$M$1500,$A141&amp;"|"&amp;AH$1&amp;"|Output"),"I/O","IN"),IF(COUNTIF(Flows!$M$2:$M$1500,$A141&amp;"|"&amp;AH$1&amp;"|Output"),"OUT",""))</f>
        <v/>
      </c>
      <c r="AI141" s="33" t="str">
        <f aca="false">IF(COUNTIF(Flows!$M$2:$M$1500,$A141&amp;"|"&amp;AI$1&amp;"|Input"),IF(COUNTIF(Flows!$M$2:$M$1500,$A141&amp;"|"&amp;AI$1&amp;"|Output"),"I/O","IN"),IF(COUNTIF(Flows!$M$2:$M$1500,$A141&amp;"|"&amp;AI$1&amp;"|Output"),"OUT",""))</f>
        <v/>
      </c>
      <c r="AJ141" s="33" t="str">
        <f aca="false">IF(COUNTIF(Flows!$M$2:$M$1500,$A141&amp;"|"&amp;AJ$1&amp;"|Input"),IF(COUNTIF(Flows!$M$2:$M$1500,$A141&amp;"|"&amp;AJ$1&amp;"|Output"),"I/O","IN"),IF(COUNTIF(Flows!$M$2:$M$1500,$A141&amp;"|"&amp;AJ$1&amp;"|Output"),"OUT",""))</f>
        <v/>
      </c>
      <c r="AK141" s="33" t="str">
        <f aca="false">IF(COUNTIF(Flows!$M$2:$M$1500,$A141&amp;"|"&amp;AK$1&amp;"|Input"),IF(COUNTIF(Flows!$M$2:$M$1500,$A141&amp;"|"&amp;AK$1&amp;"|Output"),"I/O","IN"),IF(COUNTIF(Flows!$M$2:$M$1500,$A141&amp;"|"&amp;AK$1&amp;"|Output"),"OUT",""))</f>
        <v/>
      </c>
      <c r="AL141" s="33" t="str">
        <f aca="false">IF(COUNTIF(Flows!$M$2:$M$1500,$A141&amp;"|"&amp;AL$1&amp;"|Input"),IF(COUNTIF(Flows!$M$2:$M$1500,$A141&amp;"|"&amp;AL$1&amp;"|Output"),"I/O","IN"),IF(COUNTIF(Flows!$M$2:$M$1500,$A141&amp;"|"&amp;AL$1&amp;"|Output"),"OUT",""))</f>
        <v/>
      </c>
      <c r="AM141" s="33" t="str">
        <f aca="false">IF(COUNTIF(Flows!$M$2:$M$1500,$A141&amp;"|"&amp;AM$1&amp;"|Input"),IF(COUNTIF(Flows!$M$2:$M$1500,$A141&amp;"|"&amp;AM$1&amp;"|Output"),"I/O","IN"),IF(COUNTIF(Flows!$M$2:$M$1500,$A141&amp;"|"&amp;AM$1&amp;"|Output"),"OUT",""))</f>
        <v/>
      </c>
      <c r="AN141" s="33" t="str">
        <f aca="false">IF(COUNTIF(Flows!$M$2:$M$1500,$A141&amp;"|"&amp;AN$1&amp;"|Input"),IF(COUNTIF(Flows!$M$2:$M$1500,$A141&amp;"|"&amp;AN$1&amp;"|Output"),"I/O","IN"),IF(COUNTIF(Flows!$M$2:$M$1500,$A141&amp;"|"&amp;AN$1&amp;"|Output"),"OUT",""))</f>
        <v/>
      </c>
      <c r="AO141" s="33" t="str">
        <f aca="false">IF(COUNTIF(Flows!$M$2:$M$1500,$A141&amp;"|"&amp;AO$1&amp;"|Input"),IF(COUNTIF(Flows!$M$2:$M$1500,$A141&amp;"|"&amp;AO$1&amp;"|Output"),"I/O","IN"),IF(COUNTIF(Flows!$M$2:$M$1500,$A141&amp;"|"&amp;AO$1&amp;"|Output"),"OUT",""))</f>
        <v/>
      </c>
      <c r="AP141" s="33" t="str">
        <f aca="false">IF(COUNTIF(Flows!$M$2:$M$1500,$A141&amp;"|"&amp;AP$1&amp;"|Input"),IF(COUNTIF(Flows!$M$2:$M$1500,$A141&amp;"|"&amp;AP$1&amp;"|Output"),"I/O","IN"),IF(COUNTIF(Flows!$M$2:$M$1500,$A141&amp;"|"&amp;AP$1&amp;"|Output"),"OUT",""))</f>
        <v>IN</v>
      </c>
      <c r="AQ141" s="33" t="str">
        <f aca="false">IF(COUNTIF(Flows!$M$2:$M$1500,$A141&amp;"|"&amp;AQ$1&amp;"|Input"),IF(COUNTIF(Flows!$M$2:$M$1500,$A141&amp;"|"&amp;AQ$1&amp;"|Output"),"I/O","IN"),IF(COUNTIF(Flows!$M$2:$M$1500,$A141&amp;"|"&amp;AQ$1&amp;"|Output"),"OUT",""))</f>
        <v>IN</v>
      </c>
      <c r="AR141" s="33" t="str">
        <f aca="false">IF(COUNTIF(Flows!$M$2:$M$1500,$A141&amp;"|"&amp;AR$1&amp;"|Input"),IF(COUNTIF(Flows!$M$2:$M$1500,$A141&amp;"|"&amp;AR$1&amp;"|Output"),"I/O","IN"),IF(COUNTIF(Flows!$M$2:$M$1500,$A141&amp;"|"&amp;AR$1&amp;"|Output"),"OUT",""))</f>
        <v/>
      </c>
      <c r="AS141" s="33" t="str">
        <f aca="false">IF(COUNTIF(Flows!$M$2:$M$1500,$A141&amp;"|"&amp;AS$1&amp;"|Input"),IF(COUNTIF(Flows!$M$2:$M$1500,$A141&amp;"|"&amp;AS$1&amp;"|Output"),"I/O","IN"),IF(COUNTIF(Flows!$M$2:$M$1500,$A141&amp;"|"&amp;AS$1&amp;"|Output"),"OUT",""))</f>
        <v/>
      </c>
      <c r="AT141" s="33" t="str">
        <f aca="false">IF(COUNTIF(Flows!$M$2:$M$1500,$A141&amp;"|"&amp;AT$1&amp;"|Input"),IF(COUNTIF(Flows!$M$2:$M$1500,$A141&amp;"|"&amp;AT$1&amp;"|Output"),"I/O","IN"),IF(COUNTIF(Flows!$M$2:$M$1500,$A141&amp;"|"&amp;AT$1&amp;"|Output"),"OUT",""))</f>
        <v>OUT</v>
      </c>
      <c r="AU141" s="33" t="str">
        <f aca="false">IF(COUNTIF(Flows!$M$2:$M$1500,$A141&amp;"|"&amp;AU$1&amp;"|Input"),IF(COUNTIF(Flows!$M$2:$M$1500,$A141&amp;"|"&amp;AU$1&amp;"|Output"),"I/O","IN"),IF(COUNTIF(Flows!$M$2:$M$1500,$A141&amp;"|"&amp;AU$1&amp;"|Output"),"OUT",""))</f>
        <v/>
      </c>
      <c r="AV141" s="33" t="str">
        <f aca="false">IF(COUNTIF(Flows!$M$2:$M$1500,$A141&amp;"|"&amp;AV$1&amp;"|Input"),IF(COUNTIF(Flows!$M$2:$M$1500,$A141&amp;"|"&amp;AV$1&amp;"|Output"),"I/O","IN"),IF(COUNTIF(Flows!$M$2:$M$1500,$A141&amp;"|"&amp;AV$1&amp;"|Output"),"OUT",""))</f>
        <v/>
      </c>
      <c r="AW141" s="33" t="str">
        <f aca="false">IF(COUNTIF(Flows!$M$2:$M$1500,$A141&amp;"|"&amp;AW$1&amp;"|Input"),IF(COUNTIF(Flows!$M$2:$M$1500,$A141&amp;"|"&amp;AW$1&amp;"|Output"),"I/O","IN"),IF(COUNTIF(Flows!$M$2:$M$1500,$A141&amp;"|"&amp;AW$1&amp;"|Output"),"OUT",""))</f>
        <v/>
      </c>
      <c r="AX141" s="33" t="str">
        <f aca="false">IF(COUNTIF(Flows!$M$2:$M$1500,$A141&amp;"|"&amp;AX$1&amp;"|Input"),IF(COUNTIF(Flows!$M$2:$M$1500,$A141&amp;"|"&amp;AX$1&amp;"|Output"),"I/O","IN"),IF(COUNTIF(Flows!$M$2:$M$1500,$A141&amp;"|"&amp;AX$1&amp;"|Output"),"OUT",""))</f>
        <v/>
      </c>
      <c r="AY141" s="33" t="str">
        <f aca="false">IF(COUNTIF(Flows!$M$2:$M$1500,$A141&amp;"|"&amp;AY$1&amp;"|Input"),IF(COUNTIF(Flows!$M$2:$M$1500,$A141&amp;"|"&amp;AY$1&amp;"|Output"),"I/O","IN"),IF(COUNTIF(Flows!$M$2:$M$1500,$A141&amp;"|"&amp;AY$1&amp;"|Output"),"OUT",""))</f>
        <v/>
      </c>
      <c r="AZ141" s="33" t="str">
        <f aca="false">IF(COUNTIF(Flows!$M$2:$M$1500,$A141&amp;"|"&amp;AZ$1&amp;"|Input"),IF(COUNTIF(Flows!$M$2:$M$1500,$A141&amp;"|"&amp;AZ$1&amp;"|Output"),"I/O","IN"),IF(COUNTIF(Flows!$M$2:$M$1500,$A141&amp;"|"&amp;AZ$1&amp;"|Output"),"OUT",""))</f>
        <v/>
      </c>
      <c r="BA141" s="33" t="str">
        <f aca="false">IF(COUNTIF(Flows!$M$2:$M$1500,$A141&amp;"|"&amp;BA$1&amp;"|Input"),IF(COUNTIF(Flows!$M$2:$M$1500,$A141&amp;"|"&amp;BA$1&amp;"|Output"),"I/O","IN"),IF(COUNTIF(Flows!$M$2:$M$1500,$A141&amp;"|"&amp;BA$1&amp;"|Output"),"OUT",""))</f>
        <v/>
      </c>
      <c r="BB141" s="33" t="str">
        <f aca="false">IF(COUNTIF(Flows!$M$2:$M$1500,$A141&amp;"|"&amp;BB$1&amp;"|Input"),IF(COUNTIF(Flows!$M$2:$M$1500,$A141&amp;"|"&amp;BB$1&amp;"|Output"),"I/O","IN"),IF(COUNTIF(Flows!$M$2:$M$1500,$A141&amp;"|"&amp;BB$1&amp;"|Output"),"OUT",""))</f>
        <v/>
      </c>
      <c r="BC141" s="33" t="str">
        <f aca="false">IF(COUNTIF(Flows!$M$2:$M$1500,$A141&amp;"|"&amp;BC$1&amp;"|Input"),IF(COUNTIF(Flows!$M$2:$M$1500,$A141&amp;"|"&amp;BC$1&amp;"|Output"),"I/O","IN"),IF(COUNTIF(Flows!$M$2:$M$1500,$A141&amp;"|"&amp;BC$1&amp;"|Output"),"OUT",""))</f>
        <v/>
      </c>
      <c r="BD141" s="33" t="str">
        <f aca="false">IF(COUNTIF(Flows!$M$2:$M$1500,$A141&amp;"|"&amp;BD$1&amp;"|Input"),IF(COUNTIF(Flows!$M$2:$M$1500,$A141&amp;"|"&amp;BD$1&amp;"|Output"),"I/O","IN"),IF(COUNTIF(Flows!$M$2:$M$1500,$A141&amp;"|"&amp;BD$1&amp;"|Output"),"OUT",""))</f>
        <v/>
      </c>
      <c r="BE141" s="33" t="str">
        <f aca="false">IF(COUNTIF(Flows!$M$2:$M$1500,$A141&amp;"|"&amp;BE$1&amp;"|Input"),IF(COUNTIF(Flows!$M$2:$M$1500,$A141&amp;"|"&amp;BE$1&amp;"|Output"),"I/O","IN"),IF(COUNTIF(Flows!$M$2:$M$1500,$A141&amp;"|"&amp;BE$1&amp;"|Output"),"OUT",""))</f>
        <v/>
      </c>
      <c r="BF141" s="33" t="str">
        <f aca="false">IF(COUNTIF(Flows!$M$2:$M$1500,$A141&amp;"|"&amp;BF$1&amp;"|Input"),IF(COUNTIF(Flows!$M$2:$M$1500,$A141&amp;"|"&amp;BF$1&amp;"|Output"),"I/O","IN"),IF(COUNTIF(Flows!$M$2:$M$1500,$A141&amp;"|"&amp;BF$1&amp;"|Output"),"OUT",""))</f>
        <v/>
      </c>
      <c r="BG141" s="33" t="str">
        <f aca="false">IF(COUNTIF(Flows!$M$2:$M$1500,$A141&amp;"|"&amp;BG$1&amp;"|Input"),IF(COUNTIF(Flows!$M$2:$M$1500,$A141&amp;"|"&amp;BG$1&amp;"|Output"),"I/O","IN"),IF(COUNTIF(Flows!$M$2:$M$1500,$A141&amp;"|"&amp;BG$1&amp;"|Output"),"OUT",""))</f>
        <v/>
      </c>
      <c r="BH141" s="33" t="str">
        <f aca="false">IF(COUNTIF(Flows!$M$2:$M$1500,$A141&amp;"|"&amp;BH$1&amp;"|Input"),IF(COUNTIF(Flows!$M$2:$M$1500,$A141&amp;"|"&amp;BH$1&amp;"|Output"),"I/O","IN"),IF(COUNTIF(Flows!$M$2:$M$1500,$A141&amp;"|"&amp;BH$1&amp;"|Output"),"OUT",""))</f>
        <v/>
      </c>
      <c r="BI141" s="33" t="str">
        <f aca="false">IF(COUNTIF(Flows!$M$2:$M$1500,$A141&amp;"|"&amp;BI$1&amp;"|Input"),IF(COUNTIF(Flows!$M$2:$M$1500,$A141&amp;"|"&amp;BI$1&amp;"|Output"),"I/O","IN"),IF(COUNTIF(Flows!$M$2:$M$1500,$A141&amp;"|"&amp;BI$1&amp;"|Output"),"OUT",""))</f>
        <v/>
      </c>
      <c r="BJ141" s="33" t="str">
        <f aca="false">IF(COUNTIF(Flows!$M$2:$M$1500,$A141&amp;"|"&amp;BJ$1&amp;"|Input"),IF(COUNTIF(Flows!$M$2:$M$1500,$A141&amp;"|"&amp;BJ$1&amp;"|Output"),"I/O","IN"),IF(COUNTIF(Flows!$M$2:$M$1500,$A141&amp;"|"&amp;BJ$1&amp;"|Output"),"OUT",""))</f>
        <v/>
      </c>
      <c r="BK141" s="33" t="str">
        <f aca="false">IF(COUNTIF(Flows!$M$2:$M$1500,$A141&amp;"|"&amp;BK$1&amp;"|Input"),IF(COUNTIF(Flows!$M$2:$M$1500,$A141&amp;"|"&amp;BK$1&amp;"|Output"),"I/O","IN"),IF(COUNTIF(Flows!$M$2:$M$1500,$A141&amp;"|"&amp;BK$1&amp;"|Output"),"OUT",""))</f>
        <v/>
      </c>
    </row>
    <row r="142" customFormat="false" ht="15" hidden="false" customHeight="true" outlineLevel="0" collapsed="false">
      <c r="A142" s="6" t="str">
        <f aca="false">Systems!B142</f>
        <v>Sheep (flock of 3)</v>
      </c>
      <c r="B142" s="33" t="str">
        <f aca="false">IF(COUNTIF(Flows!$M$2:$M$1500,$A142&amp;"|"&amp;B$1&amp;"|Input"),IF(COUNTIF(Flows!$M$2:$M$1500,$A142&amp;"|"&amp;B$1&amp;"|Output"),"I/O","IN"),IF(COUNTIF(Flows!$M$2:$M$1500,$A142&amp;"|"&amp;B$1&amp;"|Output"),"OUT",""))</f>
        <v>IN</v>
      </c>
      <c r="C142" s="33" t="str">
        <f aca="false">IF(COUNTIF(Flows!$M$2:$M$1500,$A142&amp;"|"&amp;C$1&amp;"|Input"),IF(COUNTIF(Flows!$M$2:$M$1500,$A142&amp;"|"&amp;C$1&amp;"|Output"),"I/O","IN"),IF(COUNTIF(Flows!$M$2:$M$1500,$A142&amp;"|"&amp;C$1&amp;"|Output"),"OUT",""))</f>
        <v/>
      </c>
      <c r="D142" s="33" t="str">
        <f aca="false">IF(COUNTIF(Flows!$M$2:$M$1500,$A142&amp;"|"&amp;D$1&amp;"|Input"),IF(COUNTIF(Flows!$M$2:$M$1500,$A142&amp;"|"&amp;D$1&amp;"|Output"),"I/O","IN"),IF(COUNTIF(Flows!$M$2:$M$1500,$A142&amp;"|"&amp;D$1&amp;"|Output"),"OUT",""))</f>
        <v/>
      </c>
      <c r="E142" s="33" t="str">
        <f aca="false">IF(COUNTIF(Flows!$M$2:$M$1500,$A142&amp;"|"&amp;E$1&amp;"|Input"),IF(COUNTIF(Flows!$M$2:$M$1500,$A142&amp;"|"&amp;E$1&amp;"|Output"),"I/O","IN"),IF(COUNTIF(Flows!$M$2:$M$1500,$A142&amp;"|"&amp;E$1&amp;"|Output"),"OUT",""))</f>
        <v/>
      </c>
      <c r="F142" s="33" t="str">
        <f aca="false">IF(COUNTIF(Flows!$M$2:$M$1500,$A142&amp;"|"&amp;F$1&amp;"|Input"),IF(COUNTIF(Flows!$M$2:$M$1500,$A142&amp;"|"&amp;F$1&amp;"|Output"),"I/O","IN"),IF(COUNTIF(Flows!$M$2:$M$1500,$A142&amp;"|"&amp;F$1&amp;"|Output"),"OUT",""))</f>
        <v/>
      </c>
      <c r="G142" s="33" t="str">
        <f aca="false">IF(COUNTIF(Flows!$M$2:$M$1500,$A142&amp;"|"&amp;G$1&amp;"|Input"),IF(COUNTIF(Flows!$M$2:$M$1500,$A142&amp;"|"&amp;G$1&amp;"|Output"),"I/O","IN"),IF(COUNTIF(Flows!$M$2:$M$1500,$A142&amp;"|"&amp;G$1&amp;"|Output"),"OUT",""))</f>
        <v/>
      </c>
      <c r="H142" s="33" t="str">
        <f aca="false">IF(COUNTIF(Flows!$M$2:$M$1500,$A142&amp;"|"&amp;H$1&amp;"|Input"),IF(COUNTIF(Flows!$M$2:$M$1500,$A142&amp;"|"&amp;H$1&amp;"|Output"),"I/O","IN"),IF(COUNTIF(Flows!$M$2:$M$1500,$A142&amp;"|"&amp;H$1&amp;"|Output"),"OUT",""))</f>
        <v/>
      </c>
      <c r="I142" s="33" t="str">
        <f aca="false">IF(COUNTIF(Flows!$M$2:$M$1500,$A142&amp;"|"&amp;I$1&amp;"|Input"),IF(COUNTIF(Flows!$M$2:$M$1500,$A142&amp;"|"&amp;I$1&amp;"|Output"),"I/O","IN"),IF(COUNTIF(Flows!$M$2:$M$1500,$A142&amp;"|"&amp;I$1&amp;"|Output"),"OUT",""))</f>
        <v/>
      </c>
      <c r="J142" s="33" t="str">
        <f aca="false">IF(COUNTIF(Flows!$M$2:$M$1500,$A142&amp;"|"&amp;J$1&amp;"|Input"),IF(COUNTIF(Flows!$M$2:$M$1500,$A142&amp;"|"&amp;J$1&amp;"|Output"),"I/O","IN"),IF(COUNTIF(Flows!$M$2:$M$1500,$A142&amp;"|"&amp;J$1&amp;"|Output"),"OUT",""))</f>
        <v/>
      </c>
      <c r="K142" s="33" t="str">
        <f aca="false">IF(COUNTIF(Flows!$M$2:$M$1500,$A142&amp;"|"&amp;K$1&amp;"|Input"),IF(COUNTIF(Flows!$M$2:$M$1500,$A142&amp;"|"&amp;K$1&amp;"|Output"),"I/O","IN"),IF(COUNTIF(Flows!$M$2:$M$1500,$A142&amp;"|"&amp;K$1&amp;"|Output"),"OUT",""))</f>
        <v/>
      </c>
      <c r="L142" s="33" t="str">
        <f aca="false">IF(COUNTIF(Flows!$M$2:$M$1500,$A142&amp;"|"&amp;L$1&amp;"|Input"),IF(COUNTIF(Flows!$M$2:$M$1500,$A142&amp;"|"&amp;L$1&amp;"|Output"),"I/O","IN"),IF(COUNTIF(Flows!$M$2:$M$1500,$A142&amp;"|"&amp;L$1&amp;"|Output"),"OUT",""))</f>
        <v>OUT</v>
      </c>
      <c r="M142" s="33" t="str">
        <f aca="false">IF(COUNTIF(Flows!$M$2:$M$1500,$A142&amp;"|"&amp;M$1&amp;"|Input"),IF(COUNTIF(Flows!$M$2:$M$1500,$A142&amp;"|"&amp;M$1&amp;"|Output"),"I/O","IN"),IF(COUNTIF(Flows!$M$2:$M$1500,$A142&amp;"|"&amp;M$1&amp;"|Output"),"OUT",""))</f>
        <v/>
      </c>
      <c r="N142" s="33" t="str">
        <f aca="false">IF(COUNTIF(Flows!$M$2:$M$1500,$A142&amp;"|"&amp;N$1&amp;"|Input"),IF(COUNTIF(Flows!$M$2:$M$1500,$A142&amp;"|"&amp;N$1&amp;"|Output"),"I/O","IN"),IF(COUNTIF(Flows!$M$2:$M$1500,$A142&amp;"|"&amp;N$1&amp;"|Output"),"OUT",""))</f>
        <v/>
      </c>
      <c r="O142" s="33" t="str">
        <f aca="false">IF(COUNTIF(Flows!$M$2:$M$1500,$A142&amp;"|"&amp;O$1&amp;"|Input"),IF(COUNTIF(Flows!$M$2:$M$1500,$A142&amp;"|"&amp;O$1&amp;"|Output"),"I/O","IN"),IF(COUNTIF(Flows!$M$2:$M$1500,$A142&amp;"|"&amp;O$1&amp;"|Output"),"OUT",""))</f>
        <v/>
      </c>
      <c r="P142" s="33" t="str">
        <f aca="false">IF(COUNTIF(Flows!$M$2:$M$1500,$A142&amp;"|"&amp;P$1&amp;"|Input"),IF(COUNTIF(Flows!$M$2:$M$1500,$A142&amp;"|"&amp;P$1&amp;"|Output"),"I/O","IN"),IF(COUNTIF(Flows!$M$2:$M$1500,$A142&amp;"|"&amp;P$1&amp;"|Output"),"OUT",""))</f>
        <v/>
      </c>
      <c r="Q142" s="33" t="str">
        <f aca="false">IF(COUNTIF(Flows!$M$2:$M$1500,$A142&amp;"|"&amp;Q$1&amp;"|Input"),IF(COUNTIF(Flows!$M$2:$M$1500,$A142&amp;"|"&amp;Q$1&amp;"|Output"),"I/O","IN"),IF(COUNTIF(Flows!$M$2:$M$1500,$A142&amp;"|"&amp;Q$1&amp;"|Output"),"OUT",""))</f>
        <v/>
      </c>
      <c r="R142" s="33" t="str">
        <f aca="false">IF(COUNTIF(Flows!$M$2:$M$1500,$A142&amp;"|"&amp;R$1&amp;"|Input"),IF(COUNTIF(Flows!$M$2:$M$1500,$A142&amp;"|"&amp;R$1&amp;"|Output"),"I/O","IN"),IF(COUNTIF(Flows!$M$2:$M$1500,$A142&amp;"|"&amp;R$1&amp;"|Output"),"OUT",""))</f>
        <v/>
      </c>
      <c r="S142" s="33" t="str">
        <f aca="false">IF(COUNTIF(Flows!$M$2:$M$1500,$A142&amp;"|"&amp;S$1&amp;"|Input"),IF(COUNTIF(Flows!$M$2:$M$1500,$A142&amp;"|"&amp;S$1&amp;"|Output"),"I/O","IN"),IF(COUNTIF(Flows!$M$2:$M$1500,$A142&amp;"|"&amp;S$1&amp;"|Output"),"OUT",""))</f>
        <v/>
      </c>
      <c r="T142" s="33" t="str">
        <f aca="false">IF(COUNTIF(Flows!$M$2:$M$1500,$A142&amp;"|"&amp;T$1&amp;"|Input"),IF(COUNTIF(Flows!$M$2:$M$1500,$A142&amp;"|"&amp;T$1&amp;"|Output"),"I/O","IN"),IF(COUNTIF(Flows!$M$2:$M$1500,$A142&amp;"|"&amp;T$1&amp;"|Output"),"OUT",""))</f>
        <v/>
      </c>
      <c r="U142" s="33" t="str">
        <f aca="false">IF(COUNTIF(Flows!$M$2:$M$1500,$A142&amp;"|"&amp;U$1&amp;"|Input"),IF(COUNTIF(Flows!$M$2:$M$1500,$A142&amp;"|"&amp;U$1&amp;"|Output"),"I/O","IN"),IF(COUNTIF(Flows!$M$2:$M$1500,$A142&amp;"|"&amp;U$1&amp;"|Output"),"OUT",""))</f>
        <v/>
      </c>
      <c r="V142" s="33" t="str">
        <f aca="false">IF(COUNTIF(Flows!$M$2:$M$1500,$A142&amp;"|"&amp;V$1&amp;"|Input"),IF(COUNTIF(Flows!$M$2:$M$1500,$A142&amp;"|"&amp;V$1&amp;"|Output"),"I/O","IN"),IF(COUNTIF(Flows!$M$2:$M$1500,$A142&amp;"|"&amp;V$1&amp;"|Output"),"OUT",""))</f>
        <v/>
      </c>
      <c r="W142" s="33" t="str">
        <f aca="false">IF(COUNTIF(Flows!$M$2:$M$1500,$A142&amp;"|"&amp;W$1&amp;"|Input"),IF(COUNTIF(Flows!$M$2:$M$1500,$A142&amp;"|"&amp;W$1&amp;"|Output"),"I/O","IN"),IF(COUNTIF(Flows!$M$2:$M$1500,$A142&amp;"|"&amp;W$1&amp;"|Output"),"OUT",""))</f>
        <v/>
      </c>
      <c r="X142" s="33" t="str">
        <f aca="false">IF(COUNTIF(Flows!$M$2:$M$1500,$A142&amp;"|"&amp;X$1&amp;"|Input"),IF(COUNTIF(Flows!$M$2:$M$1500,$A142&amp;"|"&amp;X$1&amp;"|Output"),"I/O","IN"),IF(COUNTIF(Flows!$M$2:$M$1500,$A142&amp;"|"&amp;X$1&amp;"|Output"),"OUT",""))</f>
        <v>IN</v>
      </c>
      <c r="Y142" s="33" t="str">
        <f aca="false">IF(COUNTIF(Flows!$M$2:$M$1500,$A142&amp;"|"&amp;Y$1&amp;"|Input"),IF(COUNTIF(Flows!$M$2:$M$1500,$A142&amp;"|"&amp;Y$1&amp;"|Output"),"I/O","IN"),IF(COUNTIF(Flows!$M$2:$M$1500,$A142&amp;"|"&amp;Y$1&amp;"|Output"),"OUT",""))</f>
        <v/>
      </c>
      <c r="Z142" s="33" t="str">
        <f aca="false">IF(COUNTIF(Flows!$M$2:$M$1500,$A142&amp;"|"&amp;Z$1&amp;"|Input"),IF(COUNTIF(Flows!$M$2:$M$1500,$A142&amp;"|"&amp;Z$1&amp;"|Output"),"I/O","IN"),IF(COUNTIF(Flows!$M$2:$M$1500,$A142&amp;"|"&amp;Z$1&amp;"|Output"),"OUT",""))</f>
        <v/>
      </c>
      <c r="AA142" s="33" t="str">
        <f aca="false">IF(COUNTIF(Flows!$M$2:$M$1500,$A142&amp;"|"&amp;AA$1&amp;"|Input"),IF(COUNTIF(Flows!$M$2:$M$1500,$A142&amp;"|"&amp;AA$1&amp;"|Output"),"I/O","IN"),IF(COUNTIF(Flows!$M$2:$M$1500,$A142&amp;"|"&amp;AA$1&amp;"|Output"),"OUT",""))</f>
        <v/>
      </c>
      <c r="AB142" s="33" t="str">
        <f aca="false">IF(COUNTIF(Flows!$M$2:$M$1500,$A142&amp;"|"&amp;AB$1&amp;"|Input"),IF(COUNTIF(Flows!$M$2:$M$1500,$A142&amp;"|"&amp;AB$1&amp;"|Output"),"I/O","IN"),IF(COUNTIF(Flows!$M$2:$M$1500,$A142&amp;"|"&amp;AB$1&amp;"|Output"),"OUT",""))</f>
        <v/>
      </c>
      <c r="AC142" s="33" t="str">
        <f aca="false">IF(COUNTIF(Flows!$M$2:$M$1500,$A142&amp;"|"&amp;AC$1&amp;"|Input"),IF(COUNTIF(Flows!$M$2:$M$1500,$A142&amp;"|"&amp;AC$1&amp;"|Output"),"I/O","IN"),IF(COUNTIF(Flows!$M$2:$M$1500,$A142&amp;"|"&amp;AC$1&amp;"|Output"),"OUT",""))</f>
        <v/>
      </c>
      <c r="AD142" s="33" t="str">
        <f aca="false">IF(COUNTIF(Flows!$M$2:$M$1500,$A142&amp;"|"&amp;AD$1&amp;"|Input"),IF(COUNTIF(Flows!$M$2:$M$1500,$A142&amp;"|"&amp;AD$1&amp;"|Output"),"I/O","IN"),IF(COUNTIF(Flows!$M$2:$M$1500,$A142&amp;"|"&amp;AD$1&amp;"|Output"),"OUT",""))</f>
        <v/>
      </c>
      <c r="AE142" s="33" t="str">
        <f aca="false">IF(COUNTIF(Flows!$M$2:$M$1500,$A142&amp;"|"&amp;AE$1&amp;"|Input"),IF(COUNTIF(Flows!$M$2:$M$1500,$A142&amp;"|"&amp;AE$1&amp;"|Output"),"I/O","IN"),IF(COUNTIF(Flows!$M$2:$M$1500,$A142&amp;"|"&amp;AE$1&amp;"|Output"),"OUT",""))</f>
        <v/>
      </c>
      <c r="AF142" s="33" t="str">
        <f aca="false">IF(COUNTIF(Flows!$M$2:$M$1500,$A142&amp;"|"&amp;AF$1&amp;"|Input"),IF(COUNTIF(Flows!$M$2:$M$1500,$A142&amp;"|"&amp;AF$1&amp;"|Output"),"I/O","IN"),IF(COUNTIF(Flows!$M$2:$M$1500,$A142&amp;"|"&amp;AF$1&amp;"|Output"),"OUT",""))</f>
        <v/>
      </c>
      <c r="AG142" s="33" t="str">
        <f aca="false">IF(COUNTIF(Flows!$M$2:$M$1500,$A142&amp;"|"&amp;AG$1&amp;"|Input"),IF(COUNTIF(Flows!$M$2:$M$1500,$A142&amp;"|"&amp;AG$1&amp;"|Output"),"I/O","IN"),IF(COUNTIF(Flows!$M$2:$M$1500,$A142&amp;"|"&amp;AG$1&amp;"|Output"),"OUT",""))</f>
        <v/>
      </c>
      <c r="AH142" s="33" t="str">
        <f aca="false">IF(COUNTIF(Flows!$M$2:$M$1500,$A142&amp;"|"&amp;AH$1&amp;"|Input"),IF(COUNTIF(Flows!$M$2:$M$1500,$A142&amp;"|"&amp;AH$1&amp;"|Output"),"I/O","IN"),IF(COUNTIF(Flows!$M$2:$M$1500,$A142&amp;"|"&amp;AH$1&amp;"|Output"),"OUT",""))</f>
        <v/>
      </c>
      <c r="AI142" s="33" t="str">
        <f aca="false">IF(COUNTIF(Flows!$M$2:$M$1500,$A142&amp;"|"&amp;AI$1&amp;"|Input"),IF(COUNTIF(Flows!$M$2:$M$1500,$A142&amp;"|"&amp;AI$1&amp;"|Output"),"I/O","IN"),IF(COUNTIF(Flows!$M$2:$M$1500,$A142&amp;"|"&amp;AI$1&amp;"|Output"),"OUT",""))</f>
        <v/>
      </c>
      <c r="AJ142" s="33" t="str">
        <f aca="false">IF(COUNTIF(Flows!$M$2:$M$1500,$A142&amp;"|"&amp;AJ$1&amp;"|Input"),IF(COUNTIF(Flows!$M$2:$M$1500,$A142&amp;"|"&amp;AJ$1&amp;"|Output"),"I/O","IN"),IF(COUNTIF(Flows!$M$2:$M$1500,$A142&amp;"|"&amp;AJ$1&amp;"|Output"),"OUT",""))</f>
        <v>IN</v>
      </c>
      <c r="AK142" s="33" t="str">
        <f aca="false">IF(COUNTIF(Flows!$M$2:$M$1500,$A142&amp;"|"&amp;AK$1&amp;"|Input"),IF(COUNTIF(Flows!$M$2:$M$1500,$A142&amp;"|"&amp;AK$1&amp;"|Output"),"I/O","IN"),IF(COUNTIF(Flows!$M$2:$M$1500,$A142&amp;"|"&amp;AK$1&amp;"|Output"),"OUT",""))</f>
        <v/>
      </c>
      <c r="AL142" s="33" t="str">
        <f aca="false">IF(COUNTIF(Flows!$M$2:$M$1500,$A142&amp;"|"&amp;AL$1&amp;"|Input"),IF(COUNTIF(Flows!$M$2:$M$1500,$A142&amp;"|"&amp;AL$1&amp;"|Output"),"I/O","IN"),IF(COUNTIF(Flows!$M$2:$M$1500,$A142&amp;"|"&amp;AL$1&amp;"|Output"),"OUT",""))</f>
        <v/>
      </c>
      <c r="AM142" s="33" t="str">
        <f aca="false">IF(COUNTIF(Flows!$M$2:$M$1500,$A142&amp;"|"&amp;AM$1&amp;"|Input"),IF(COUNTIF(Flows!$M$2:$M$1500,$A142&amp;"|"&amp;AM$1&amp;"|Output"),"I/O","IN"),IF(COUNTIF(Flows!$M$2:$M$1500,$A142&amp;"|"&amp;AM$1&amp;"|Output"),"OUT",""))</f>
        <v/>
      </c>
      <c r="AN142" s="33" t="str">
        <f aca="false">IF(COUNTIF(Flows!$M$2:$M$1500,$A142&amp;"|"&amp;AN$1&amp;"|Input"),IF(COUNTIF(Flows!$M$2:$M$1500,$A142&amp;"|"&amp;AN$1&amp;"|Output"),"I/O","IN"),IF(COUNTIF(Flows!$M$2:$M$1500,$A142&amp;"|"&amp;AN$1&amp;"|Output"),"OUT",""))</f>
        <v/>
      </c>
      <c r="AO142" s="33" t="str">
        <f aca="false">IF(COUNTIF(Flows!$M$2:$M$1500,$A142&amp;"|"&amp;AO$1&amp;"|Input"),IF(COUNTIF(Flows!$M$2:$M$1500,$A142&amp;"|"&amp;AO$1&amp;"|Output"),"I/O","IN"),IF(COUNTIF(Flows!$M$2:$M$1500,$A142&amp;"|"&amp;AO$1&amp;"|Output"),"OUT",""))</f>
        <v/>
      </c>
      <c r="AP142" s="33" t="str">
        <f aca="false">IF(COUNTIF(Flows!$M$2:$M$1500,$A142&amp;"|"&amp;AP$1&amp;"|Input"),IF(COUNTIF(Flows!$M$2:$M$1500,$A142&amp;"|"&amp;AP$1&amp;"|Output"),"I/O","IN"),IF(COUNTIF(Flows!$M$2:$M$1500,$A142&amp;"|"&amp;AP$1&amp;"|Output"),"OUT",""))</f>
        <v>IN</v>
      </c>
      <c r="AQ142" s="33" t="str">
        <f aca="false">IF(COUNTIF(Flows!$M$2:$M$1500,$A142&amp;"|"&amp;AQ$1&amp;"|Input"),IF(COUNTIF(Flows!$M$2:$M$1500,$A142&amp;"|"&amp;AQ$1&amp;"|Output"),"I/O","IN"),IF(COUNTIF(Flows!$M$2:$M$1500,$A142&amp;"|"&amp;AQ$1&amp;"|Output"),"OUT",""))</f>
        <v>IN</v>
      </c>
      <c r="AR142" s="33" t="str">
        <f aca="false">IF(COUNTIF(Flows!$M$2:$M$1500,$A142&amp;"|"&amp;AR$1&amp;"|Input"),IF(COUNTIF(Flows!$M$2:$M$1500,$A142&amp;"|"&amp;AR$1&amp;"|Output"),"I/O","IN"),IF(COUNTIF(Flows!$M$2:$M$1500,$A142&amp;"|"&amp;AR$1&amp;"|Output"),"OUT",""))</f>
        <v/>
      </c>
      <c r="AS142" s="33" t="str">
        <f aca="false">IF(COUNTIF(Flows!$M$2:$M$1500,$A142&amp;"|"&amp;AS$1&amp;"|Input"),IF(COUNTIF(Flows!$M$2:$M$1500,$A142&amp;"|"&amp;AS$1&amp;"|Output"),"I/O","IN"),IF(COUNTIF(Flows!$M$2:$M$1500,$A142&amp;"|"&amp;AS$1&amp;"|Output"),"OUT",""))</f>
        <v/>
      </c>
      <c r="AT142" s="33" t="str">
        <f aca="false">IF(COUNTIF(Flows!$M$2:$M$1500,$A142&amp;"|"&amp;AT$1&amp;"|Input"),IF(COUNTIF(Flows!$M$2:$M$1500,$A142&amp;"|"&amp;AT$1&amp;"|Output"),"I/O","IN"),IF(COUNTIF(Flows!$M$2:$M$1500,$A142&amp;"|"&amp;AT$1&amp;"|Output"),"OUT",""))</f>
        <v>OUT</v>
      </c>
      <c r="AU142" s="33" t="str">
        <f aca="false">IF(COUNTIF(Flows!$M$2:$M$1500,$A142&amp;"|"&amp;AU$1&amp;"|Input"),IF(COUNTIF(Flows!$M$2:$M$1500,$A142&amp;"|"&amp;AU$1&amp;"|Output"),"I/O","IN"),IF(COUNTIF(Flows!$M$2:$M$1500,$A142&amp;"|"&amp;AU$1&amp;"|Output"),"OUT",""))</f>
        <v/>
      </c>
      <c r="AV142" s="33" t="str">
        <f aca="false">IF(COUNTIF(Flows!$M$2:$M$1500,$A142&amp;"|"&amp;AV$1&amp;"|Input"),IF(COUNTIF(Flows!$M$2:$M$1500,$A142&amp;"|"&amp;AV$1&amp;"|Output"),"I/O","IN"),IF(COUNTIF(Flows!$M$2:$M$1500,$A142&amp;"|"&amp;AV$1&amp;"|Output"),"OUT",""))</f>
        <v/>
      </c>
      <c r="AW142" s="33" t="str">
        <f aca="false">IF(COUNTIF(Flows!$M$2:$M$1500,$A142&amp;"|"&amp;AW$1&amp;"|Input"),IF(COUNTIF(Flows!$M$2:$M$1500,$A142&amp;"|"&amp;AW$1&amp;"|Output"),"I/O","IN"),IF(COUNTIF(Flows!$M$2:$M$1500,$A142&amp;"|"&amp;AW$1&amp;"|Output"),"OUT",""))</f>
        <v/>
      </c>
      <c r="AX142" s="33" t="str">
        <f aca="false">IF(COUNTIF(Flows!$M$2:$M$1500,$A142&amp;"|"&amp;AX$1&amp;"|Input"),IF(COUNTIF(Flows!$M$2:$M$1500,$A142&amp;"|"&amp;AX$1&amp;"|Output"),"I/O","IN"),IF(COUNTIF(Flows!$M$2:$M$1500,$A142&amp;"|"&amp;AX$1&amp;"|Output"),"OUT",""))</f>
        <v/>
      </c>
      <c r="AY142" s="33" t="str">
        <f aca="false">IF(COUNTIF(Flows!$M$2:$M$1500,$A142&amp;"|"&amp;AY$1&amp;"|Input"),IF(COUNTIF(Flows!$M$2:$M$1500,$A142&amp;"|"&amp;AY$1&amp;"|Output"),"I/O","IN"),IF(COUNTIF(Flows!$M$2:$M$1500,$A142&amp;"|"&amp;AY$1&amp;"|Output"),"OUT",""))</f>
        <v/>
      </c>
      <c r="AZ142" s="33" t="str">
        <f aca="false">IF(COUNTIF(Flows!$M$2:$M$1500,$A142&amp;"|"&amp;AZ$1&amp;"|Input"),IF(COUNTIF(Flows!$M$2:$M$1500,$A142&amp;"|"&amp;AZ$1&amp;"|Output"),"I/O","IN"),IF(COUNTIF(Flows!$M$2:$M$1500,$A142&amp;"|"&amp;AZ$1&amp;"|Output"),"OUT",""))</f>
        <v/>
      </c>
      <c r="BA142" s="33" t="str">
        <f aca="false">IF(COUNTIF(Flows!$M$2:$M$1500,$A142&amp;"|"&amp;BA$1&amp;"|Input"),IF(COUNTIF(Flows!$M$2:$M$1500,$A142&amp;"|"&amp;BA$1&amp;"|Output"),"I/O","IN"),IF(COUNTIF(Flows!$M$2:$M$1500,$A142&amp;"|"&amp;BA$1&amp;"|Output"),"OUT",""))</f>
        <v/>
      </c>
      <c r="BB142" s="33" t="str">
        <f aca="false">IF(COUNTIF(Flows!$M$2:$M$1500,$A142&amp;"|"&amp;BB$1&amp;"|Input"),IF(COUNTIF(Flows!$M$2:$M$1500,$A142&amp;"|"&amp;BB$1&amp;"|Output"),"I/O","IN"),IF(COUNTIF(Flows!$M$2:$M$1500,$A142&amp;"|"&amp;BB$1&amp;"|Output"),"OUT",""))</f>
        <v/>
      </c>
      <c r="BC142" s="33" t="str">
        <f aca="false">IF(COUNTIF(Flows!$M$2:$M$1500,$A142&amp;"|"&amp;BC$1&amp;"|Input"),IF(COUNTIF(Flows!$M$2:$M$1500,$A142&amp;"|"&amp;BC$1&amp;"|Output"),"I/O","IN"),IF(COUNTIF(Flows!$M$2:$M$1500,$A142&amp;"|"&amp;BC$1&amp;"|Output"),"OUT",""))</f>
        <v/>
      </c>
      <c r="BD142" s="33" t="str">
        <f aca="false">IF(COUNTIF(Flows!$M$2:$M$1500,$A142&amp;"|"&amp;BD$1&amp;"|Input"),IF(COUNTIF(Flows!$M$2:$M$1500,$A142&amp;"|"&amp;BD$1&amp;"|Output"),"I/O","IN"),IF(COUNTIF(Flows!$M$2:$M$1500,$A142&amp;"|"&amp;BD$1&amp;"|Output"),"OUT",""))</f>
        <v/>
      </c>
      <c r="BE142" s="33" t="str">
        <f aca="false">IF(COUNTIF(Flows!$M$2:$M$1500,$A142&amp;"|"&amp;BE$1&amp;"|Input"),IF(COUNTIF(Flows!$M$2:$M$1500,$A142&amp;"|"&amp;BE$1&amp;"|Output"),"I/O","IN"),IF(COUNTIF(Flows!$M$2:$M$1500,$A142&amp;"|"&amp;BE$1&amp;"|Output"),"OUT",""))</f>
        <v/>
      </c>
      <c r="BF142" s="33" t="str">
        <f aca="false">IF(COUNTIF(Flows!$M$2:$M$1500,$A142&amp;"|"&amp;BF$1&amp;"|Input"),IF(COUNTIF(Flows!$M$2:$M$1500,$A142&amp;"|"&amp;BF$1&amp;"|Output"),"I/O","IN"),IF(COUNTIF(Flows!$M$2:$M$1500,$A142&amp;"|"&amp;BF$1&amp;"|Output"),"OUT",""))</f>
        <v/>
      </c>
      <c r="BG142" s="33" t="str">
        <f aca="false">IF(COUNTIF(Flows!$M$2:$M$1500,$A142&amp;"|"&amp;BG$1&amp;"|Input"),IF(COUNTIF(Flows!$M$2:$M$1500,$A142&amp;"|"&amp;BG$1&amp;"|Output"),"I/O","IN"),IF(COUNTIF(Flows!$M$2:$M$1500,$A142&amp;"|"&amp;BG$1&amp;"|Output"),"OUT",""))</f>
        <v>OUT</v>
      </c>
      <c r="BH142" s="33" t="str">
        <f aca="false">IF(COUNTIF(Flows!$M$2:$M$1500,$A142&amp;"|"&amp;BH$1&amp;"|Input"),IF(COUNTIF(Flows!$M$2:$M$1500,$A142&amp;"|"&amp;BH$1&amp;"|Output"),"I/O","IN"),IF(COUNTIF(Flows!$M$2:$M$1500,$A142&amp;"|"&amp;BH$1&amp;"|Output"),"OUT",""))</f>
        <v/>
      </c>
      <c r="BI142" s="33" t="str">
        <f aca="false">IF(COUNTIF(Flows!$M$2:$M$1500,$A142&amp;"|"&amp;BI$1&amp;"|Input"),IF(COUNTIF(Flows!$M$2:$M$1500,$A142&amp;"|"&amp;BI$1&amp;"|Output"),"I/O","IN"),IF(COUNTIF(Flows!$M$2:$M$1500,$A142&amp;"|"&amp;BI$1&amp;"|Output"),"OUT",""))</f>
        <v/>
      </c>
      <c r="BJ142" s="33" t="str">
        <f aca="false">IF(COUNTIF(Flows!$M$2:$M$1500,$A142&amp;"|"&amp;BJ$1&amp;"|Input"),IF(COUNTIF(Flows!$M$2:$M$1500,$A142&amp;"|"&amp;BJ$1&amp;"|Output"),"I/O","IN"),IF(COUNTIF(Flows!$M$2:$M$1500,$A142&amp;"|"&amp;BJ$1&amp;"|Output"),"OUT",""))</f>
        <v/>
      </c>
      <c r="BK142" s="33" t="str">
        <f aca="false">IF(COUNTIF(Flows!$M$2:$M$1500,$A142&amp;"|"&amp;BK$1&amp;"|Input"),IF(COUNTIF(Flows!$M$2:$M$1500,$A142&amp;"|"&amp;BK$1&amp;"|Output"),"I/O","IN"),IF(COUNTIF(Flows!$M$2:$M$1500,$A142&amp;"|"&amp;BK$1&amp;"|Output"),"OUT",""))</f>
        <v/>
      </c>
    </row>
    <row r="143" customFormat="false" ht="15" hidden="false" customHeight="true" outlineLevel="0" collapsed="false">
      <c r="A143" s="6" t="str">
        <f aca="false">Systems!B143</f>
        <v>Quail Hutch (10 quail)</v>
      </c>
      <c r="B143" s="33" t="str">
        <f aca="false">IF(COUNTIF(Flows!$M$2:$M$1500,$A143&amp;"|"&amp;B$1&amp;"|Input"),IF(COUNTIF(Flows!$M$2:$M$1500,$A143&amp;"|"&amp;B$1&amp;"|Output"),"I/O","IN"),IF(COUNTIF(Flows!$M$2:$M$1500,$A143&amp;"|"&amp;B$1&amp;"|Output"),"OUT",""))</f>
        <v>IN</v>
      </c>
      <c r="C143" s="33" t="str">
        <f aca="false">IF(COUNTIF(Flows!$M$2:$M$1500,$A143&amp;"|"&amp;C$1&amp;"|Input"),IF(COUNTIF(Flows!$M$2:$M$1500,$A143&amp;"|"&amp;C$1&amp;"|Output"),"I/O","IN"),IF(COUNTIF(Flows!$M$2:$M$1500,$A143&amp;"|"&amp;C$1&amp;"|Output"),"OUT",""))</f>
        <v/>
      </c>
      <c r="D143" s="33" t="str">
        <f aca="false">IF(COUNTIF(Flows!$M$2:$M$1500,$A143&amp;"|"&amp;D$1&amp;"|Input"),IF(COUNTIF(Flows!$M$2:$M$1500,$A143&amp;"|"&amp;D$1&amp;"|Output"),"I/O","IN"),IF(COUNTIF(Flows!$M$2:$M$1500,$A143&amp;"|"&amp;D$1&amp;"|Output"),"OUT",""))</f>
        <v/>
      </c>
      <c r="E143" s="33" t="str">
        <f aca="false">IF(COUNTIF(Flows!$M$2:$M$1500,$A143&amp;"|"&amp;E$1&amp;"|Input"),IF(COUNTIF(Flows!$M$2:$M$1500,$A143&amp;"|"&amp;E$1&amp;"|Output"),"I/O","IN"),IF(COUNTIF(Flows!$M$2:$M$1500,$A143&amp;"|"&amp;E$1&amp;"|Output"),"OUT",""))</f>
        <v/>
      </c>
      <c r="F143" s="33" t="str">
        <f aca="false">IF(COUNTIF(Flows!$M$2:$M$1500,$A143&amp;"|"&amp;F$1&amp;"|Input"),IF(COUNTIF(Flows!$M$2:$M$1500,$A143&amp;"|"&amp;F$1&amp;"|Output"),"I/O","IN"),IF(COUNTIF(Flows!$M$2:$M$1500,$A143&amp;"|"&amp;F$1&amp;"|Output"),"OUT",""))</f>
        <v/>
      </c>
      <c r="G143" s="33" t="str">
        <f aca="false">IF(COUNTIF(Flows!$M$2:$M$1500,$A143&amp;"|"&amp;G$1&amp;"|Input"),IF(COUNTIF(Flows!$M$2:$M$1500,$A143&amp;"|"&amp;G$1&amp;"|Output"),"I/O","IN"),IF(COUNTIF(Flows!$M$2:$M$1500,$A143&amp;"|"&amp;G$1&amp;"|Output"),"OUT",""))</f>
        <v/>
      </c>
      <c r="H143" s="33" t="str">
        <f aca="false">IF(COUNTIF(Flows!$M$2:$M$1500,$A143&amp;"|"&amp;H$1&amp;"|Input"),IF(COUNTIF(Flows!$M$2:$M$1500,$A143&amp;"|"&amp;H$1&amp;"|Output"),"I/O","IN"),IF(COUNTIF(Flows!$M$2:$M$1500,$A143&amp;"|"&amp;H$1&amp;"|Output"),"OUT",""))</f>
        <v/>
      </c>
      <c r="I143" s="33" t="str">
        <f aca="false">IF(COUNTIF(Flows!$M$2:$M$1500,$A143&amp;"|"&amp;I$1&amp;"|Input"),IF(COUNTIF(Flows!$M$2:$M$1500,$A143&amp;"|"&amp;I$1&amp;"|Output"),"I/O","IN"),IF(COUNTIF(Flows!$M$2:$M$1500,$A143&amp;"|"&amp;I$1&amp;"|Output"),"OUT",""))</f>
        <v/>
      </c>
      <c r="J143" s="33" t="str">
        <f aca="false">IF(COUNTIF(Flows!$M$2:$M$1500,$A143&amp;"|"&amp;J$1&amp;"|Input"),IF(COUNTIF(Flows!$M$2:$M$1500,$A143&amp;"|"&amp;J$1&amp;"|Output"),"I/O","IN"),IF(COUNTIF(Flows!$M$2:$M$1500,$A143&amp;"|"&amp;J$1&amp;"|Output"),"OUT",""))</f>
        <v>OUT</v>
      </c>
      <c r="K143" s="33" t="str">
        <f aca="false">IF(COUNTIF(Flows!$M$2:$M$1500,$A143&amp;"|"&amp;K$1&amp;"|Input"),IF(COUNTIF(Flows!$M$2:$M$1500,$A143&amp;"|"&amp;K$1&amp;"|Output"),"I/O","IN"),IF(COUNTIF(Flows!$M$2:$M$1500,$A143&amp;"|"&amp;K$1&amp;"|Output"),"OUT",""))</f>
        <v/>
      </c>
      <c r="L143" s="33" t="str">
        <f aca="false">IF(COUNTIF(Flows!$M$2:$M$1500,$A143&amp;"|"&amp;L$1&amp;"|Input"),IF(COUNTIF(Flows!$M$2:$M$1500,$A143&amp;"|"&amp;L$1&amp;"|Output"),"I/O","IN"),IF(COUNTIF(Flows!$M$2:$M$1500,$A143&amp;"|"&amp;L$1&amp;"|Output"),"OUT",""))</f>
        <v>OUT</v>
      </c>
      <c r="M143" s="33" t="str">
        <f aca="false">IF(COUNTIF(Flows!$M$2:$M$1500,$A143&amp;"|"&amp;M$1&amp;"|Input"),IF(COUNTIF(Flows!$M$2:$M$1500,$A143&amp;"|"&amp;M$1&amp;"|Output"),"I/O","IN"),IF(COUNTIF(Flows!$M$2:$M$1500,$A143&amp;"|"&amp;M$1&amp;"|Output"),"OUT",""))</f>
        <v/>
      </c>
      <c r="N143" s="33" t="str">
        <f aca="false">IF(COUNTIF(Flows!$M$2:$M$1500,$A143&amp;"|"&amp;N$1&amp;"|Input"),IF(COUNTIF(Flows!$M$2:$M$1500,$A143&amp;"|"&amp;N$1&amp;"|Output"),"I/O","IN"),IF(COUNTIF(Flows!$M$2:$M$1500,$A143&amp;"|"&amp;N$1&amp;"|Output"),"OUT",""))</f>
        <v/>
      </c>
      <c r="O143" s="33" t="str">
        <f aca="false">IF(COUNTIF(Flows!$M$2:$M$1500,$A143&amp;"|"&amp;O$1&amp;"|Input"),IF(COUNTIF(Flows!$M$2:$M$1500,$A143&amp;"|"&amp;O$1&amp;"|Output"),"I/O","IN"),IF(COUNTIF(Flows!$M$2:$M$1500,$A143&amp;"|"&amp;O$1&amp;"|Output"),"OUT",""))</f>
        <v/>
      </c>
      <c r="P143" s="33" t="str">
        <f aca="false">IF(COUNTIF(Flows!$M$2:$M$1500,$A143&amp;"|"&amp;P$1&amp;"|Input"),IF(COUNTIF(Flows!$M$2:$M$1500,$A143&amp;"|"&amp;P$1&amp;"|Output"),"I/O","IN"),IF(COUNTIF(Flows!$M$2:$M$1500,$A143&amp;"|"&amp;P$1&amp;"|Output"),"OUT",""))</f>
        <v/>
      </c>
      <c r="Q143" s="33" t="str">
        <f aca="false">IF(COUNTIF(Flows!$M$2:$M$1500,$A143&amp;"|"&amp;Q$1&amp;"|Input"),IF(COUNTIF(Flows!$M$2:$M$1500,$A143&amp;"|"&amp;Q$1&amp;"|Output"),"I/O","IN"),IF(COUNTIF(Flows!$M$2:$M$1500,$A143&amp;"|"&amp;Q$1&amp;"|Output"),"OUT",""))</f>
        <v/>
      </c>
      <c r="R143" s="33" t="str">
        <f aca="false">IF(COUNTIF(Flows!$M$2:$M$1500,$A143&amp;"|"&amp;R$1&amp;"|Input"),IF(COUNTIF(Flows!$M$2:$M$1500,$A143&amp;"|"&amp;R$1&amp;"|Output"),"I/O","IN"),IF(COUNTIF(Flows!$M$2:$M$1500,$A143&amp;"|"&amp;R$1&amp;"|Output"),"OUT",""))</f>
        <v/>
      </c>
      <c r="S143" s="33" t="str">
        <f aca="false">IF(COUNTIF(Flows!$M$2:$M$1500,$A143&amp;"|"&amp;S$1&amp;"|Input"),IF(COUNTIF(Flows!$M$2:$M$1500,$A143&amp;"|"&amp;S$1&amp;"|Output"),"I/O","IN"),IF(COUNTIF(Flows!$M$2:$M$1500,$A143&amp;"|"&amp;S$1&amp;"|Output"),"OUT",""))</f>
        <v/>
      </c>
      <c r="T143" s="33" t="str">
        <f aca="false">IF(COUNTIF(Flows!$M$2:$M$1500,$A143&amp;"|"&amp;T$1&amp;"|Input"),IF(COUNTIF(Flows!$M$2:$M$1500,$A143&amp;"|"&amp;T$1&amp;"|Output"),"I/O","IN"),IF(COUNTIF(Flows!$M$2:$M$1500,$A143&amp;"|"&amp;T$1&amp;"|Output"),"OUT",""))</f>
        <v/>
      </c>
      <c r="U143" s="33" t="str">
        <f aca="false">IF(COUNTIF(Flows!$M$2:$M$1500,$A143&amp;"|"&amp;U$1&amp;"|Input"),IF(COUNTIF(Flows!$M$2:$M$1500,$A143&amp;"|"&amp;U$1&amp;"|Output"),"I/O","IN"),IF(COUNTIF(Flows!$M$2:$M$1500,$A143&amp;"|"&amp;U$1&amp;"|Output"),"OUT",""))</f>
        <v/>
      </c>
      <c r="V143" s="33" t="str">
        <f aca="false">IF(COUNTIF(Flows!$M$2:$M$1500,$A143&amp;"|"&amp;V$1&amp;"|Input"),IF(COUNTIF(Flows!$M$2:$M$1500,$A143&amp;"|"&amp;V$1&amp;"|Output"),"I/O","IN"),IF(COUNTIF(Flows!$M$2:$M$1500,$A143&amp;"|"&amp;V$1&amp;"|Output"),"OUT",""))</f>
        <v/>
      </c>
      <c r="W143" s="33" t="str">
        <f aca="false">IF(COUNTIF(Flows!$M$2:$M$1500,$A143&amp;"|"&amp;W$1&amp;"|Input"),IF(COUNTIF(Flows!$M$2:$M$1500,$A143&amp;"|"&amp;W$1&amp;"|Output"),"I/O","IN"),IF(COUNTIF(Flows!$M$2:$M$1500,$A143&amp;"|"&amp;W$1&amp;"|Output"),"OUT",""))</f>
        <v/>
      </c>
      <c r="X143" s="33" t="str">
        <f aca="false">IF(COUNTIF(Flows!$M$2:$M$1500,$A143&amp;"|"&amp;X$1&amp;"|Input"),IF(COUNTIF(Flows!$M$2:$M$1500,$A143&amp;"|"&amp;X$1&amp;"|Output"),"I/O","IN"),IF(COUNTIF(Flows!$M$2:$M$1500,$A143&amp;"|"&amp;X$1&amp;"|Output"),"OUT",""))</f>
        <v>IN</v>
      </c>
      <c r="Y143" s="33" t="str">
        <f aca="false">IF(COUNTIF(Flows!$M$2:$M$1500,$A143&amp;"|"&amp;Y$1&amp;"|Input"),IF(COUNTIF(Flows!$M$2:$M$1500,$A143&amp;"|"&amp;Y$1&amp;"|Output"),"I/O","IN"),IF(COUNTIF(Flows!$M$2:$M$1500,$A143&amp;"|"&amp;Y$1&amp;"|Output"),"OUT",""))</f>
        <v/>
      </c>
      <c r="Z143" s="33" t="str">
        <f aca="false">IF(COUNTIF(Flows!$M$2:$M$1500,$A143&amp;"|"&amp;Z$1&amp;"|Input"),IF(COUNTIF(Flows!$M$2:$M$1500,$A143&amp;"|"&amp;Z$1&amp;"|Output"),"I/O","IN"),IF(COUNTIF(Flows!$M$2:$M$1500,$A143&amp;"|"&amp;Z$1&amp;"|Output"),"OUT",""))</f>
        <v/>
      </c>
      <c r="AA143" s="33" t="str">
        <f aca="false">IF(COUNTIF(Flows!$M$2:$M$1500,$A143&amp;"|"&amp;AA$1&amp;"|Input"),IF(COUNTIF(Flows!$M$2:$M$1500,$A143&amp;"|"&amp;AA$1&amp;"|Output"),"I/O","IN"),IF(COUNTIF(Flows!$M$2:$M$1500,$A143&amp;"|"&amp;AA$1&amp;"|Output"),"OUT",""))</f>
        <v/>
      </c>
      <c r="AB143" s="33" t="str">
        <f aca="false">IF(COUNTIF(Flows!$M$2:$M$1500,$A143&amp;"|"&amp;AB$1&amp;"|Input"),IF(COUNTIF(Flows!$M$2:$M$1500,$A143&amp;"|"&amp;AB$1&amp;"|Output"),"I/O","IN"),IF(COUNTIF(Flows!$M$2:$M$1500,$A143&amp;"|"&amp;AB$1&amp;"|Output"),"OUT",""))</f>
        <v/>
      </c>
      <c r="AC143" s="33" t="str">
        <f aca="false">IF(COUNTIF(Flows!$M$2:$M$1500,$A143&amp;"|"&amp;AC$1&amp;"|Input"),IF(COUNTIF(Flows!$M$2:$M$1500,$A143&amp;"|"&amp;AC$1&amp;"|Output"),"I/O","IN"),IF(COUNTIF(Flows!$M$2:$M$1500,$A143&amp;"|"&amp;AC$1&amp;"|Output"),"OUT",""))</f>
        <v/>
      </c>
      <c r="AD143" s="33" t="str">
        <f aca="false">IF(COUNTIF(Flows!$M$2:$M$1500,$A143&amp;"|"&amp;AD$1&amp;"|Input"),IF(COUNTIF(Flows!$M$2:$M$1500,$A143&amp;"|"&amp;AD$1&amp;"|Output"),"I/O","IN"),IF(COUNTIF(Flows!$M$2:$M$1500,$A143&amp;"|"&amp;AD$1&amp;"|Output"),"OUT",""))</f>
        <v/>
      </c>
      <c r="AE143" s="33" t="str">
        <f aca="false">IF(COUNTIF(Flows!$M$2:$M$1500,$A143&amp;"|"&amp;AE$1&amp;"|Input"),IF(COUNTIF(Flows!$M$2:$M$1500,$A143&amp;"|"&amp;AE$1&amp;"|Output"),"I/O","IN"),IF(COUNTIF(Flows!$M$2:$M$1500,$A143&amp;"|"&amp;AE$1&amp;"|Output"),"OUT",""))</f>
        <v/>
      </c>
      <c r="AF143" s="33" t="str">
        <f aca="false">IF(COUNTIF(Flows!$M$2:$M$1500,$A143&amp;"|"&amp;AF$1&amp;"|Input"),IF(COUNTIF(Flows!$M$2:$M$1500,$A143&amp;"|"&amp;AF$1&amp;"|Output"),"I/O","IN"),IF(COUNTIF(Flows!$M$2:$M$1500,$A143&amp;"|"&amp;AF$1&amp;"|Output"),"OUT",""))</f>
        <v/>
      </c>
      <c r="AG143" s="33" t="str">
        <f aca="false">IF(COUNTIF(Flows!$M$2:$M$1500,$A143&amp;"|"&amp;AG$1&amp;"|Input"),IF(COUNTIF(Flows!$M$2:$M$1500,$A143&amp;"|"&amp;AG$1&amp;"|Output"),"I/O","IN"),IF(COUNTIF(Flows!$M$2:$M$1500,$A143&amp;"|"&amp;AG$1&amp;"|Output"),"OUT",""))</f>
        <v/>
      </c>
      <c r="AH143" s="33" t="str">
        <f aca="false">IF(COUNTIF(Flows!$M$2:$M$1500,$A143&amp;"|"&amp;AH$1&amp;"|Input"),IF(COUNTIF(Flows!$M$2:$M$1500,$A143&amp;"|"&amp;AH$1&amp;"|Output"),"I/O","IN"),IF(COUNTIF(Flows!$M$2:$M$1500,$A143&amp;"|"&amp;AH$1&amp;"|Output"),"OUT",""))</f>
        <v/>
      </c>
      <c r="AI143" s="33" t="str">
        <f aca="false">IF(COUNTIF(Flows!$M$2:$M$1500,$A143&amp;"|"&amp;AI$1&amp;"|Input"),IF(COUNTIF(Flows!$M$2:$M$1500,$A143&amp;"|"&amp;AI$1&amp;"|Output"),"I/O","IN"),IF(COUNTIF(Flows!$M$2:$M$1500,$A143&amp;"|"&amp;AI$1&amp;"|Output"),"OUT",""))</f>
        <v/>
      </c>
      <c r="AJ143" s="33" t="str">
        <f aca="false">IF(COUNTIF(Flows!$M$2:$M$1500,$A143&amp;"|"&amp;AJ$1&amp;"|Input"),IF(COUNTIF(Flows!$M$2:$M$1500,$A143&amp;"|"&amp;AJ$1&amp;"|Output"),"I/O","IN"),IF(COUNTIF(Flows!$M$2:$M$1500,$A143&amp;"|"&amp;AJ$1&amp;"|Output"),"OUT",""))</f>
        <v/>
      </c>
      <c r="AK143" s="33" t="str">
        <f aca="false">IF(COUNTIF(Flows!$M$2:$M$1500,$A143&amp;"|"&amp;AK$1&amp;"|Input"),IF(COUNTIF(Flows!$M$2:$M$1500,$A143&amp;"|"&amp;AK$1&amp;"|Output"),"I/O","IN"),IF(COUNTIF(Flows!$M$2:$M$1500,$A143&amp;"|"&amp;AK$1&amp;"|Output"),"OUT",""))</f>
        <v/>
      </c>
      <c r="AL143" s="33" t="str">
        <f aca="false">IF(COUNTIF(Flows!$M$2:$M$1500,$A143&amp;"|"&amp;AL$1&amp;"|Input"),IF(COUNTIF(Flows!$M$2:$M$1500,$A143&amp;"|"&amp;AL$1&amp;"|Output"),"I/O","IN"),IF(COUNTIF(Flows!$M$2:$M$1500,$A143&amp;"|"&amp;AL$1&amp;"|Output"),"OUT",""))</f>
        <v/>
      </c>
      <c r="AM143" s="33" t="str">
        <f aca="false">IF(COUNTIF(Flows!$M$2:$M$1500,$A143&amp;"|"&amp;AM$1&amp;"|Input"),IF(COUNTIF(Flows!$M$2:$M$1500,$A143&amp;"|"&amp;AM$1&amp;"|Output"),"I/O","IN"),IF(COUNTIF(Flows!$M$2:$M$1500,$A143&amp;"|"&amp;AM$1&amp;"|Output"),"OUT",""))</f>
        <v/>
      </c>
      <c r="AN143" s="33" t="str">
        <f aca="false">IF(COUNTIF(Flows!$M$2:$M$1500,$A143&amp;"|"&amp;AN$1&amp;"|Input"),IF(COUNTIF(Flows!$M$2:$M$1500,$A143&amp;"|"&amp;AN$1&amp;"|Output"),"I/O","IN"),IF(COUNTIF(Flows!$M$2:$M$1500,$A143&amp;"|"&amp;AN$1&amp;"|Output"),"OUT",""))</f>
        <v/>
      </c>
      <c r="AO143" s="33" t="str">
        <f aca="false">IF(COUNTIF(Flows!$M$2:$M$1500,$A143&amp;"|"&amp;AO$1&amp;"|Input"),IF(COUNTIF(Flows!$M$2:$M$1500,$A143&amp;"|"&amp;AO$1&amp;"|Output"),"I/O","IN"),IF(COUNTIF(Flows!$M$2:$M$1500,$A143&amp;"|"&amp;AO$1&amp;"|Output"),"OUT",""))</f>
        <v/>
      </c>
      <c r="AP143" s="33" t="str">
        <f aca="false">IF(COUNTIF(Flows!$M$2:$M$1500,$A143&amp;"|"&amp;AP$1&amp;"|Input"),IF(COUNTIF(Flows!$M$2:$M$1500,$A143&amp;"|"&amp;AP$1&amp;"|Output"),"I/O","IN"),IF(COUNTIF(Flows!$M$2:$M$1500,$A143&amp;"|"&amp;AP$1&amp;"|Output"),"OUT",""))</f>
        <v/>
      </c>
      <c r="AQ143" s="33" t="str">
        <f aca="false">IF(COUNTIF(Flows!$M$2:$M$1500,$A143&amp;"|"&amp;AQ$1&amp;"|Input"),IF(COUNTIF(Flows!$M$2:$M$1500,$A143&amp;"|"&amp;AQ$1&amp;"|Output"),"I/O","IN"),IF(COUNTIF(Flows!$M$2:$M$1500,$A143&amp;"|"&amp;AQ$1&amp;"|Output"),"OUT",""))</f>
        <v/>
      </c>
      <c r="AR143" s="33" t="str">
        <f aca="false">IF(COUNTIF(Flows!$M$2:$M$1500,$A143&amp;"|"&amp;AR$1&amp;"|Input"),IF(COUNTIF(Flows!$M$2:$M$1500,$A143&amp;"|"&amp;AR$1&amp;"|Output"),"I/O","IN"),IF(COUNTIF(Flows!$M$2:$M$1500,$A143&amp;"|"&amp;AR$1&amp;"|Output"),"OUT",""))</f>
        <v/>
      </c>
      <c r="AS143" s="33" t="str">
        <f aca="false">IF(COUNTIF(Flows!$M$2:$M$1500,$A143&amp;"|"&amp;AS$1&amp;"|Input"),IF(COUNTIF(Flows!$M$2:$M$1500,$A143&amp;"|"&amp;AS$1&amp;"|Output"),"I/O","IN"),IF(COUNTIF(Flows!$M$2:$M$1500,$A143&amp;"|"&amp;AS$1&amp;"|Output"),"OUT",""))</f>
        <v/>
      </c>
      <c r="AT143" s="33" t="str">
        <f aca="false">IF(COUNTIF(Flows!$M$2:$M$1500,$A143&amp;"|"&amp;AT$1&amp;"|Input"),IF(COUNTIF(Flows!$M$2:$M$1500,$A143&amp;"|"&amp;AT$1&amp;"|Output"),"I/O","IN"),IF(COUNTIF(Flows!$M$2:$M$1500,$A143&amp;"|"&amp;AT$1&amp;"|Output"),"OUT",""))</f>
        <v>OUT</v>
      </c>
      <c r="AU143" s="33" t="str">
        <f aca="false">IF(COUNTIF(Flows!$M$2:$M$1500,$A143&amp;"|"&amp;AU$1&amp;"|Input"),IF(COUNTIF(Flows!$M$2:$M$1500,$A143&amp;"|"&amp;AU$1&amp;"|Output"),"I/O","IN"),IF(COUNTIF(Flows!$M$2:$M$1500,$A143&amp;"|"&amp;AU$1&amp;"|Output"),"OUT",""))</f>
        <v/>
      </c>
      <c r="AV143" s="33" t="str">
        <f aca="false">IF(COUNTIF(Flows!$M$2:$M$1500,$A143&amp;"|"&amp;AV$1&amp;"|Input"),IF(COUNTIF(Flows!$M$2:$M$1500,$A143&amp;"|"&amp;AV$1&amp;"|Output"),"I/O","IN"),IF(COUNTIF(Flows!$M$2:$M$1500,$A143&amp;"|"&amp;AV$1&amp;"|Output"),"OUT",""))</f>
        <v/>
      </c>
      <c r="AW143" s="33" t="str">
        <f aca="false">IF(COUNTIF(Flows!$M$2:$M$1500,$A143&amp;"|"&amp;AW$1&amp;"|Input"),IF(COUNTIF(Flows!$M$2:$M$1500,$A143&amp;"|"&amp;AW$1&amp;"|Output"),"I/O","IN"),IF(COUNTIF(Flows!$M$2:$M$1500,$A143&amp;"|"&amp;AW$1&amp;"|Output"),"OUT",""))</f>
        <v/>
      </c>
      <c r="AX143" s="33" t="str">
        <f aca="false">IF(COUNTIF(Flows!$M$2:$M$1500,$A143&amp;"|"&amp;AX$1&amp;"|Input"),IF(COUNTIF(Flows!$M$2:$M$1500,$A143&amp;"|"&amp;AX$1&amp;"|Output"),"I/O","IN"),IF(COUNTIF(Flows!$M$2:$M$1500,$A143&amp;"|"&amp;AX$1&amp;"|Output"),"OUT",""))</f>
        <v/>
      </c>
      <c r="AY143" s="33" t="str">
        <f aca="false">IF(COUNTIF(Flows!$M$2:$M$1500,$A143&amp;"|"&amp;AY$1&amp;"|Input"),IF(COUNTIF(Flows!$M$2:$M$1500,$A143&amp;"|"&amp;AY$1&amp;"|Output"),"I/O","IN"),IF(COUNTIF(Flows!$M$2:$M$1500,$A143&amp;"|"&amp;AY$1&amp;"|Output"),"OUT",""))</f>
        <v/>
      </c>
      <c r="AZ143" s="33" t="str">
        <f aca="false">IF(COUNTIF(Flows!$M$2:$M$1500,$A143&amp;"|"&amp;AZ$1&amp;"|Input"),IF(COUNTIF(Flows!$M$2:$M$1500,$A143&amp;"|"&amp;AZ$1&amp;"|Output"),"I/O","IN"),IF(COUNTIF(Flows!$M$2:$M$1500,$A143&amp;"|"&amp;AZ$1&amp;"|Output"),"OUT",""))</f>
        <v>IN</v>
      </c>
      <c r="BA143" s="33" t="str">
        <f aca="false">IF(COUNTIF(Flows!$M$2:$M$1500,$A143&amp;"|"&amp;BA$1&amp;"|Input"),IF(COUNTIF(Flows!$M$2:$M$1500,$A143&amp;"|"&amp;BA$1&amp;"|Output"),"I/O","IN"),IF(COUNTIF(Flows!$M$2:$M$1500,$A143&amp;"|"&amp;BA$1&amp;"|Output"),"OUT",""))</f>
        <v/>
      </c>
      <c r="BB143" s="33" t="str">
        <f aca="false">IF(COUNTIF(Flows!$M$2:$M$1500,$A143&amp;"|"&amp;BB$1&amp;"|Input"),IF(COUNTIF(Flows!$M$2:$M$1500,$A143&amp;"|"&amp;BB$1&amp;"|Output"),"I/O","IN"),IF(COUNTIF(Flows!$M$2:$M$1500,$A143&amp;"|"&amp;BB$1&amp;"|Output"),"OUT",""))</f>
        <v/>
      </c>
      <c r="BC143" s="33" t="str">
        <f aca="false">IF(COUNTIF(Flows!$M$2:$M$1500,$A143&amp;"|"&amp;BC$1&amp;"|Input"),IF(COUNTIF(Flows!$M$2:$M$1500,$A143&amp;"|"&amp;BC$1&amp;"|Output"),"I/O","IN"),IF(COUNTIF(Flows!$M$2:$M$1500,$A143&amp;"|"&amp;BC$1&amp;"|Output"),"OUT",""))</f>
        <v/>
      </c>
      <c r="BD143" s="33" t="str">
        <f aca="false">IF(COUNTIF(Flows!$M$2:$M$1500,$A143&amp;"|"&amp;BD$1&amp;"|Input"),IF(COUNTIF(Flows!$M$2:$M$1500,$A143&amp;"|"&amp;BD$1&amp;"|Output"),"I/O","IN"),IF(COUNTIF(Flows!$M$2:$M$1500,$A143&amp;"|"&amp;BD$1&amp;"|Output"),"OUT",""))</f>
        <v/>
      </c>
      <c r="BE143" s="33" t="str">
        <f aca="false">IF(COUNTIF(Flows!$M$2:$M$1500,$A143&amp;"|"&amp;BE$1&amp;"|Input"),IF(COUNTIF(Flows!$M$2:$M$1500,$A143&amp;"|"&amp;BE$1&amp;"|Output"),"I/O","IN"),IF(COUNTIF(Flows!$M$2:$M$1500,$A143&amp;"|"&amp;BE$1&amp;"|Output"),"OUT",""))</f>
        <v/>
      </c>
      <c r="BF143" s="33" t="str">
        <f aca="false">IF(COUNTIF(Flows!$M$2:$M$1500,$A143&amp;"|"&amp;BF$1&amp;"|Input"),IF(COUNTIF(Flows!$M$2:$M$1500,$A143&amp;"|"&amp;BF$1&amp;"|Output"),"I/O","IN"),IF(COUNTIF(Flows!$M$2:$M$1500,$A143&amp;"|"&amp;BF$1&amp;"|Output"),"OUT",""))</f>
        <v/>
      </c>
      <c r="BG143" s="33" t="str">
        <f aca="false">IF(COUNTIF(Flows!$M$2:$M$1500,$A143&amp;"|"&amp;BG$1&amp;"|Input"),IF(COUNTIF(Flows!$M$2:$M$1500,$A143&amp;"|"&amp;BG$1&amp;"|Output"),"I/O","IN"),IF(COUNTIF(Flows!$M$2:$M$1500,$A143&amp;"|"&amp;BG$1&amp;"|Output"),"OUT",""))</f>
        <v/>
      </c>
      <c r="BH143" s="33" t="str">
        <f aca="false">IF(COUNTIF(Flows!$M$2:$M$1500,$A143&amp;"|"&amp;BH$1&amp;"|Input"),IF(COUNTIF(Flows!$M$2:$M$1500,$A143&amp;"|"&amp;BH$1&amp;"|Output"),"I/O","IN"),IF(COUNTIF(Flows!$M$2:$M$1500,$A143&amp;"|"&amp;BH$1&amp;"|Output"),"OUT",""))</f>
        <v/>
      </c>
      <c r="BI143" s="33" t="str">
        <f aca="false">IF(COUNTIF(Flows!$M$2:$M$1500,$A143&amp;"|"&amp;BI$1&amp;"|Input"),IF(COUNTIF(Flows!$M$2:$M$1500,$A143&amp;"|"&amp;BI$1&amp;"|Output"),"I/O","IN"),IF(COUNTIF(Flows!$M$2:$M$1500,$A143&amp;"|"&amp;BI$1&amp;"|Output"),"OUT",""))</f>
        <v/>
      </c>
      <c r="BJ143" s="33" t="str">
        <f aca="false">IF(COUNTIF(Flows!$M$2:$M$1500,$A143&amp;"|"&amp;BJ$1&amp;"|Input"),IF(COUNTIF(Flows!$M$2:$M$1500,$A143&amp;"|"&amp;BJ$1&amp;"|Output"),"I/O","IN"),IF(COUNTIF(Flows!$M$2:$M$1500,$A143&amp;"|"&amp;BJ$1&amp;"|Output"),"OUT",""))</f>
        <v/>
      </c>
      <c r="BK143" s="33" t="str">
        <f aca="false">IF(COUNTIF(Flows!$M$2:$M$1500,$A143&amp;"|"&amp;BK$1&amp;"|Input"),IF(COUNTIF(Flows!$M$2:$M$1500,$A143&amp;"|"&amp;BK$1&amp;"|Output"),"I/O","IN"),IF(COUNTIF(Flows!$M$2:$M$1500,$A143&amp;"|"&amp;BK$1&amp;"|Output"),"OUT",""))</f>
        <v/>
      </c>
    </row>
    <row r="144" customFormat="false" ht="15" hidden="false" customHeight="true" outlineLevel="0" collapsed="false">
      <c r="A144" s="6" t="str">
        <f aca="false">Systems!B144</f>
        <v>Horse</v>
      </c>
      <c r="B144" s="33" t="str">
        <f aca="false">IF(COUNTIF(Flows!$M$2:$M$1500,$A144&amp;"|"&amp;B$1&amp;"|Input"),IF(COUNTIF(Flows!$M$2:$M$1500,$A144&amp;"|"&amp;B$1&amp;"|Output"),"I/O","IN"),IF(COUNTIF(Flows!$M$2:$M$1500,$A144&amp;"|"&amp;B$1&amp;"|Output"),"OUT",""))</f>
        <v>IN</v>
      </c>
      <c r="C144" s="33" t="str">
        <f aca="false">IF(COUNTIF(Flows!$M$2:$M$1500,$A144&amp;"|"&amp;C$1&amp;"|Input"),IF(COUNTIF(Flows!$M$2:$M$1500,$A144&amp;"|"&amp;C$1&amp;"|Output"),"I/O","IN"),IF(COUNTIF(Flows!$M$2:$M$1500,$A144&amp;"|"&amp;C$1&amp;"|Output"),"OUT",""))</f>
        <v/>
      </c>
      <c r="D144" s="33" t="str">
        <f aca="false">IF(COUNTIF(Flows!$M$2:$M$1500,$A144&amp;"|"&amp;D$1&amp;"|Input"),IF(COUNTIF(Flows!$M$2:$M$1500,$A144&amp;"|"&amp;D$1&amp;"|Output"),"I/O","IN"),IF(COUNTIF(Flows!$M$2:$M$1500,$A144&amp;"|"&amp;D$1&amp;"|Output"),"OUT",""))</f>
        <v/>
      </c>
      <c r="E144" s="33" t="str">
        <f aca="false">IF(COUNTIF(Flows!$M$2:$M$1500,$A144&amp;"|"&amp;E$1&amp;"|Input"),IF(COUNTIF(Flows!$M$2:$M$1500,$A144&amp;"|"&amp;E$1&amp;"|Output"),"I/O","IN"),IF(COUNTIF(Flows!$M$2:$M$1500,$A144&amp;"|"&amp;E$1&amp;"|Output"),"OUT",""))</f>
        <v/>
      </c>
      <c r="F144" s="33" t="str">
        <f aca="false">IF(COUNTIF(Flows!$M$2:$M$1500,$A144&amp;"|"&amp;F$1&amp;"|Input"),IF(COUNTIF(Flows!$M$2:$M$1500,$A144&amp;"|"&amp;F$1&amp;"|Output"),"I/O","IN"),IF(COUNTIF(Flows!$M$2:$M$1500,$A144&amp;"|"&amp;F$1&amp;"|Output"),"OUT",""))</f>
        <v/>
      </c>
      <c r="G144" s="33" t="str">
        <f aca="false">IF(COUNTIF(Flows!$M$2:$M$1500,$A144&amp;"|"&amp;G$1&amp;"|Input"),IF(COUNTIF(Flows!$M$2:$M$1500,$A144&amp;"|"&amp;G$1&amp;"|Output"),"I/O","IN"),IF(COUNTIF(Flows!$M$2:$M$1500,$A144&amp;"|"&amp;G$1&amp;"|Output"),"OUT",""))</f>
        <v/>
      </c>
      <c r="H144" s="33" t="str">
        <f aca="false">IF(COUNTIF(Flows!$M$2:$M$1500,$A144&amp;"|"&amp;H$1&amp;"|Input"),IF(COUNTIF(Flows!$M$2:$M$1500,$A144&amp;"|"&amp;H$1&amp;"|Output"),"I/O","IN"),IF(COUNTIF(Flows!$M$2:$M$1500,$A144&amp;"|"&amp;H$1&amp;"|Output"),"OUT",""))</f>
        <v/>
      </c>
      <c r="I144" s="33" t="str">
        <f aca="false">IF(COUNTIF(Flows!$M$2:$M$1500,$A144&amp;"|"&amp;I$1&amp;"|Input"),IF(COUNTIF(Flows!$M$2:$M$1500,$A144&amp;"|"&amp;I$1&amp;"|Output"),"I/O","IN"),IF(COUNTIF(Flows!$M$2:$M$1500,$A144&amp;"|"&amp;I$1&amp;"|Output"),"OUT",""))</f>
        <v/>
      </c>
      <c r="J144" s="33" t="str">
        <f aca="false">IF(COUNTIF(Flows!$M$2:$M$1500,$A144&amp;"|"&amp;J$1&amp;"|Input"),IF(COUNTIF(Flows!$M$2:$M$1500,$A144&amp;"|"&amp;J$1&amp;"|Output"),"I/O","IN"),IF(COUNTIF(Flows!$M$2:$M$1500,$A144&amp;"|"&amp;J$1&amp;"|Output"),"OUT",""))</f>
        <v/>
      </c>
      <c r="K144" s="33" t="str">
        <f aca="false">IF(COUNTIF(Flows!$M$2:$M$1500,$A144&amp;"|"&amp;K$1&amp;"|Input"),IF(COUNTIF(Flows!$M$2:$M$1500,$A144&amp;"|"&amp;K$1&amp;"|Output"),"I/O","IN"),IF(COUNTIF(Flows!$M$2:$M$1500,$A144&amp;"|"&amp;K$1&amp;"|Output"),"OUT",""))</f>
        <v/>
      </c>
      <c r="L144" s="33" t="str">
        <f aca="false">IF(COUNTIF(Flows!$M$2:$M$1500,$A144&amp;"|"&amp;L$1&amp;"|Input"),IF(COUNTIF(Flows!$M$2:$M$1500,$A144&amp;"|"&amp;L$1&amp;"|Output"),"I/O","IN"),IF(COUNTIF(Flows!$M$2:$M$1500,$A144&amp;"|"&amp;L$1&amp;"|Output"),"OUT",""))</f>
        <v/>
      </c>
      <c r="M144" s="33" t="str">
        <f aca="false">IF(COUNTIF(Flows!$M$2:$M$1500,$A144&amp;"|"&amp;M$1&amp;"|Input"),IF(COUNTIF(Flows!$M$2:$M$1500,$A144&amp;"|"&amp;M$1&amp;"|Output"),"I/O","IN"),IF(COUNTIF(Flows!$M$2:$M$1500,$A144&amp;"|"&amp;M$1&amp;"|Output"),"OUT",""))</f>
        <v/>
      </c>
      <c r="N144" s="33" t="str">
        <f aca="false">IF(COUNTIF(Flows!$M$2:$M$1500,$A144&amp;"|"&amp;N$1&amp;"|Input"),IF(COUNTIF(Flows!$M$2:$M$1500,$A144&amp;"|"&amp;N$1&amp;"|Output"),"I/O","IN"),IF(COUNTIF(Flows!$M$2:$M$1500,$A144&amp;"|"&amp;N$1&amp;"|Output"),"OUT",""))</f>
        <v/>
      </c>
      <c r="O144" s="33" t="str">
        <f aca="false">IF(COUNTIF(Flows!$M$2:$M$1500,$A144&amp;"|"&amp;O$1&amp;"|Input"),IF(COUNTIF(Flows!$M$2:$M$1500,$A144&amp;"|"&amp;O$1&amp;"|Output"),"I/O","IN"),IF(COUNTIF(Flows!$M$2:$M$1500,$A144&amp;"|"&amp;O$1&amp;"|Output"),"OUT",""))</f>
        <v/>
      </c>
      <c r="P144" s="33" t="str">
        <f aca="false">IF(COUNTIF(Flows!$M$2:$M$1500,$A144&amp;"|"&amp;P$1&amp;"|Input"),IF(COUNTIF(Flows!$M$2:$M$1500,$A144&amp;"|"&amp;P$1&amp;"|Output"),"I/O","IN"),IF(COUNTIF(Flows!$M$2:$M$1500,$A144&amp;"|"&amp;P$1&amp;"|Output"),"OUT",""))</f>
        <v/>
      </c>
      <c r="Q144" s="33" t="str">
        <f aca="false">IF(COUNTIF(Flows!$M$2:$M$1500,$A144&amp;"|"&amp;Q$1&amp;"|Input"),IF(COUNTIF(Flows!$M$2:$M$1500,$A144&amp;"|"&amp;Q$1&amp;"|Output"),"I/O","IN"),IF(COUNTIF(Flows!$M$2:$M$1500,$A144&amp;"|"&amp;Q$1&amp;"|Output"),"OUT",""))</f>
        <v/>
      </c>
      <c r="R144" s="33" t="str">
        <f aca="false">IF(COUNTIF(Flows!$M$2:$M$1500,$A144&amp;"|"&amp;R$1&amp;"|Input"),IF(COUNTIF(Flows!$M$2:$M$1500,$A144&amp;"|"&amp;R$1&amp;"|Output"),"I/O","IN"),IF(COUNTIF(Flows!$M$2:$M$1500,$A144&amp;"|"&amp;R$1&amp;"|Output"),"OUT",""))</f>
        <v/>
      </c>
      <c r="S144" s="33" t="str">
        <f aca="false">IF(COUNTIF(Flows!$M$2:$M$1500,$A144&amp;"|"&amp;S$1&amp;"|Input"),IF(COUNTIF(Flows!$M$2:$M$1500,$A144&amp;"|"&amp;S$1&amp;"|Output"),"I/O","IN"),IF(COUNTIF(Flows!$M$2:$M$1500,$A144&amp;"|"&amp;S$1&amp;"|Output"),"OUT",""))</f>
        <v/>
      </c>
      <c r="T144" s="33" t="str">
        <f aca="false">IF(COUNTIF(Flows!$M$2:$M$1500,$A144&amp;"|"&amp;T$1&amp;"|Input"),IF(COUNTIF(Flows!$M$2:$M$1500,$A144&amp;"|"&amp;T$1&amp;"|Output"),"I/O","IN"),IF(COUNTIF(Flows!$M$2:$M$1500,$A144&amp;"|"&amp;T$1&amp;"|Output"),"OUT",""))</f>
        <v>OUT</v>
      </c>
      <c r="U144" s="33" t="str">
        <f aca="false">IF(COUNTIF(Flows!$M$2:$M$1500,$A144&amp;"|"&amp;U$1&amp;"|Input"),IF(COUNTIF(Flows!$M$2:$M$1500,$A144&amp;"|"&amp;U$1&amp;"|Output"),"I/O","IN"),IF(COUNTIF(Flows!$M$2:$M$1500,$A144&amp;"|"&amp;U$1&amp;"|Output"),"OUT",""))</f>
        <v/>
      </c>
      <c r="V144" s="33" t="str">
        <f aca="false">IF(COUNTIF(Flows!$M$2:$M$1500,$A144&amp;"|"&amp;V$1&amp;"|Input"),IF(COUNTIF(Flows!$M$2:$M$1500,$A144&amp;"|"&amp;V$1&amp;"|Output"),"I/O","IN"),IF(COUNTIF(Flows!$M$2:$M$1500,$A144&amp;"|"&amp;V$1&amp;"|Output"),"OUT",""))</f>
        <v/>
      </c>
      <c r="W144" s="33" t="str">
        <f aca="false">IF(COUNTIF(Flows!$M$2:$M$1500,$A144&amp;"|"&amp;W$1&amp;"|Input"),IF(COUNTIF(Flows!$M$2:$M$1500,$A144&amp;"|"&amp;W$1&amp;"|Output"),"I/O","IN"),IF(COUNTIF(Flows!$M$2:$M$1500,$A144&amp;"|"&amp;W$1&amp;"|Output"),"OUT",""))</f>
        <v/>
      </c>
      <c r="X144" s="33" t="str">
        <f aca="false">IF(COUNTIF(Flows!$M$2:$M$1500,$A144&amp;"|"&amp;X$1&amp;"|Input"),IF(COUNTIF(Flows!$M$2:$M$1500,$A144&amp;"|"&amp;X$1&amp;"|Output"),"I/O","IN"),IF(COUNTIF(Flows!$M$2:$M$1500,$A144&amp;"|"&amp;X$1&amp;"|Output"),"OUT",""))</f>
        <v>IN</v>
      </c>
      <c r="Y144" s="33" t="str">
        <f aca="false">IF(COUNTIF(Flows!$M$2:$M$1500,$A144&amp;"|"&amp;Y$1&amp;"|Input"),IF(COUNTIF(Flows!$M$2:$M$1500,$A144&amp;"|"&amp;Y$1&amp;"|Output"),"I/O","IN"),IF(COUNTIF(Flows!$M$2:$M$1500,$A144&amp;"|"&amp;Y$1&amp;"|Output"),"OUT",""))</f>
        <v>IN</v>
      </c>
      <c r="Z144" s="33" t="str">
        <f aca="false">IF(COUNTIF(Flows!$M$2:$M$1500,$A144&amp;"|"&amp;Z$1&amp;"|Input"),IF(COUNTIF(Flows!$M$2:$M$1500,$A144&amp;"|"&amp;Z$1&amp;"|Output"),"I/O","IN"),IF(COUNTIF(Flows!$M$2:$M$1500,$A144&amp;"|"&amp;Z$1&amp;"|Output"),"OUT",""))</f>
        <v/>
      </c>
      <c r="AA144" s="33" t="str">
        <f aca="false">IF(COUNTIF(Flows!$M$2:$M$1500,$A144&amp;"|"&amp;AA$1&amp;"|Input"),IF(COUNTIF(Flows!$M$2:$M$1500,$A144&amp;"|"&amp;AA$1&amp;"|Output"),"I/O","IN"),IF(COUNTIF(Flows!$M$2:$M$1500,$A144&amp;"|"&amp;AA$1&amp;"|Output"),"OUT",""))</f>
        <v/>
      </c>
      <c r="AB144" s="33" t="str">
        <f aca="false">IF(COUNTIF(Flows!$M$2:$M$1500,$A144&amp;"|"&amp;AB$1&amp;"|Input"),IF(COUNTIF(Flows!$M$2:$M$1500,$A144&amp;"|"&amp;AB$1&amp;"|Output"),"I/O","IN"),IF(COUNTIF(Flows!$M$2:$M$1500,$A144&amp;"|"&amp;AB$1&amp;"|Output"),"OUT",""))</f>
        <v/>
      </c>
      <c r="AC144" s="33" t="str">
        <f aca="false">IF(COUNTIF(Flows!$M$2:$M$1500,$A144&amp;"|"&amp;AC$1&amp;"|Input"),IF(COUNTIF(Flows!$M$2:$M$1500,$A144&amp;"|"&amp;AC$1&amp;"|Output"),"I/O","IN"),IF(COUNTIF(Flows!$M$2:$M$1500,$A144&amp;"|"&amp;AC$1&amp;"|Output"),"OUT",""))</f>
        <v/>
      </c>
      <c r="AD144" s="33" t="str">
        <f aca="false">IF(COUNTIF(Flows!$M$2:$M$1500,$A144&amp;"|"&amp;AD$1&amp;"|Input"),IF(COUNTIF(Flows!$M$2:$M$1500,$A144&amp;"|"&amp;AD$1&amp;"|Output"),"I/O","IN"),IF(COUNTIF(Flows!$M$2:$M$1500,$A144&amp;"|"&amp;AD$1&amp;"|Output"),"OUT",""))</f>
        <v/>
      </c>
      <c r="AE144" s="33" t="str">
        <f aca="false">IF(COUNTIF(Flows!$M$2:$M$1500,$A144&amp;"|"&amp;AE$1&amp;"|Input"),IF(COUNTIF(Flows!$M$2:$M$1500,$A144&amp;"|"&amp;AE$1&amp;"|Output"),"I/O","IN"),IF(COUNTIF(Flows!$M$2:$M$1500,$A144&amp;"|"&amp;AE$1&amp;"|Output"),"OUT",""))</f>
        <v/>
      </c>
      <c r="AF144" s="33" t="str">
        <f aca="false">IF(COUNTIF(Flows!$M$2:$M$1500,$A144&amp;"|"&amp;AF$1&amp;"|Input"),IF(COUNTIF(Flows!$M$2:$M$1500,$A144&amp;"|"&amp;AF$1&amp;"|Output"),"I/O","IN"),IF(COUNTIF(Flows!$M$2:$M$1500,$A144&amp;"|"&amp;AF$1&amp;"|Output"),"OUT",""))</f>
        <v/>
      </c>
      <c r="AG144" s="33" t="str">
        <f aca="false">IF(COUNTIF(Flows!$M$2:$M$1500,$A144&amp;"|"&amp;AG$1&amp;"|Input"),IF(COUNTIF(Flows!$M$2:$M$1500,$A144&amp;"|"&amp;AG$1&amp;"|Output"),"I/O","IN"),IF(COUNTIF(Flows!$M$2:$M$1500,$A144&amp;"|"&amp;AG$1&amp;"|Output"),"OUT",""))</f>
        <v/>
      </c>
      <c r="AH144" s="33" t="str">
        <f aca="false">IF(COUNTIF(Flows!$M$2:$M$1500,$A144&amp;"|"&amp;AH$1&amp;"|Input"),IF(COUNTIF(Flows!$M$2:$M$1500,$A144&amp;"|"&amp;AH$1&amp;"|Output"),"I/O","IN"),IF(COUNTIF(Flows!$M$2:$M$1500,$A144&amp;"|"&amp;AH$1&amp;"|Output"),"OUT",""))</f>
        <v/>
      </c>
      <c r="AI144" s="33" t="str">
        <f aca="false">IF(COUNTIF(Flows!$M$2:$M$1500,$A144&amp;"|"&amp;AI$1&amp;"|Input"),IF(COUNTIF(Flows!$M$2:$M$1500,$A144&amp;"|"&amp;AI$1&amp;"|Output"),"I/O","IN"),IF(COUNTIF(Flows!$M$2:$M$1500,$A144&amp;"|"&amp;AI$1&amp;"|Output"),"OUT",""))</f>
        <v/>
      </c>
      <c r="AJ144" s="33" t="str">
        <f aca="false">IF(COUNTIF(Flows!$M$2:$M$1500,$A144&amp;"|"&amp;AJ$1&amp;"|Input"),IF(COUNTIF(Flows!$M$2:$M$1500,$A144&amp;"|"&amp;AJ$1&amp;"|Output"),"I/O","IN"),IF(COUNTIF(Flows!$M$2:$M$1500,$A144&amp;"|"&amp;AJ$1&amp;"|Output"),"OUT",""))</f>
        <v>IN</v>
      </c>
      <c r="AK144" s="33" t="str">
        <f aca="false">IF(COUNTIF(Flows!$M$2:$M$1500,$A144&amp;"|"&amp;AK$1&amp;"|Input"),IF(COUNTIF(Flows!$M$2:$M$1500,$A144&amp;"|"&amp;AK$1&amp;"|Output"),"I/O","IN"),IF(COUNTIF(Flows!$M$2:$M$1500,$A144&amp;"|"&amp;AK$1&amp;"|Output"),"OUT",""))</f>
        <v/>
      </c>
      <c r="AL144" s="33" t="str">
        <f aca="false">IF(COUNTIF(Flows!$M$2:$M$1500,$A144&amp;"|"&amp;AL$1&amp;"|Input"),IF(COUNTIF(Flows!$M$2:$M$1500,$A144&amp;"|"&amp;AL$1&amp;"|Output"),"I/O","IN"),IF(COUNTIF(Flows!$M$2:$M$1500,$A144&amp;"|"&amp;AL$1&amp;"|Output"),"OUT",""))</f>
        <v/>
      </c>
      <c r="AM144" s="33" t="str">
        <f aca="false">IF(COUNTIF(Flows!$M$2:$M$1500,$A144&amp;"|"&amp;AM$1&amp;"|Input"),IF(COUNTIF(Flows!$M$2:$M$1500,$A144&amp;"|"&amp;AM$1&amp;"|Output"),"I/O","IN"),IF(COUNTIF(Flows!$M$2:$M$1500,$A144&amp;"|"&amp;AM$1&amp;"|Output"),"OUT",""))</f>
        <v/>
      </c>
      <c r="AN144" s="33" t="str">
        <f aca="false">IF(COUNTIF(Flows!$M$2:$M$1500,$A144&amp;"|"&amp;AN$1&amp;"|Input"),IF(COUNTIF(Flows!$M$2:$M$1500,$A144&amp;"|"&amp;AN$1&amp;"|Output"),"I/O","IN"),IF(COUNTIF(Flows!$M$2:$M$1500,$A144&amp;"|"&amp;AN$1&amp;"|Output"),"OUT",""))</f>
        <v/>
      </c>
      <c r="AO144" s="33" t="str">
        <f aca="false">IF(COUNTIF(Flows!$M$2:$M$1500,$A144&amp;"|"&amp;AO$1&amp;"|Input"),IF(COUNTIF(Flows!$M$2:$M$1500,$A144&amp;"|"&amp;AO$1&amp;"|Output"),"I/O","IN"),IF(COUNTIF(Flows!$M$2:$M$1500,$A144&amp;"|"&amp;AO$1&amp;"|Output"),"OUT",""))</f>
        <v/>
      </c>
      <c r="AP144" s="33" t="str">
        <f aca="false">IF(COUNTIF(Flows!$M$2:$M$1500,$A144&amp;"|"&amp;AP$1&amp;"|Input"),IF(COUNTIF(Flows!$M$2:$M$1500,$A144&amp;"|"&amp;AP$1&amp;"|Output"),"I/O","IN"),IF(COUNTIF(Flows!$M$2:$M$1500,$A144&amp;"|"&amp;AP$1&amp;"|Output"),"OUT",""))</f>
        <v/>
      </c>
      <c r="AQ144" s="33" t="str">
        <f aca="false">IF(COUNTIF(Flows!$M$2:$M$1500,$A144&amp;"|"&amp;AQ$1&amp;"|Input"),IF(COUNTIF(Flows!$M$2:$M$1500,$A144&amp;"|"&amp;AQ$1&amp;"|Output"),"I/O","IN"),IF(COUNTIF(Flows!$M$2:$M$1500,$A144&amp;"|"&amp;AQ$1&amp;"|Output"),"OUT",""))</f>
        <v>IN</v>
      </c>
      <c r="AR144" s="33" t="str">
        <f aca="false">IF(COUNTIF(Flows!$M$2:$M$1500,$A144&amp;"|"&amp;AR$1&amp;"|Input"),IF(COUNTIF(Flows!$M$2:$M$1500,$A144&amp;"|"&amp;AR$1&amp;"|Output"),"I/O","IN"),IF(COUNTIF(Flows!$M$2:$M$1500,$A144&amp;"|"&amp;AR$1&amp;"|Output"),"OUT",""))</f>
        <v/>
      </c>
      <c r="AS144" s="33" t="str">
        <f aca="false">IF(COUNTIF(Flows!$M$2:$M$1500,$A144&amp;"|"&amp;AS$1&amp;"|Input"),IF(COUNTIF(Flows!$M$2:$M$1500,$A144&amp;"|"&amp;AS$1&amp;"|Output"),"I/O","IN"),IF(COUNTIF(Flows!$M$2:$M$1500,$A144&amp;"|"&amp;AS$1&amp;"|Output"),"OUT",""))</f>
        <v/>
      </c>
      <c r="AT144" s="33" t="str">
        <f aca="false">IF(COUNTIF(Flows!$M$2:$M$1500,$A144&amp;"|"&amp;AT$1&amp;"|Input"),IF(COUNTIF(Flows!$M$2:$M$1500,$A144&amp;"|"&amp;AT$1&amp;"|Output"),"I/O","IN"),IF(COUNTIF(Flows!$M$2:$M$1500,$A144&amp;"|"&amp;AT$1&amp;"|Output"),"OUT",""))</f>
        <v>OUT</v>
      </c>
      <c r="AU144" s="33" t="str">
        <f aca="false">IF(COUNTIF(Flows!$M$2:$M$1500,$A144&amp;"|"&amp;AU$1&amp;"|Input"),IF(COUNTIF(Flows!$M$2:$M$1500,$A144&amp;"|"&amp;AU$1&amp;"|Output"),"I/O","IN"),IF(COUNTIF(Flows!$M$2:$M$1500,$A144&amp;"|"&amp;AU$1&amp;"|Output"),"OUT",""))</f>
        <v/>
      </c>
      <c r="AV144" s="33" t="str">
        <f aca="false">IF(COUNTIF(Flows!$M$2:$M$1500,$A144&amp;"|"&amp;AV$1&amp;"|Input"),IF(COUNTIF(Flows!$M$2:$M$1500,$A144&amp;"|"&amp;AV$1&amp;"|Output"),"I/O","IN"),IF(COUNTIF(Flows!$M$2:$M$1500,$A144&amp;"|"&amp;AV$1&amp;"|Output"),"OUT",""))</f>
        <v/>
      </c>
      <c r="AW144" s="33" t="str">
        <f aca="false">IF(COUNTIF(Flows!$M$2:$M$1500,$A144&amp;"|"&amp;AW$1&amp;"|Input"),IF(COUNTIF(Flows!$M$2:$M$1500,$A144&amp;"|"&amp;AW$1&amp;"|Output"),"I/O","IN"),IF(COUNTIF(Flows!$M$2:$M$1500,$A144&amp;"|"&amp;AW$1&amp;"|Output"),"OUT",""))</f>
        <v/>
      </c>
      <c r="AX144" s="33" t="str">
        <f aca="false">IF(COUNTIF(Flows!$M$2:$M$1500,$A144&amp;"|"&amp;AX$1&amp;"|Input"),IF(COUNTIF(Flows!$M$2:$M$1500,$A144&amp;"|"&amp;AX$1&amp;"|Output"),"I/O","IN"),IF(COUNTIF(Flows!$M$2:$M$1500,$A144&amp;"|"&amp;AX$1&amp;"|Output"),"OUT",""))</f>
        <v/>
      </c>
      <c r="AY144" s="33" t="str">
        <f aca="false">IF(COUNTIF(Flows!$M$2:$M$1500,$A144&amp;"|"&amp;AY$1&amp;"|Input"),IF(COUNTIF(Flows!$M$2:$M$1500,$A144&amp;"|"&amp;AY$1&amp;"|Output"),"I/O","IN"),IF(COUNTIF(Flows!$M$2:$M$1500,$A144&amp;"|"&amp;AY$1&amp;"|Output"),"OUT",""))</f>
        <v/>
      </c>
      <c r="AZ144" s="33" t="str">
        <f aca="false">IF(COUNTIF(Flows!$M$2:$M$1500,$A144&amp;"|"&amp;AZ$1&amp;"|Input"),IF(COUNTIF(Flows!$M$2:$M$1500,$A144&amp;"|"&amp;AZ$1&amp;"|Output"),"I/O","IN"),IF(COUNTIF(Flows!$M$2:$M$1500,$A144&amp;"|"&amp;AZ$1&amp;"|Output"),"OUT",""))</f>
        <v/>
      </c>
      <c r="BA144" s="33" t="str">
        <f aca="false">IF(COUNTIF(Flows!$M$2:$M$1500,$A144&amp;"|"&amp;BA$1&amp;"|Input"),IF(COUNTIF(Flows!$M$2:$M$1500,$A144&amp;"|"&amp;BA$1&amp;"|Output"),"I/O","IN"),IF(COUNTIF(Flows!$M$2:$M$1500,$A144&amp;"|"&amp;BA$1&amp;"|Output"),"OUT",""))</f>
        <v/>
      </c>
      <c r="BB144" s="33" t="str">
        <f aca="false">IF(COUNTIF(Flows!$M$2:$M$1500,$A144&amp;"|"&amp;BB$1&amp;"|Input"),IF(COUNTIF(Flows!$M$2:$M$1500,$A144&amp;"|"&amp;BB$1&amp;"|Output"),"I/O","IN"),IF(COUNTIF(Flows!$M$2:$M$1500,$A144&amp;"|"&amp;BB$1&amp;"|Output"),"OUT",""))</f>
        <v/>
      </c>
      <c r="BC144" s="33" t="str">
        <f aca="false">IF(COUNTIF(Flows!$M$2:$M$1500,$A144&amp;"|"&amp;BC$1&amp;"|Input"),IF(COUNTIF(Flows!$M$2:$M$1500,$A144&amp;"|"&amp;BC$1&amp;"|Output"),"I/O","IN"),IF(COUNTIF(Flows!$M$2:$M$1500,$A144&amp;"|"&amp;BC$1&amp;"|Output"),"OUT",""))</f>
        <v/>
      </c>
      <c r="BD144" s="33" t="str">
        <f aca="false">IF(COUNTIF(Flows!$M$2:$M$1500,$A144&amp;"|"&amp;BD$1&amp;"|Input"),IF(COUNTIF(Flows!$M$2:$M$1500,$A144&amp;"|"&amp;BD$1&amp;"|Output"),"I/O","IN"),IF(COUNTIF(Flows!$M$2:$M$1500,$A144&amp;"|"&amp;BD$1&amp;"|Output"),"OUT",""))</f>
        <v/>
      </c>
      <c r="BE144" s="33" t="str">
        <f aca="false">IF(COUNTIF(Flows!$M$2:$M$1500,$A144&amp;"|"&amp;BE$1&amp;"|Input"),IF(COUNTIF(Flows!$M$2:$M$1500,$A144&amp;"|"&amp;BE$1&amp;"|Output"),"I/O","IN"),IF(COUNTIF(Flows!$M$2:$M$1500,$A144&amp;"|"&amp;BE$1&amp;"|Output"),"OUT",""))</f>
        <v/>
      </c>
      <c r="BF144" s="33" t="str">
        <f aca="false">IF(COUNTIF(Flows!$M$2:$M$1500,$A144&amp;"|"&amp;BF$1&amp;"|Input"),IF(COUNTIF(Flows!$M$2:$M$1500,$A144&amp;"|"&amp;BF$1&amp;"|Output"),"I/O","IN"),IF(COUNTIF(Flows!$M$2:$M$1500,$A144&amp;"|"&amp;BF$1&amp;"|Output"),"OUT",""))</f>
        <v/>
      </c>
      <c r="BG144" s="33" t="str">
        <f aca="false">IF(COUNTIF(Flows!$M$2:$M$1500,$A144&amp;"|"&amp;BG$1&amp;"|Input"),IF(COUNTIF(Flows!$M$2:$M$1500,$A144&amp;"|"&amp;BG$1&amp;"|Output"),"I/O","IN"),IF(COUNTIF(Flows!$M$2:$M$1500,$A144&amp;"|"&amp;BG$1&amp;"|Output"),"OUT",""))</f>
        <v/>
      </c>
      <c r="BH144" s="33" t="str">
        <f aca="false">IF(COUNTIF(Flows!$M$2:$M$1500,$A144&amp;"|"&amp;BH$1&amp;"|Input"),IF(COUNTIF(Flows!$M$2:$M$1500,$A144&amp;"|"&amp;BH$1&amp;"|Output"),"I/O","IN"),IF(COUNTIF(Flows!$M$2:$M$1500,$A144&amp;"|"&amp;BH$1&amp;"|Output"),"OUT",""))</f>
        <v/>
      </c>
      <c r="BI144" s="33" t="str">
        <f aca="false">IF(COUNTIF(Flows!$M$2:$M$1500,$A144&amp;"|"&amp;BI$1&amp;"|Input"),IF(COUNTIF(Flows!$M$2:$M$1500,$A144&amp;"|"&amp;BI$1&amp;"|Output"),"I/O","IN"),IF(COUNTIF(Flows!$M$2:$M$1500,$A144&amp;"|"&amp;BI$1&amp;"|Output"),"OUT",""))</f>
        <v/>
      </c>
      <c r="BJ144" s="33" t="str">
        <f aca="false">IF(COUNTIF(Flows!$M$2:$M$1500,$A144&amp;"|"&amp;BJ$1&amp;"|Input"),IF(COUNTIF(Flows!$M$2:$M$1500,$A144&amp;"|"&amp;BJ$1&amp;"|Output"),"I/O","IN"),IF(COUNTIF(Flows!$M$2:$M$1500,$A144&amp;"|"&amp;BJ$1&amp;"|Output"),"OUT",""))</f>
        <v/>
      </c>
      <c r="BK144" s="33" t="str">
        <f aca="false">IF(COUNTIF(Flows!$M$2:$M$1500,$A144&amp;"|"&amp;BK$1&amp;"|Input"),IF(COUNTIF(Flows!$M$2:$M$1500,$A144&amp;"|"&amp;BK$1&amp;"|Output"),"I/O","IN"),IF(COUNTIF(Flows!$M$2:$M$1500,$A144&amp;"|"&amp;BK$1&amp;"|Output"),"OUT",""))</f>
        <v>OUT</v>
      </c>
    </row>
    <row r="145" customFormat="false" ht="15" hidden="false" customHeight="true" outlineLevel="0" collapsed="false">
      <c r="A145" s="6" t="str">
        <f aca="false">Systems!B145</f>
        <v>E-Bike</v>
      </c>
      <c r="B145" s="33" t="str">
        <f aca="false">IF(COUNTIF(Flows!$M$2:$M$1500,$A145&amp;"|"&amp;B$1&amp;"|Input"),IF(COUNTIF(Flows!$M$2:$M$1500,$A145&amp;"|"&amp;B$1&amp;"|Output"),"I/O","IN"),IF(COUNTIF(Flows!$M$2:$M$1500,$A145&amp;"|"&amp;B$1&amp;"|Output"),"OUT",""))</f>
        <v/>
      </c>
      <c r="C145" s="33" t="str">
        <f aca="false">IF(COUNTIF(Flows!$M$2:$M$1500,$A145&amp;"|"&amp;C$1&amp;"|Input"),IF(COUNTIF(Flows!$M$2:$M$1500,$A145&amp;"|"&amp;C$1&amp;"|Output"),"I/O","IN"),IF(COUNTIF(Flows!$M$2:$M$1500,$A145&amp;"|"&amp;C$1&amp;"|Output"),"OUT",""))</f>
        <v/>
      </c>
      <c r="D145" s="33" t="str">
        <f aca="false">IF(COUNTIF(Flows!$M$2:$M$1500,$A145&amp;"|"&amp;D$1&amp;"|Input"),IF(COUNTIF(Flows!$M$2:$M$1500,$A145&amp;"|"&amp;D$1&amp;"|Output"),"I/O","IN"),IF(COUNTIF(Flows!$M$2:$M$1500,$A145&amp;"|"&amp;D$1&amp;"|Output"),"OUT",""))</f>
        <v/>
      </c>
      <c r="E145" s="33" t="str">
        <f aca="false">IF(COUNTIF(Flows!$M$2:$M$1500,$A145&amp;"|"&amp;E$1&amp;"|Input"),IF(COUNTIF(Flows!$M$2:$M$1500,$A145&amp;"|"&amp;E$1&amp;"|Output"),"I/O","IN"),IF(COUNTIF(Flows!$M$2:$M$1500,$A145&amp;"|"&amp;E$1&amp;"|Output"),"OUT",""))</f>
        <v/>
      </c>
      <c r="F145" s="33" t="str">
        <f aca="false">IF(COUNTIF(Flows!$M$2:$M$1500,$A145&amp;"|"&amp;F$1&amp;"|Input"),IF(COUNTIF(Flows!$M$2:$M$1500,$A145&amp;"|"&amp;F$1&amp;"|Output"),"I/O","IN"),IF(COUNTIF(Flows!$M$2:$M$1500,$A145&amp;"|"&amp;F$1&amp;"|Output"),"OUT",""))</f>
        <v>IN</v>
      </c>
      <c r="G145" s="33" t="str">
        <f aca="false">IF(COUNTIF(Flows!$M$2:$M$1500,$A145&amp;"|"&amp;G$1&amp;"|Input"),IF(COUNTIF(Flows!$M$2:$M$1500,$A145&amp;"|"&amp;G$1&amp;"|Output"),"I/O","IN"),IF(COUNTIF(Flows!$M$2:$M$1500,$A145&amp;"|"&amp;G$1&amp;"|Output"),"OUT",""))</f>
        <v/>
      </c>
      <c r="H145" s="33" t="str">
        <f aca="false">IF(COUNTIF(Flows!$M$2:$M$1500,$A145&amp;"|"&amp;H$1&amp;"|Input"),IF(COUNTIF(Flows!$M$2:$M$1500,$A145&amp;"|"&amp;H$1&amp;"|Output"),"I/O","IN"),IF(COUNTIF(Flows!$M$2:$M$1500,$A145&amp;"|"&amp;H$1&amp;"|Output"),"OUT",""))</f>
        <v/>
      </c>
      <c r="I145" s="33" t="str">
        <f aca="false">IF(COUNTIF(Flows!$M$2:$M$1500,$A145&amp;"|"&amp;I$1&amp;"|Input"),IF(COUNTIF(Flows!$M$2:$M$1500,$A145&amp;"|"&amp;I$1&amp;"|Output"),"I/O","IN"),IF(COUNTIF(Flows!$M$2:$M$1500,$A145&amp;"|"&amp;I$1&amp;"|Output"),"OUT",""))</f>
        <v/>
      </c>
      <c r="J145" s="33" t="str">
        <f aca="false">IF(COUNTIF(Flows!$M$2:$M$1500,$A145&amp;"|"&amp;J$1&amp;"|Input"),IF(COUNTIF(Flows!$M$2:$M$1500,$A145&amp;"|"&amp;J$1&amp;"|Output"),"I/O","IN"),IF(COUNTIF(Flows!$M$2:$M$1500,$A145&amp;"|"&amp;J$1&amp;"|Output"),"OUT",""))</f>
        <v/>
      </c>
      <c r="K145" s="33" t="str">
        <f aca="false">IF(COUNTIF(Flows!$M$2:$M$1500,$A145&amp;"|"&amp;K$1&amp;"|Input"),IF(COUNTIF(Flows!$M$2:$M$1500,$A145&amp;"|"&amp;K$1&amp;"|Output"),"I/O","IN"),IF(COUNTIF(Flows!$M$2:$M$1500,$A145&amp;"|"&amp;K$1&amp;"|Output"),"OUT",""))</f>
        <v/>
      </c>
      <c r="L145" s="33" t="str">
        <f aca="false">IF(COUNTIF(Flows!$M$2:$M$1500,$A145&amp;"|"&amp;L$1&amp;"|Input"),IF(COUNTIF(Flows!$M$2:$M$1500,$A145&amp;"|"&amp;L$1&amp;"|Output"),"I/O","IN"),IF(COUNTIF(Flows!$M$2:$M$1500,$A145&amp;"|"&amp;L$1&amp;"|Output"),"OUT",""))</f>
        <v/>
      </c>
      <c r="M145" s="33" t="str">
        <f aca="false">IF(COUNTIF(Flows!$M$2:$M$1500,$A145&amp;"|"&amp;M$1&amp;"|Input"),IF(COUNTIF(Flows!$M$2:$M$1500,$A145&amp;"|"&amp;M$1&amp;"|Output"),"I/O","IN"),IF(COUNTIF(Flows!$M$2:$M$1500,$A145&amp;"|"&amp;M$1&amp;"|Output"),"OUT",""))</f>
        <v/>
      </c>
      <c r="N145" s="33" t="str">
        <f aca="false">IF(COUNTIF(Flows!$M$2:$M$1500,$A145&amp;"|"&amp;N$1&amp;"|Input"),IF(COUNTIF(Flows!$M$2:$M$1500,$A145&amp;"|"&amp;N$1&amp;"|Output"),"I/O","IN"),IF(COUNTIF(Flows!$M$2:$M$1500,$A145&amp;"|"&amp;N$1&amp;"|Output"),"OUT",""))</f>
        <v/>
      </c>
      <c r="O145" s="33" t="str">
        <f aca="false">IF(COUNTIF(Flows!$M$2:$M$1500,$A145&amp;"|"&amp;O$1&amp;"|Input"),IF(COUNTIF(Flows!$M$2:$M$1500,$A145&amp;"|"&amp;O$1&amp;"|Output"),"I/O","IN"),IF(COUNTIF(Flows!$M$2:$M$1500,$A145&amp;"|"&amp;O$1&amp;"|Output"),"OUT",""))</f>
        <v/>
      </c>
      <c r="P145" s="33" t="str">
        <f aca="false">IF(COUNTIF(Flows!$M$2:$M$1500,$A145&amp;"|"&amp;P$1&amp;"|Input"),IF(COUNTIF(Flows!$M$2:$M$1500,$A145&amp;"|"&amp;P$1&amp;"|Output"),"I/O","IN"),IF(COUNTIF(Flows!$M$2:$M$1500,$A145&amp;"|"&amp;P$1&amp;"|Output"),"OUT",""))</f>
        <v/>
      </c>
      <c r="Q145" s="33" t="str">
        <f aca="false">IF(COUNTIF(Flows!$M$2:$M$1500,$A145&amp;"|"&amp;Q$1&amp;"|Input"),IF(COUNTIF(Flows!$M$2:$M$1500,$A145&amp;"|"&amp;Q$1&amp;"|Output"),"I/O","IN"),IF(COUNTIF(Flows!$M$2:$M$1500,$A145&amp;"|"&amp;Q$1&amp;"|Output"),"OUT",""))</f>
        <v/>
      </c>
      <c r="R145" s="33" t="str">
        <f aca="false">IF(COUNTIF(Flows!$M$2:$M$1500,$A145&amp;"|"&amp;R$1&amp;"|Input"),IF(COUNTIF(Flows!$M$2:$M$1500,$A145&amp;"|"&amp;R$1&amp;"|Output"),"I/O","IN"),IF(COUNTIF(Flows!$M$2:$M$1500,$A145&amp;"|"&amp;R$1&amp;"|Output"),"OUT",""))</f>
        <v/>
      </c>
      <c r="S145" s="33" t="str">
        <f aca="false">IF(COUNTIF(Flows!$M$2:$M$1500,$A145&amp;"|"&amp;S$1&amp;"|Input"),IF(COUNTIF(Flows!$M$2:$M$1500,$A145&amp;"|"&amp;S$1&amp;"|Output"),"I/O","IN"),IF(COUNTIF(Flows!$M$2:$M$1500,$A145&amp;"|"&amp;S$1&amp;"|Output"),"OUT",""))</f>
        <v>IN</v>
      </c>
      <c r="T145" s="33" t="str">
        <f aca="false">IF(COUNTIF(Flows!$M$2:$M$1500,$A145&amp;"|"&amp;T$1&amp;"|Input"),IF(COUNTIF(Flows!$M$2:$M$1500,$A145&amp;"|"&amp;T$1&amp;"|Output"),"I/O","IN"),IF(COUNTIF(Flows!$M$2:$M$1500,$A145&amp;"|"&amp;T$1&amp;"|Output"),"OUT",""))</f>
        <v>OUT</v>
      </c>
      <c r="U145" s="33" t="str">
        <f aca="false">IF(COUNTIF(Flows!$M$2:$M$1500,$A145&amp;"|"&amp;U$1&amp;"|Input"),IF(COUNTIF(Flows!$M$2:$M$1500,$A145&amp;"|"&amp;U$1&amp;"|Output"),"I/O","IN"),IF(COUNTIF(Flows!$M$2:$M$1500,$A145&amp;"|"&amp;U$1&amp;"|Output"),"OUT",""))</f>
        <v/>
      </c>
      <c r="V145" s="33" t="str">
        <f aca="false">IF(COUNTIF(Flows!$M$2:$M$1500,$A145&amp;"|"&amp;V$1&amp;"|Input"),IF(COUNTIF(Flows!$M$2:$M$1500,$A145&amp;"|"&amp;V$1&amp;"|Output"),"I/O","IN"),IF(COUNTIF(Flows!$M$2:$M$1500,$A145&amp;"|"&amp;V$1&amp;"|Output"),"OUT",""))</f>
        <v/>
      </c>
      <c r="W145" s="33" t="str">
        <f aca="false">IF(COUNTIF(Flows!$M$2:$M$1500,$A145&amp;"|"&amp;W$1&amp;"|Input"),IF(COUNTIF(Flows!$M$2:$M$1500,$A145&amp;"|"&amp;W$1&amp;"|Output"),"I/O","IN"),IF(COUNTIF(Flows!$M$2:$M$1500,$A145&amp;"|"&amp;W$1&amp;"|Output"),"OUT",""))</f>
        <v/>
      </c>
      <c r="X145" s="33" t="str">
        <f aca="false">IF(COUNTIF(Flows!$M$2:$M$1500,$A145&amp;"|"&amp;X$1&amp;"|Input"),IF(COUNTIF(Flows!$M$2:$M$1500,$A145&amp;"|"&amp;X$1&amp;"|Output"),"I/O","IN"),IF(COUNTIF(Flows!$M$2:$M$1500,$A145&amp;"|"&amp;X$1&amp;"|Output"),"OUT",""))</f>
        <v>IN</v>
      </c>
      <c r="Y145" s="33" t="str">
        <f aca="false">IF(COUNTIF(Flows!$M$2:$M$1500,$A145&amp;"|"&amp;Y$1&amp;"|Input"),IF(COUNTIF(Flows!$M$2:$M$1500,$A145&amp;"|"&amp;Y$1&amp;"|Output"),"I/O","IN"),IF(COUNTIF(Flows!$M$2:$M$1500,$A145&amp;"|"&amp;Y$1&amp;"|Output"),"OUT",""))</f>
        <v/>
      </c>
      <c r="Z145" s="33" t="str">
        <f aca="false">IF(COUNTIF(Flows!$M$2:$M$1500,$A145&amp;"|"&amp;Z$1&amp;"|Input"),IF(COUNTIF(Flows!$M$2:$M$1500,$A145&amp;"|"&amp;Z$1&amp;"|Output"),"I/O","IN"),IF(COUNTIF(Flows!$M$2:$M$1500,$A145&amp;"|"&amp;Z$1&amp;"|Output"),"OUT",""))</f>
        <v/>
      </c>
      <c r="AA145" s="33" t="str">
        <f aca="false">IF(COUNTIF(Flows!$M$2:$M$1500,$A145&amp;"|"&amp;AA$1&amp;"|Input"),IF(COUNTIF(Flows!$M$2:$M$1500,$A145&amp;"|"&amp;AA$1&amp;"|Output"),"I/O","IN"),IF(COUNTIF(Flows!$M$2:$M$1500,$A145&amp;"|"&amp;AA$1&amp;"|Output"),"OUT",""))</f>
        <v/>
      </c>
      <c r="AB145" s="33" t="str">
        <f aca="false">IF(COUNTIF(Flows!$M$2:$M$1500,$A145&amp;"|"&amp;AB$1&amp;"|Input"),IF(COUNTIF(Flows!$M$2:$M$1500,$A145&amp;"|"&amp;AB$1&amp;"|Output"),"I/O","IN"),IF(COUNTIF(Flows!$M$2:$M$1500,$A145&amp;"|"&amp;AB$1&amp;"|Output"),"OUT",""))</f>
        <v/>
      </c>
      <c r="AC145" s="33" t="str">
        <f aca="false">IF(COUNTIF(Flows!$M$2:$M$1500,$A145&amp;"|"&amp;AC$1&amp;"|Input"),IF(COUNTIF(Flows!$M$2:$M$1500,$A145&amp;"|"&amp;AC$1&amp;"|Output"),"I/O","IN"),IF(COUNTIF(Flows!$M$2:$M$1500,$A145&amp;"|"&amp;AC$1&amp;"|Output"),"OUT",""))</f>
        <v/>
      </c>
      <c r="AD145" s="33" t="str">
        <f aca="false">IF(COUNTIF(Flows!$M$2:$M$1500,$A145&amp;"|"&amp;AD$1&amp;"|Input"),IF(COUNTIF(Flows!$M$2:$M$1500,$A145&amp;"|"&amp;AD$1&amp;"|Output"),"I/O","IN"),IF(COUNTIF(Flows!$M$2:$M$1500,$A145&amp;"|"&amp;AD$1&amp;"|Output"),"OUT",""))</f>
        <v/>
      </c>
      <c r="AE145" s="33" t="str">
        <f aca="false">IF(COUNTIF(Flows!$M$2:$M$1500,$A145&amp;"|"&amp;AE$1&amp;"|Input"),IF(COUNTIF(Flows!$M$2:$M$1500,$A145&amp;"|"&amp;AE$1&amp;"|Output"),"I/O","IN"),IF(COUNTIF(Flows!$M$2:$M$1500,$A145&amp;"|"&amp;AE$1&amp;"|Output"),"OUT",""))</f>
        <v/>
      </c>
      <c r="AF145" s="33" t="str">
        <f aca="false">IF(COUNTIF(Flows!$M$2:$M$1500,$A145&amp;"|"&amp;AF$1&amp;"|Input"),IF(COUNTIF(Flows!$M$2:$M$1500,$A145&amp;"|"&amp;AF$1&amp;"|Output"),"I/O","IN"),IF(COUNTIF(Flows!$M$2:$M$1500,$A145&amp;"|"&amp;AF$1&amp;"|Output"),"OUT",""))</f>
        <v/>
      </c>
      <c r="AG145" s="33" t="str">
        <f aca="false">IF(COUNTIF(Flows!$M$2:$M$1500,$A145&amp;"|"&amp;AG$1&amp;"|Input"),IF(COUNTIF(Flows!$M$2:$M$1500,$A145&amp;"|"&amp;AG$1&amp;"|Output"),"I/O","IN"),IF(COUNTIF(Flows!$M$2:$M$1500,$A145&amp;"|"&amp;AG$1&amp;"|Output"),"OUT",""))</f>
        <v/>
      </c>
      <c r="AH145" s="33" t="str">
        <f aca="false">IF(COUNTIF(Flows!$M$2:$M$1500,$A145&amp;"|"&amp;AH$1&amp;"|Input"),IF(COUNTIF(Flows!$M$2:$M$1500,$A145&amp;"|"&amp;AH$1&amp;"|Output"),"I/O","IN"),IF(COUNTIF(Flows!$M$2:$M$1500,$A145&amp;"|"&amp;AH$1&amp;"|Output"),"OUT",""))</f>
        <v>IN</v>
      </c>
      <c r="AI145" s="33" t="str">
        <f aca="false">IF(COUNTIF(Flows!$M$2:$M$1500,$A145&amp;"|"&amp;AI$1&amp;"|Input"),IF(COUNTIF(Flows!$M$2:$M$1500,$A145&amp;"|"&amp;AI$1&amp;"|Output"),"I/O","IN"),IF(COUNTIF(Flows!$M$2:$M$1500,$A145&amp;"|"&amp;AI$1&amp;"|Output"),"OUT",""))</f>
        <v/>
      </c>
      <c r="AJ145" s="33" t="str">
        <f aca="false">IF(COUNTIF(Flows!$M$2:$M$1500,$A145&amp;"|"&amp;AJ$1&amp;"|Input"),IF(COUNTIF(Flows!$M$2:$M$1500,$A145&amp;"|"&amp;AJ$1&amp;"|Output"),"I/O","IN"),IF(COUNTIF(Flows!$M$2:$M$1500,$A145&amp;"|"&amp;AJ$1&amp;"|Output"),"OUT",""))</f>
        <v/>
      </c>
      <c r="AK145" s="33" t="str">
        <f aca="false">IF(COUNTIF(Flows!$M$2:$M$1500,$A145&amp;"|"&amp;AK$1&amp;"|Input"),IF(COUNTIF(Flows!$M$2:$M$1500,$A145&amp;"|"&amp;AK$1&amp;"|Output"),"I/O","IN"),IF(COUNTIF(Flows!$M$2:$M$1500,$A145&amp;"|"&amp;AK$1&amp;"|Output"),"OUT",""))</f>
        <v/>
      </c>
      <c r="AL145" s="33" t="str">
        <f aca="false">IF(COUNTIF(Flows!$M$2:$M$1500,$A145&amp;"|"&amp;AL$1&amp;"|Input"),IF(COUNTIF(Flows!$M$2:$M$1500,$A145&amp;"|"&amp;AL$1&amp;"|Output"),"I/O","IN"),IF(COUNTIF(Flows!$M$2:$M$1500,$A145&amp;"|"&amp;AL$1&amp;"|Output"),"OUT",""))</f>
        <v/>
      </c>
      <c r="AM145" s="33" t="str">
        <f aca="false">IF(COUNTIF(Flows!$M$2:$M$1500,$A145&amp;"|"&amp;AM$1&amp;"|Input"),IF(COUNTIF(Flows!$M$2:$M$1500,$A145&amp;"|"&amp;AM$1&amp;"|Output"),"I/O","IN"),IF(COUNTIF(Flows!$M$2:$M$1500,$A145&amp;"|"&amp;AM$1&amp;"|Output"),"OUT",""))</f>
        <v/>
      </c>
      <c r="AN145" s="33" t="str">
        <f aca="false">IF(COUNTIF(Flows!$M$2:$M$1500,$A145&amp;"|"&amp;AN$1&amp;"|Input"),IF(COUNTIF(Flows!$M$2:$M$1500,$A145&amp;"|"&amp;AN$1&amp;"|Output"),"I/O","IN"),IF(COUNTIF(Flows!$M$2:$M$1500,$A145&amp;"|"&amp;AN$1&amp;"|Output"),"OUT",""))</f>
        <v/>
      </c>
      <c r="AO145" s="33" t="str">
        <f aca="false">IF(COUNTIF(Flows!$M$2:$M$1500,$A145&amp;"|"&amp;AO$1&amp;"|Input"),IF(COUNTIF(Flows!$M$2:$M$1500,$A145&amp;"|"&amp;AO$1&amp;"|Output"),"I/O","IN"),IF(COUNTIF(Flows!$M$2:$M$1500,$A145&amp;"|"&amp;AO$1&amp;"|Output"),"OUT",""))</f>
        <v/>
      </c>
      <c r="AP145" s="33" t="str">
        <f aca="false">IF(COUNTIF(Flows!$M$2:$M$1500,$A145&amp;"|"&amp;AP$1&amp;"|Input"),IF(COUNTIF(Flows!$M$2:$M$1500,$A145&amp;"|"&amp;AP$1&amp;"|Output"),"I/O","IN"),IF(COUNTIF(Flows!$M$2:$M$1500,$A145&amp;"|"&amp;AP$1&amp;"|Output"),"OUT",""))</f>
        <v/>
      </c>
      <c r="AQ145" s="33" t="str">
        <f aca="false">IF(COUNTIF(Flows!$M$2:$M$1500,$A145&amp;"|"&amp;AQ$1&amp;"|Input"),IF(COUNTIF(Flows!$M$2:$M$1500,$A145&amp;"|"&amp;AQ$1&amp;"|Output"),"I/O","IN"),IF(COUNTIF(Flows!$M$2:$M$1500,$A145&amp;"|"&amp;AQ$1&amp;"|Output"),"OUT",""))</f>
        <v/>
      </c>
      <c r="AR145" s="33" t="str">
        <f aca="false">IF(COUNTIF(Flows!$M$2:$M$1500,$A145&amp;"|"&amp;AR$1&amp;"|Input"),IF(COUNTIF(Flows!$M$2:$M$1500,$A145&amp;"|"&amp;AR$1&amp;"|Output"),"I/O","IN"),IF(COUNTIF(Flows!$M$2:$M$1500,$A145&amp;"|"&amp;AR$1&amp;"|Output"),"OUT",""))</f>
        <v/>
      </c>
      <c r="AS145" s="33" t="str">
        <f aca="false">IF(COUNTIF(Flows!$M$2:$M$1500,$A145&amp;"|"&amp;AS$1&amp;"|Input"),IF(COUNTIF(Flows!$M$2:$M$1500,$A145&amp;"|"&amp;AS$1&amp;"|Output"),"I/O","IN"),IF(COUNTIF(Flows!$M$2:$M$1500,$A145&amp;"|"&amp;AS$1&amp;"|Output"),"OUT",""))</f>
        <v/>
      </c>
      <c r="AT145" s="33" t="str">
        <f aca="false">IF(COUNTIF(Flows!$M$2:$M$1500,$A145&amp;"|"&amp;AT$1&amp;"|Input"),IF(COUNTIF(Flows!$M$2:$M$1500,$A145&amp;"|"&amp;AT$1&amp;"|Output"),"I/O","IN"),IF(COUNTIF(Flows!$M$2:$M$1500,$A145&amp;"|"&amp;AT$1&amp;"|Output"),"OUT",""))</f>
        <v/>
      </c>
      <c r="AU145" s="33" t="str">
        <f aca="false">IF(COUNTIF(Flows!$M$2:$M$1500,$A145&amp;"|"&amp;AU$1&amp;"|Input"),IF(COUNTIF(Flows!$M$2:$M$1500,$A145&amp;"|"&amp;AU$1&amp;"|Output"),"I/O","IN"),IF(COUNTIF(Flows!$M$2:$M$1500,$A145&amp;"|"&amp;AU$1&amp;"|Output"),"OUT",""))</f>
        <v/>
      </c>
      <c r="AV145" s="33" t="str">
        <f aca="false">IF(COUNTIF(Flows!$M$2:$M$1500,$A145&amp;"|"&amp;AV$1&amp;"|Input"),IF(COUNTIF(Flows!$M$2:$M$1500,$A145&amp;"|"&amp;AV$1&amp;"|Output"),"I/O","IN"),IF(COUNTIF(Flows!$M$2:$M$1500,$A145&amp;"|"&amp;AV$1&amp;"|Output"),"OUT",""))</f>
        <v/>
      </c>
      <c r="AW145" s="33" t="str">
        <f aca="false">IF(COUNTIF(Flows!$M$2:$M$1500,$A145&amp;"|"&amp;AW$1&amp;"|Input"),IF(COUNTIF(Flows!$M$2:$M$1500,$A145&amp;"|"&amp;AW$1&amp;"|Output"),"I/O","IN"),IF(COUNTIF(Flows!$M$2:$M$1500,$A145&amp;"|"&amp;AW$1&amp;"|Output"),"OUT",""))</f>
        <v/>
      </c>
      <c r="AX145" s="33" t="str">
        <f aca="false">IF(COUNTIF(Flows!$M$2:$M$1500,$A145&amp;"|"&amp;AX$1&amp;"|Input"),IF(COUNTIF(Flows!$M$2:$M$1500,$A145&amp;"|"&amp;AX$1&amp;"|Output"),"I/O","IN"),IF(COUNTIF(Flows!$M$2:$M$1500,$A145&amp;"|"&amp;AX$1&amp;"|Output"),"OUT",""))</f>
        <v/>
      </c>
      <c r="AY145" s="33" t="str">
        <f aca="false">IF(COUNTIF(Flows!$M$2:$M$1500,$A145&amp;"|"&amp;AY$1&amp;"|Input"),IF(COUNTIF(Flows!$M$2:$M$1500,$A145&amp;"|"&amp;AY$1&amp;"|Output"),"I/O","IN"),IF(COUNTIF(Flows!$M$2:$M$1500,$A145&amp;"|"&amp;AY$1&amp;"|Output"),"OUT",""))</f>
        <v/>
      </c>
      <c r="AZ145" s="33" t="str">
        <f aca="false">IF(COUNTIF(Flows!$M$2:$M$1500,$A145&amp;"|"&amp;AZ$1&amp;"|Input"),IF(COUNTIF(Flows!$M$2:$M$1500,$A145&amp;"|"&amp;AZ$1&amp;"|Output"),"I/O","IN"),IF(COUNTIF(Flows!$M$2:$M$1500,$A145&amp;"|"&amp;AZ$1&amp;"|Output"),"OUT",""))</f>
        <v/>
      </c>
      <c r="BA145" s="33" t="str">
        <f aca="false">IF(COUNTIF(Flows!$M$2:$M$1500,$A145&amp;"|"&amp;BA$1&amp;"|Input"),IF(COUNTIF(Flows!$M$2:$M$1500,$A145&amp;"|"&amp;BA$1&amp;"|Output"),"I/O","IN"),IF(COUNTIF(Flows!$M$2:$M$1500,$A145&amp;"|"&amp;BA$1&amp;"|Output"),"OUT",""))</f>
        <v/>
      </c>
      <c r="BB145" s="33" t="str">
        <f aca="false">IF(COUNTIF(Flows!$M$2:$M$1500,$A145&amp;"|"&amp;BB$1&amp;"|Input"),IF(COUNTIF(Flows!$M$2:$M$1500,$A145&amp;"|"&amp;BB$1&amp;"|Output"),"I/O","IN"),IF(COUNTIF(Flows!$M$2:$M$1500,$A145&amp;"|"&amp;BB$1&amp;"|Output"),"OUT",""))</f>
        <v/>
      </c>
      <c r="BC145" s="33" t="str">
        <f aca="false">IF(COUNTIF(Flows!$M$2:$M$1500,$A145&amp;"|"&amp;BC$1&amp;"|Input"),IF(COUNTIF(Flows!$M$2:$M$1500,$A145&amp;"|"&amp;BC$1&amp;"|Output"),"I/O","IN"),IF(COUNTIF(Flows!$M$2:$M$1500,$A145&amp;"|"&amp;BC$1&amp;"|Output"),"OUT",""))</f>
        <v/>
      </c>
      <c r="BD145" s="33" t="str">
        <f aca="false">IF(COUNTIF(Flows!$M$2:$M$1500,$A145&amp;"|"&amp;BD$1&amp;"|Input"),IF(COUNTIF(Flows!$M$2:$M$1500,$A145&amp;"|"&amp;BD$1&amp;"|Output"),"I/O","IN"),IF(COUNTIF(Flows!$M$2:$M$1500,$A145&amp;"|"&amp;BD$1&amp;"|Output"),"OUT",""))</f>
        <v/>
      </c>
      <c r="BE145" s="33" t="str">
        <f aca="false">IF(COUNTIF(Flows!$M$2:$M$1500,$A145&amp;"|"&amp;BE$1&amp;"|Input"),IF(COUNTIF(Flows!$M$2:$M$1500,$A145&amp;"|"&amp;BE$1&amp;"|Output"),"I/O","IN"),IF(COUNTIF(Flows!$M$2:$M$1500,$A145&amp;"|"&amp;BE$1&amp;"|Output"),"OUT",""))</f>
        <v/>
      </c>
      <c r="BF145" s="33" t="str">
        <f aca="false">IF(COUNTIF(Flows!$M$2:$M$1500,$A145&amp;"|"&amp;BF$1&amp;"|Input"),IF(COUNTIF(Flows!$M$2:$M$1500,$A145&amp;"|"&amp;BF$1&amp;"|Output"),"I/O","IN"),IF(COUNTIF(Flows!$M$2:$M$1500,$A145&amp;"|"&amp;BF$1&amp;"|Output"),"OUT",""))</f>
        <v/>
      </c>
      <c r="BG145" s="33" t="str">
        <f aca="false">IF(COUNTIF(Flows!$M$2:$M$1500,$A145&amp;"|"&amp;BG$1&amp;"|Input"),IF(COUNTIF(Flows!$M$2:$M$1500,$A145&amp;"|"&amp;BG$1&amp;"|Output"),"I/O","IN"),IF(COUNTIF(Flows!$M$2:$M$1500,$A145&amp;"|"&amp;BG$1&amp;"|Output"),"OUT",""))</f>
        <v/>
      </c>
      <c r="BH145" s="33" t="str">
        <f aca="false">IF(COUNTIF(Flows!$M$2:$M$1500,$A145&amp;"|"&amp;BH$1&amp;"|Input"),IF(COUNTIF(Flows!$M$2:$M$1500,$A145&amp;"|"&amp;BH$1&amp;"|Output"),"I/O","IN"),IF(COUNTIF(Flows!$M$2:$M$1500,$A145&amp;"|"&amp;BH$1&amp;"|Output"),"OUT",""))</f>
        <v/>
      </c>
      <c r="BI145" s="33" t="str">
        <f aca="false">IF(COUNTIF(Flows!$M$2:$M$1500,$A145&amp;"|"&amp;BI$1&amp;"|Input"),IF(COUNTIF(Flows!$M$2:$M$1500,$A145&amp;"|"&amp;BI$1&amp;"|Output"),"I/O","IN"),IF(COUNTIF(Flows!$M$2:$M$1500,$A145&amp;"|"&amp;BI$1&amp;"|Output"),"OUT",""))</f>
        <v/>
      </c>
      <c r="BJ145" s="33" t="str">
        <f aca="false">IF(COUNTIF(Flows!$M$2:$M$1500,$A145&amp;"|"&amp;BJ$1&amp;"|Input"),IF(COUNTIF(Flows!$M$2:$M$1500,$A145&amp;"|"&amp;BJ$1&amp;"|Output"),"I/O","IN"),IF(COUNTIF(Flows!$M$2:$M$1500,$A145&amp;"|"&amp;BJ$1&amp;"|Output"),"OUT",""))</f>
        <v/>
      </c>
      <c r="BK145" s="33" t="str">
        <f aca="false">IF(COUNTIF(Flows!$M$2:$M$1500,$A145&amp;"|"&amp;BK$1&amp;"|Input"),IF(COUNTIF(Flows!$M$2:$M$1500,$A145&amp;"|"&amp;BK$1&amp;"|Output"),"I/O","IN"),IF(COUNTIF(Flows!$M$2:$M$1500,$A145&amp;"|"&amp;BK$1&amp;"|Output"),"OUT",""))</f>
        <v>OUT</v>
      </c>
    </row>
    <row r="146" customFormat="false" ht="15" hidden="false" customHeight="true" outlineLevel="0" collapsed="false">
      <c r="A146" s="6" t="str">
        <f aca="false">Systems!B146</f>
        <v>Used EV (Nissan Leaf)</v>
      </c>
      <c r="B146" s="33" t="str">
        <f aca="false">IF(COUNTIF(Flows!$M$2:$M$1500,$A146&amp;"|"&amp;B$1&amp;"|Input"),IF(COUNTIF(Flows!$M$2:$M$1500,$A146&amp;"|"&amp;B$1&amp;"|Output"),"I/O","IN"),IF(COUNTIF(Flows!$M$2:$M$1500,$A146&amp;"|"&amp;B$1&amp;"|Output"),"OUT",""))</f>
        <v/>
      </c>
      <c r="C146" s="33" t="str">
        <f aca="false">IF(COUNTIF(Flows!$M$2:$M$1500,$A146&amp;"|"&amp;C$1&amp;"|Input"),IF(COUNTIF(Flows!$M$2:$M$1500,$A146&amp;"|"&amp;C$1&amp;"|Output"),"I/O","IN"),IF(COUNTIF(Flows!$M$2:$M$1500,$A146&amp;"|"&amp;C$1&amp;"|Output"),"OUT",""))</f>
        <v/>
      </c>
      <c r="D146" s="33" t="str">
        <f aca="false">IF(COUNTIF(Flows!$M$2:$M$1500,$A146&amp;"|"&amp;D$1&amp;"|Input"),IF(COUNTIF(Flows!$M$2:$M$1500,$A146&amp;"|"&amp;D$1&amp;"|Output"),"I/O","IN"),IF(COUNTIF(Flows!$M$2:$M$1500,$A146&amp;"|"&amp;D$1&amp;"|Output"),"OUT",""))</f>
        <v/>
      </c>
      <c r="E146" s="33" t="str">
        <f aca="false">IF(COUNTIF(Flows!$M$2:$M$1500,$A146&amp;"|"&amp;E$1&amp;"|Input"),IF(COUNTIF(Flows!$M$2:$M$1500,$A146&amp;"|"&amp;E$1&amp;"|Output"),"I/O","IN"),IF(COUNTIF(Flows!$M$2:$M$1500,$A146&amp;"|"&amp;E$1&amp;"|Output"),"OUT",""))</f>
        <v/>
      </c>
      <c r="F146" s="33" t="str">
        <f aca="false">IF(COUNTIF(Flows!$M$2:$M$1500,$A146&amp;"|"&amp;F$1&amp;"|Input"),IF(COUNTIF(Flows!$M$2:$M$1500,$A146&amp;"|"&amp;F$1&amp;"|Output"),"I/O","IN"),IF(COUNTIF(Flows!$M$2:$M$1500,$A146&amp;"|"&amp;F$1&amp;"|Output"),"OUT",""))</f>
        <v/>
      </c>
      <c r="G146" s="33" t="str">
        <f aca="false">IF(COUNTIF(Flows!$M$2:$M$1500,$A146&amp;"|"&amp;G$1&amp;"|Input"),IF(COUNTIF(Flows!$M$2:$M$1500,$A146&amp;"|"&amp;G$1&amp;"|Output"),"I/O","IN"),IF(COUNTIF(Flows!$M$2:$M$1500,$A146&amp;"|"&amp;G$1&amp;"|Output"),"OUT",""))</f>
        <v/>
      </c>
      <c r="H146" s="33" t="str">
        <f aca="false">IF(COUNTIF(Flows!$M$2:$M$1500,$A146&amp;"|"&amp;H$1&amp;"|Input"),IF(COUNTIF(Flows!$M$2:$M$1500,$A146&amp;"|"&amp;H$1&amp;"|Output"),"I/O","IN"),IF(COUNTIF(Flows!$M$2:$M$1500,$A146&amp;"|"&amp;H$1&amp;"|Output"),"OUT",""))</f>
        <v/>
      </c>
      <c r="I146" s="33" t="str">
        <f aca="false">IF(COUNTIF(Flows!$M$2:$M$1500,$A146&amp;"|"&amp;I$1&amp;"|Input"),IF(COUNTIF(Flows!$M$2:$M$1500,$A146&amp;"|"&amp;I$1&amp;"|Output"),"I/O","IN"),IF(COUNTIF(Flows!$M$2:$M$1500,$A146&amp;"|"&amp;I$1&amp;"|Output"),"OUT",""))</f>
        <v/>
      </c>
      <c r="J146" s="33" t="str">
        <f aca="false">IF(COUNTIF(Flows!$M$2:$M$1500,$A146&amp;"|"&amp;J$1&amp;"|Input"),IF(COUNTIF(Flows!$M$2:$M$1500,$A146&amp;"|"&amp;J$1&amp;"|Output"),"I/O","IN"),IF(COUNTIF(Flows!$M$2:$M$1500,$A146&amp;"|"&amp;J$1&amp;"|Output"),"OUT",""))</f>
        <v/>
      </c>
      <c r="K146" s="33" t="str">
        <f aca="false">IF(COUNTIF(Flows!$M$2:$M$1500,$A146&amp;"|"&amp;K$1&amp;"|Input"),IF(COUNTIF(Flows!$M$2:$M$1500,$A146&amp;"|"&amp;K$1&amp;"|Output"),"I/O","IN"),IF(COUNTIF(Flows!$M$2:$M$1500,$A146&amp;"|"&amp;K$1&amp;"|Output"),"OUT",""))</f>
        <v/>
      </c>
      <c r="L146" s="33" t="str">
        <f aca="false">IF(COUNTIF(Flows!$M$2:$M$1500,$A146&amp;"|"&amp;L$1&amp;"|Input"),IF(COUNTIF(Flows!$M$2:$M$1500,$A146&amp;"|"&amp;L$1&amp;"|Output"),"I/O","IN"),IF(COUNTIF(Flows!$M$2:$M$1500,$A146&amp;"|"&amp;L$1&amp;"|Output"),"OUT",""))</f>
        <v/>
      </c>
      <c r="M146" s="33" t="str">
        <f aca="false">IF(COUNTIF(Flows!$M$2:$M$1500,$A146&amp;"|"&amp;M$1&amp;"|Input"),IF(COUNTIF(Flows!$M$2:$M$1500,$A146&amp;"|"&amp;M$1&amp;"|Output"),"I/O","IN"),IF(COUNTIF(Flows!$M$2:$M$1500,$A146&amp;"|"&amp;M$1&amp;"|Output"),"OUT",""))</f>
        <v/>
      </c>
      <c r="N146" s="33" t="str">
        <f aca="false">IF(COUNTIF(Flows!$M$2:$M$1500,$A146&amp;"|"&amp;N$1&amp;"|Input"),IF(COUNTIF(Flows!$M$2:$M$1500,$A146&amp;"|"&amp;N$1&amp;"|Output"),"I/O","IN"),IF(COUNTIF(Flows!$M$2:$M$1500,$A146&amp;"|"&amp;N$1&amp;"|Output"),"OUT",""))</f>
        <v/>
      </c>
      <c r="O146" s="33" t="str">
        <f aca="false">IF(COUNTIF(Flows!$M$2:$M$1500,$A146&amp;"|"&amp;O$1&amp;"|Input"),IF(COUNTIF(Flows!$M$2:$M$1500,$A146&amp;"|"&amp;O$1&amp;"|Output"),"I/O","IN"),IF(COUNTIF(Flows!$M$2:$M$1500,$A146&amp;"|"&amp;O$1&amp;"|Output"),"OUT",""))</f>
        <v/>
      </c>
      <c r="P146" s="33" t="str">
        <f aca="false">IF(COUNTIF(Flows!$M$2:$M$1500,$A146&amp;"|"&amp;P$1&amp;"|Input"),IF(COUNTIF(Flows!$M$2:$M$1500,$A146&amp;"|"&amp;P$1&amp;"|Output"),"I/O","IN"),IF(COUNTIF(Flows!$M$2:$M$1500,$A146&amp;"|"&amp;P$1&amp;"|Output"),"OUT",""))</f>
        <v/>
      </c>
      <c r="Q146" s="33" t="str">
        <f aca="false">IF(COUNTIF(Flows!$M$2:$M$1500,$A146&amp;"|"&amp;Q$1&amp;"|Input"),IF(COUNTIF(Flows!$M$2:$M$1500,$A146&amp;"|"&amp;Q$1&amp;"|Output"),"I/O","IN"),IF(COUNTIF(Flows!$M$2:$M$1500,$A146&amp;"|"&amp;Q$1&amp;"|Output"),"OUT",""))</f>
        <v/>
      </c>
      <c r="R146" s="33" t="str">
        <f aca="false">IF(COUNTIF(Flows!$M$2:$M$1500,$A146&amp;"|"&amp;R$1&amp;"|Input"),IF(COUNTIF(Flows!$M$2:$M$1500,$A146&amp;"|"&amp;R$1&amp;"|Output"),"I/O","IN"),IF(COUNTIF(Flows!$M$2:$M$1500,$A146&amp;"|"&amp;R$1&amp;"|Output"),"OUT",""))</f>
        <v/>
      </c>
      <c r="S146" s="33" t="str">
        <f aca="false">IF(COUNTIF(Flows!$M$2:$M$1500,$A146&amp;"|"&amp;S$1&amp;"|Input"),IF(COUNTIF(Flows!$M$2:$M$1500,$A146&amp;"|"&amp;S$1&amp;"|Output"),"I/O","IN"),IF(COUNTIF(Flows!$M$2:$M$1500,$A146&amp;"|"&amp;S$1&amp;"|Output"),"OUT",""))</f>
        <v>IN</v>
      </c>
      <c r="T146" s="33" t="str">
        <f aca="false">IF(COUNTIF(Flows!$M$2:$M$1500,$A146&amp;"|"&amp;T$1&amp;"|Input"),IF(COUNTIF(Flows!$M$2:$M$1500,$A146&amp;"|"&amp;T$1&amp;"|Output"),"I/O","IN"),IF(COUNTIF(Flows!$M$2:$M$1500,$A146&amp;"|"&amp;T$1&amp;"|Output"),"OUT",""))</f>
        <v>OUT</v>
      </c>
      <c r="U146" s="33" t="str">
        <f aca="false">IF(COUNTIF(Flows!$M$2:$M$1500,$A146&amp;"|"&amp;U$1&amp;"|Input"),IF(COUNTIF(Flows!$M$2:$M$1500,$A146&amp;"|"&amp;U$1&amp;"|Output"),"I/O","IN"),IF(COUNTIF(Flows!$M$2:$M$1500,$A146&amp;"|"&amp;U$1&amp;"|Output"),"OUT",""))</f>
        <v/>
      </c>
      <c r="V146" s="33" t="str">
        <f aca="false">IF(COUNTIF(Flows!$M$2:$M$1500,$A146&amp;"|"&amp;V$1&amp;"|Input"),IF(COUNTIF(Flows!$M$2:$M$1500,$A146&amp;"|"&amp;V$1&amp;"|Output"),"I/O","IN"),IF(COUNTIF(Flows!$M$2:$M$1500,$A146&amp;"|"&amp;V$1&amp;"|Output"),"OUT",""))</f>
        <v/>
      </c>
      <c r="W146" s="33" t="str">
        <f aca="false">IF(COUNTIF(Flows!$M$2:$M$1500,$A146&amp;"|"&amp;W$1&amp;"|Input"),IF(COUNTIF(Flows!$M$2:$M$1500,$A146&amp;"|"&amp;W$1&amp;"|Output"),"I/O","IN"),IF(COUNTIF(Flows!$M$2:$M$1500,$A146&amp;"|"&amp;W$1&amp;"|Output"),"OUT",""))</f>
        <v/>
      </c>
      <c r="X146" s="33" t="str">
        <f aca="false">IF(COUNTIF(Flows!$M$2:$M$1500,$A146&amp;"|"&amp;X$1&amp;"|Input"),IF(COUNTIF(Flows!$M$2:$M$1500,$A146&amp;"|"&amp;X$1&amp;"|Output"),"I/O","IN"),IF(COUNTIF(Flows!$M$2:$M$1500,$A146&amp;"|"&amp;X$1&amp;"|Output"),"OUT",""))</f>
        <v>IN</v>
      </c>
      <c r="Y146" s="33" t="str">
        <f aca="false">IF(COUNTIF(Flows!$M$2:$M$1500,$A146&amp;"|"&amp;Y$1&amp;"|Input"),IF(COUNTIF(Flows!$M$2:$M$1500,$A146&amp;"|"&amp;Y$1&amp;"|Output"),"I/O","IN"),IF(COUNTIF(Flows!$M$2:$M$1500,$A146&amp;"|"&amp;Y$1&amp;"|Output"),"OUT",""))</f>
        <v>IN</v>
      </c>
      <c r="Z146" s="33" t="str">
        <f aca="false">IF(COUNTIF(Flows!$M$2:$M$1500,$A146&amp;"|"&amp;Z$1&amp;"|Input"),IF(COUNTIF(Flows!$M$2:$M$1500,$A146&amp;"|"&amp;Z$1&amp;"|Output"),"I/O","IN"),IF(COUNTIF(Flows!$M$2:$M$1500,$A146&amp;"|"&amp;Z$1&amp;"|Output"),"OUT",""))</f>
        <v/>
      </c>
      <c r="AA146" s="33" t="str">
        <f aca="false">IF(COUNTIF(Flows!$M$2:$M$1500,$A146&amp;"|"&amp;AA$1&amp;"|Input"),IF(COUNTIF(Flows!$M$2:$M$1500,$A146&amp;"|"&amp;AA$1&amp;"|Output"),"I/O","IN"),IF(COUNTIF(Flows!$M$2:$M$1500,$A146&amp;"|"&amp;AA$1&amp;"|Output"),"OUT",""))</f>
        <v/>
      </c>
      <c r="AB146" s="33" t="str">
        <f aca="false">IF(COUNTIF(Flows!$M$2:$M$1500,$A146&amp;"|"&amp;AB$1&amp;"|Input"),IF(COUNTIF(Flows!$M$2:$M$1500,$A146&amp;"|"&amp;AB$1&amp;"|Output"),"I/O","IN"),IF(COUNTIF(Flows!$M$2:$M$1500,$A146&amp;"|"&amp;AB$1&amp;"|Output"),"OUT",""))</f>
        <v/>
      </c>
      <c r="AC146" s="33" t="str">
        <f aca="false">IF(COUNTIF(Flows!$M$2:$M$1500,$A146&amp;"|"&amp;AC$1&amp;"|Input"),IF(COUNTIF(Flows!$M$2:$M$1500,$A146&amp;"|"&amp;AC$1&amp;"|Output"),"I/O","IN"),IF(COUNTIF(Flows!$M$2:$M$1500,$A146&amp;"|"&amp;AC$1&amp;"|Output"),"OUT",""))</f>
        <v/>
      </c>
      <c r="AD146" s="33" t="str">
        <f aca="false">IF(COUNTIF(Flows!$M$2:$M$1500,$A146&amp;"|"&amp;AD$1&amp;"|Input"),IF(COUNTIF(Flows!$M$2:$M$1500,$A146&amp;"|"&amp;AD$1&amp;"|Output"),"I/O","IN"),IF(COUNTIF(Flows!$M$2:$M$1500,$A146&amp;"|"&amp;AD$1&amp;"|Output"),"OUT",""))</f>
        <v/>
      </c>
      <c r="AE146" s="33" t="str">
        <f aca="false">IF(COUNTIF(Flows!$M$2:$M$1500,$A146&amp;"|"&amp;AE$1&amp;"|Input"),IF(COUNTIF(Flows!$M$2:$M$1500,$A146&amp;"|"&amp;AE$1&amp;"|Output"),"I/O","IN"),IF(COUNTIF(Flows!$M$2:$M$1500,$A146&amp;"|"&amp;AE$1&amp;"|Output"),"OUT",""))</f>
        <v/>
      </c>
      <c r="AF146" s="33" t="str">
        <f aca="false">IF(COUNTIF(Flows!$M$2:$M$1500,$A146&amp;"|"&amp;AF$1&amp;"|Input"),IF(COUNTIF(Flows!$M$2:$M$1500,$A146&amp;"|"&amp;AF$1&amp;"|Output"),"I/O","IN"),IF(COUNTIF(Flows!$M$2:$M$1500,$A146&amp;"|"&amp;AF$1&amp;"|Output"),"OUT",""))</f>
        <v/>
      </c>
      <c r="AG146" s="33" t="str">
        <f aca="false">IF(COUNTIF(Flows!$M$2:$M$1500,$A146&amp;"|"&amp;AG$1&amp;"|Input"),IF(COUNTIF(Flows!$M$2:$M$1500,$A146&amp;"|"&amp;AG$1&amp;"|Output"),"I/O","IN"),IF(COUNTIF(Flows!$M$2:$M$1500,$A146&amp;"|"&amp;AG$1&amp;"|Output"),"OUT",""))</f>
        <v/>
      </c>
      <c r="AH146" s="33" t="str">
        <f aca="false">IF(COUNTIF(Flows!$M$2:$M$1500,$A146&amp;"|"&amp;AH$1&amp;"|Input"),IF(COUNTIF(Flows!$M$2:$M$1500,$A146&amp;"|"&amp;AH$1&amp;"|Output"),"I/O","IN"),IF(COUNTIF(Flows!$M$2:$M$1500,$A146&amp;"|"&amp;AH$1&amp;"|Output"),"OUT",""))</f>
        <v/>
      </c>
      <c r="AI146" s="33" t="str">
        <f aca="false">IF(COUNTIF(Flows!$M$2:$M$1500,$A146&amp;"|"&amp;AI$1&amp;"|Input"),IF(COUNTIF(Flows!$M$2:$M$1500,$A146&amp;"|"&amp;AI$1&amp;"|Output"),"I/O","IN"),IF(COUNTIF(Flows!$M$2:$M$1500,$A146&amp;"|"&amp;AI$1&amp;"|Output"),"OUT",""))</f>
        <v/>
      </c>
      <c r="AJ146" s="33" t="str">
        <f aca="false">IF(COUNTIF(Flows!$M$2:$M$1500,$A146&amp;"|"&amp;AJ$1&amp;"|Input"),IF(COUNTIF(Flows!$M$2:$M$1500,$A146&amp;"|"&amp;AJ$1&amp;"|Output"),"I/O","IN"),IF(COUNTIF(Flows!$M$2:$M$1500,$A146&amp;"|"&amp;AJ$1&amp;"|Output"),"OUT",""))</f>
        <v/>
      </c>
      <c r="AK146" s="33" t="str">
        <f aca="false">IF(COUNTIF(Flows!$M$2:$M$1500,$A146&amp;"|"&amp;AK$1&amp;"|Input"),IF(COUNTIF(Flows!$M$2:$M$1500,$A146&amp;"|"&amp;AK$1&amp;"|Output"),"I/O","IN"),IF(COUNTIF(Flows!$M$2:$M$1500,$A146&amp;"|"&amp;AK$1&amp;"|Output"),"OUT",""))</f>
        <v/>
      </c>
      <c r="AL146" s="33" t="str">
        <f aca="false">IF(COUNTIF(Flows!$M$2:$M$1500,$A146&amp;"|"&amp;AL$1&amp;"|Input"),IF(COUNTIF(Flows!$M$2:$M$1500,$A146&amp;"|"&amp;AL$1&amp;"|Output"),"I/O","IN"),IF(COUNTIF(Flows!$M$2:$M$1500,$A146&amp;"|"&amp;AL$1&amp;"|Output"),"OUT",""))</f>
        <v/>
      </c>
      <c r="AM146" s="33" t="str">
        <f aca="false">IF(COUNTIF(Flows!$M$2:$M$1500,$A146&amp;"|"&amp;AM$1&amp;"|Input"),IF(COUNTIF(Flows!$M$2:$M$1500,$A146&amp;"|"&amp;AM$1&amp;"|Output"),"I/O","IN"),IF(COUNTIF(Flows!$M$2:$M$1500,$A146&amp;"|"&amp;AM$1&amp;"|Output"),"OUT",""))</f>
        <v/>
      </c>
      <c r="AN146" s="33" t="str">
        <f aca="false">IF(COUNTIF(Flows!$M$2:$M$1500,$A146&amp;"|"&amp;AN$1&amp;"|Input"),IF(COUNTIF(Flows!$M$2:$M$1500,$A146&amp;"|"&amp;AN$1&amp;"|Output"),"I/O","IN"),IF(COUNTIF(Flows!$M$2:$M$1500,$A146&amp;"|"&amp;AN$1&amp;"|Output"),"OUT",""))</f>
        <v/>
      </c>
      <c r="AO146" s="33" t="str">
        <f aca="false">IF(COUNTIF(Flows!$M$2:$M$1500,$A146&amp;"|"&amp;AO$1&amp;"|Input"),IF(COUNTIF(Flows!$M$2:$M$1500,$A146&amp;"|"&amp;AO$1&amp;"|Output"),"I/O","IN"),IF(COUNTIF(Flows!$M$2:$M$1500,$A146&amp;"|"&amp;AO$1&amp;"|Output"),"OUT",""))</f>
        <v/>
      </c>
      <c r="AP146" s="33" t="str">
        <f aca="false">IF(COUNTIF(Flows!$M$2:$M$1500,$A146&amp;"|"&amp;AP$1&amp;"|Input"),IF(COUNTIF(Flows!$M$2:$M$1500,$A146&amp;"|"&amp;AP$1&amp;"|Output"),"I/O","IN"),IF(COUNTIF(Flows!$M$2:$M$1500,$A146&amp;"|"&amp;AP$1&amp;"|Output"),"OUT",""))</f>
        <v/>
      </c>
      <c r="AQ146" s="33" t="str">
        <f aca="false">IF(COUNTIF(Flows!$M$2:$M$1500,$A146&amp;"|"&amp;AQ$1&amp;"|Input"),IF(COUNTIF(Flows!$M$2:$M$1500,$A146&amp;"|"&amp;AQ$1&amp;"|Output"),"I/O","IN"),IF(COUNTIF(Flows!$M$2:$M$1500,$A146&amp;"|"&amp;AQ$1&amp;"|Output"),"OUT",""))</f>
        <v/>
      </c>
      <c r="AR146" s="33" t="str">
        <f aca="false">IF(COUNTIF(Flows!$M$2:$M$1500,$A146&amp;"|"&amp;AR$1&amp;"|Input"),IF(COUNTIF(Flows!$M$2:$M$1500,$A146&amp;"|"&amp;AR$1&amp;"|Output"),"I/O","IN"),IF(COUNTIF(Flows!$M$2:$M$1500,$A146&amp;"|"&amp;AR$1&amp;"|Output"),"OUT",""))</f>
        <v/>
      </c>
      <c r="AS146" s="33" t="str">
        <f aca="false">IF(COUNTIF(Flows!$M$2:$M$1500,$A146&amp;"|"&amp;AS$1&amp;"|Input"),IF(COUNTIF(Flows!$M$2:$M$1500,$A146&amp;"|"&amp;AS$1&amp;"|Output"),"I/O","IN"),IF(COUNTIF(Flows!$M$2:$M$1500,$A146&amp;"|"&amp;AS$1&amp;"|Output"),"OUT",""))</f>
        <v/>
      </c>
      <c r="AT146" s="33" t="str">
        <f aca="false">IF(COUNTIF(Flows!$M$2:$M$1500,$A146&amp;"|"&amp;AT$1&amp;"|Input"),IF(COUNTIF(Flows!$M$2:$M$1500,$A146&amp;"|"&amp;AT$1&amp;"|Output"),"I/O","IN"),IF(COUNTIF(Flows!$M$2:$M$1500,$A146&amp;"|"&amp;AT$1&amp;"|Output"),"OUT",""))</f>
        <v/>
      </c>
      <c r="AU146" s="33" t="str">
        <f aca="false">IF(COUNTIF(Flows!$M$2:$M$1500,$A146&amp;"|"&amp;AU$1&amp;"|Input"),IF(COUNTIF(Flows!$M$2:$M$1500,$A146&amp;"|"&amp;AU$1&amp;"|Output"),"I/O","IN"),IF(COUNTIF(Flows!$M$2:$M$1500,$A146&amp;"|"&amp;AU$1&amp;"|Output"),"OUT",""))</f>
        <v/>
      </c>
      <c r="AV146" s="33" t="str">
        <f aca="false">IF(COUNTIF(Flows!$M$2:$M$1500,$A146&amp;"|"&amp;AV$1&amp;"|Input"),IF(COUNTIF(Flows!$M$2:$M$1500,$A146&amp;"|"&amp;AV$1&amp;"|Output"),"I/O","IN"),IF(COUNTIF(Flows!$M$2:$M$1500,$A146&amp;"|"&amp;AV$1&amp;"|Output"),"OUT",""))</f>
        <v/>
      </c>
      <c r="AW146" s="33" t="str">
        <f aca="false">IF(COUNTIF(Flows!$M$2:$M$1500,$A146&amp;"|"&amp;AW$1&amp;"|Input"),IF(COUNTIF(Flows!$M$2:$M$1500,$A146&amp;"|"&amp;AW$1&amp;"|Output"),"I/O","IN"),IF(COUNTIF(Flows!$M$2:$M$1500,$A146&amp;"|"&amp;AW$1&amp;"|Output"),"OUT",""))</f>
        <v/>
      </c>
      <c r="AX146" s="33" t="str">
        <f aca="false">IF(COUNTIF(Flows!$M$2:$M$1500,$A146&amp;"|"&amp;AX$1&amp;"|Input"),IF(COUNTIF(Flows!$M$2:$M$1500,$A146&amp;"|"&amp;AX$1&amp;"|Output"),"I/O","IN"),IF(COUNTIF(Flows!$M$2:$M$1500,$A146&amp;"|"&amp;AX$1&amp;"|Output"),"OUT",""))</f>
        <v/>
      </c>
      <c r="AY146" s="33" t="str">
        <f aca="false">IF(COUNTIF(Flows!$M$2:$M$1500,$A146&amp;"|"&amp;AY$1&amp;"|Input"),IF(COUNTIF(Flows!$M$2:$M$1500,$A146&amp;"|"&amp;AY$1&amp;"|Output"),"I/O","IN"),IF(COUNTIF(Flows!$M$2:$M$1500,$A146&amp;"|"&amp;AY$1&amp;"|Output"),"OUT",""))</f>
        <v/>
      </c>
      <c r="AZ146" s="33" t="str">
        <f aca="false">IF(COUNTIF(Flows!$M$2:$M$1500,$A146&amp;"|"&amp;AZ$1&amp;"|Input"),IF(COUNTIF(Flows!$M$2:$M$1500,$A146&amp;"|"&amp;AZ$1&amp;"|Output"),"I/O","IN"),IF(COUNTIF(Flows!$M$2:$M$1500,$A146&amp;"|"&amp;AZ$1&amp;"|Output"),"OUT",""))</f>
        <v/>
      </c>
      <c r="BA146" s="33" t="str">
        <f aca="false">IF(COUNTIF(Flows!$M$2:$M$1500,$A146&amp;"|"&amp;BA$1&amp;"|Input"),IF(COUNTIF(Flows!$M$2:$M$1500,$A146&amp;"|"&amp;BA$1&amp;"|Output"),"I/O","IN"),IF(COUNTIF(Flows!$M$2:$M$1500,$A146&amp;"|"&amp;BA$1&amp;"|Output"),"OUT",""))</f>
        <v/>
      </c>
      <c r="BB146" s="33" t="str">
        <f aca="false">IF(COUNTIF(Flows!$M$2:$M$1500,$A146&amp;"|"&amp;BB$1&amp;"|Input"),IF(COUNTIF(Flows!$M$2:$M$1500,$A146&amp;"|"&amp;BB$1&amp;"|Output"),"I/O","IN"),IF(COUNTIF(Flows!$M$2:$M$1500,$A146&amp;"|"&amp;BB$1&amp;"|Output"),"OUT",""))</f>
        <v/>
      </c>
      <c r="BC146" s="33" t="str">
        <f aca="false">IF(COUNTIF(Flows!$M$2:$M$1500,$A146&amp;"|"&amp;BC$1&amp;"|Input"),IF(COUNTIF(Flows!$M$2:$M$1500,$A146&amp;"|"&amp;BC$1&amp;"|Output"),"I/O","IN"),IF(COUNTIF(Flows!$M$2:$M$1500,$A146&amp;"|"&amp;BC$1&amp;"|Output"),"OUT",""))</f>
        <v/>
      </c>
      <c r="BD146" s="33" t="str">
        <f aca="false">IF(COUNTIF(Flows!$M$2:$M$1500,$A146&amp;"|"&amp;BD$1&amp;"|Input"),IF(COUNTIF(Flows!$M$2:$M$1500,$A146&amp;"|"&amp;BD$1&amp;"|Output"),"I/O","IN"),IF(COUNTIF(Flows!$M$2:$M$1500,$A146&amp;"|"&amp;BD$1&amp;"|Output"),"OUT",""))</f>
        <v/>
      </c>
      <c r="BE146" s="33" t="str">
        <f aca="false">IF(COUNTIF(Flows!$M$2:$M$1500,$A146&amp;"|"&amp;BE$1&amp;"|Input"),IF(COUNTIF(Flows!$M$2:$M$1500,$A146&amp;"|"&amp;BE$1&amp;"|Output"),"I/O","IN"),IF(COUNTIF(Flows!$M$2:$M$1500,$A146&amp;"|"&amp;BE$1&amp;"|Output"),"OUT",""))</f>
        <v/>
      </c>
      <c r="BF146" s="33" t="str">
        <f aca="false">IF(COUNTIF(Flows!$M$2:$M$1500,$A146&amp;"|"&amp;BF$1&amp;"|Input"),IF(COUNTIF(Flows!$M$2:$M$1500,$A146&amp;"|"&amp;BF$1&amp;"|Output"),"I/O","IN"),IF(COUNTIF(Flows!$M$2:$M$1500,$A146&amp;"|"&amp;BF$1&amp;"|Output"),"OUT",""))</f>
        <v/>
      </c>
      <c r="BG146" s="33" t="str">
        <f aca="false">IF(COUNTIF(Flows!$M$2:$M$1500,$A146&amp;"|"&amp;BG$1&amp;"|Input"),IF(COUNTIF(Flows!$M$2:$M$1500,$A146&amp;"|"&amp;BG$1&amp;"|Output"),"I/O","IN"),IF(COUNTIF(Flows!$M$2:$M$1500,$A146&amp;"|"&amp;BG$1&amp;"|Output"),"OUT",""))</f>
        <v/>
      </c>
      <c r="BH146" s="33" t="str">
        <f aca="false">IF(COUNTIF(Flows!$M$2:$M$1500,$A146&amp;"|"&amp;BH$1&amp;"|Input"),IF(COUNTIF(Flows!$M$2:$M$1500,$A146&amp;"|"&amp;BH$1&amp;"|Output"),"I/O","IN"),IF(COUNTIF(Flows!$M$2:$M$1500,$A146&amp;"|"&amp;BH$1&amp;"|Output"),"OUT",""))</f>
        <v/>
      </c>
      <c r="BI146" s="33" t="str">
        <f aca="false">IF(COUNTIF(Flows!$M$2:$M$1500,$A146&amp;"|"&amp;BI$1&amp;"|Input"),IF(COUNTIF(Flows!$M$2:$M$1500,$A146&amp;"|"&amp;BI$1&amp;"|Output"),"I/O","IN"),IF(COUNTIF(Flows!$M$2:$M$1500,$A146&amp;"|"&amp;BI$1&amp;"|Output"),"OUT",""))</f>
        <v/>
      </c>
      <c r="BJ146" s="33" t="str">
        <f aca="false">IF(COUNTIF(Flows!$M$2:$M$1500,$A146&amp;"|"&amp;BJ$1&amp;"|Input"),IF(COUNTIF(Flows!$M$2:$M$1500,$A146&amp;"|"&amp;BJ$1&amp;"|Output"),"I/O","IN"),IF(COUNTIF(Flows!$M$2:$M$1500,$A146&amp;"|"&amp;BJ$1&amp;"|Output"),"OUT",""))</f>
        <v/>
      </c>
      <c r="BK146" s="33" t="str">
        <f aca="false">IF(COUNTIF(Flows!$M$2:$M$1500,$A146&amp;"|"&amp;BK$1&amp;"|Input"),IF(COUNTIF(Flows!$M$2:$M$1500,$A146&amp;"|"&amp;BK$1&amp;"|Output"),"I/O","IN"),IF(COUNTIF(Flows!$M$2:$M$1500,$A146&amp;"|"&amp;BK$1&amp;"|Output"),"OUT",""))</f>
        <v/>
      </c>
    </row>
    <row r="147" customFormat="false" ht="15" hidden="false" customHeight="true" outlineLevel="0" collapsed="false">
      <c r="A147" s="6" t="str">
        <f aca="false">Systems!B147</f>
        <v>Vermicompost Bin</v>
      </c>
      <c r="B147" s="33" t="str">
        <f aca="false">IF(COUNTIF(Flows!$M$2:$M$1500,$A147&amp;"|"&amp;B$1&amp;"|Input"),IF(COUNTIF(Flows!$M$2:$M$1500,$A147&amp;"|"&amp;B$1&amp;"|Output"),"I/O","IN"),IF(COUNTIF(Flows!$M$2:$M$1500,$A147&amp;"|"&amp;B$1&amp;"|Output"),"OUT",""))</f>
        <v>IN</v>
      </c>
      <c r="C147" s="33" t="str">
        <f aca="false">IF(COUNTIF(Flows!$M$2:$M$1500,$A147&amp;"|"&amp;C$1&amp;"|Input"),IF(COUNTIF(Flows!$M$2:$M$1500,$A147&amp;"|"&amp;C$1&amp;"|Output"),"I/O","IN"),IF(COUNTIF(Flows!$M$2:$M$1500,$A147&amp;"|"&amp;C$1&amp;"|Output"),"OUT",""))</f>
        <v/>
      </c>
      <c r="D147" s="33" t="str">
        <f aca="false">IF(COUNTIF(Flows!$M$2:$M$1500,$A147&amp;"|"&amp;D$1&amp;"|Input"),IF(COUNTIF(Flows!$M$2:$M$1500,$A147&amp;"|"&amp;D$1&amp;"|Output"),"I/O","IN"),IF(COUNTIF(Flows!$M$2:$M$1500,$A147&amp;"|"&amp;D$1&amp;"|Output"),"OUT",""))</f>
        <v/>
      </c>
      <c r="E147" s="33" t="str">
        <f aca="false">IF(COUNTIF(Flows!$M$2:$M$1500,$A147&amp;"|"&amp;E$1&amp;"|Input"),IF(COUNTIF(Flows!$M$2:$M$1500,$A147&amp;"|"&amp;E$1&amp;"|Output"),"I/O","IN"),IF(COUNTIF(Flows!$M$2:$M$1500,$A147&amp;"|"&amp;E$1&amp;"|Output"),"OUT",""))</f>
        <v/>
      </c>
      <c r="F147" s="33" t="str">
        <f aca="false">IF(COUNTIF(Flows!$M$2:$M$1500,$A147&amp;"|"&amp;F$1&amp;"|Input"),IF(COUNTIF(Flows!$M$2:$M$1500,$A147&amp;"|"&amp;F$1&amp;"|Output"),"I/O","IN"),IF(COUNTIF(Flows!$M$2:$M$1500,$A147&amp;"|"&amp;F$1&amp;"|Output"),"OUT",""))</f>
        <v/>
      </c>
      <c r="G147" s="33" t="str">
        <f aca="false">IF(COUNTIF(Flows!$M$2:$M$1500,$A147&amp;"|"&amp;G$1&amp;"|Input"),IF(COUNTIF(Flows!$M$2:$M$1500,$A147&amp;"|"&amp;G$1&amp;"|Output"),"I/O","IN"),IF(COUNTIF(Flows!$M$2:$M$1500,$A147&amp;"|"&amp;G$1&amp;"|Output"),"OUT",""))</f>
        <v/>
      </c>
      <c r="H147" s="33" t="str">
        <f aca="false">IF(COUNTIF(Flows!$M$2:$M$1500,$A147&amp;"|"&amp;H$1&amp;"|Input"),IF(COUNTIF(Flows!$M$2:$M$1500,$A147&amp;"|"&amp;H$1&amp;"|Output"),"I/O","IN"),IF(COUNTIF(Flows!$M$2:$M$1500,$A147&amp;"|"&amp;H$1&amp;"|Output"),"OUT",""))</f>
        <v/>
      </c>
      <c r="I147" s="33" t="str">
        <f aca="false">IF(COUNTIF(Flows!$M$2:$M$1500,$A147&amp;"|"&amp;I$1&amp;"|Input"),IF(COUNTIF(Flows!$M$2:$M$1500,$A147&amp;"|"&amp;I$1&amp;"|Output"),"I/O","IN"),IF(COUNTIF(Flows!$M$2:$M$1500,$A147&amp;"|"&amp;I$1&amp;"|Output"),"OUT",""))</f>
        <v/>
      </c>
      <c r="J147" s="33" t="str">
        <f aca="false">IF(COUNTIF(Flows!$M$2:$M$1500,$A147&amp;"|"&amp;J$1&amp;"|Input"),IF(COUNTIF(Flows!$M$2:$M$1500,$A147&amp;"|"&amp;J$1&amp;"|Output"),"I/O","IN"),IF(COUNTIF(Flows!$M$2:$M$1500,$A147&amp;"|"&amp;J$1&amp;"|Output"),"OUT",""))</f>
        <v/>
      </c>
      <c r="K147" s="33" t="str">
        <f aca="false">IF(COUNTIF(Flows!$M$2:$M$1500,$A147&amp;"|"&amp;K$1&amp;"|Input"),IF(COUNTIF(Flows!$M$2:$M$1500,$A147&amp;"|"&amp;K$1&amp;"|Output"),"I/O","IN"),IF(COUNTIF(Flows!$M$2:$M$1500,$A147&amp;"|"&amp;K$1&amp;"|Output"),"OUT",""))</f>
        <v/>
      </c>
      <c r="L147" s="33" t="str">
        <f aca="false">IF(COUNTIF(Flows!$M$2:$M$1500,$A147&amp;"|"&amp;L$1&amp;"|Input"),IF(COUNTIF(Flows!$M$2:$M$1500,$A147&amp;"|"&amp;L$1&amp;"|Output"),"I/O","IN"),IF(COUNTIF(Flows!$M$2:$M$1500,$A147&amp;"|"&amp;L$1&amp;"|Output"),"OUT",""))</f>
        <v/>
      </c>
      <c r="M147" s="33" t="str">
        <f aca="false">IF(COUNTIF(Flows!$M$2:$M$1500,$A147&amp;"|"&amp;M$1&amp;"|Input"),IF(COUNTIF(Flows!$M$2:$M$1500,$A147&amp;"|"&amp;M$1&amp;"|Output"),"I/O","IN"),IF(COUNTIF(Flows!$M$2:$M$1500,$A147&amp;"|"&amp;M$1&amp;"|Output"),"OUT",""))</f>
        <v/>
      </c>
      <c r="N147" s="33" t="str">
        <f aca="false">IF(COUNTIF(Flows!$M$2:$M$1500,$A147&amp;"|"&amp;N$1&amp;"|Input"),IF(COUNTIF(Flows!$M$2:$M$1500,$A147&amp;"|"&amp;N$1&amp;"|Output"),"I/O","IN"),IF(COUNTIF(Flows!$M$2:$M$1500,$A147&amp;"|"&amp;N$1&amp;"|Output"),"OUT",""))</f>
        <v/>
      </c>
      <c r="O147" s="33" t="str">
        <f aca="false">IF(COUNTIF(Flows!$M$2:$M$1500,$A147&amp;"|"&amp;O$1&amp;"|Input"),IF(COUNTIF(Flows!$M$2:$M$1500,$A147&amp;"|"&amp;O$1&amp;"|Output"),"I/O","IN"),IF(COUNTIF(Flows!$M$2:$M$1500,$A147&amp;"|"&amp;O$1&amp;"|Output"),"OUT",""))</f>
        <v/>
      </c>
      <c r="P147" s="33" t="str">
        <f aca="false">IF(COUNTIF(Flows!$M$2:$M$1500,$A147&amp;"|"&amp;P$1&amp;"|Input"),IF(COUNTIF(Flows!$M$2:$M$1500,$A147&amp;"|"&amp;P$1&amp;"|Output"),"I/O","IN"),IF(COUNTIF(Flows!$M$2:$M$1500,$A147&amp;"|"&amp;P$1&amp;"|Output"),"OUT",""))</f>
        <v/>
      </c>
      <c r="Q147" s="33" t="str">
        <f aca="false">IF(COUNTIF(Flows!$M$2:$M$1500,$A147&amp;"|"&amp;Q$1&amp;"|Input"),IF(COUNTIF(Flows!$M$2:$M$1500,$A147&amp;"|"&amp;Q$1&amp;"|Output"),"I/O","IN"),IF(COUNTIF(Flows!$M$2:$M$1500,$A147&amp;"|"&amp;Q$1&amp;"|Output"),"OUT",""))</f>
        <v/>
      </c>
      <c r="R147" s="33" t="str">
        <f aca="false">IF(COUNTIF(Flows!$M$2:$M$1500,$A147&amp;"|"&amp;R$1&amp;"|Input"),IF(COUNTIF(Flows!$M$2:$M$1500,$A147&amp;"|"&amp;R$1&amp;"|Output"),"I/O","IN"),IF(COUNTIF(Flows!$M$2:$M$1500,$A147&amp;"|"&amp;R$1&amp;"|Output"),"OUT",""))</f>
        <v/>
      </c>
      <c r="S147" s="33" t="str">
        <f aca="false">IF(COUNTIF(Flows!$M$2:$M$1500,$A147&amp;"|"&amp;S$1&amp;"|Input"),IF(COUNTIF(Flows!$M$2:$M$1500,$A147&amp;"|"&amp;S$1&amp;"|Output"),"I/O","IN"),IF(COUNTIF(Flows!$M$2:$M$1500,$A147&amp;"|"&amp;S$1&amp;"|Output"),"OUT",""))</f>
        <v/>
      </c>
      <c r="T147" s="33" t="str">
        <f aca="false">IF(COUNTIF(Flows!$M$2:$M$1500,$A147&amp;"|"&amp;T$1&amp;"|Input"),IF(COUNTIF(Flows!$M$2:$M$1500,$A147&amp;"|"&amp;T$1&amp;"|Output"),"I/O","IN"),IF(COUNTIF(Flows!$M$2:$M$1500,$A147&amp;"|"&amp;T$1&amp;"|Output"),"OUT",""))</f>
        <v/>
      </c>
      <c r="U147" s="33" t="str">
        <f aca="false">IF(COUNTIF(Flows!$M$2:$M$1500,$A147&amp;"|"&amp;U$1&amp;"|Input"),IF(COUNTIF(Flows!$M$2:$M$1500,$A147&amp;"|"&amp;U$1&amp;"|Output"),"I/O","IN"),IF(COUNTIF(Flows!$M$2:$M$1500,$A147&amp;"|"&amp;U$1&amp;"|Output"),"OUT",""))</f>
        <v/>
      </c>
      <c r="V147" s="33" t="str">
        <f aca="false">IF(COUNTIF(Flows!$M$2:$M$1500,$A147&amp;"|"&amp;V$1&amp;"|Input"),IF(COUNTIF(Flows!$M$2:$M$1500,$A147&amp;"|"&amp;V$1&amp;"|Output"),"I/O","IN"),IF(COUNTIF(Flows!$M$2:$M$1500,$A147&amp;"|"&amp;V$1&amp;"|Output"),"OUT",""))</f>
        <v/>
      </c>
      <c r="W147" s="33" t="str">
        <f aca="false">IF(COUNTIF(Flows!$M$2:$M$1500,$A147&amp;"|"&amp;W$1&amp;"|Input"),IF(COUNTIF(Flows!$M$2:$M$1500,$A147&amp;"|"&amp;W$1&amp;"|Output"),"I/O","IN"),IF(COUNTIF(Flows!$M$2:$M$1500,$A147&amp;"|"&amp;W$1&amp;"|Output"),"OUT",""))</f>
        <v/>
      </c>
      <c r="X147" s="33" t="str">
        <f aca="false">IF(COUNTIF(Flows!$M$2:$M$1500,$A147&amp;"|"&amp;X$1&amp;"|Input"),IF(COUNTIF(Flows!$M$2:$M$1500,$A147&amp;"|"&amp;X$1&amp;"|Output"),"I/O","IN"),IF(COUNTIF(Flows!$M$2:$M$1500,$A147&amp;"|"&amp;X$1&amp;"|Output"),"OUT",""))</f>
        <v>IN</v>
      </c>
      <c r="Y147" s="33" t="str">
        <f aca="false">IF(COUNTIF(Flows!$M$2:$M$1500,$A147&amp;"|"&amp;Y$1&amp;"|Input"),IF(COUNTIF(Flows!$M$2:$M$1500,$A147&amp;"|"&amp;Y$1&amp;"|Output"),"I/O","IN"),IF(COUNTIF(Flows!$M$2:$M$1500,$A147&amp;"|"&amp;Y$1&amp;"|Output"),"OUT",""))</f>
        <v/>
      </c>
      <c r="Z147" s="33" t="str">
        <f aca="false">IF(COUNTIF(Flows!$M$2:$M$1500,$A147&amp;"|"&amp;Z$1&amp;"|Input"),IF(COUNTIF(Flows!$M$2:$M$1500,$A147&amp;"|"&amp;Z$1&amp;"|Output"),"I/O","IN"),IF(COUNTIF(Flows!$M$2:$M$1500,$A147&amp;"|"&amp;Z$1&amp;"|Output"),"OUT",""))</f>
        <v/>
      </c>
      <c r="AA147" s="33" t="str">
        <f aca="false">IF(COUNTIF(Flows!$M$2:$M$1500,$A147&amp;"|"&amp;AA$1&amp;"|Input"),IF(COUNTIF(Flows!$M$2:$M$1500,$A147&amp;"|"&amp;AA$1&amp;"|Output"),"I/O","IN"),IF(COUNTIF(Flows!$M$2:$M$1500,$A147&amp;"|"&amp;AA$1&amp;"|Output"),"OUT",""))</f>
        <v/>
      </c>
      <c r="AB147" s="33" t="str">
        <f aca="false">IF(COUNTIF(Flows!$M$2:$M$1500,$A147&amp;"|"&amp;AB$1&amp;"|Input"),IF(COUNTIF(Flows!$M$2:$M$1500,$A147&amp;"|"&amp;AB$1&amp;"|Output"),"I/O","IN"),IF(COUNTIF(Flows!$M$2:$M$1500,$A147&amp;"|"&amp;AB$1&amp;"|Output"),"OUT",""))</f>
        <v/>
      </c>
      <c r="AC147" s="33" t="str">
        <f aca="false">IF(COUNTIF(Flows!$M$2:$M$1500,$A147&amp;"|"&amp;AC$1&amp;"|Input"),IF(COUNTIF(Flows!$M$2:$M$1500,$A147&amp;"|"&amp;AC$1&amp;"|Output"),"I/O","IN"),IF(COUNTIF(Flows!$M$2:$M$1500,$A147&amp;"|"&amp;AC$1&amp;"|Output"),"OUT",""))</f>
        <v/>
      </c>
      <c r="AD147" s="33" t="str">
        <f aca="false">IF(COUNTIF(Flows!$M$2:$M$1500,$A147&amp;"|"&amp;AD$1&amp;"|Input"),IF(COUNTIF(Flows!$M$2:$M$1500,$A147&amp;"|"&amp;AD$1&amp;"|Output"),"I/O","IN"),IF(COUNTIF(Flows!$M$2:$M$1500,$A147&amp;"|"&amp;AD$1&amp;"|Output"),"OUT",""))</f>
        <v/>
      </c>
      <c r="AE147" s="33" t="str">
        <f aca="false">IF(COUNTIF(Flows!$M$2:$M$1500,$A147&amp;"|"&amp;AE$1&amp;"|Input"),IF(COUNTIF(Flows!$M$2:$M$1500,$A147&amp;"|"&amp;AE$1&amp;"|Output"),"I/O","IN"),IF(COUNTIF(Flows!$M$2:$M$1500,$A147&amp;"|"&amp;AE$1&amp;"|Output"),"OUT",""))</f>
        <v/>
      </c>
      <c r="AF147" s="33" t="str">
        <f aca="false">IF(COUNTIF(Flows!$M$2:$M$1500,$A147&amp;"|"&amp;AF$1&amp;"|Input"),IF(COUNTIF(Flows!$M$2:$M$1500,$A147&amp;"|"&amp;AF$1&amp;"|Output"),"I/O","IN"),IF(COUNTIF(Flows!$M$2:$M$1500,$A147&amp;"|"&amp;AF$1&amp;"|Output"),"OUT",""))</f>
        <v/>
      </c>
      <c r="AG147" s="33" t="str">
        <f aca="false">IF(COUNTIF(Flows!$M$2:$M$1500,$A147&amp;"|"&amp;AG$1&amp;"|Input"),IF(COUNTIF(Flows!$M$2:$M$1500,$A147&amp;"|"&amp;AG$1&amp;"|Output"),"I/O","IN"),IF(COUNTIF(Flows!$M$2:$M$1500,$A147&amp;"|"&amp;AG$1&amp;"|Output"),"OUT",""))</f>
        <v/>
      </c>
      <c r="AH147" s="33" t="str">
        <f aca="false">IF(COUNTIF(Flows!$M$2:$M$1500,$A147&amp;"|"&amp;AH$1&amp;"|Input"),IF(COUNTIF(Flows!$M$2:$M$1500,$A147&amp;"|"&amp;AH$1&amp;"|Output"),"I/O","IN"),IF(COUNTIF(Flows!$M$2:$M$1500,$A147&amp;"|"&amp;AH$1&amp;"|Output"),"OUT",""))</f>
        <v/>
      </c>
      <c r="AI147" s="33" t="str">
        <f aca="false">IF(COUNTIF(Flows!$M$2:$M$1500,$A147&amp;"|"&amp;AI$1&amp;"|Input"),IF(COUNTIF(Flows!$M$2:$M$1500,$A147&amp;"|"&amp;AI$1&amp;"|Output"),"I/O","IN"),IF(COUNTIF(Flows!$M$2:$M$1500,$A147&amp;"|"&amp;AI$1&amp;"|Output"),"OUT",""))</f>
        <v/>
      </c>
      <c r="AJ147" s="33" t="str">
        <f aca="false">IF(COUNTIF(Flows!$M$2:$M$1500,$A147&amp;"|"&amp;AJ$1&amp;"|Input"),IF(COUNTIF(Flows!$M$2:$M$1500,$A147&amp;"|"&amp;AJ$1&amp;"|Output"),"I/O","IN"),IF(COUNTIF(Flows!$M$2:$M$1500,$A147&amp;"|"&amp;AJ$1&amp;"|Output"),"OUT",""))</f>
        <v/>
      </c>
      <c r="AK147" s="33" t="str">
        <f aca="false">IF(COUNTIF(Flows!$M$2:$M$1500,$A147&amp;"|"&amp;AK$1&amp;"|Input"),IF(COUNTIF(Flows!$M$2:$M$1500,$A147&amp;"|"&amp;AK$1&amp;"|Output"),"I/O","IN"),IF(COUNTIF(Flows!$M$2:$M$1500,$A147&amp;"|"&amp;AK$1&amp;"|Output"),"OUT",""))</f>
        <v/>
      </c>
      <c r="AL147" s="33" t="str">
        <f aca="false">IF(COUNTIF(Flows!$M$2:$M$1500,$A147&amp;"|"&amp;AL$1&amp;"|Input"),IF(COUNTIF(Flows!$M$2:$M$1500,$A147&amp;"|"&amp;AL$1&amp;"|Output"),"I/O","IN"),IF(COUNTIF(Flows!$M$2:$M$1500,$A147&amp;"|"&amp;AL$1&amp;"|Output"),"OUT",""))</f>
        <v/>
      </c>
      <c r="AM147" s="33" t="str">
        <f aca="false">IF(COUNTIF(Flows!$M$2:$M$1500,$A147&amp;"|"&amp;AM$1&amp;"|Input"),IF(COUNTIF(Flows!$M$2:$M$1500,$A147&amp;"|"&amp;AM$1&amp;"|Output"),"I/O","IN"),IF(COUNTIF(Flows!$M$2:$M$1500,$A147&amp;"|"&amp;AM$1&amp;"|Output"),"OUT",""))</f>
        <v/>
      </c>
      <c r="AN147" s="33" t="str">
        <f aca="false">IF(COUNTIF(Flows!$M$2:$M$1500,$A147&amp;"|"&amp;AN$1&amp;"|Input"),IF(COUNTIF(Flows!$M$2:$M$1500,$A147&amp;"|"&amp;AN$1&amp;"|Output"),"I/O","IN"),IF(COUNTIF(Flows!$M$2:$M$1500,$A147&amp;"|"&amp;AN$1&amp;"|Output"),"OUT",""))</f>
        <v/>
      </c>
      <c r="AO147" s="33" t="str">
        <f aca="false">IF(COUNTIF(Flows!$M$2:$M$1500,$A147&amp;"|"&amp;AO$1&amp;"|Input"),IF(COUNTIF(Flows!$M$2:$M$1500,$A147&amp;"|"&amp;AO$1&amp;"|Output"),"I/O","IN"),IF(COUNTIF(Flows!$M$2:$M$1500,$A147&amp;"|"&amp;AO$1&amp;"|Output"),"OUT",""))</f>
        <v/>
      </c>
      <c r="AP147" s="33" t="str">
        <f aca="false">IF(COUNTIF(Flows!$M$2:$M$1500,$A147&amp;"|"&amp;AP$1&amp;"|Input"),IF(COUNTIF(Flows!$M$2:$M$1500,$A147&amp;"|"&amp;AP$1&amp;"|Output"),"I/O","IN"),IF(COUNTIF(Flows!$M$2:$M$1500,$A147&amp;"|"&amp;AP$1&amp;"|Output"),"OUT",""))</f>
        <v/>
      </c>
      <c r="AQ147" s="33" t="str">
        <f aca="false">IF(COUNTIF(Flows!$M$2:$M$1500,$A147&amp;"|"&amp;AQ$1&amp;"|Input"),IF(COUNTIF(Flows!$M$2:$M$1500,$A147&amp;"|"&amp;AQ$1&amp;"|Output"),"I/O","IN"),IF(COUNTIF(Flows!$M$2:$M$1500,$A147&amp;"|"&amp;AQ$1&amp;"|Output"),"OUT",""))</f>
        <v/>
      </c>
      <c r="AR147" s="33" t="str">
        <f aca="false">IF(COUNTIF(Flows!$M$2:$M$1500,$A147&amp;"|"&amp;AR$1&amp;"|Input"),IF(COUNTIF(Flows!$M$2:$M$1500,$A147&amp;"|"&amp;AR$1&amp;"|Output"),"I/O","IN"),IF(COUNTIF(Flows!$M$2:$M$1500,$A147&amp;"|"&amp;AR$1&amp;"|Output"),"OUT",""))</f>
        <v>IN</v>
      </c>
      <c r="AS147" s="33" t="str">
        <f aca="false">IF(COUNTIF(Flows!$M$2:$M$1500,$A147&amp;"|"&amp;AS$1&amp;"|Input"),IF(COUNTIF(Flows!$M$2:$M$1500,$A147&amp;"|"&amp;AS$1&amp;"|Output"),"I/O","IN"),IF(COUNTIF(Flows!$M$2:$M$1500,$A147&amp;"|"&amp;AS$1&amp;"|Output"),"OUT",""))</f>
        <v>OUT</v>
      </c>
      <c r="AT147" s="33" t="str">
        <f aca="false">IF(COUNTIF(Flows!$M$2:$M$1500,$A147&amp;"|"&amp;AT$1&amp;"|Input"),IF(COUNTIF(Flows!$M$2:$M$1500,$A147&amp;"|"&amp;AT$1&amp;"|Output"),"I/O","IN"),IF(COUNTIF(Flows!$M$2:$M$1500,$A147&amp;"|"&amp;AT$1&amp;"|Output"),"OUT",""))</f>
        <v/>
      </c>
      <c r="AU147" s="33" t="str">
        <f aca="false">IF(COUNTIF(Flows!$M$2:$M$1500,$A147&amp;"|"&amp;AU$1&amp;"|Input"),IF(COUNTIF(Flows!$M$2:$M$1500,$A147&amp;"|"&amp;AU$1&amp;"|Output"),"I/O","IN"),IF(COUNTIF(Flows!$M$2:$M$1500,$A147&amp;"|"&amp;AU$1&amp;"|Output"),"OUT",""))</f>
        <v>OUT</v>
      </c>
      <c r="AV147" s="33" t="str">
        <f aca="false">IF(COUNTIF(Flows!$M$2:$M$1500,$A147&amp;"|"&amp;AV$1&amp;"|Input"),IF(COUNTIF(Flows!$M$2:$M$1500,$A147&amp;"|"&amp;AV$1&amp;"|Output"),"I/O","IN"),IF(COUNTIF(Flows!$M$2:$M$1500,$A147&amp;"|"&amp;AV$1&amp;"|Output"),"OUT",""))</f>
        <v/>
      </c>
      <c r="AW147" s="33" t="str">
        <f aca="false">IF(COUNTIF(Flows!$M$2:$M$1500,$A147&amp;"|"&amp;AW$1&amp;"|Input"),IF(COUNTIF(Flows!$M$2:$M$1500,$A147&amp;"|"&amp;AW$1&amp;"|Output"),"I/O","IN"),IF(COUNTIF(Flows!$M$2:$M$1500,$A147&amp;"|"&amp;AW$1&amp;"|Output"),"OUT",""))</f>
        <v/>
      </c>
      <c r="AX147" s="33" t="str">
        <f aca="false">IF(COUNTIF(Flows!$M$2:$M$1500,$A147&amp;"|"&amp;AX$1&amp;"|Input"),IF(COUNTIF(Flows!$M$2:$M$1500,$A147&amp;"|"&amp;AX$1&amp;"|Output"),"I/O","IN"),IF(COUNTIF(Flows!$M$2:$M$1500,$A147&amp;"|"&amp;AX$1&amp;"|Output"),"OUT",""))</f>
        <v>IN</v>
      </c>
      <c r="AY147" s="33" t="str">
        <f aca="false">IF(COUNTIF(Flows!$M$2:$M$1500,$A147&amp;"|"&amp;AY$1&amp;"|Input"),IF(COUNTIF(Flows!$M$2:$M$1500,$A147&amp;"|"&amp;AY$1&amp;"|Output"),"I/O","IN"),IF(COUNTIF(Flows!$M$2:$M$1500,$A147&amp;"|"&amp;AY$1&amp;"|Output"),"OUT",""))</f>
        <v>IN</v>
      </c>
      <c r="AZ147" s="33" t="str">
        <f aca="false">IF(COUNTIF(Flows!$M$2:$M$1500,$A147&amp;"|"&amp;AZ$1&amp;"|Input"),IF(COUNTIF(Flows!$M$2:$M$1500,$A147&amp;"|"&amp;AZ$1&amp;"|Output"),"I/O","IN"),IF(COUNTIF(Flows!$M$2:$M$1500,$A147&amp;"|"&amp;AZ$1&amp;"|Output"),"OUT",""))</f>
        <v/>
      </c>
      <c r="BA147" s="33" t="str">
        <f aca="false">IF(COUNTIF(Flows!$M$2:$M$1500,$A147&amp;"|"&amp;BA$1&amp;"|Input"),IF(COUNTIF(Flows!$M$2:$M$1500,$A147&amp;"|"&amp;BA$1&amp;"|Output"),"I/O","IN"),IF(COUNTIF(Flows!$M$2:$M$1500,$A147&amp;"|"&amp;BA$1&amp;"|Output"),"OUT",""))</f>
        <v/>
      </c>
      <c r="BB147" s="33" t="str">
        <f aca="false">IF(COUNTIF(Flows!$M$2:$M$1500,$A147&amp;"|"&amp;BB$1&amp;"|Input"),IF(COUNTIF(Flows!$M$2:$M$1500,$A147&amp;"|"&amp;BB$1&amp;"|Output"),"I/O","IN"),IF(COUNTIF(Flows!$M$2:$M$1500,$A147&amp;"|"&amp;BB$1&amp;"|Output"),"OUT",""))</f>
        <v/>
      </c>
      <c r="BC147" s="33" t="str">
        <f aca="false">IF(COUNTIF(Flows!$M$2:$M$1500,$A147&amp;"|"&amp;BC$1&amp;"|Input"),IF(COUNTIF(Flows!$M$2:$M$1500,$A147&amp;"|"&amp;BC$1&amp;"|Output"),"I/O","IN"),IF(COUNTIF(Flows!$M$2:$M$1500,$A147&amp;"|"&amp;BC$1&amp;"|Output"),"OUT",""))</f>
        <v/>
      </c>
      <c r="BD147" s="33" t="str">
        <f aca="false">IF(COUNTIF(Flows!$M$2:$M$1500,$A147&amp;"|"&amp;BD$1&amp;"|Input"),IF(COUNTIF(Flows!$M$2:$M$1500,$A147&amp;"|"&amp;BD$1&amp;"|Output"),"I/O","IN"),IF(COUNTIF(Flows!$M$2:$M$1500,$A147&amp;"|"&amp;BD$1&amp;"|Output"),"OUT",""))</f>
        <v/>
      </c>
      <c r="BE147" s="33" t="str">
        <f aca="false">IF(COUNTIF(Flows!$M$2:$M$1500,$A147&amp;"|"&amp;BE$1&amp;"|Input"),IF(COUNTIF(Flows!$M$2:$M$1500,$A147&amp;"|"&amp;BE$1&amp;"|Output"),"I/O","IN"),IF(COUNTIF(Flows!$M$2:$M$1500,$A147&amp;"|"&amp;BE$1&amp;"|Output"),"OUT",""))</f>
        <v/>
      </c>
      <c r="BF147" s="33" t="str">
        <f aca="false">IF(COUNTIF(Flows!$M$2:$M$1500,$A147&amp;"|"&amp;BF$1&amp;"|Input"),IF(COUNTIF(Flows!$M$2:$M$1500,$A147&amp;"|"&amp;BF$1&amp;"|Output"),"I/O","IN"),IF(COUNTIF(Flows!$M$2:$M$1500,$A147&amp;"|"&amp;BF$1&amp;"|Output"),"OUT",""))</f>
        <v/>
      </c>
      <c r="BG147" s="33" t="str">
        <f aca="false">IF(COUNTIF(Flows!$M$2:$M$1500,$A147&amp;"|"&amp;BG$1&amp;"|Input"),IF(COUNTIF(Flows!$M$2:$M$1500,$A147&amp;"|"&amp;BG$1&amp;"|Output"),"I/O","IN"),IF(COUNTIF(Flows!$M$2:$M$1500,$A147&amp;"|"&amp;BG$1&amp;"|Output"),"OUT",""))</f>
        <v/>
      </c>
      <c r="BH147" s="33" t="str">
        <f aca="false">IF(COUNTIF(Flows!$M$2:$M$1500,$A147&amp;"|"&amp;BH$1&amp;"|Input"),IF(COUNTIF(Flows!$M$2:$M$1500,$A147&amp;"|"&amp;BH$1&amp;"|Output"),"I/O","IN"),IF(COUNTIF(Flows!$M$2:$M$1500,$A147&amp;"|"&amp;BH$1&amp;"|Output"),"OUT",""))</f>
        <v/>
      </c>
      <c r="BI147" s="33" t="str">
        <f aca="false">IF(COUNTIF(Flows!$M$2:$M$1500,$A147&amp;"|"&amp;BI$1&amp;"|Input"),IF(COUNTIF(Flows!$M$2:$M$1500,$A147&amp;"|"&amp;BI$1&amp;"|Output"),"I/O","IN"),IF(COUNTIF(Flows!$M$2:$M$1500,$A147&amp;"|"&amp;BI$1&amp;"|Output"),"OUT",""))</f>
        <v/>
      </c>
      <c r="BJ147" s="33" t="str">
        <f aca="false">IF(COUNTIF(Flows!$M$2:$M$1500,$A147&amp;"|"&amp;BJ$1&amp;"|Input"),IF(COUNTIF(Flows!$M$2:$M$1500,$A147&amp;"|"&amp;BJ$1&amp;"|Output"),"I/O","IN"),IF(COUNTIF(Flows!$M$2:$M$1500,$A147&amp;"|"&amp;BJ$1&amp;"|Output"),"OUT",""))</f>
        <v/>
      </c>
      <c r="BK147" s="33" t="str">
        <f aca="false">IF(COUNTIF(Flows!$M$2:$M$1500,$A147&amp;"|"&amp;BK$1&amp;"|Input"),IF(COUNTIF(Flows!$M$2:$M$1500,$A147&amp;"|"&amp;BK$1&amp;"|Output"),"I/O","IN"),IF(COUNTIF(Flows!$M$2:$M$1500,$A147&amp;"|"&amp;BK$1&amp;"|Output"),"OUT",""))</f>
        <v/>
      </c>
    </row>
    <row r="148" customFormat="false" ht="15" hidden="false" customHeight="true" outlineLevel="0" collapsed="false">
      <c r="A148" s="6" t="str">
        <f aca="false">Systems!B148</f>
        <v>Bokashi Bucket</v>
      </c>
      <c r="B148" s="33" t="str">
        <f aca="false">IF(COUNTIF(Flows!$M$2:$M$1500,$A148&amp;"|"&amp;B$1&amp;"|Input"),IF(COUNTIF(Flows!$M$2:$M$1500,$A148&amp;"|"&amp;B$1&amp;"|Output"),"I/O","IN"),IF(COUNTIF(Flows!$M$2:$M$1500,$A148&amp;"|"&amp;B$1&amp;"|Output"),"OUT",""))</f>
        <v/>
      </c>
      <c r="C148" s="33" t="str">
        <f aca="false">IF(COUNTIF(Flows!$M$2:$M$1500,$A148&amp;"|"&amp;C$1&amp;"|Input"),IF(COUNTIF(Flows!$M$2:$M$1500,$A148&amp;"|"&amp;C$1&amp;"|Output"),"I/O","IN"),IF(COUNTIF(Flows!$M$2:$M$1500,$A148&amp;"|"&amp;C$1&amp;"|Output"),"OUT",""))</f>
        <v/>
      </c>
      <c r="D148" s="33" t="str">
        <f aca="false">IF(COUNTIF(Flows!$M$2:$M$1500,$A148&amp;"|"&amp;D$1&amp;"|Input"),IF(COUNTIF(Flows!$M$2:$M$1500,$A148&amp;"|"&amp;D$1&amp;"|Output"),"I/O","IN"),IF(COUNTIF(Flows!$M$2:$M$1500,$A148&amp;"|"&amp;D$1&amp;"|Output"),"OUT",""))</f>
        <v/>
      </c>
      <c r="E148" s="33" t="str">
        <f aca="false">IF(COUNTIF(Flows!$M$2:$M$1500,$A148&amp;"|"&amp;E$1&amp;"|Input"),IF(COUNTIF(Flows!$M$2:$M$1500,$A148&amp;"|"&amp;E$1&amp;"|Output"),"I/O","IN"),IF(COUNTIF(Flows!$M$2:$M$1500,$A148&amp;"|"&amp;E$1&amp;"|Output"),"OUT",""))</f>
        <v/>
      </c>
      <c r="F148" s="33" t="str">
        <f aca="false">IF(COUNTIF(Flows!$M$2:$M$1500,$A148&amp;"|"&amp;F$1&amp;"|Input"),IF(COUNTIF(Flows!$M$2:$M$1500,$A148&amp;"|"&amp;F$1&amp;"|Output"),"I/O","IN"),IF(COUNTIF(Flows!$M$2:$M$1500,$A148&amp;"|"&amp;F$1&amp;"|Output"),"OUT",""))</f>
        <v/>
      </c>
      <c r="G148" s="33" t="str">
        <f aca="false">IF(COUNTIF(Flows!$M$2:$M$1500,$A148&amp;"|"&amp;G$1&amp;"|Input"),IF(COUNTIF(Flows!$M$2:$M$1500,$A148&amp;"|"&amp;G$1&amp;"|Output"),"I/O","IN"),IF(COUNTIF(Flows!$M$2:$M$1500,$A148&amp;"|"&amp;G$1&amp;"|Output"),"OUT",""))</f>
        <v/>
      </c>
      <c r="H148" s="33" t="str">
        <f aca="false">IF(COUNTIF(Flows!$M$2:$M$1500,$A148&amp;"|"&amp;H$1&amp;"|Input"),IF(COUNTIF(Flows!$M$2:$M$1500,$A148&amp;"|"&amp;H$1&amp;"|Output"),"I/O","IN"),IF(COUNTIF(Flows!$M$2:$M$1500,$A148&amp;"|"&amp;H$1&amp;"|Output"),"OUT",""))</f>
        <v/>
      </c>
      <c r="I148" s="33" t="str">
        <f aca="false">IF(COUNTIF(Flows!$M$2:$M$1500,$A148&amp;"|"&amp;I$1&amp;"|Input"),IF(COUNTIF(Flows!$M$2:$M$1500,$A148&amp;"|"&amp;I$1&amp;"|Output"),"I/O","IN"),IF(COUNTIF(Flows!$M$2:$M$1500,$A148&amp;"|"&amp;I$1&amp;"|Output"),"OUT",""))</f>
        <v/>
      </c>
      <c r="J148" s="33" t="str">
        <f aca="false">IF(COUNTIF(Flows!$M$2:$M$1500,$A148&amp;"|"&amp;J$1&amp;"|Input"),IF(COUNTIF(Flows!$M$2:$M$1500,$A148&amp;"|"&amp;J$1&amp;"|Output"),"I/O","IN"),IF(COUNTIF(Flows!$M$2:$M$1500,$A148&amp;"|"&amp;J$1&amp;"|Output"),"OUT",""))</f>
        <v/>
      </c>
      <c r="K148" s="33" t="str">
        <f aca="false">IF(COUNTIF(Flows!$M$2:$M$1500,$A148&amp;"|"&amp;K$1&amp;"|Input"),IF(COUNTIF(Flows!$M$2:$M$1500,$A148&amp;"|"&amp;K$1&amp;"|Output"),"I/O","IN"),IF(COUNTIF(Flows!$M$2:$M$1500,$A148&amp;"|"&amp;K$1&amp;"|Output"),"OUT",""))</f>
        <v/>
      </c>
      <c r="L148" s="33" t="str">
        <f aca="false">IF(COUNTIF(Flows!$M$2:$M$1500,$A148&amp;"|"&amp;L$1&amp;"|Input"),IF(COUNTIF(Flows!$M$2:$M$1500,$A148&amp;"|"&amp;L$1&amp;"|Output"),"I/O","IN"),IF(COUNTIF(Flows!$M$2:$M$1500,$A148&amp;"|"&amp;L$1&amp;"|Output"),"OUT",""))</f>
        <v/>
      </c>
      <c r="M148" s="33" t="str">
        <f aca="false">IF(COUNTIF(Flows!$M$2:$M$1500,$A148&amp;"|"&amp;M$1&amp;"|Input"),IF(COUNTIF(Flows!$M$2:$M$1500,$A148&amp;"|"&amp;M$1&amp;"|Output"),"I/O","IN"),IF(COUNTIF(Flows!$M$2:$M$1500,$A148&amp;"|"&amp;M$1&amp;"|Output"),"OUT",""))</f>
        <v/>
      </c>
      <c r="N148" s="33" t="str">
        <f aca="false">IF(COUNTIF(Flows!$M$2:$M$1500,$A148&amp;"|"&amp;N$1&amp;"|Input"),IF(COUNTIF(Flows!$M$2:$M$1500,$A148&amp;"|"&amp;N$1&amp;"|Output"),"I/O","IN"),IF(COUNTIF(Flows!$M$2:$M$1500,$A148&amp;"|"&amp;N$1&amp;"|Output"),"OUT",""))</f>
        <v/>
      </c>
      <c r="O148" s="33" t="str">
        <f aca="false">IF(COUNTIF(Flows!$M$2:$M$1500,$A148&amp;"|"&amp;O$1&amp;"|Input"),IF(COUNTIF(Flows!$M$2:$M$1500,$A148&amp;"|"&amp;O$1&amp;"|Output"),"I/O","IN"),IF(COUNTIF(Flows!$M$2:$M$1500,$A148&amp;"|"&amp;O$1&amp;"|Output"),"OUT",""))</f>
        <v/>
      </c>
      <c r="P148" s="33" t="str">
        <f aca="false">IF(COUNTIF(Flows!$M$2:$M$1500,$A148&amp;"|"&amp;P$1&amp;"|Input"),IF(COUNTIF(Flows!$M$2:$M$1500,$A148&amp;"|"&amp;P$1&amp;"|Output"),"I/O","IN"),IF(COUNTIF(Flows!$M$2:$M$1500,$A148&amp;"|"&amp;P$1&amp;"|Output"),"OUT",""))</f>
        <v/>
      </c>
      <c r="Q148" s="33" t="str">
        <f aca="false">IF(COUNTIF(Flows!$M$2:$M$1500,$A148&amp;"|"&amp;Q$1&amp;"|Input"),IF(COUNTIF(Flows!$M$2:$M$1500,$A148&amp;"|"&amp;Q$1&amp;"|Output"),"I/O","IN"),IF(COUNTIF(Flows!$M$2:$M$1500,$A148&amp;"|"&amp;Q$1&amp;"|Output"),"OUT",""))</f>
        <v/>
      </c>
      <c r="R148" s="33" t="str">
        <f aca="false">IF(COUNTIF(Flows!$M$2:$M$1500,$A148&amp;"|"&amp;R$1&amp;"|Input"),IF(COUNTIF(Flows!$M$2:$M$1500,$A148&amp;"|"&amp;R$1&amp;"|Output"),"I/O","IN"),IF(COUNTIF(Flows!$M$2:$M$1500,$A148&amp;"|"&amp;R$1&amp;"|Output"),"OUT",""))</f>
        <v/>
      </c>
      <c r="S148" s="33" t="str">
        <f aca="false">IF(COUNTIF(Flows!$M$2:$M$1500,$A148&amp;"|"&amp;S$1&amp;"|Input"),IF(COUNTIF(Flows!$M$2:$M$1500,$A148&amp;"|"&amp;S$1&amp;"|Output"),"I/O","IN"),IF(COUNTIF(Flows!$M$2:$M$1500,$A148&amp;"|"&amp;S$1&amp;"|Output"),"OUT",""))</f>
        <v/>
      </c>
      <c r="T148" s="33" t="str">
        <f aca="false">IF(COUNTIF(Flows!$M$2:$M$1500,$A148&amp;"|"&amp;T$1&amp;"|Input"),IF(COUNTIF(Flows!$M$2:$M$1500,$A148&amp;"|"&amp;T$1&amp;"|Output"),"I/O","IN"),IF(COUNTIF(Flows!$M$2:$M$1500,$A148&amp;"|"&amp;T$1&amp;"|Output"),"OUT",""))</f>
        <v/>
      </c>
      <c r="U148" s="33" t="str">
        <f aca="false">IF(COUNTIF(Flows!$M$2:$M$1500,$A148&amp;"|"&amp;U$1&amp;"|Input"),IF(COUNTIF(Flows!$M$2:$M$1500,$A148&amp;"|"&amp;U$1&amp;"|Output"),"I/O","IN"),IF(COUNTIF(Flows!$M$2:$M$1500,$A148&amp;"|"&amp;U$1&amp;"|Output"),"OUT",""))</f>
        <v/>
      </c>
      <c r="V148" s="33" t="str">
        <f aca="false">IF(COUNTIF(Flows!$M$2:$M$1500,$A148&amp;"|"&amp;V$1&amp;"|Input"),IF(COUNTIF(Flows!$M$2:$M$1500,$A148&amp;"|"&amp;V$1&amp;"|Output"),"I/O","IN"),IF(COUNTIF(Flows!$M$2:$M$1500,$A148&amp;"|"&amp;V$1&amp;"|Output"),"OUT",""))</f>
        <v/>
      </c>
      <c r="W148" s="33" t="str">
        <f aca="false">IF(COUNTIF(Flows!$M$2:$M$1500,$A148&amp;"|"&amp;W$1&amp;"|Input"),IF(COUNTIF(Flows!$M$2:$M$1500,$A148&amp;"|"&amp;W$1&amp;"|Output"),"I/O","IN"),IF(COUNTIF(Flows!$M$2:$M$1500,$A148&amp;"|"&amp;W$1&amp;"|Output"),"OUT",""))</f>
        <v/>
      </c>
      <c r="X148" s="33" t="str">
        <f aca="false">IF(COUNTIF(Flows!$M$2:$M$1500,$A148&amp;"|"&amp;X$1&amp;"|Input"),IF(COUNTIF(Flows!$M$2:$M$1500,$A148&amp;"|"&amp;X$1&amp;"|Output"),"I/O","IN"),IF(COUNTIF(Flows!$M$2:$M$1500,$A148&amp;"|"&amp;X$1&amp;"|Output"),"OUT",""))</f>
        <v>IN</v>
      </c>
      <c r="Y148" s="33" t="str">
        <f aca="false">IF(COUNTIF(Flows!$M$2:$M$1500,$A148&amp;"|"&amp;Y$1&amp;"|Input"),IF(COUNTIF(Flows!$M$2:$M$1500,$A148&amp;"|"&amp;Y$1&amp;"|Output"),"I/O","IN"),IF(COUNTIF(Flows!$M$2:$M$1500,$A148&amp;"|"&amp;Y$1&amp;"|Output"),"OUT",""))</f>
        <v/>
      </c>
      <c r="Z148" s="33" t="str">
        <f aca="false">IF(COUNTIF(Flows!$M$2:$M$1500,$A148&amp;"|"&amp;Z$1&amp;"|Input"),IF(COUNTIF(Flows!$M$2:$M$1500,$A148&amp;"|"&amp;Z$1&amp;"|Output"),"I/O","IN"),IF(COUNTIF(Flows!$M$2:$M$1500,$A148&amp;"|"&amp;Z$1&amp;"|Output"),"OUT",""))</f>
        <v/>
      </c>
      <c r="AA148" s="33" t="str">
        <f aca="false">IF(COUNTIF(Flows!$M$2:$M$1500,$A148&amp;"|"&amp;AA$1&amp;"|Input"),IF(COUNTIF(Flows!$M$2:$M$1500,$A148&amp;"|"&amp;AA$1&amp;"|Output"),"I/O","IN"),IF(COUNTIF(Flows!$M$2:$M$1500,$A148&amp;"|"&amp;AA$1&amp;"|Output"),"OUT",""))</f>
        <v/>
      </c>
      <c r="AB148" s="33" t="str">
        <f aca="false">IF(COUNTIF(Flows!$M$2:$M$1500,$A148&amp;"|"&amp;AB$1&amp;"|Input"),IF(COUNTIF(Flows!$M$2:$M$1500,$A148&amp;"|"&amp;AB$1&amp;"|Output"),"I/O","IN"),IF(COUNTIF(Flows!$M$2:$M$1500,$A148&amp;"|"&amp;AB$1&amp;"|Output"),"OUT",""))</f>
        <v/>
      </c>
      <c r="AC148" s="33" t="str">
        <f aca="false">IF(COUNTIF(Flows!$M$2:$M$1500,$A148&amp;"|"&amp;AC$1&amp;"|Input"),IF(COUNTIF(Flows!$M$2:$M$1500,$A148&amp;"|"&amp;AC$1&amp;"|Output"),"I/O","IN"),IF(COUNTIF(Flows!$M$2:$M$1500,$A148&amp;"|"&amp;AC$1&amp;"|Output"),"OUT",""))</f>
        <v/>
      </c>
      <c r="AD148" s="33" t="str">
        <f aca="false">IF(COUNTIF(Flows!$M$2:$M$1500,$A148&amp;"|"&amp;AD$1&amp;"|Input"),IF(COUNTIF(Flows!$M$2:$M$1500,$A148&amp;"|"&amp;AD$1&amp;"|Output"),"I/O","IN"),IF(COUNTIF(Flows!$M$2:$M$1500,$A148&amp;"|"&amp;AD$1&amp;"|Output"),"OUT",""))</f>
        <v/>
      </c>
      <c r="AE148" s="33" t="str">
        <f aca="false">IF(COUNTIF(Flows!$M$2:$M$1500,$A148&amp;"|"&amp;AE$1&amp;"|Input"),IF(COUNTIF(Flows!$M$2:$M$1500,$A148&amp;"|"&amp;AE$1&amp;"|Output"),"I/O","IN"),IF(COUNTIF(Flows!$M$2:$M$1500,$A148&amp;"|"&amp;AE$1&amp;"|Output"),"OUT",""))</f>
        <v/>
      </c>
      <c r="AF148" s="33" t="str">
        <f aca="false">IF(COUNTIF(Flows!$M$2:$M$1500,$A148&amp;"|"&amp;AF$1&amp;"|Input"),IF(COUNTIF(Flows!$M$2:$M$1500,$A148&amp;"|"&amp;AF$1&amp;"|Output"),"I/O","IN"),IF(COUNTIF(Flows!$M$2:$M$1500,$A148&amp;"|"&amp;AF$1&amp;"|Output"),"OUT",""))</f>
        <v/>
      </c>
      <c r="AG148" s="33" t="str">
        <f aca="false">IF(COUNTIF(Flows!$M$2:$M$1500,$A148&amp;"|"&amp;AG$1&amp;"|Input"),IF(COUNTIF(Flows!$M$2:$M$1500,$A148&amp;"|"&amp;AG$1&amp;"|Output"),"I/O","IN"),IF(COUNTIF(Flows!$M$2:$M$1500,$A148&amp;"|"&amp;AG$1&amp;"|Output"),"OUT",""))</f>
        <v/>
      </c>
      <c r="AH148" s="33" t="str">
        <f aca="false">IF(COUNTIF(Flows!$M$2:$M$1500,$A148&amp;"|"&amp;AH$1&amp;"|Input"),IF(COUNTIF(Flows!$M$2:$M$1500,$A148&amp;"|"&amp;AH$1&amp;"|Output"),"I/O","IN"),IF(COUNTIF(Flows!$M$2:$M$1500,$A148&amp;"|"&amp;AH$1&amp;"|Output"),"OUT",""))</f>
        <v/>
      </c>
      <c r="AI148" s="33" t="str">
        <f aca="false">IF(COUNTIF(Flows!$M$2:$M$1500,$A148&amp;"|"&amp;AI$1&amp;"|Input"),IF(COUNTIF(Flows!$M$2:$M$1500,$A148&amp;"|"&amp;AI$1&amp;"|Output"),"I/O","IN"),IF(COUNTIF(Flows!$M$2:$M$1500,$A148&amp;"|"&amp;AI$1&amp;"|Output"),"OUT",""))</f>
        <v/>
      </c>
      <c r="AJ148" s="33" t="str">
        <f aca="false">IF(COUNTIF(Flows!$M$2:$M$1500,$A148&amp;"|"&amp;AJ$1&amp;"|Input"),IF(COUNTIF(Flows!$M$2:$M$1500,$A148&amp;"|"&amp;AJ$1&amp;"|Output"),"I/O","IN"),IF(COUNTIF(Flows!$M$2:$M$1500,$A148&amp;"|"&amp;AJ$1&amp;"|Output"),"OUT",""))</f>
        <v/>
      </c>
      <c r="AK148" s="33" t="str">
        <f aca="false">IF(COUNTIF(Flows!$M$2:$M$1500,$A148&amp;"|"&amp;AK$1&amp;"|Input"),IF(COUNTIF(Flows!$M$2:$M$1500,$A148&amp;"|"&amp;AK$1&amp;"|Output"),"I/O","IN"),IF(COUNTIF(Flows!$M$2:$M$1500,$A148&amp;"|"&amp;AK$1&amp;"|Output"),"OUT",""))</f>
        <v/>
      </c>
      <c r="AL148" s="33" t="str">
        <f aca="false">IF(COUNTIF(Flows!$M$2:$M$1500,$A148&amp;"|"&amp;AL$1&amp;"|Input"),IF(COUNTIF(Flows!$M$2:$M$1500,$A148&amp;"|"&amp;AL$1&amp;"|Output"),"I/O","IN"),IF(COUNTIF(Flows!$M$2:$M$1500,$A148&amp;"|"&amp;AL$1&amp;"|Output"),"OUT",""))</f>
        <v/>
      </c>
      <c r="AM148" s="33" t="str">
        <f aca="false">IF(COUNTIF(Flows!$M$2:$M$1500,$A148&amp;"|"&amp;AM$1&amp;"|Input"),IF(COUNTIF(Flows!$M$2:$M$1500,$A148&amp;"|"&amp;AM$1&amp;"|Output"),"I/O","IN"),IF(COUNTIF(Flows!$M$2:$M$1500,$A148&amp;"|"&amp;AM$1&amp;"|Output"),"OUT",""))</f>
        <v/>
      </c>
      <c r="AN148" s="33" t="str">
        <f aca="false">IF(COUNTIF(Flows!$M$2:$M$1500,$A148&amp;"|"&amp;AN$1&amp;"|Input"),IF(COUNTIF(Flows!$M$2:$M$1500,$A148&amp;"|"&amp;AN$1&amp;"|Output"),"I/O","IN"),IF(COUNTIF(Flows!$M$2:$M$1500,$A148&amp;"|"&amp;AN$1&amp;"|Output"),"OUT",""))</f>
        <v/>
      </c>
      <c r="AO148" s="33" t="str">
        <f aca="false">IF(COUNTIF(Flows!$M$2:$M$1500,$A148&amp;"|"&amp;AO$1&amp;"|Input"),IF(COUNTIF(Flows!$M$2:$M$1500,$A148&amp;"|"&amp;AO$1&amp;"|Output"),"I/O","IN"),IF(COUNTIF(Flows!$M$2:$M$1500,$A148&amp;"|"&amp;AO$1&amp;"|Output"),"OUT",""))</f>
        <v/>
      </c>
      <c r="AP148" s="33" t="str">
        <f aca="false">IF(COUNTIF(Flows!$M$2:$M$1500,$A148&amp;"|"&amp;AP$1&amp;"|Input"),IF(COUNTIF(Flows!$M$2:$M$1500,$A148&amp;"|"&amp;AP$1&amp;"|Output"),"I/O","IN"),IF(COUNTIF(Flows!$M$2:$M$1500,$A148&amp;"|"&amp;AP$1&amp;"|Output"),"OUT",""))</f>
        <v/>
      </c>
      <c r="AQ148" s="33" t="str">
        <f aca="false">IF(COUNTIF(Flows!$M$2:$M$1500,$A148&amp;"|"&amp;AQ$1&amp;"|Input"),IF(COUNTIF(Flows!$M$2:$M$1500,$A148&amp;"|"&amp;AQ$1&amp;"|Output"),"I/O","IN"),IF(COUNTIF(Flows!$M$2:$M$1500,$A148&amp;"|"&amp;AQ$1&amp;"|Output"),"OUT",""))</f>
        <v/>
      </c>
      <c r="AR148" s="33" t="str">
        <f aca="false">IF(COUNTIF(Flows!$M$2:$M$1500,$A148&amp;"|"&amp;AR$1&amp;"|Input"),IF(COUNTIF(Flows!$M$2:$M$1500,$A148&amp;"|"&amp;AR$1&amp;"|Output"),"I/O","IN"),IF(COUNTIF(Flows!$M$2:$M$1500,$A148&amp;"|"&amp;AR$1&amp;"|Output"),"OUT",""))</f>
        <v>IN</v>
      </c>
      <c r="AS148" s="33" t="str">
        <f aca="false">IF(COUNTIF(Flows!$M$2:$M$1500,$A148&amp;"|"&amp;AS$1&amp;"|Input"),IF(COUNTIF(Flows!$M$2:$M$1500,$A148&amp;"|"&amp;AS$1&amp;"|Output"),"I/O","IN"),IF(COUNTIF(Flows!$M$2:$M$1500,$A148&amp;"|"&amp;AS$1&amp;"|Output"),"OUT",""))</f>
        <v>OUT</v>
      </c>
      <c r="AT148" s="33" t="str">
        <f aca="false">IF(COUNTIF(Flows!$M$2:$M$1500,$A148&amp;"|"&amp;AT$1&amp;"|Input"),IF(COUNTIF(Flows!$M$2:$M$1500,$A148&amp;"|"&amp;AT$1&amp;"|Output"),"I/O","IN"),IF(COUNTIF(Flows!$M$2:$M$1500,$A148&amp;"|"&amp;AT$1&amp;"|Output"),"OUT",""))</f>
        <v/>
      </c>
      <c r="AU148" s="33" t="str">
        <f aca="false">IF(COUNTIF(Flows!$M$2:$M$1500,$A148&amp;"|"&amp;AU$1&amp;"|Input"),IF(COUNTIF(Flows!$M$2:$M$1500,$A148&amp;"|"&amp;AU$1&amp;"|Output"),"I/O","IN"),IF(COUNTIF(Flows!$M$2:$M$1500,$A148&amp;"|"&amp;AU$1&amp;"|Output"),"OUT",""))</f>
        <v>OUT</v>
      </c>
      <c r="AV148" s="33" t="str">
        <f aca="false">IF(COUNTIF(Flows!$M$2:$M$1500,$A148&amp;"|"&amp;AV$1&amp;"|Input"),IF(COUNTIF(Flows!$M$2:$M$1500,$A148&amp;"|"&amp;AV$1&amp;"|Output"),"I/O","IN"),IF(COUNTIF(Flows!$M$2:$M$1500,$A148&amp;"|"&amp;AV$1&amp;"|Output"),"OUT",""))</f>
        <v/>
      </c>
      <c r="AW148" s="33" t="str">
        <f aca="false">IF(COUNTIF(Flows!$M$2:$M$1500,$A148&amp;"|"&amp;AW$1&amp;"|Input"),IF(COUNTIF(Flows!$M$2:$M$1500,$A148&amp;"|"&amp;AW$1&amp;"|Output"),"I/O","IN"),IF(COUNTIF(Flows!$M$2:$M$1500,$A148&amp;"|"&amp;AW$1&amp;"|Output"),"OUT",""))</f>
        <v/>
      </c>
      <c r="AX148" s="33" t="str">
        <f aca="false">IF(COUNTIF(Flows!$M$2:$M$1500,$A148&amp;"|"&amp;AX$1&amp;"|Input"),IF(COUNTIF(Flows!$M$2:$M$1500,$A148&amp;"|"&amp;AX$1&amp;"|Output"),"I/O","IN"),IF(COUNTIF(Flows!$M$2:$M$1500,$A148&amp;"|"&amp;AX$1&amp;"|Output"),"OUT",""))</f>
        <v>IN</v>
      </c>
      <c r="AY148" s="33" t="str">
        <f aca="false">IF(COUNTIF(Flows!$M$2:$M$1500,$A148&amp;"|"&amp;AY$1&amp;"|Input"),IF(COUNTIF(Flows!$M$2:$M$1500,$A148&amp;"|"&amp;AY$1&amp;"|Output"),"I/O","IN"),IF(COUNTIF(Flows!$M$2:$M$1500,$A148&amp;"|"&amp;AY$1&amp;"|Output"),"OUT",""))</f>
        <v/>
      </c>
      <c r="AZ148" s="33" t="str">
        <f aca="false">IF(COUNTIF(Flows!$M$2:$M$1500,$A148&amp;"|"&amp;AZ$1&amp;"|Input"),IF(COUNTIF(Flows!$M$2:$M$1500,$A148&amp;"|"&amp;AZ$1&amp;"|Output"),"I/O","IN"),IF(COUNTIF(Flows!$M$2:$M$1500,$A148&amp;"|"&amp;AZ$1&amp;"|Output"),"OUT",""))</f>
        <v/>
      </c>
      <c r="BA148" s="33" t="str">
        <f aca="false">IF(COUNTIF(Flows!$M$2:$M$1500,$A148&amp;"|"&amp;BA$1&amp;"|Input"),IF(COUNTIF(Flows!$M$2:$M$1500,$A148&amp;"|"&amp;BA$1&amp;"|Output"),"I/O","IN"),IF(COUNTIF(Flows!$M$2:$M$1500,$A148&amp;"|"&amp;BA$1&amp;"|Output"),"OUT",""))</f>
        <v/>
      </c>
      <c r="BB148" s="33" t="str">
        <f aca="false">IF(COUNTIF(Flows!$M$2:$M$1500,$A148&amp;"|"&amp;BB$1&amp;"|Input"),IF(COUNTIF(Flows!$M$2:$M$1500,$A148&amp;"|"&amp;BB$1&amp;"|Output"),"I/O","IN"),IF(COUNTIF(Flows!$M$2:$M$1500,$A148&amp;"|"&amp;BB$1&amp;"|Output"),"OUT",""))</f>
        <v/>
      </c>
      <c r="BC148" s="33" t="str">
        <f aca="false">IF(COUNTIF(Flows!$M$2:$M$1500,$A148&amp;"|"&amp;BC$1&amp;"|Input"),IF(COUNTIF(Flows!$M$2:$M$1500,$A148&amp;"|"&amp;BC$1&amp;"|Output"),"I/O","IN"),IF(COUNTIF(Flows!$M$2:$M$1500,$A148&amp;"|"&amp;BC$1&amp;"|Output"),"OUT",""))</f>
        <v/>
      </c>
      <c r="BD148" s="33" t="str">
        <f aca="false">IF(COUNTIF(Flows!$M$2:$M$1500,$A148&amp;"|"&amp;BD$1&amp;"|Input"),IF(COUNTIF(Flows!$M$2:$M$1500,$A148&amp;"|"&amp;BD$1&amp;"|Output"),"I/O","IN"),IF(COUNTIF(Flows!$M$2:$M$1500,$A148&amp;"|"&amp;BD$1&amp;"|Output"),"OUT",""))</f>
        <v/>
      </c>
      <c r="BE148" s="33" t="str">
        <f aca="false">IF(COUNTIF(Flows!$M$2:$M$1500,$A148&amp;"|"&amp;BE$1&amp;"|Input"),IF(COUNTIF(Flows!$M$2:$M$1500,$A148&amp;"|"&amp;BE$1&amp;"|Output"),"I/O","IN"),IF(COUNTIF(Flows!$M$2:$M$1500,$A148&amp;"|"&amp;BE$1&amp;"|Output"),"OUT",""))</f>
        <v/>
      </c>
      <c r="BF148" s="33" t="str">
        <f aca="false">IF(COUNTIF(Flows!$M$2:$M$1500,$A148&amp;"|"&amp;BF$1&amp;"|Input"),IF(COUNTIF(Flows!$M$2:$M$1500,$A148&amp;"|"&amp;BF$1&amp;"|Output"),"I/O","IN"),IF(COUNTIF(Flows!$M$2:$M$1500,$A148&amp;"|"&amp;BF$1&amp;"|Output"),"OUT",""))</f>
        <v/>
      </c>
      <c r="BG148" s="33" t="str">
        <f aca="false">IF(COUNTIF(Flows!$M$2:$M$1500,$A148&amp;"|"&amp;BG$1&amp;"|Input"),IF(COUNTIF(Flows!$M$2:$M$1500,$A148&amp;"|"&amp;BG$1&amp;"|Output"),"I/O","IN"),IF(COUNTIF(Flows!$M$2:$M$1500,$A148&amp;"|"&amp;BG$1&amp;"|Output"),"OUT",""))</f>
        <v/>
      </c>
      <c r="BH148" s="33" t="str">
        <f aca="false">IF(COUNTIF(Flows!$M$2:$M$1500,$A148&amp;"|"&amp;BH$1&amp;"|Input"),IF(COUNTIF(Flows!$M$2:$M$1500,$A148&amp;"|"&amp;BH$1&amp;"|Output"),"I/O","IN"),IF(COUNTIF(Flows!$M$2:$M$1500,$A148&amp;"|"&amp;BH$1&amp;"|Output"),"OUT",""))</f>
        <v/>
      </c>
      <c r="BI148" s="33" t="str">
        <f aca="false">IF(COUNTIF(Flows!$M$2:$M$1500,$A148&amp;"|"&amp;BI$1&amp;"|Input"),IF(COUNTIF(Flows!$M$2:$M$1500,$A148&amp;"|"&amp;BI$1&amp;"|Output"),"I/O","IN"),IF(COUNTIF(Flows!$M$2:$M$1500,$A148&amp;"|"&amp;BI$1&amp;"|Output"),"OUT",""))</f>
        <v/>
      </c>
      <c r="BJ148" s="33" t="str">
        <f aca="false">IF(COUNTIF(Flows!$M$2:$M$1500,$A148&amp;"|"&amp;BJ$1&amp;"|Input"),IF(COUNTIF(Flows!$M$2:$M$1500,$A148&amp;"|"&amp;BJ$1&amp;"|Output"),"I/O","IN"),IF(COUNTIF(Flows!$M$2:$M$1500,$A148&amp;"|"&amp;BJ$1&amp;"|Output"),"OUT",""))</f>
        <v/>
      </c>
      <c r="BK148" s="33" t="str">
        <f aca="false">IF(COUNTIF(Flows!$M$2:$M$1500,$A148&amp;"|"&amp;BK$1&amp;"|Input"),IF(COUNTIF(Flows!$M$2:$M$1500,$A148&amp;"|"&amp;BK$1&amp;"|Output"),"I/O","IN"),IF(COUNTIF(Flows!$M$2:$M$1500,$A148&amp;"|"&amp;BK$1&amp;"|Output"),"OUT",""))</f>
        <v/>
      </c>
    </row>
    <row r="149" customFormat="false" ht="15" hidden="false" customHeight="true" outlineLevel="0" collapsed="false">
      <c r="A149" s="6" t="str">
        <f aca="false">Systems!B149</f>
        <v>Humanure Bucket System</v>
      </c>
      <c r="B149" s="33" t="str">
        <f aca="false">IF(COUNTIF(Flows!$M$2:$M$1500,$A149&amp;"|"&amp;B$1&amp;"|Input"),IF(COUNTIF(Flows!$M$2:$M$1500,$A149&amp;"|"&amp;B$1&amp;"|Output"),"I/O","IN"),IF(COUNTIF(Flows!$M$2:$M$1500,$A149&amp;"|"&amp;B$1&amp;"|Output"),"OUT",""))</f>
        <v/>
      </c>
      <c r="C149" s="33" t="str">
        <f aca="false">IF(COUNTIF(Flows!$M$2:$M$1500,$A149&amp;"|"&amp;C$1&amp;"|Input"),IF(COUNTIF(Flows!$M$2:$M$1500,$A149&amp;"|"&amp;C$1&amp;"|Output"),"I/O","IN"),IF(COUNTIF(Flows!$M$2:$M$1500,$A149&amp;"|"&amp;C$1&amp;"|Output"),"OUT",""))</f>
        <v/>
      </c>
      <c r="D149" s="33" t="str">
        <f aca="false">IF(COUNTIF(Flows!$M$2:$M$1500,$A149&amp;"|"&amp;D$1&amp;"|Input"),IF(COUNTIF(Flows!$M$2:$M$1500,$A149&amp;"|"&amp;D$1&amp;"|Output"),"I/O","IN"),IF(COUNTIF(Flows!$M$2:$M$1500,$A149&amp;"|"&amp;D$1&amp;"|Output"),"OUT",""))</f>
        <v/>
      </c>
      <c r="E149" s="33" t="str">
        <f aca="false">IF(COUNTIF(Flows!$M$2:$M$1500,$A149&amp;"|"&amp;E$1&amp;"|Input"),IF(COUNTIF(Flows!$M$2:$M$1500,$A149&amp;"|"&amp;E$1&amp;"|Output"),"I/O","IN"),IF(COUNTIF(Flows!$M$2:$M$1500,$A149&amp;"|"&amp;E$1&amp;"|Output"),"OUT",""))</f>
        <v/>
      </c>
      <c r="F149" s="33" t="str">
        <f aca="false">IF(COUNTIF(Flows!$M$2:$M$1500,$A149&amp;"|"&amp;F$1&amp;"|Input"),IF(COUNTIF(Flows!$M$2:$M$1500,$A149&amp;"|"&amp;F$1&amp;"|Output"),"I/O","IN"),IF(COUNTIF(Flows!$M$2:$M$1500,$A149&amp;"|"&amp;F$1&amp;"|Output"),"OUT",""))</f>
        <v/>
      </c>
      <c r="G149" s="33" t="str">
        <f aca="false">IF(COUNTIF(Flows!$M$2:$M$1500,$A149&amp;"|"&amp;G$1&amp;"|Input"),IF(COUNTIF(Flows!$M$2:$M$1500,$A149&amp;"|"&amp;G$1&amp;"|Output"),"I/O","IN"),IF(COUNTIF(Flows!$M$2:$M$1500,$A149&amp;"|"&amp;G$1&amp;"|Output"),"OUT",""))</f>
        <v/>
      </c>
      <c r="H149" s="33" t="str">
        <f aca="false">IF(COUNTIF(Flows!$M$2:$M$1500,$A149&amp;"|"&amp;H$1&amp;"|Input"),IF(COUNTIF(Flows!$M$2:$M$1500,$A149&amp;"|"&amp;H$1&amp;"|Output"),"I/O","IN"),IF(COUNTIF(Flows!$M$2:$M$1500,$A149&amp;"|"&amp;H$1&amp;"|Output"),"OUT",""))</f>
        <v/>
      </c>
      <c r="I149" s="33" t="str">
        <f aca="false">IF(COUNTIF(Flows!$M$2:$M$1500,$A149&amp;"|"&amp;I$1&amp;"|Input"),IF(COUNTIF(Flows!$M$2:$M$1500,$A149&amp;"|"&amp;I$1&amp;"|Output"),"I/O","IN"),IF(COUNTIF(Flows!$M$2:$M$1500,$A149&amp;"|"&amp;I$1&amp;"|Output"),"OUT",""))</f>
        <v/>
      </c>
      <c r="J149" s="33" t="str">
        <f aca="false">IF(COUNTIF(Flows!$M$2:$M$1500,$A149&amp;"|"&amp;J$1&amp;"|Input"),IF(COUNTIF(Flows!$M$2:$M$1500,$A149&amp;"|"&amp;J$1&amp;"|Output"),"I/O","IN"),IF(COUNTIF(Flows!$M$2:$M$1500,$A149&amp;"|"&amp;J$1&amp;"|Output"),"OUT",""))</f>
        <v/>
      </c>
      <c r="K149" s="33" t="str">
        <f aca="false">IF(COUNTIF(Flows!$M$2:$M$1500,$A149&amp;"|"&amp;K$1&amp;"|Input"),IF(COUNTIF(Flows!$M$2:$M$1500,$A149&amp;"|"&amp;K$1&amp;"|Output"),"I/O","IN"),IF(COUNTIF(Flows!$M$2:$M$1500,$A149&amp;"|"&amp;K$1&amp;"|Output"),"OUT",""))</f>
        <v/>
      </c>
      <c r="L149" s="33" t="str">
        <f aca="false">IF(COUNTIF(Flows!$M$2:$M$1500,$A149&amp;"|"&amp;L$1&amp;"|Input"),IF(COUNTIF(Flows!$M$2:$M$1500,$A149&amp;"|"&amp;L$1&amp;"|Output"),"I/O","IN"),IF(COUNTIF(Flows!$M$2:$M$1500,$A149&amp;"|"&amp;L$1&amp;"|Output"),"OUT",""))</f>
        <v/>
      </c>
      <c r="M149" s="33" t="str">
        <f aca="false">IF(COUNTIF(Flows!$M$2:$M$1500,$A149&amp;"|"&amp;M$1&amp;"|Input"),IF(COUNTIF(Flows!$M$2:$M$1500,$A149&amp;"|"&amp;M$1&amp;"|Output"),"I/O","IN"),IF(COUNTIF(Flows!$M$2:$M$1500,$A149&amp;"|"&amp;M$1&amp;"|Output"),"OUT",""))</f>
        <v/>
      </c>
      <c r="N149" s="33" t="str">
        <f aca="false">IF(COUNTIF(Flows!$M$2:$M$1500,$A149&amp;"|"&amp;N$1&amp;"|Input"),IF(COUNTIF(Flows!$M$2:$M$1500,$A149&amp;"|"&amp;N$1&amp;"|Output"),"I/O","IN"),IF(COUNTIF(Flows!$M$2:$M$1500,$A149&amp;"|"&amp;N$1&amp;"|Output"),"OUT",""))</f>
        <v/>
      </c>
      <c r="O149" s="33" t="str">
        <f aca="false">IF(COUNTIF(Flows!$M$2:$M$1500,$A149&amp;"|"&amp;O$1&amp;"|Input"),IF(COUNTIF(Flows!$M$2:$M$1500,$A149&amp;"|"&amp;O$1&amp;"|Output"),"I/O","IN"),IF(COUNTIF(Flows!$M$2:$M$1500,$A149&amp;"|"&amp;O$1&amp;"|Output"),"OUT",""))</f>
        <v/>
      </c>
      <c r="P149" s="33" t="str">
        <f aca="false">IF(COUNTIF(Flows!$M$2:$M$1500,$A149&amp;"|"&amp;P$1&amp;"|Input"),IF(COUNTIF(Flows!$M$2:$M$1500,$A149&amp;"|"&amp;P$1&amp;"|Output"),"I/O","IN"),IF(COUNTIF(Flows!$M$2:$M$1500,$A149&amp;"|"&amp;P$1&amp;"|Output"),"OUT",""))</f>
        <v/>
      </c>
      <c r="Q149" s="33" t="str">
        <f aca="false">IF(COUNTIF(Flows!$M$2:$M$1500,$A149&amp;"|"&amp;Q$1&amp;"|Input"),IF(COUNTIF(Flows!$M$2:$M$1500,$A149&amp;"|"&amp;Q$1&amp;"|Output"),"I/O","IN"),IF(COUNTIF(Flows!$M$2:$M$1500,$A149&amp;"|"&amp;Q$1&amp;"|Output"),"OUT",""))</f>
        <v/>
      </c>
      <c r="R149" s="33" t="str">
        <f aca="false">IF(COUNTIF(Flows!$M$2:$M$1500,$A149&amp;"|"&amp;R$1&amp;"|Input"),IF(COUNTIF(Flows!$M$2:$M$1500,$A149&amp;"|"&amp;R$1&amp;"|Output"),"I/O","IN"),IF(COUNTIF(Flows!$M$2:$M$1500,$A149&amp;"|"&amp;R$1&amp;"|Output"),"OUT",""))</f>
        <v>OUT</v>
      </c>
      <c r="S149" s="33" t="str">
        <f aca="false">IF(COUNTIF(Flows!$M$2:$M$1500,$A149&amp;"|"&amp;S$1&amp;"|Input"),IF(COUNTIF(Flows!$M$2:$M$1500,$A149&amp;"|"&amp;S$1&amp;"|Output"),"I/O","IN"),IF(COUNTIF(Flows!$M$2:$M$1500,$A149&amp;"|"&amp;S$1&amp;"|Output"),"OUT",""))</f>
        <v/>
      </c>
      <c r="T149" s="33" t="str">
        <f aca="false">IF(COUNTIF(Flows!$M$2:$M$1500,$A149&amp;"|"&amp;T$1&amp;"|Input"),IF(COUNTIF(Flows!$M$2:$M$1500,$A149&amp;"|"&amp;T$1&amp;"|Output"),"I/O","IN"),IF(COUNTIF(Flows!$M$2:$M$1500,$A149&amp;"|"&amp;T$1&amp;"|Output"),"OUT",""))</f>
        <v/>
      </c>
      <c r="U149" s="33" t="str">
        <f aca="false">IF(COUNTIF(Flows!$M$2:$M$1500,$A149&amp;"|"&amp;U$1&amp;"|Input"),IF(COUNTIF(Flows!$M$2:$M$1500,$A149&amp;"|"&amp;U$1&amp;"|Output"),"I/O","IN"),IF(COUNTIF(Flows!$M$2:$M$1500,$A149&amp;"|"&amp;U$1&amp;"|Output"),"OUT",""))</f>
        <v/>
      </c>
      <c r="V149" s="33" t="str">
        <f aca="false">IF(COUNTIF(Flows!$M$2:$M$1500,$A149&amp;"|"&amp;V$1&amp;"|Input"),IF(COUNTIF(Flows!$M$2:$M$1500,$A149&amp;"|"&amp;V$1&amp;"|Output"),"I/O","IN"),IF(COUNTIF(Flows!$M$2:$M$1500,$A149&amp;"|"&amp;V$1&amp;"|Output"),"OUT",""))</f>
        <v/>
      </c>
      <c r="W149" s="33" t="str">
        <f aca="false">IF(COUNTIF(Flows!$M$2:$M$1500,$A149&amp;"|"&amp;W$1&amp;"|Input"),IF(COUNTIF(Flows!$M$2:$M$1500,$A149&amp;"|"&amp;W$1&amp;"|Output"),"I/O","IN"),IF(COUNTIF(Flows!$M$2:$M$1500,$A149&amp;"|"&amp;W$1&amp;"|Output"),"OUT",""))</f>
        <v/>
      </c>
      <c r="X149" s="33" t="str">
        <f aca="false">IF(COUNTIF(Flows!$M$2:$M$1500,$A149&amp;"|"&amp;X$1&amp;"|Input"),IF(COUNTIF(Flows!$M$2:$M$1500,$A149&amp;"|"&amp;X$1&amp;"|Output"),"I/O","IN"),IF(COUNTIF(Flows!$M$2:$M$1500,$A149&amp;"|"&amp;X$1&amp;"|Output"),"OUT",""))</f>
        <v>IN</v>
      </c>
      <c r="Y149" s="33" t="str">
        <f aca="false">IF(COUNTIF(Flows!$M$2:$M$1500,$A149&amp;"|"&amp;Y$1&amp;"|Input"),IF(COUNTIF(Flows!$M$2:$M$1500,$A149&amp;"|"&amp;Y$1&amp;"|Output"),"I/O","IN"),IF(COUNTIF(Flows!$M$2:$M$1500,$A149&amp;"|"&amp;Y$1&amp;"|Output"),"OUT",""))</f>
        <v/>
      </c>
      <c r="Z149" s="33" t="str">
        <f aca="false">IF(COUNTIF(Flows!$M$2:$M$1500,$A149&amp;"|"&amp;Z$1&amp;"|Input"),IF(COUNTIF(Flows!$M$2:$M$1500,$A149&amp;"|"&amp;Z$1&amp;"|Output"),"I/O","IN"),IF(COUNTIF(Flows!$M$2:$M$1500,$A149&amp;"|"&amp;Z$1&amp;"|Output"),"OUT",""))</f>
        <v/>
      </c>
      <c r="AA149" s="33" t="str">
        <f aca="false">IF(COUNTIF(Flows!$M$2:$M$1500,$A149&amp;"|"&amp;AA$1&amp;"|Input"),IF(COUNTIF(Flows!$M$2:$M$1500,$A149&amp;"|"&amp;AA$1&amp;"|Output"),"I/O","IN"),IF(COUNTIF(Flows!$M$2:$M$1500,$A149&amp;"|"&amp;AA$1&amp;"|Output"),"OUT",""))</f>
        <v/>
      </c>
      <c r="AB149" s="33" t="str">
        <f aca="false">IF(COUNTIF(Flows!$M$2:$M$1500,$A149&amp;"|"&amp;AB$1&amp;"|Input"),IF(COUNTIF(Flows!$M$2:$M$1500,$A149&amp;"|"&amp;AB$1&amp;"|Output"),"I/O","IN"),IF(COUNTIF(Flows!$M$2:$M$1500,$A149&amp;"|"&amp;AB$1&amp;"|Output"),"OUT",""))</f>
        <v/>
      </c>
      <c r="AC149" s="33" t="str">
        <f aca="false">IF(COUNTIF(Flows!$M$2:$M$1500,$A149&amp;"|"&amp;AC$1&amp;"|Input"),IF(COUNTIF(Flows!$M$2:$M$1500,$A149&amp;"|"&amp;AC$1&amp;"|Output"),"I/O","IN"),IF(COUNTIF(Flows!$M$2:$M$1500,$A149&amp;"|"&amp;AC$1&amp;"|Output"),"OUT",""))</f>
        <v/>
      </c>
      <c r="AD149" s="33" t="str">
        <f aca="false">IF(COUNTIF(Flows!$M$2:$M$1500,$A149&amp;"|"&amp;AD$1&amp;"|Input"),IF(COUNTIF(Flows!$M$2:$M$1500,$A149&amp;"|"&amp;AD$1&amp;"|Output"),"I/O","IN"),IF(COUNTIF(Flows!$M$2:$M$1500,$A149&amp;"|"&amp;AD$1&amp;"|Output"),"OUT",""))</f>
        <v/>
      </c>
      <c r="AE149" s="33" t="str">
        <f aca="false">IF(COUNTIF(Flows!$M$2:$M$1500,$A149&amp;"|"&amp;AE$1&amp;"|Input"),IF(COUNTIF(Flows!$M$2:$M$1500,$A149&amp;"|"&amp;AE$1&amp;"|Output"),"I/O","IN"),IF(COUNTIF(Flows!$M$2:$M$1500,$A149&amp;"|"&amp;AE$1&amp;"|Output"),"OUT",""))</f>
        <v/>
      </c>
      <c r="AF149" s="33" t="str">
        <f aca="false">IF(COUNTIF(Flows!$M$2:$M$1500,$A149&amp;"|"&amp;AF$1&amp;"|Input"),IF(COUNTIF(Flows!$M$2:$M$1500,$A149&amp;"|"&amp;AF$1&amp;"|Output"),"I/O","IN"),IF(COUNTIF(Flows!$M$2:$M$1500,$A149&amp;"|"&amp;AF$1&amp;"|Output"),"OUT",""))</f>
        <v/>
      </c>
      <c r="AG149" s="33" t="str">
        <f aca="false">IF(COUNTIF(Flows!$M$2:$M$1500,$A149&amp;"|"&amp;AG$1&amp;"|Input"),IF(COUNTIF(Flows!$M$2:$M$1500,$A149&amp;"|"&amp;AG$1&amp;"|Output"),"I/O","IN"),IF(COUNTIF(Flows!$M$2:$M$1500,$A149&amp;"|"&amp;AG$1&amp;"|Output"),"OUT",""))</f>
        <v/>
      </c>
      <c r="AH149" s="33" t="str">
        <f aca="false">IF(COUNTIF(Flows!$M$2:$M$1500,$A149&amp;"|"&amp;AH$1&amp;"|Input"),IF(COUNTIF(Flows!$M$2:$M$1500,$A149&amp;"|"&amp;AH$1&amp;"|Output"),"I/O","IN"),IF(COUNTIF(Flows!$M$2:$M$1500,$A149&amp;"|"&amp;AH$1&amp;"|Output"),"OUT",""))</f>
        <v/>
      </c>
      <c r="AI149" s="33" t="str">
        <f aca="false">IF(COUNTIF(Flows!$M$2:$M$1500,$A149&amp;"|"&amp;AI$1&amp;"|Input"),IF(COUNTIF(Flows!$M$2:$M$1500,$A149&amp;"|"&amp;AI$1&amp;"|Output"),"I/O","IN"),IF(COUNTIF(Flows!$M$2:$M$1500,$A149&amp;"|"&amp;AI$1&amp;"|Output"),"OUT",""))</f>
        <v/>
      </c>
      <c r="AJ149" s="33" t="str">
        <f aca="false">IF(COUNTIF(Flows!$M$2:$M$1500,$A149&amp;"|"&amp;AJ$1&amp;"|Input"),IF(COUNTIF(Flows!$M$2:$M$1500,$A149&amp;"|"&amp;AJ$1&amp;"|Output"),"I/O","IN"),IF(COUNTIF(Flows!$M$2:$M$1500,$A149&amp;"|"&amp;AJ$1&amp;"|Output"),"OUT",""))</f>
        <v/>
      </c>
      <c r="AK149" s="33" t="str">
        <f aca="false">IF(COUNTIF(Flows!$M$2:$M$1500,$A149&amp;"|"&amp;AK$1&amp;"|Input"),IF(COUNTIF(Flows!$M$2:$M$1500,$A149&amp;"|"&amp;AK$1&amp;"|Output"),"I/O","IN"),IF(COUNTIF(Flows!$M$2:$M$1500,$A149&amp;"|"&amp;AK$1&amp;"|Output"),"OUT",""))</f>
        <v/>
      </c>
      <c r="AL149" s="33" t="str">
        <f aca="false">IF(COUNTIF(Flows!$M$2:$M$1500,$A149&amp;"|"&amp;AL$1&amp;"|Input"),IF(COUNTIF(Flows!$M$2:$M$1500,$A149&amp;"|"&amp;AL$1&amp;"|Output"),"I/O","IN"),IF(COUNTIF(Flows!$M$2:$M$1500,$A149&amp;"|"&amp;AL$1&amp;"|Output"),"OUT",""))</f>
        <v/>
      </c>
      <c r="AM149" s="33" t="str">
        <f aca="false">IF(COUNTIF(Flows!$M$2:$M$1500,$A149&amp;"|"&amp;AM$1&amp;"|Input"),IF(COUNTIF(Flows!$M$2:$M$1500,$A149&amp;"|"&amp;AM$1&amp;"|Output"),"I/O","IN"),IF(COUNTIF(Flows!$M$2:$M$1500,$A149&amp;"|"&amp;AM$1&amp;"|Output"),"OUT",""))</f>
        <v/>
      </c>
      <c r="AN149" s="33" t="str">
        <f aca="false">IF(COUNTIF(Flows!$M$2:$M$1500,$A149&amp;"|"&amp;AN$1&amp;"|Input"),IF(COUNTIF(Flows!$M$2:$M$1500,$A149&amp;"|"&amp;AN$1&amp;"|Output"),"I/O","IN"),IF(COUNTIF(Flows!$M$2:$M$1500,$A149&amp;"|"&amp;AN$1&amp;"|Output"),"OUT",""))</f>
        <v/>
      </c>
      <c r="AO149" s="33" t="str">
        <f aca="false">IF(COUNTIF(Flows!$M$2:$M$1500,$A149&amp;"|"&amp;AO$1&amp;"|Input"),IF(COUNTIF(Flows!$M$2:$M$1500,$A149&amp;"|"&amp;AO$1&amp;"|Output"),"I/O","IN"),IF(COUNTIF(Flows!$M$2:$M$1500,$A149&amp;"|"&amp;AO$1&amp;"|Output"),"OUT",""))</f>
        <v/>
      </c>
      <c r="AP149" s="33" t="str">
        <f aca="false">IF(COUNTIF(Flows!$M$2:$M$1500,$A149&amp;"|"&amp;AP$1&amp;"|Input"),IF(COUNTIF(Flows!$M$2:$M$1500,$A149&amp;"|"&amp;AP$1&amp;"|Output"),"I/O","IN"),IF(COUNTIF(Flows!$M$2:$M$1500,$A149&amp;"|"&amp;AP$1&amp;"|Output"),"OUT",""))</f>
        <v/>
      </c>
      <c r="AQ149" s="33" t="str">
        <f aca="false">IF(COUNTIF(Flows!$M$2:$M$1500,$A149&amp;"|"&amp;AQ$1&amp;"|Input"),IF(COUNTIF(Flows!$M$2:$M$1500,$A149&amp;"|"&amp;AQ$1&amp;"|Output"),"I/O","IN"),IF(COUNTIF(Flows!$M$2:$M$1500,$A149&amp;"|"&amp;AQ$1&amp;"|Output"),"OUT",""))</f>
        <v/>
      </c>
      <c r="AR149" s="33" t="str">
        <f aca="false">IF(COUNTIF(Flows!$M$2:$M$1500,$A149&amp;"|"&amp;AR$1&amp;"|Input"),IF(COUNTIF(Flows!$M$2:$M$1500,$A149&amp;"|"&amp;AR$1&amp;"|Output"),"I/O","IN"),IF(COUNTIF(Flows!$M$2:$M$1500,$A149&amp;"|"&amp;AR$1&amp;"|Output"),"OUT",""))</f>
        <v>IN</v>
      </c>
      <c r="AS149" s="33" t="str">
        <f aca="false">IF(COUNTIF(Flows!$M$2:$M$1500,$A149&amp;"|"&amp;AS$1&amp;"|Input"),IF(COUNTIF(Flows!$M$2:$M$1500,$A149&amp;"|"&amp;AS$1&amp;"|Output"),"I/O","IN"),IF(COUNTIF(Flows!$M$2:$M$1500,$A149&amp;"|"&amp;AS$1&amp;"|Output"),"OUT",""))</f>
        <v>OUT</v>
      </c>
      <c r="AT149" s="33" t="str">
        <f aca="false">IF(COUNTIF(Flows!$M$2:$M$1500,$A149&amp;"|"&amp;AT$1&amp;"|Input"),IF(COUNTIF(Flows!$M$2:$M$1500,$A149&amp;"|"&amp;AT$1&amp;"|Output"),"I/O","IN"),IF(COUNTIF(Flows!$M$2:$M$1500,$A149&amp;"|"&amp;AT$1&amp;"|Output"),"OUT",""))</f>
        <v/>
      </c>
      <c r="AU149" s="33" t="str">
        <f aca="false">IF(COUNTIF(Flows!$M$2:$M$1500,$A149&amp;"|"&amp;AU$1&amp;"|Input"),IF(COUNTIF(Flows!$M$2:$M$1500,$A149&amp;"|"&amp;AU$1&amp;"|Output"),"I/O","IN"),IF(COUNTIF(Flows!$M$2:$M$1500,$A149&amp;"|"&amp;AU$1&amp;"|Output"),"OUT",""))</f>
        <v/>
      </c>
      <c r="AV149" s="33" t="str">
        <f aca="false">IF(COUNTIF(Flows!$M$2:$M$1500,$A149&amp;"|"&amp;AV$1&amp;"|Input"),IF(COUNTIF(Flows!$M$2:$M$1500,$A149&amp;"|"&amp;AV$1&amp;"|Output"),"I/O","IN"),IF(COUNTIF(Flows!$M$2:$M$1500,$A149&amp;"|"&amp;AV$1&amp;"|Output"),"OUT",""))</f>
        <v/>
      </c>
      <c r="AW149" s="33" t="str">
        <f aca="false">IF(COUNTIF(Flows!$M$2:$M$1500,$A149&amp;"|"&amp;AW$1&amp;"|Input"),IF(COUNTIF(Flows!$M$2:$M$1500,$A149&amp;"|"&amp;AW$1&amp;"|Output"),"I/O","IN"),IF(COUNTIF(Flows!$M$2:$M$1500,$A149&amp;"|"&amp;AW$1&amp;"|Output"),"OUT",""))</f>
        <v>IN</v>
      </c>
      <c r="AX149" s="33" t="str">
        <f aca="false">IF(COUNTIF(Flows!$M$2:$M$1500,$A149&amp;"|"&amp;AX$1&amp;"|Input"),IF(COUNTIF(Flows!$M$2:$M$1500,$A149&amp;"|"&amp;AX$1&amp;"|Output"),"I/O","IN"),IF(COUNTIF(Flows!$M$2:$M$1500,$A149&amp;"|"&amp;AX$1&amp;"|Output"),"OUT",""))</f>
        <v/>
      </c>
      <c r="AY149" s="33" t="str">
        <f aca="false">IF(COUNTIF(Flows!$M$2:$M$1500,$A149&amp;"|"&amp;AY$1&amp;"|Input"),IF(COUNTIF(Flows!$M$2:$M$1500,$A149&amp;"|"&amp;AY$1&amp;"|Output"),"I/O","IN"),IF(COUNTIF(Flows!$M$2:$M$1500,$A149&amp;"|"&amp;AY$1&amp;"|Output"),"OUT",""))</f>
        <v/>
      </c>
      <c r="AZ149" s="33" t="str">
        <f aca="false">IF(COUNTIF(Flows!$M$2:$M$1500,$A149&amp;"|"&amp;AZ$1&amp;"|Input"),IF(COUNTIF(Flows!$M$2:$M$1500,$A149&amp;"|"&amp;AZ$1&amp;"|Output"),"I/O","IN"),IF(COUNTIF(Flows!$M$2:$M$1500,$A149&amp;"|"&amp;AZ$1&amp;"|Output"),"OUT",""))</f>
        <v/>
      </c>
      <c r="BA149" s="33" t="str">
        <f aca="false">IF(COUNTIF(Flows!$M$2:$M$1500,$A149&amp;"|"&amp;BA$1&amp;"|Input"),IF(COUNTIF(Flows!$M$2:$M$1500,$A149&amp;"|"&amp;BA$1&amp;"|Output"),"I/O","IN"),IF(COUNTIF(Flows!$M$2:$M$1500,$A149&amp;"|"&amp;BA$1&amp;"|Output"),"OUT",""))</f>
        <v/>
      </c>
      <c r="BB149" s="33" t="str">
        <f aca="false">IF(COUNTIF(Flows!$M$2:$M$1500,$A149&amp;"|"&amp;BB$1&amp;"|Input"),IF(COUNTIF(Flows!$M$2:$M$1500,$A149&amp;"|"&amp;BB$1&amp;"|Output"),"I/O","IN"),IF(COUNTIF(Flows!$M$2:$M$1500,$A149&amp;"|"&amp;BB$1&amp;"|Output"),"OUT",""))</f>
        <v/>
      </c>
      <c r="BC149" s="33" t="str">
        <f aca="false">IF(COUNTIF(Flows!$M$2:$M$1500,$A149&amp;"|"&amp;BC$1&amp;"|Input"),IF(COUNTIF(Flows!$M$2:$M$1500,$A149&amp;"|"&amp;BC$1&amp;"|Output"),"I/O","IN"),IF(COUNTIF(Flows!$M$2:$M$1500,$A149&amp;"|"&amp;BC$1&amp;"|Output"),"OUT",""))</f>
        <v/>
      </c>
      <c r="BD149" s="33" t="str">
        <f aca="false">IF(COUNTIF(Flows!$M$2:$M$1500,$A149&amp;"|"&amp;BD$1&amp;"|Input"),IF(COUNTIF(Flows!$M$2:$M$1500,$A149&amp;"|"&amp;BD$1&amp;"|Output"),"I/O","IN"),IF(COUNTIF(Flows!$M$2:$M$1500,$A149&amp;"|"&amp;BD$1&amp;"|Output"),"OUT",""))</f>
        <v/>
      </c>
      <c r="BE149" s="33" t="str">
        <f aca="false">IF(COUNTIF(Flows!$M$2:$M$1500,$A149&amp;"|"&amp;BE$1&amp;"|Input"),IF(COUNTIF(Flows!$M$2:$M$1500,$A149&amp;"|"&amp;BE$1&amp;"|Output"),"I/O","IN"),IF(COUNTIF(Flows!$M$2:$M$1500,$A149&amp;"|"&amp;BE$1&amp;"|Output"),"OUT",""))</f>
        <v/>
      </c>
      <c r="BF149" s="33" t="str">
        <f aca="false">IF(COUNTIF(Flows!$M$2:$M$1500,$A149&amp;"|"&amp;BF$1&amp;"|Input"),IF(COUNTIF(Flows!$M$2:$M$1500,$A149&amp;"|"&amp;BF$1&amp;"|Output"),"I/O","IN"),IF(COUNTIF(Flows!$M$2:$M$1500,$A149&amp;"|"&amp;BF$1&amp;"|Output"),"OUT",""))</f>
        <v/>
      </c>
      <c r="BG149" s="33" t="str">
        <f aca="false">IF(COUNTIF(Flows!$M$2:$M$1500,$A149&amp;"|"&amp;BG$1&amp;"|Input"),IF(COUNTIF(Flows!$M$2:$M$1500,$A149&amp;"|"&amp;BG$1&amp;"|Output"),"I/O","IN"),IF(COUNTIF(Flows!$M$2:$M$1500,$A149&amp;"|"&amp;BG$1&amp;"|Output"),"OUT",""))</f>
        <v/>
      </c>
      <c r="BH149" s="33" t="str">
        <f aca="false">IF(COUNTIF(Flows!$M$2:$M$1500,$A149&amp;"|"&amp;BH$1&amp;"|Input"),IF(COUNTIF(Flows!$M$2:$M$1500,$A149&amp;"|"&amp;BH$1&amp;"|Output"),"I/O","IN"),IF(COUNTIF(Flows!$M$2:$M$1500,$A149&amp;"|"&amp;BH$1&amp;"|Output"),"OUT",""))</f>
        <v/>
      </c>
      <c r="BI149" s="33" t="str">
        <f aca="false">IF(COUNTIF(Flows!$M$2:$M$1500,$A149&amp;"|"&amp;BI$1&amp;"|Input"),IF(COUNTIF(Flows!$M$2:$M$1500,$A149&amp;"|"&amp;BI$1&amp;"|Output"),"I/O","IN"),IF(COUNTIF(Flows!$M$2:$M$1500,$A149&amp;"|"&amp;BI$1&amp;"|Output"),"OUT",""))</f>
        <v/>
      </c>
      <c r="BJ149" s="33" t="str">
        <f aca="false">IF(COUNTIF(Flows!$M$2:$M$1500,$A149&amp;"|"&amp;BJ$1&amp;"|Input"),IF(COUNTIF(Flows!$M$2:$M$1500,$A149&amp;"|"&amp;BJ$1&amp;"|Output"),"I/O","IN"),IF(COUNTIF(Flows!$M$2:$M$1500,$A149&amp;"|"&amp;BJ$1&amp;"|Output"),"OUT",""))</f>
        <v/>
      </c>
      <c r="BK149" s="33" t="str">
        <f aca="false">IF(COUNTIF(Flows!$M$2:$M$1500,$A149&amp;"|"&amp;BK$1&amp;"|Input"),IF(COUNTIF(Flows!$M$2:$M$1500,$A149&amp;"|"&amp;BK$1&amp;"|Output"),"I/O","IN"),IF(COUNTIF(Flows!$M$2:$M$1500,$A149&amp;"|"&amp;BK$1&amp;"|Output"),"OUT",""))</f>
        <v/>
      </c>
    </row>
    <row r="150" customFormat="false" ht="15" hidden="false" customHeight="true" outlineLevel="0" collapsed="false">
      <c r="A150" s="6" t="str">
        <f aca="false">Systems!B150</f>
        <v>Shade Sail</v>
      </c>
      <c r="B150" s="33" t="str">
        <f aca="false">IF(COUNTIF(Flows!$M$2:$M$1500,$A150&amp;"|"&amp;B$1&amp;"|Input"),IF(COUNTIF(Flows!$M$2:$M$1500,$A150&amp;"|"&amp;B$1&amp;"|Output"),"I/O","IN"),IF(COUNTIF(Flows!$M$2:$M$1500,$A150&amp;"|"&amp;B$1&amp;"|Output"),"OUT",""))</f>
        <v/>
      </c>
      <c r="C150" s="33" t="str">
        <f aca="false">IF(COUNTIF(Flows!$M$2:$M$1500,$A150&amp;"|"&amp;C$1&amp;"|Input"),IF(COUNTIF(Flows!$M$2:$M$1500,$A150&amp;"|"&amp;C$1&amp;"|Output"),"I/O","IN"),IF(COUNTIF(Flows!$M$2:$M$1500,$A150&amp;"|"&amp;C$1&amp;"|Output"),"OUT",""))</f>
        <v/>
      </c>
      <c r="D150" s="33" t="str">
        <f aca="false">IF(COUNTIF(Flows!$M$2:$M$1500,$A150&amp;"|"&amp;D$1&amp;"|Input"),IF(COUNTIF(Flows!$M$2:$M$1500,$A150&amp;"|"&amp;D$1&amp;"|Output"),"I/O","IN"),IF(COUNTIF(Flows!$M$2:$M$1500,$A150&amp;"|"&amp;D$1&amp;"|Output"),"OUT",""))</f>
        <v/>
      </c>
      <c r="E150" s="33" t="str">
        <f aca="false">IF(COUNTIF(Flows!$M$2:$M$1500,$A150&amp;"|"&amp;E$1&amp;"|Input"),IF(COUNTIF(Flows!$M$2:$M$1500,$A150&amp;"|"&amp;E$1&amp;"|Output"),"I/O","IN"),IF(COUNTIF(Flows!$M$2:$M$1500,$A150&amp;"|"&amp;E$1&amp;"|Output"),"OUT",""))</f>
        <v/>
      </c>
      <c r="F150" s="33" t="str">
        <f aca="false">IF(COUNTIF(Flows!$M$2:$M$1500,$A150&amp;"|"&amp;F$1&amp;"|Input"),IF(COUNTIF(Flows!$M$2:$M$1500,$A150&amp;"|"&amp;F$1&amp;"|Output"),"I/O","IN"),IF(COUNTIF(Flows!$M$2:$M$1500,$A150&amp;"|"&amp;F$1&amp;"|Output"),"OUT",""))</f>
        <v/>
      </c>
      <c r="G150" s="33" t="str">
        <f aca="false">IF(COUNTIF(Flows!$M$2:$M$1500,$A150&amp;"|"&amp;G$1&amp;"|Input"),IF(COUNTIF(Flows!$M$2:$M$1500,$A150&amp;"|"&amp;G$1&amp;"|Output"),"I/O","IN"),IF(COUNTIF(Flows!$M$2:$M$1500,$A150&amp;"|"&amp;G$1&amp;"|Output"),"OUT",""))</f>
        <v/>
      </c>
      <c r="H150" s="33" t="str">
        <f aca="false">IF(COUNTIF(Flows!$M$2:$M$1500,$A150&amp;"|"&amp;H$1&amp;"|Input"),IF(COUNTIF(Flows!$M$2:$M$1500,$A150&amp;"|"&amp;H$1&amp;"|Output"),"I/O","IN"),IF(COUNTIF(Flows!$M$2:$M$1500,$A150&amp;"|"&amp;H$1&amp;"|Output"),"OUT",""))</f>
        <v/>
      </c>
      <c r="I150" s="33" t="str">
        <f aca="false">IF(COUNTIF(Flows!$M$2:$M$1500,$A150&amp;"|"&amp;I$1&amp;"|Input"),IF(COUNTIF(Flows!$M$2:$M$1500,$A150&amp;"|"&amp;I$1&amp;"|Output"),"I/O","IN"),IF(COUNTIF(Flows!$M$2:$M$1500,$A150&amp;"|"&amp;I$1&amp;"|Output"),"OUT",""))</f>
        <v/>
      </c>
      <c r="J150" s="33" t="str">
        <f aca="false">IF(COUNTIF(Flows!$M$2:$M$1500,$A150&amp;"|"&amp;J$1&amp;"|Input"),IF(COUNTIF(Flows!$M$2:$M$1500,$A150&amp;"|"&amp;J$1&amp;"|Output"),"I/O","IN"),IF(COUNTIF(Flows!$M$2:$M$1500,$A150&amp;"|"&amp;J$1&amp;"|Output"),"OUT",""))</f>
        <v/>
      </c>
      <c r="K150" s="33" t="str">
        <f aca="false">IF(COUNTIF(Flows!$M$2:$M$1500,$A150&amp;"|"&amp;K$1&amp;"|Input"),IF(COUNTIF(Flows!$M$2:$M$1500,$A150&amp;"|"&amp;K$1&amp;"|Output"),"I/O","IN"),IF(COUNTIF(Flows!$M$2:$M$1500,$A150&amp;"|"&amp;K$1&amp;"|Output"),"OUT",""))</f>
        <v/>
      </c>
      <c r="L150" s="33" t="str">
        <f aca="false">IF(COUNTIF(Flows!$M$2:$M$1500,$A150&amp;"|"&amp;L$1&amp;"|Input"),IF(COUNTIF(Flows!$M$2:$M$1500,$A150&amp;"|"&amp;L$1&amp;"|Output"),"I/O","IN"),IF(COUNTIF(Flows!$M$2:$M$1500,$A150&amp;"|"&amp;L$1&amp;"|Output"),"OUT",""))</f>
        <v/>
      </c>
      <c r="M150" s="33" t="str">
        <f aca="false">IF(COUNTIF(Flows!$M$2:$M$1500,$A150&amp;"|"&amp;M$1&amp;"|Input"),IF(COUNTIF(Flows!$M$2:$M$1500,$A150&amp;"|"&amp;M$1&amp;"|Output"),"I/O","IN"),IF(COUNTIF(Flows!$M$2:$M$1500,$A150&amp;"|"&amp;M$1&amp;"|Output"),"OUT",""))</f>
        <v/>
      </c>
      <c r="N150" s="33" t="str">
        <f aca="false">IF(COUNTIF(Flows!$M$2:$M$1500,$A150&amp;"|"&amp;N$1&amp;"|Input"),IF(COUNTIF(Flows!$M$2:$M$1500,$A150&amp;"|"&amp;N$1&amp;"|Output"),"I/O","IN"),IF(COUNTIF(Flows!$M$2:$M$1500,$A150&amp;"|"&amp;N$1&amp;"|Output"),"OUT",""))</f>
        <v/>
      </c>
      <c r="O150" s="33" t="str">
        <f aca="false">IF(COUNTIF(Flows!$M$2:$M$1500,$A150&amp;"|"&amp;O$1&amp;"|Input"),IF(COUNTIF(Flows!$M$2:$M$1500,$A150&amp;"|"&amp;O$1&amp;"|Output"),"I/O","IN"),IF(COUNTIF(Flows!$M$2:$M$1500,$A150&amp;"|"&amp;O$1&amp;"|Output"),"OUT",""))</f>
        <v/>
      </c>
      <c r="P150" s="33" t="str">
        <f aca="false">IF(COUNTIF(Flows!$M$2:$M$1500,$A150&amp;"|"&amp;P$1&amp;"|Input"),IF(COUNTIF(Flows!$M$2:$M$1500,$A150&amp;"|"&amp;P$1&amp;"|Output"),"I/O","IN"),IF(COUNTIF(Flows!$M$2:$M$1500,$A150&amp;"|"&amp;P$1&amp;"|Output"),"OUT",""))</f>
        <v/>
      </c>
      <c r="Q150" s="33" t="str">
        <f aca="false">IF(COUNTIF(Flows!$M$2:$M$1500,$A150&amp;"|"&amp;Q$1&amp;"|Input"),IF(COUNTIF(Flows!$M$2:$M$1500,$A150&amp;"|"&amp;Q$1&amp;"|Output"),"I/O","IN"),IF(COUNTIF(Flows!$M$2:$M$1500,$A150&amp;"|"&amp;Q$1&amp;"|Output"),"OUT",""))</f>
        <v/>
      </c>
      <c r="R150" s="33" t="str">
        <f aca="false">IF(COUNTIF(Flows!$M$2:$M$1500,$A150&amp;"|"&amp;R$1&amp;"|Input"),IF(COUNTIF(Flows!$M$2:$M$1500,$A150&amp;"|"&amp;R$1&amp;"|Output"),"I/O","IN"),IF(COUNTIF(Flows!$M$2:$M$1500,$A150&amp;"|"&amp;R$1&amp;"|Output"),"OUT",""))</f>
        <v/>
      </c>
      <c r="S150" s="33" t="str">
        <f aca="false">IF(COUNTIF(Flows!$M$2:$M$1500,$A150&amp;"|"&amp;S$1&amp;"|Input"),IF(COUNTIF(Flows!$M$2:$M$1500,$A150&amp;"|"&amp;S$1&amp;"|Output"),"I/O","IN"),IF(COUNTIF(Flows!$M$2:$M$1500,$A150&amp;"|"&amp;S$1&amp;"|Output"),"OUT",""))</f>
        <v/>
      </c>
      <c r="T150" s="33" t="str">
        <f aca="false">IF(COUNTIF(Flows!$M$2:$M$1500,$A150&amp;"|"&amp;T$1&amp;"|Input"),IF(COUNTIF(Flows!$M$2:$M$1500,$A150&amp;"|"&amp;T$1&amp;"|Output"),"I/O","IN"),IF(COUNTIF(Flows!$M$2:$M$1500,$A150&amp;"|"&amp;T$1&amp;"|Output"),"OUT",""))</f>
        <v/>
      </c>
      <c r="U150" s="33" t="str">
        <f aca="false">IF(COUNTIF(Flows!$M$2:$M$1500,$A150&amp;"|"&amp;U$1&amp;"|Input"),IF(COUNTIF(Flows!$M$2:$M$1500,$A150&amp;"|"&amp;U$1&amp;"|Output"),"I/O","IN"),IF(COUNTIF(Flows!$M$2:$M$1500,$A150&amp;"|"&amp;U$1&amp;"|Output"),"OUT",""))</f>
        <v/>
      </c>
      <c r="V150" s="33" t="str">
        <f aca="false">IF(COUNTIF(Flows!$M$2:$M$1500,$A150&amp;"|"&amp;V$1&amp;"|Input"),IF(COUNTIF(Flows!$M$2:$M$1500,$A150&amp;"|"&amp;V$1&amp;"|Output"),"I/O","IN"),IF(COUNTIF(Flows!$M$2:$M$1500,$A150&amp;"|"&amp;V$1&amp;"|Output"),"OUT",""))</f>
        <v/>
      </c>
      <c r="W150" s="33" t="str">
        <f aca="false">IF(COUNTIF(Flows!$M$2:$M$1500,$A150&amp;"|"&amp;W$1&amp;"|Input"),IF(COUNTIF(Flows!$M$2:$M$1500,$A150&amp;"|"&amp;W$1&amp;"|Output"),"I/O","IN"),IF(COUNTIF(Flows!$M$2:$M$1500,$A150&amp;"|"&amp;W$1&amp;"|Output"),"OUT",""))</f>
        <v>OUT</v>
      </c>
      <c r="X150" s="33" t="str">
        <f aca="false">IF(COUNTIF(Flows!$M$2:$M$1500,$A150&amp;"|"&amp;X$1&amp;"|Input"),IF(COUNTIF(Flows!$M$2:$M$1500,$A150&amp;"|"&amp;X$1&amp;"|Output"),"I/O","IN"),IF(COUNTIF(Flows!$M$2:$M$1500,$A150&amp;"|"&amp;X$1&amp;"|Output"),"OUT",""))</f>
        <v>IN</v>
      </c>
      <c r="Y150" s="33" t="str">
        <f aca="false">IF(COUNTIF(Flows!$M$2:$M$1500,$A150&amp;"|"&amp;Y$1&amp;"|Input"),IF(COUNTIF(Flows!$M$2:$M$1500,$A150&amp;"|"&amp;Y$1&amp;"|Output"),"I/O","IN"),IF(COUNTIF(Flows!$M$2:$M$1500,$A150&amp;"|"&amp;Y$1&amp;"|Output"),"OUT",""))</f>
        <v/>
      </c>
      <c r="Z150" s="33" t="str">
        <f aca="false">IF(COUNTIF(Flows!$M$2:$M$1500,$A150&amp;"|"&amp;Z$1&amp;"|Input"),IF(COUNTIF(Flows!$M$2:$M$1500,$A150&amp;"|"&amp;Z$1&amp;"|Output"),"I/O","IN"),IF(COUNTIF(Flows!$M$2:$M$1500,$A150&amp;"|"&amp;Z$1&amp;"|Output"),"OUT",""))</f>
        <v/>
      </c>
      <c r="AA150" s="33" t="str">
        <f aca="false">IF(COUNTIF(Flows!$M$2:$M$1500,$A150&amp;"|"&amp;AA$1&amp;"|Input"),IF(COUNTIF(Flows!$M$2:$M$1500,$A150&amp;"|"&amp;AA$1&amp;"|Output"),"I/O","IN"),IF(COUNTIF(Flows!$M$2:$M$1500,$A150&amp;"|"&amp;AA$1&amp;"|Output"),"OUT",""))</f>
        <v/>
      </c>
      <c r="AB150" s="33" t="str">
        <f aca="false">IF(COUNTIF(Flows!$M$2:$M$1500,$A150&amp;"|"&amp;AB$1&amp;"|Input"),IF(COUNTIF(Flows!$M$2:$M$1500,$A150&amp;"|"&amp;AB$1&amp;"|Output"),"I/O","IN"),IF(COUNTIF(Flows!$M$2:$M$1500,$A150&amp;"|"&amp;AB$1&amp;"|Output"),"OUT",""))</f>
        <v/>
      </c>
      <c r="AC150" s="33" t="str">
        <f aca="false">IF(COUNTIF(Flows!$M$2:$M$1500,$A150&amp;"|"&amp;AC$1&amp;"|Input"),IF(COUNTIF(Flows!$M$2:$M$1500,$A150&amp;"|"&amp;AC$1&amp;"|Output"),"I/O","IN"),IF(COUNTIF(Flows!$M$2:$M$1500,$A150&amp;"|"&amp;AC$1&amp;"|Output"),"OUT",""))</f>
        <v/>
      </c>
      <c r="AD150" s="33" t="str">
        <f aca="false">IF(COUNTIF(Flows!$M$2:$M$1500,$A150&amp;"|"&amp;AD$1&amp;"|Input"),IF(COUNTIF(Flows!$M$2:$M$1500,$A150&amp;"|"&amp;AD$1&amp;"|Output"),"I/O","IN"),IF(COUNTIF(Flows!$M$2:$M$1500,$A150&amp;"|"&amp;AD$1&amp;"|Output"),"OUT",""))</f>
        <v/>
      </c>
      <c r="AE150" s="33" t="str">
        <f aca="false">IF(COUNTIF(Flows!$M$2:$M$1500,$A150&amp;"|"&amp;AE$1&amp;"|Input"),IF(COUNTIF(Flows!$M$2:$M$1500,$A150&amp;"|"&amp;AE$1&amp;"|Output"),"I/O","IN"),IF(COUNTIF(Flows!$M$2:$M$1500,$A150&amp;"|"&amp;AE$1&amp;"|Output"),"OUT",""))</f>
        <v/>
      </c>
      <c r="AF150" s="33" t="str">
        <f aca="false">IF(COUNTIF(Flows!$M$2:$M$1500,$A150&amp;"|"&amp;AF$1&amp;"|Input"),IF(COUNTIF(Flows!$M$2:$M$1500,$A150&amp;"|"&amp;AF$1&amp;"|Output"),"I/O","IN"),IF(COUNTIF(Flows!$M$2:$M$1500,$A150&amp;"|"&amp;AF$1&amp;"|Output"),"OUT",""))</f>
        <v/>
      </c>
      <c r="AG150" s="33" t="str">
        <f aca="false">IF(COUNTIF(Flows!$M$2:$M$1500,$A150&amp;"|"&amp;AG$1&amp;"|Input"),IF(COUNTIF(Flows!$M$2:$M$1500,$A150&amp;"|"&amp;AG$1&amp;"|Output"),"I/O","IN"),IF(COUNTIF(Flows!$M$2:$M$1500,$A150&amp;"|"&amp;AG$1&amp;"|Output"),"OUT",""))</f>
        <v/>
      </c>
      <c r="AH150" s="33" t="str">
        <f aca="false">IF(COUNTIF(Flows!$M$2:$M$1500,$A150&amp;"|"&amp;AH$1&amp;"|Input"),IF(COUNTIF(Flows!$M$2:$M$1500,$A150&amp;"|"&amp;AH$1&amp;"|Output"),"I/O","IN"),IF(COUNTIF(Flows!$M$2:$M$1500,$A150&amp;"|"&amp;AH$1&amp;"|Output"),"OUT",""))</f>
        <v/>
      </c>
      <c r="AI150" s="33" t="str">
        <f aca="false">IF(COUNTIF(Flows!$M$2:$M$1500,$A150&amp;"|"&amp;AI$1&amp;"|Input"),IF(COUNTIF(Flows!$M$2:$M$1500,$A150&amp;"|"&amp;AI$1&amp;"|Output"),"I/O","IN"),IF(COUNTIF(Flows!$M$2:$M$1500,$A150&amp;"|"&amp;AI$1&amp;"|Output"),"OUT",""))</f>
        <v/>
      </c>
      <c r="AJ150" s="33" t="str">
        <f aca="false">IF(COUNTIF(Flows!$M$2:$M$1500,$A150&amp;"|"&amp;AJ$1&amp;"|Input"),IF(COUNTIF(Flows!$M$2:$M$1500,$A150&amp;"|"&amp;AJ$1&amp;"|Output"),"I/O","IN"),IF(COUNTIF(Flows!$M$2:$M$1500,$A150&amp;"|"&amp;AJ$1&amp;"|Output"),"OUT",""))</f>
        <v/>
      </c>
      <c r="AK150" s="33" t="str">
        <f aca="false">IF(COUNTIF(Flows!$M$2:$M$1500,$A150&amp;"|"&amp;AK$1&amp;"|Input"),IF(COUNTIF(Flows!$M$2:$M$1500,$A150&amp;"|"&amp;AK$1&amp;"|Output"),"I/O","IN"),IF(COUNTIF(Flows!$M$2:$M$1500,$A150&amp;"|"&amp;AK$1&amp;"|Output"),"OUT",""))</f>
        <v/>
      </c>
      <c r="AL150" s="33" t="str">
        <f aca="false">IF(COUNTIF(Flows!$M$2:$M$1500,$A150&amp;"|"&amp;AL$1&amp;"|Input"),IF(COUNTIF(Flows!$M$2:$M$1500,$A150&amp;"|"&amp;AL$1&amp;"|Output"),"I/O","IN"),IF(COUNTIF(Flows!$M$2:$M$1500,$A150&amp;"|"&amp;AL$1&amp;"|Output"),"OUT",""))</f>
        <v/>
      </c>
      <c r="AM150" s="33" t="str">
        <f aca="false">IF(COUNTIF(Flows!$M$2:$M$1500,$A150&amp;"|"&amp;AM$1&amp;"|Input"),IF(COUNTIF(Flows!$M$2:$M$1500,$A150&amp;"|"&amp;AM$1&amp;"|Output"),"I/O","IN"),IF(COUNTIF(Flows!$M$2:$M$1500,$A150&amp;"|"&amp;AM$1&amp;"|Output"),"OUT",""))</f>
        <v/>
      </c>
      <c r="AN150" s="33" t="str">
        <f aca="false">IF(COUNTIF(Flows!$M$2:$M$1500,$A150&amp;"|"&amp;AN$1&amp;"|Input"),IF(COUNTIF(Flows!$M$2:$M$1500,$A150&amp;"|"&amp;AN$1&amp;"|Output"),"I/O","IN"),IF(COUNTIF(Flows!$M$2:$M$1500,$A150&amp;"|"&amp;AN$1&amp;"|Output"),"OUT",""))</f>
        <v/>
      </c>
      <c r="AO150" s="33" t="str">
        <f aca="false">IF(COUNTIF(Flows!$M$2:$M$1500,$A150&amp;"|"&amp;AO$1&amp;"|Input"),IF(COUNTIF(Flows!$M$2:$M$1500,$A150&amp;"|"&amp;AO$1&amp;"|Output"),"I/O","IN"),IF(COUNTIF(Flows!$M$2:$M$1500,$A150&amp;"|"&amp;AO$1&amp;"|Output"),"OUT",""))</f>
        <v/>
      </c>
      <c r="AP150" s="33" t="str">
        <f aca="false">IF(COUNTIF(Flows!$M$2:$M$1500,$A150&amp;"|"&amp;AP$1&amp;"|Input"),IF(COUNTIF(Flows!$M$2:$M$1500,$A150&amp;"|"&amp;AP$1&amp;"|Output"),"I/O","IN"),IF(COUNTIF(Flows!$M$2:$M$1500,$A150&amp;"|"&amp;AP$1&amp;"|Output"),"OUT",""))</f>
        <v/>
      </c>
      <c r="AQ150" s="33" t="str">
        <f aca="false">IF(COUNTIF(Flows!$M$2:$M$1500,$A150&amp;"|"&amp;AQ$1&amp;"|Input"),IF(COUNTIF(Flows!$M$2:$M$1500,$A150&amp;"|"&amp;AQ$1&amp;"|Output"),"I/O","IN"),IF(COUNTIF(Flows!$M$2:$M$1500,$A150&amp;"|"&amp;AQ$1&amp;"|Output"),"OUT",""))</f>
        <v/>
      </c>
      <c r="AR150" s="33" t="str">
        <f aca="false">IF(COUNTIF(Flows!$M$2:$M$1500,$A150&amp;"|"&amp;AR$1&amp;"|Input"),IF(COUNTIF(Flows!$M$2:$M$1500,$A150&amp;"|"&amp;AR$1&amp;"|Output"),"I/O","IN"),IF(COUNTIF(Flows!$M$2:$M$1500,$A150&amp;"|"&amp;AR$1&amp;"|Output"),"OUT",""))</f>
        <v/>
      </c>
      <c r="AS150" s="33" t="str">
        <f aca="false">IF(COUNTIF(Flows!$M$2:$M$1500,$A150&amp;"|"&amp;AS$1&amp;"|Input"),IF(COUNTIF(Flows!$M$2:$M$1500,$A150&amp;"|"&amp;AS$1&amp;"|Output"),"I/O","IN"),IF(COUNTIF(Flows!$M$2:$M$1500,$A150&amp;"|"&amp;AS$1&amp;"|Output"),"OUT",""))</f>
        <v/>
      </c>
      <c r="AT150" s="33" t="str">
        <f aca="false">IF(COUNTIF(Flows!$M$2:$M$1500,$A150&amp;"|"&amp;AT$1&amp;"|Input"),IF(COUNTIF(Flows!$M$2:$M$1500,$A150&amp;"|"&amp;AT$1&amp;"|Output"),"I/O","IN"),IF(COUNTIF(Flows!$M$2:$M$1500,$A150&amp;"|"&amp;AT$1&amp;"|Output"),"OUT",""))</f>
        <v/>
      </c>
      <c r="AU150" s="33" t="str">
        <f aca="false">IF(COUNTIF(Flows!$M$2:$M$1500,$A150&amp;"|"&amp;AU$1&amp;"|Input"),IF(COUNTIF(Flows!$M$2:$M$1500,$A150&amp;"|"&amp;AU$1&amp;"|Output"),"I/O","IN"),IF(COUNTIF(Flows!$M$2:$M$1500,$A150&amp;"|"&amp;AU$1&amp;"|Output"),"OUT",""))</f>
        <v/>
      </c>
      <c r="AV150" s="33" t="str">
        <f aca="false">IF(COUNTIF(Flows!$M$2:$M$1500,$A150&amp;"|"&amp;AV$1&amp;"|Input"),IF(COUNTIF(Flows!$M$2:$M$1500,$A150&amp;"|"&amp;AV$1&amp;"|Output"),"I/O","IN"),IF(COUNTIF(Flows!$M$2:$M$1500,$A150&amp;"|"&amp;AV$1&amp;"|Output"),"OUT",""))</f>
        <v/>
      </c>
      <c r="AW150" s="33" t="str">
        <f aca="false">IF(COUNTIF(Flows!$M$2:$M$1500,$A150&amp;"|"&amp;AW$1&amp;"|Input"),IF(COUNTIF(Flows!$M$2:$M$1500,$A150&amp;"|"&amp;AW$1&amp;"|Output"),"I/O","IN"),IF(COUNTIF(Flows!$M$2:$M$1500,$A150&amp;"|"&amp;AW$1&amp;"|Output"),"OUT",""))</f>
        <v/>
      </c>
      <c r="AX150" s="33" t="str">
        <f aca="false">IF(COUNTIF(Flows!$M$2:$M$1500,$A150&amp;"|"&amp;AX$1&amp;"|Input"),IF(COUNTIF(Flows!$M$2:$M$1500,$A150&amp;"|"&amp;AX$1&amp;"|Output"),"I/O","IN"),IF(COUNTIF(Flows!$M$2:$M$1500,$A150&amp;"|"&amp;AX$1&amp;"|Output"),"OUT",""))</f>
        <v/>
      </c>
      <c r="AY150" s="33" t="str">
        <f aca="false">IF(COUNTIF(Flows!$M$2:$M$1500,$A150&amp;"|"&amp;AY$1&amp;"|Input"),IF(COUNTIF(Flows!$M$2:$M$1500,$A150&amp;"|"&amp;AY$1&amp;"|Output"),"I/O","IN"),IF(COUNTIF(Flows!$M$2:$M$1500,$A150&amp;"|"&amp;AY$1&amp;"|Output"),"OUT",""))</f>
        <v/>
      </c>
      <c r="AZ150" s="33" t="str">
        <f aca="false">IF(COUNTIF(Flows!$M$2:$M$1500,$A150&amp;"|"&amp;AZ$1&amp;"|Input"),IF(COUNTIF(Flows!$M$2:$M$1500,$A150&amp;"|"&amp;AZ$1&amp;"|Output"),"I/O","IN"),IF(COUNTIF(Flows!$M$2:$M$1500,$A150&amp;"|"&amp;AZ$1&amp;"|Output"),"OUT",""))</f>
        <v/>
      </c>
      <c r="BA150" s="33" t="str">
        <f aca="false">IF(COUNTIF(Flows!$M$2:$M$1500,$A150&amp;"|"&amp;BA$1&amp;"|Input"),IF(COUNTIF(Flows!$M$2:$M$1500,$A150&amp;"|"&amp;BA$1&amp;"|Output"),"I/O","IN"),IF(COUNTIF(Flows!$M$2:$M$1500,$A150&amp;"|"&amp;BA$1&amp;"|Output"),"OUT",""))</f>
        <v/>
      </c>
      <c r="BB150" s="33" t="str">
        <f aca="false">IF(COUNTIF(Flows!$M$2:$M$1500,$A150&amp;"|"&amp;BB$1&amp;"|Input"),IF(COUNTIF(Flows!$M$2:$M$1500,$A150&amp;"|"&amp;BB$1&amp;"|Output"),"I/O","IN"),IF(COUNTIF(Flows!$M$2:$M$1500,$A150&amp;"|"&amp;BB$1&amp;"|Output"),"OUT",""))</f>
        <v/>
      </c>
      <c r="BC150" s="33" t="str">
        <f aca="false">IF(COUNTIF(Flows!$M$2:$M$1500,$A150&amp;"|"&amp;BC$1&amp;"|Input"),IF(COUNTIF(Flows!$M$2:$M$1500,$A150&amp;"|"&amp;BC$1&amp;"|Output"),"I/O","IN"),IF(COUNTIF(Flows!$M$2:$M$1500,$A150&amp;"|"&amp;BC$1&amp;"|Output"),"OUT",""))</f>
        <v/>
      </c>
      <c r="BD150" s="33" t="str">
        <f aca="false">IF(COUNTIF(Flows!$M$2:$M$1500,$A150&amp;"|"&amp;BD$1&amp;"|Input"),IF(COUNTIF(Flows!$M$2:$M$1500,$A150&amp;"|"&amp;BD$1&amp;"|Output"),"I/O","IN"),IF(COUNTIF(Flows!$M$2:$M$1500,$A150&amp;"|"&amp;BD$1&amp;"|Output"),"OUT",""))</f>
        <v/>
      </c>
      <c r="BE150" s="33" t="str">
        <f aca="false">IF(COUNTIF(Flows!$M$2:$M$1500,$A150&amp;"|"&amp;BE$1&amp;"|Input"),IF(COUNTIF(Flows!$M$2:$M$1500,$A150&amp;"|"&amp;BE$1&amp;"|Output"),"I/O","IN"),IF(COUNTIF(Flows!$M$2:$M$1500,$A150&amp;"|"&amp;BE$1&amp;"|Output"),"OUT",""))</f>
        <v/>
      </c>
      <c r="BF150" s="33" t="str">
        <f aca="false">IF(COUNTIF(Flows!$M$2:$M$1500,$A150&amp;"|"&amp;BF$1&amp;"|Input"),IF(COUNTIF(Flows!$M$2:$M$1500,$A150&amp;"|"&amp;BF$1&amp;"|Output"),"I/O","IN"),IF(COUNTIF(Flows!$M$2:$M$1500,$A150&amp;"|"&amp;BF$1&amp;"|Output"),"OUT",""))</f>
        <v/>
      </c>
      <c r="BG150" s="33" t="str">
        <f aca="false">IF(COUNTIF(Flows!$M$2:$M$1500,$A150&amp;"|"&amp;BG$1&amp;"|Input"),IF(COUNTIF(Flows!$M$2:$M$1500,$A150&amp;"|"&amp;BG$1&amp;"|Output"),"I/O","IN"),IF(COUNTIF(Flows!$M$2:$M$1500,$A150&amp;"|"&amp;BG$1&amp;"|Output"),"OUT",""))</f>
        <v/>
      </c>
      <c r="BH150" s="33" t="str">
        <f aca="false">IF(COUNTIF(Flows!$M$2:$M$1500,$A150&amp;"|"&amp;BH$1&amp;"|Input"),IF(COUNTIF(Flows!$M$2:$M$1500,$A150&amp;"|"&amp;BH$1&amp;"|Output"),"I/O","IN"),IF(COUNTIF(Flows!$M$2:$M$1500,$A150&amp;"|"&amp;BH$1&amp;"|Output"),"OUT",""))</f>
        <v/>
      </c>
      <c r="BI150" s="33" t="str">
        <f aca="false">IF(COUNTIF(Flows!$M$2:$M$1500,$A150&amp;"|"&amp;BI$1&amp;"|Input"),IF(COUNTIF(Flows!$M$2:$M$1500,$A150&amp;"|"&amp;BI$1&amp;"|Output"),"I/O","IN"),IF(COUNTIF(Flows!$M$2:$M$1500,$A150&amp;"|"&amp;BI$1&amp;"|Output"),"OUT",""))</f>
        <v/>
      </c>
      <c r="BJ150" s="33" t="str">
        <f aca="false">IF(COUNTIF(Flows!$M$2:$M$1500,$A150&amp;"|"&amp;BJ$1&amp;"|Input"),IF(COUNTIF(Flows!$M$2:$M$1500,$A150&amp;"|"&amp;BJ$1&amp;"|Output"),"I/O","IN"),IF(COUNTIF(Flows!$M$2:$M$1500,$A150&amp;"|"&amp;BJ$1&amp;"|Output"),"OUT",""))</f>
        <v/>
      </c>
      <c r="BK150" s="33" t="str">
        <f aca="false">IF(COUNTIF(Flows!$M$2:$M$1500,$A150&amp;"|"&amp;BK$1&amp;"|Input"),IF(COUNTIF(Flows!$M$2:$M$1500,$A150&amp;"|"&amp;BK$1&amp;"|Output"),"I/O","IN"),IF(COUNTIF(Flows!$M$2:$M$1500,$A150&amp;"|"&amp;BK$1&amp;"|Output"),"OUT",""))</f>
        <v>OUT</v>
      </c>
    </row>
    <row r="151" customFormat="false" ht="15" hidden="false" customHeight="true" outlineLevel="0" collapsed="false">
      <c r="A151" s="6" t="str">
        <f aca="false">Systems!B151</f>
        <v>Scythe</v>
      </c>
      <c r="B151" s="33" t="str">
        <f aca="false">IF(COUNTIF(Flows!$M$2:$M$1500,$A151&amp;"|"&amp;B$1&amp;"|Input"),IF(COUNTIF(Flows!$M$2:$M$1500,$A151&amp;"|"&amp;B$1&amp;"|Output"),"I/O","IN"),IF(COUNTIF(Flows!$M$2:$M$1500,$A151&amp;"|"&amp;B$1&amp;"|Output"),"OUT",""))</f>
        <v/>
      </c>
      <c r="C151" s="33" t="str">
        <f aca="false">IF(COUNTIF(Flows!$M$2:$M$1500,$A151&amp;"|"&amp;C$1&amp;"|Input"),IF(COUNTIF(Flows!$M$2:$M$1500,$A151&amp;"|"&amp;C$1&amp;"|Output"),"I/O","IN"),IF(COUNTIF(Flows!$M$2:$M$1500,$A151&amp;"|"&amp;C$1&amp;"|Output"),"OUT",""))</f>
        <v/>
      </c>
      <c r="D151" s="33" t="str">
        <f aca="false">IF(COUNTIF(Flows!$M$2:$M$1500,$A151&amp;"|"&amp;D$1&amp;"|Input"),IF(COUNTIF(Flows!$M$2:$M$1500,$A151&amp;"|"&amp;D$1&amp;"|Output"),"I/O","IN"),IF(COUNTIF(Flows!$M$2:$M$1500,$A151&amp;"|"&amp;D$1&amp;"|Output"),"OUT",""))</f>
        <v/>
      </c>
      <c r="E151" s="33" t="str">
        <f aca="false">IF(COUNTIF(Flows!$M$2:$M$1500,$A151&amp;"|"&amp;E$1&amp;"|Input"),IF(COUNTIF(Flows!$M$2:$M$1500,$A151&amp;"|"&amp;E$1&amp;"|Output"),"I/O","IN"),IF(COUNTIF(Flows!$M$2:$M$1500,$A151&amp;"|"&amp;E$1&amp;"|Output"),"OUT",""))</f>
        <v/>
      </c>
      <c r="F151" s="33" t="str">
        <f aca="false">IF(COUNTIF(Flows!$M$2:$M$1500,$A151&amp;"|"&amp;F$1&amp;"|Input"),IF(COUNTIF(Flows!$M$2:$M$1500,$A151&amp;"|"&amp;F$1&amp;"|Output"),"I/O","IN"),IF(COUNTIF(Flows!$M$2:$M$1500,$A151&amp;"|"&amp;F$1&amp;"|Output"),"OUT",""))</f>
        <v/>
      </c>
      <c r="G151" s="33" t="str">
        <f aca="false">IF(COUNTIF(Flows!$M$2:$M$1500,$A151&amp;"|"&amp;G$1&amp;"|Input"),IF(COUNTIF(Flows!$M$2:$M$1500,$A151&amp;"|"&amp;G$1&amp;"|Output"),"I/O","IN"),IF(COUNTIF(Flows!$M$2:$M$1500,$A151&amp;"|"&amp;G$1&amp;"|Output"),"OUT",""))</f>
        <v/>
      </c>
      <c r="H151" s="33" t="str">
        <f aca="false">IF(COUNTIF(Flows!$M$2:$M$1500,$A151&amp;"|"&amp;H$1&amp;"|Input"),IF(COUNTIF(Flows!$M$2:$M$1500,$A151&amp;"|"&amp;H$1&amp;"|Output"),"I/O","IN"),IF(COUNTIF(Flows!$M$2:$M$1500,$A151&amp;"|"&amp;H$1&amp;"|Output"),"OUT",""))</f>
        <v/>
      </c>
      <c r="I151" s="33" t="str">
        <f aca="false">IF(COUNTIF(Flows!$M$2:$M$1500,$A151&amp;"|"&amp;I$1&amp;"|Input"),IF(COUNTIF(Flows!$M$2:$M$1500,$A151&amp;"|"&amp;I$1&amp;"|Output"),"I/O","IN"),IF(COUNTIF(Flows!$M$2:$M$1500,$A151&amp;"|"&amp;I$1&amp;"|Output"),"OUT",""))</f>
        <v/>
      </c>
      <c r="J151" s="33" t="str">
        <f aca="false">IF(COUNTIF(Flows!$M$2:$M$1500,$A151&amp;"|"&amp;J$1&amp;"|Input"),IF(COUNTIF(Flows!$M$2:$M$1500,$A151&amp;"|"&amp;J$1&amp;"|Output"),"I/O","IN"),IF(COUNTIF(Flows!$M$2:$M$1500,$A151&amp;"|"&amp;J$1&amp;"|Output"),"OUT",""))</f>
        <v/>
      </c>
      <c r="K151" s="33" t="str">
        <f aca="false">IF(COUNTIF(Flows!$M$2:$M$1500,$A151&amp;"|"&amp;K$1&amp;"|Input"),IF(COUNTIF(Flows!$M$2:$M$1500,$A151&amp;"|"&amp;K$1&amp;"|Output"),"I/O","IN"),IF(COUNTIF(Flows!$M$2:$M$1500,$A151&amp;"|"&amp;K$1&amp;"|Output"),"OUT",""))</f>
        <v/>
      </c>
      <c r="L151" s="33" t="str">
        <f aca="false">IF(COUNTIF(Flows!$M$2:$M$1500,$A151&amp;"|"&amp;L$1&amp;"|Input"),IF(COUNTIF(Flows!$M$2:$M$1500,$A151&amp;"|"&amp;L$1&amp;"|Output"),"I/O","IN"),IF(COUNTIF(Flows!$M$2:$M$1500,$A151&amp;"|"&amp;L$1&amp;"|Output"),"OUT",""))</f>
        <v/>
      </c>
      <c r="M151" s="33" t="str">
        <f aca="false">IF(COUNTIF(Flows!$M$2:$M$1500,$A151&amp;"|"&amp;M$1&amp;"|Input"),IF(COUNTIF(Flows!$M$2:$M$1500,$A151&amp;"|"&amp;M$1&amp;"|Output"),"I/O","IN"),IF(COUNTIF(Flows!$M$2:$M$1500,$A151&amp;"|"&amp;M$1&amp;"|Output"),"OUT",""))</f>
        <v/>
      </c>
      <c r="N151" s="33" t="str">
        <f aca="false">IF(COUNTIF(Flows!$M$2:$M$1500,$A151&amp;"|"&amp;N$1&amp;"|Input"),IF(COUNTIF(Flows!$M$2:$M$1500,$A151&amp;"|"&amp;N$1&amp;"|Output"),"I/O","IN"),IF(COUNTIF(Flows!$M$2:$M$1500,$A151&amp;"|"&amp;N$1&amp;"|Output"),"OUT",""))</f>
        <v/>
      </c>
      <c r="O151" s="33" t="str">
        <f aca="false">IF(COUNTIF(Flows!$M$2:$M$1500,$A151&amp;"|"&amp;O$1&amp;"|Input"),IF(COUNTIF(Flows!$M$2:$M$1500,$A151&amp;"|"&amp;O$1&amp;"|Output"),"I/O","IN"),IF(COUNTIF(Flows!$M$2:$M$1500,$A151&amp;"|"&amp;O$1&amp;"|Output"),"OUT",""))</f>
        <v/>
      </c>
      <c r="P151" s="33" t="str">
        <f aca="false">IF(COUNTIF(Flows!$M$2:$M$1500,$A151&amp;"|"&amp;P$1&amp;"|Input"),IF(COUNTIF(Flows!$M$2:$M$1500,$A151&amp;"|"&amp;P$1&amp;"|Output"),"I/O","IN"),IF(COUNTIF(Flows!$M$2:$M$1500,$A151&amp;"|"&amp;P$1&amp;"|Output"),"OUT",""))</f>
        <v/>
      </c>
      <c r="Q151" s="33" t="str">
        <f aca="false">IF(COUNTIF(Flows!$M$2:$M$1500,$A151&amp;"|"&amp;Q$1&amp;"|Input"),IF(COUNTIF(Flows!$M$2:$M$1500,$A151&amp;"|"&amp;Q$1&amp;"|Output"),"I/O","IN"),IF(COUNTIF(Flows!$M$2:$M$1500,$A151&amp;"|"&amp;Q$1&amp;"|Output"),"OUT",""))</f>
        <v/>
      </c>
      <c r="R151" s="33" t="str">
        <f aca="false">IF(COUNTIF(Flows!$M$2:$M$1500,$A151&amp;"|"&amp;R$1&amp;"|Input"),IF(COUNTIF(Flows!$M$2:$M$1500,$A151&amp;"|"&amp;R$1&amp;"|Output"),"I/O","IN"),IF(COUNTIF(Flows!$M$2:$M$1500,$A151&amp;"|"&amp;R$1&amp;"|Output"),"OUT",""))</f>
        <v/>
      </c>
      <c r="S151" s="33" t="str">
        <f aca="false">IF(COUNTIF(Flows!$M$2:$M$1500,$A151&amp;"|"&amp;S$1&amp;"|Input"),IF(COUNTIF(Flows!$M$2:$M$1500,$A151&amp;"|"&amp;S$1&amp;"|Output"),"I/O","IN"),IF(COUNTIF(Flows!$M$2:$M$1500,$A151&amp;"|"&amp;S$1&amp;"|Output"),"OUT",""))</f>
        <v/>
      </c>
      <c r="T151" s="33" t="str">
        <f aca="false">IF(COUNTIF(Flows!$M$2:$M$1500,$A151&amp;"|"&amp;T$1&amp;"|Input"),IF(COUNTIF(Flows!$M$2:$M$1500,$A151&amp;"|"&amp;T$1&amp;"|Output"),"I/O","IN"),IF(COUNTIF(Flows!$M$2:$M$1500,$A151&amp;"|"&amp;T$1&amp;"|Output"),"OUT",""))</f>
        <v/>
      </c>
      <c r="U151" s="33" t="str">
        <f aca="false">IF(COUNTIF(Flows!$M$2:$M$1500,$A151&amp;"|"&amp;U$1&amp;"|Input"),IF(COUNTIF(Flows!$M$2:$M$1500,$A151&amp;"|"&amp;U$1&amp;"|Output"),"I/O","IN"),IF(COUNTIF(Flows!$M$2:$M$1500,$A151&amp;"|"&amp;U$1&amp;"|Output"),"OUT",""))</f>
        <v/>
      </c>
      <c r="V151" s="33" t="str">
        <f aca="false">IF(COUNTIF(Flows!$M$2:$M$1500,$A151&amp;"|"&amp;V$1&amp;"|Input"),IF(COUNTIF(Flows!$M$2:$M$1500,$A151&amp;"|"&amp;V$1&amp;"|Output"),"I/O","IN"),IF(COUNTIF(Flows!$M$2:$M$1500,$A151&amp;"|"&amp;V$1&amp;"|Output"),"OUT",""))</f>
        <v/>
      </c>
      <c r="W151" s="33" t="str">
        <f aca="false">IF(COUNTIF(Flows!$M$2:$M$1500,$A151&amp;"|"&amp;W$1&amp;"|Input"),IF(COUNTIF(Flows!$M$2:$M$1500,$A151&amp;"|"&amp;W$1&amp;"|Output"),"I/O","IN"),IF(COUNTIF(Flows!$M$2:$M$1500,$A151&amp;"|"&amp;W$1&amp;"|Output"),"OUT",""))</f>
        <v/>
      </c>
      <c r="X151" s="33" t="str">
        <f aca="false">IF(COUNTIF(Flows!$M$2:$M$1500,$A151&amp;"|"&amp;X$1&amp;"|Input"),IF(COUNTIF(Flows!$M$2:$M$1500,$A151&amp;"|"&amp;X$1&amp;"|Output"),"I/O","IN"),IF(COUNTIF(Flows!$M$2:$M$1500,$A151&amp;"|"&amp;X$1&amp;"|Output"),"OUT",""))</f>
        <v>IN</v>
      </c>
      <c r="Y151" s="33" t="str">
        <f aca="false">IF(COUNTIF(Flows!$M$2:$M$1500,$A151&amp;"|"&amp;Y$1&amp;"|Input"),IF(COUNTIF(Flows!$M$2:$M$1500,$A151&amp;"|"&amp;Y$1&amp;"|Output"),"I/O","IN"),IF(COUNTIF(Flows!$M$2:$M$1500,$A151&amp;"|"&amp;Y$1&amp;"|Output"),"OUT",""))</f>
        <v/>
      </c>
      <c r="Z151" s="33" t="str">
        <f aca="false">IF(COUNTIF(Flows!$M$2:$M$1500,$A151&amp;"|"&amp;Z$1&amp;"|Input"),IF(COUNTIF(Flows!$M$2:$M$1500,$A151&amp;"|"&amp;Z$1&amp;"|Output"),"I/O","IN"),IF(COUNTIF(Flows!$M$2:$M$1500,$A151&amp;"|"&amp;Z$1&amp;"|Output"),"OUT",""))</f>
        <v/>
      </c>
      <c r="AA151" s="33" t="str">
        <f aca="false">IF(COUNTIF(Flows!$M$2:$M$1500,$A151&amp;"|"&amp;AA$1&amp;"|Input"),IF(COUNTIF(Flows!$M$2:$M$1500,$A151&amp;"|"&amp;AA$1&amp;"|Output"),"I/O","IN"),IF(COUNTIF(Flows!$M$2:$M$1500,$A151&amp;"|"&amp;AA$1&amp;"|Output"),"OUT",""))</f>
        <v/>
      </c>
      <c r="AB151" s="33" t="str">
        <f aca="false">IF(COUNTIF(Flows!$M$2:$M$1500,$A151&amp;"|"&amp;AB$1&amp;"|Input"),IF(COUNTIF(Flows!$M$2:$M$1500,$A151&amp;"|"&amp;AB$1&amp;"|Output"),"I/O","IN"),IF(COUNTIF(Flows!$M$2:$M$1500,$A151&amp;"|"&amp;AB$1&amp;"|Output"),"OUT",""))</f>
        <v/>
      </c>
      <c r="AC151" s="33" t="str">
        <f aca="false">IF(COUNTIF(Flows!$M$2:$M$1500,$A151&amp;"|"&amp;AC$1&amp;"|Input"),IF(COUNTIF(Flows!$M$2:$M$1500,$A151&amp;"|"&amp;AC$1&amp;"|Output"),"I/O","IN"),IF(COUNTIF(Flows!$M$2:$M$1500,$A151&amp;"|"&amp;AC$1&amp;"|Output"),"OUT",""))</f>
        <v/>
      </c>
      <c r="AD151" s="33" t="str">
        <f aca="false">IF(COUNTIF(Flows!$M$2:$M$1500,$A151&amp;"|"&amp;AD$1&amp;"|Input"),IF(COUNTIF(Flows!$M$2:$M$1500,$A151&amp;"|"&amp;AD$1&amp;"|Output"),"I/O","IN"),IF(COUNTIF(Flows!$M$2:$M$1500,$A151&amp;"|"&amp;AD$1&amp;"|Output"),"OUT",""))</f>
        <v/>
      </c>
      <c r="AE151" s="33" t="str">
        <f aca="false">IF(COUNTIF(Flows!$M$2:$M$1500,$A151&amp;"|"&amp;AE$1&amp;"|Input"),IF(COUNTIF(Flows!$M$2:$M$1500,$A151&amp;"|"&amp;AE$1&amp;"|Output"),"I/O","IN"),IF(COUNTIF(Flows!$M$2:$M$1500,$A151&amp;"|"&amp;AE$1&amp;"|Output"),"OUT",""))</f>
        <v/>
      </c>
      <c r="AF151" s="33" t="str">
        <f aca="false">IF(COUNTIF(Flows!$M$2:$M$1500,$A151&amp;"|"&amp;AF$1&amp;"|Input"),IF(COUNTIF(Flows!$M$2:$M$1500,$A151&amp;"|"&amp;AF$1&amp;"|Output"),"I/O","IN"),IF(COUNTIF(Flows!$M$2:$M$1500,$A151&amp;"|"&amp;AF$1&amp;"|Output"),"OUT",""))</f>
        <v/>
      </c>
      <c r="AG151" s="33" t="str">
        <f aca="false">IF(COUNTIF(Flows!$M$2:$M$1500,$A151&amp;"|"&amp;AG$1&amp;"|Input"),IF(COUNTIF(Flows!$M$2:$M$1500,$A151&amp;"|"&amp;AG$1&amp;"|Output"),"I/O","IN"),IF(COUNTIF(Flows!$M$2:$M$1500,$A151&amp;"|"&amp;AG$1&amp;"|Output"),"OUT",""))</f>
        <v/>
      </c>
      <c r="AH151" s="33" t="str">
        <f aca="false">IF(COUNTIF(Flows!$M$2:$M$1500,$A151&amp;"|"&amp;AH$1&amp;"|Input"),IF(COUNTIF(Flows!$M$2:$M$1500,$A151&amp;"|"&amp;AH$1&amp;"|Output"),"I/O","IN"),IF(COUNTIF(Flows!$M$2:$M$1500,$A151&amp;"|"&amp;AH$1&amp;"|Output"),"OUT",""))</f>
        <v>IN</v>
      </c>
      <c r="AI151" s="33" t="str">
        <f aca="false">IF(COUNTIF(Flows!$M$2:$M$1500,$A151&amp;"|"&amp;AI$1&amp;"|Input"),IF(COUNTIF(Flows!$M$2:$M$1500,$A151&amp;"|"&amp;AI$1&amp;"|Output"),"I/O","IN"),IF(COUNTIF(Flows!$M$2:$M$1500,$A151&amp;"|"&amp;AI$1&amp;"|Output"),"OUT",""))</f>
        <v/>
      </c>
      <c r="AJ151" s="33" t="str">
        <f aca="false">IF(COUNTIF(Flows!$M$2:$M$1500,$A151&amp;"|"&amp;AJ$1&amp;"|Input"),IF(COUNTIF(Flows!$M$2:$M$1500,$A151&amp;"|"&amp;AJ$1&amp;"|Output"),"I/O","IN"),IF(COUNTIF(Flows!$M$2:$M$1500,$A151&amp;"|"&amp;AJ$1&amp;"|Output"),"OUT",""))</f>
        <v/>
      </c>
      <c r="AK151" s="33" t="str">
        <f aca="false">IF(COUNTIF(Flows!$M$2:$M$1500,$A151&amp;"|"&amp;AK$1&amp;"|Input"),IF(COUNTIF(Flows!$M$2:$M$1500,$A151&amp;"|"&amp;AK$1&amp;"|Output"),"I/O","IN"),IF(COUNTIF(Flows!$M$2:$M$1500,$A151&amp;"|"&amp;AK$1&amp;"|Output"),"OUT",""))</f>
        <v/>
      </c>
      <c r="AL151" s="33" t="str">
        <f aca="false">IF(COUNTIF(Flows!$M$2:$M$1500,$A151&amp;"|"&amp;AL$1&amp;"|Input"),IF(COUNTIF(Flows!$M$2:$M$1500,$A151&amp;"|"&amp;AL$1&amp;"|Output"),"I/O","IN"),IF(COUNTIF(Flows!$M$2:$M$1500,$A151&amp;"|"&amp;AL$1&amp;"|Output"),"OUT",""))</f>
        <v/>
      </c>
      <c r="AM151" s="33" t="str">
        <f aca="false">IF(COUNTIF(Flows!$M$2:$M$1500,$A151&amp;"|"&amp;AM$1&amp;"|Input"),IF(COUNTIF(Flows!$M$2:$M$1500,$A151&amp;"|"&amp;AM$1&amp;"|Output"),"I/O","IN"),IF(COUNTIF(Flows!$M$2:$M$1500,$A151&amp;"|"&amp;AM$1&amp;"|Output"),"OUT",""))</f>
        <v/>
      </c>
      <c r="AN151" s="33" t="str">
        <f aca="false">IF(COUNTIF(Flows!$M$2:$M$1500,$A151&amp;"|"&amp;AN$1&amp;"|Input"),IF(COUNTIF(Flows!$M$2:$M$1500,$A151&amp;"|"&amp;AN$1&amp;"|Output"),"I/O","IN"),IF(COUNTIF(Flows!$M$2:$M$1500,$A151&amp;"|"&amp;AN$1&amp;"|Output"),"OUT",""))</f>
        <v/>
      </c>
      <c r="AO151" s="33" t="str">
        <f aca="false">IF(COUNTIF(Flows!$M$2:$M$1500,$A151&amp;"|"&amp;AO$1&amp;"|Input"),IF(COUNTIF(Flows!$M$2:$M$1500,$A151&amp;"|"&amp;AO$1&amp;"|Output"),"I/O","IN"),IF(COUNTIF(Flows!$M$2:$M$1500,$A151&amp;"|"&amp;AO$1&amp;"|Output"),"OUT",""))</f>
        <v/>
      </c>
      <c r="AP151" s="33" t="str">
        <f aca="false">IF(COUNTIF(Flows!$M$2:$M$1500,$A151&amp;"|"&amp;AP$1&amp;"|Input"),IF(COUNTIF(Flows!$M$2:$M$1500,$A151&amp;"|"&amp;AP$1&amp;"|Output"),"I/O","IN"),IF(COUNTIF(Flows!$M$2:$M$1500,$A151&amp;"|"&amp;AP$1&amp;"|Output"),"OUT",""))</f>
        <v>OUT</v>
      </c>
      <c r="AQ151" s="33" t="str">
        <f aca="false">IF(COUNTIF(Flows!$M$2:$M$1500,$A151&amp;"|"&amp;AQ$1&amp;"|Input"),IF(COUNTIF(Flows!$M$2:$M$1500,$A151&amp;"|"&amp;AQ$1&amp;"|Output"),"I/O","IN"),IF(COUNTIF(Flows!$M$2:$M$1500,$A151&amp;"|"&amp;AQ$1&amp;"|Output"),"OUT",""))</f>
        <v/>
      </c>
      <c r="AR151" s="33" t="str">
        <f aca="false">IF(COUNTIF(Flows!$M$2:$M$1500,$A151&amp;"|"&amp;AR$1&amp;"|Input"),IF(COUNTIF(Flows!$M$2:$M$1500,$A151&amp;"|"&amp;AR$1&amp;"|Output"),"I/O","IN"),IF(COUNTIF(Flows!$M$2:$M$1500,$A151&amp;"|"&amp;AR$1&amp;"|Output"),"OUT",""))</f>
        <v/>
      </c>
      <c r="AS151" s="33" t="str">
        <f aca="false">IF(COUNTIF(Flows!$M$2:$M$1500,$A151&amp;"|"&amp;AS$1&amp;"|Input"),IF(COUNTIF(Flows!$M$2:$M$1500,$A151&amp;"|"&amp;AS$1&amp;"|Output"),"I/O","IN"),IF(COUNTIF(Flows!$M$2:$M$1500,$A151&amp;"|"&amp;AS$1&amp;"|Output"),"OUT",""))</f>
        <v/>
      </c>
      <c r="AT151" s="33" t="str">
        <f aca="false">IF(COUNTIF(Flows!$M$2:$M$1500,$A151&amp;"|"&amp;AT$1&amp;"|Input"),IF(COUNTIF(Flows!$M$2:$M$1500,$A151&amp;"|"&amp;AT$1&amp;"|Output"),"I/O","IN"),IF(COUNTIF(Flows!$M$2:$M$1500,$A151&amp;"|"&amp;AT$1&amp;"|Output"),"OUT",""))</f>
        <v/>
      </c>
      <c r="AU151" s="33" t="str">
        <f aca="false">IF(COUNTIF(Flows!$M$2:$M$1500,$A151&amp;"|"&amp;AU$1&amp;"|Input"),IF(COUNTIF(Flows!$M$2:$M$1500,$A151&amp;"|"&amp;AU$1&amp;"|Output"),"I/O","IN"),IF(COUNTIF(Flows!$M$2:$M$1500,$A151&amp;"|"&amp;AU$1&amp;"|Output"),"OUT",""))</f>
        <v/>
      </c>
      <c r="AV151" s="33" t="str">
        <f aca="false">IF(COUNTIF(Flows!$M$2:$M$1500,$A151&amp;"|"&amp;AV$1&amp;"|Input"),IF(COUNTIF(Flows!$M$2:$M$1500,$A151&amp;"|"&amp;AV$1&amp;"|Output"),"I/O","IN"),IF(COUNTIF(Flows!$M$2:$M$1500,$A151&amp;"|"&amp;AV$1&amp;"|Output"),"OUT",""))</f>
        <v/>
      </c>
      <c r="AW151" s="33" t="str">
        <f aca="false">IF(COUNTIF(Flows!$M$2:$M$1500,$A151&amp;"|"&amp;AW$1&amp;"|Input"),IF(COUNTIF(Flows!$M$2:$M$1500,$A151&amp;"|"&amp;AW$1&amp;"|Output"),"I/O","IN"),IF(COUNTIF(Flows!$M$2:$M$1500,$A151&amp;"|"&amp;AW$1&amp;"|Output"),"OUT",""))</f>
        <v/>
      </c>
      <c r="AX151" s="33" t="str">
        <f aca="false">IF(COUNTIF(Flows!$M$2:$M$1500,$A151&amp;"|"&amp;AX$1&amp;"|Input"),IF(COUNTIF(Flows!$M$2:$M$1500,$A151&amp;"|"&amp;AX$1&amp;"|Output"),"I/O","IN"),IF(COUNTIF(Flows!$M$2:$M$1500,$A151&amp;"|"&amp;AX$1&amp;"|Output"),"OUT",""))</f>
        <v/>
      </c>
      <c r="AY151" s="33" t="str">
        <f aca="false">IF(COUNTIF(Flows!$M$2:$M$1500,$A151&amp;"|"&amp;AY$1&amp;"|Input"),IF(COUNTIF(Flows!$M$2:$M$1500,$A151&amp;"|"&amp;AY$1&amp;"|Output"),"I/O","IN"),IF(COUNTIF(Flows!$M$2:$M$1500,$A151&amp;"|"&amp;AY$1&amp;"|Output"),"OUT",""))</f>
        <v/>
      </c>
      <c r="AZ151" s="33" t="str">
        <f aca="false">IF(COUNTIF(Flows!$M$2:$M$1500,$A151&amp;"|"&amp;AZ$1&amp;"|Input"),IF(COUNTIF(Flows!$M$2:$M$1500,$A151&amp;"|"&amp;AZ$1&amp;"|Output"),"I/O","IN"),IF(COUNTIF(Flows!$M$2:$M$1500,$A151&amp;"|"&amp;AZ$1&amp;"|Output"),"OUT",""))</f>
        <v/>
      </c>
      <c r="BA151" s="33" t="str">
        <f aca="false">IF(COUNTIF(Flows!$M$2:$M$1500,$A151&amp;"|"&amp;BA$1&amp;"|Input"),IF(COUNTIF(Flows!$M$2:$M$1500,$A151&amp;"|"&amp;BA$1&amp;"|Output"),"I/O","IN"),IF(COUNTIF(Flows!$M$2:$M$1500,$A151&amp;"|"&amp;BA$1&amp;"|Output"),"OUT",""))</f>
        <v/>
      </c>
      <c r="BB151" s="33" t="str">
        <f aca="false">IF(COUNTIF(Flows!$M$2:$M$1500,$A151&amp;"|"&amp;BB$1&amp;"|Input"),IF(COUNTIF(Flows!$M$2:$M$1500,$A151&amp;"|"&amp;BB$1&amp;"|Output"),"I/O","IN"),IF(COUNTIF(Flows!$M$2:$M$1500,$A151&amp;"|"&amp;BB$1&amp;"|Output"),"OUT",""))</f>
        <v/>
      </c>
      <c r="BC151" s="33" t="str">
        <f aca="false">IF(COUNTIF(Flows!$M$2:$M$1500,$A151&amp;"|"&amp;BC$1&amp;"|Input"),IF(COUNTIF(Flows!$M$2:$M$1500,$A151&amp;"|"&amp;BC$1&amp;"|Output"),"I/O","IN"),IF(COUNTIF(Flows!$M$2:$M$1500,$A151&amp;"|"&amp;BC$1&amp;"|Output"),"OUT",""))</f>
        <v/>
      </c>
      <c r="BD151" s="33" t="str">
        <f aca="false">IF(COUNTIF(Flows!$M$2:$M$1500,$A151&amp;"|"&amp;BD$1&amp;"|Input"),IF(COUNTIF(Flows!$M$2:$M$1500,$A151&amp;"|"&amp;BD$1&amp;"|Output"),"I/O","IN"),IF(COUNTIF(Flows!$M$2:$M$1500,$A151&amp;"|"&amp;BD$1&amp;"|Output"),"OUT",""))</f>
        <v/>
      </c>
      <c r="BE151" s="33" t="str">
        <f aca="false">IF(COUNTIF(Flows!$M$2:$M$1500,$A151&amp;"|"&amp;BE$1&amp;"|Input"),IF(COUNTIF(Flows!$M$2:$M$1500,$A151&amp;"|"&amp;BE$1&amp;"|Output"),"I/O","IN"),IF(COUNTIF(Flows!$M$2:$M$1500,$A151&amp;"|"&amp;BE$1&amp;"|Output"),"OUT",""))</f>
        <v/>
      </c>
      <c r="BF151" s="33" t="str">
        <f aca="false">IF(COUNTIF(Flows!$M$2:$M$1500,$A151&amp;"|"&amp;BF$1&amp;"|Input"),IF(COUNTIF(Flows!$M$2:$M$1500,$A151&amp;"|"&amp;BF$1&amp;"|Output"),"I/O","IN"),IF(COUNTIF(Flows!$M$2:$M$1500,$A151&amp;"|"&amp;BF$1&amp;"|Output"),"OUT",""))</f>
        <v/>
      </c>
      <c r="BG151" s="33" t="str">
        <f aca="false">IF(COUNTIF(Flows!$M$2:$M$1500,$A151&amp;"|"&amp;BG$1&amp;"|Input"),IF(COUNTIF(Flows!$M$2:$M$1500,$A151&amp;"|"&amp;BG$1&amp;"|Output"),"I/O","IN"),IF(COUNTIF(Flows!$M$2:$M$1500,$A151&amp;"|"&amp;BG$1&amp;"|Output"),"OUT",""))</f>
        <v/>
      </c>
      <c r="BH151" s="33" t="str">
        <f aca="false">IF(COUNTIF(Flows!$M$2:$M$1500,$A151&amp;"|"&amp;BH$1&amp;"|Input"),IF(COUNTIF(Flows!$M$2:$M$1500,$A151&amp;"|"&amp;BH$1&amp;"|Output"),"I/O","IN"),IF(COUNTIF(Flows!$M$2:$M$1500,$A151&amp;"|"&amp;BH$1&amp;"|Output"),"OUT",""))</f>
        <v/>
      </c>
      <c r="BI151" s="33" t="str">
        <f aca="false">IF(COUNTIF(Flows!$M$2:$M$1500,$A151&amp;"|"&amp;BI$1&amp;"|Input"),IF(COUNTIF(Flows!$M$2:$M$1500,$A151&amp;"|"&amp;BI$1&amp;"|Output"),"I/O","IN"),IF(COUNTIF(Flows!$M$2:$M$1500,$A151&amp;"|"&amp;BI$1&amp;"|Output"),"OUT",""))</f>
        <v/>
      </c>
      <c r="BJ151" s="33" t="str">
        <f aca="false">IF(COUNTIF(Flows!$M$2:$M$1500,$A151&amp;"|"&amp;BJ$1&amp;"|Input"),IF(COUNTIF(Flows!$M$2:$M$1500,$A151&amp;"|"&amp;BJ$1&amp;"|Output"),"I/O","IN"),IF(COUNTIF(Flows!$M$2:$M$1500,$A151&amp;"|"&amp;BJ$1&amp;"|Output"),"OUT",""))</f>
        <v/>
      </c>
      <c r="BK151" s="33" t="str">
        <f aca="false">IF(COUNTIF(Flows!$M$2:$M$1500,$A151&amp;"|"&amp;BK$1&amp;"|Input"),IF(COUNTIF(Flows!$M$2:$M$1500,$A151&amp;"|"&amp;BK$1&amp;"|Output"),"I/O","IN"),IF(COUNTIF(Flows!$M$2:$M$1500,$A151&amp;"|"&amp;BK$1&amp;"|Output"),"OUT",""))</f>
        <v>OUT</v>
      </c>
    </row>
    <row r="152" customFormat="false" ht="15" hidden="false" customHeight="true" outlineLevel="0" collapsed="false">
      <c r="A152" s="6" t="str">
        <f aca="false">Systems!B152</f>
        <v>Chainsaw</v>
      </c>
      <c r="B152" s="33" t="str">
        <f aca="false">IF(COUNTIF(Flows!$M$2:$M$1500,$A152&amp;"|"&amp;B$1&amp;"|Input"),IF(COUNTIF(Flows!$M$2:$M$1500,$A152&amp;"|"&amp;B$1&amp;"|Output"),"I/O","IN"),IF(COUNTIF(Flows!$M$2:$M$1500,$A152&amp;"|"&amp;B$1&amp;"|Output"),"OUT",""))</f>
        <v/>
      </c>
      <c r="C152" s="33" t="str">
        <f aca="false">IF(COUNTIF(Flows!$M$2:$M$1500,$A152&amp;"|"&amp;C$1&amp;"|Input"),IF(COUNTIF(Flows!$M$2:$M$1500,$A152&amp;"|"&amp;C$1&amp;"|Output"),"I/O","IN"),IF(COUNTIF(Flows!$M$2:$M$1500,$A152&amp;"|"&amp;C$1&amp;"|Output"),"OUT",""))</f>
        <v/>
      </c>
      <c r="D152" s="33" t="str">
        <f aca="false">IF(COUNTIF(Flows!$M$2:$M$1500,$A152&amp;"|"&amp;D$1&amp;"|Input"),IF(COUNTIF(Flows!$M$2:$M$1500,$A152&amp;"|"&amp;D$1&amp;"|Output"),"I/O","IN"),IF(COUNTIF(Flows!$M$2:$M$1500,$A152&amp;"|"&amp;D$1&amp;"|Output"),"OUT",""))</f>
        <v/>
      </c>
      <c r="E152" s="33" t="str">
        <f aca="false">IF(COUNTIF(Flows!$M$2:$M$1500,$A152&amp;"|"&amp;E$1&amp;"|Input"),IF(COUNTIF(Flows!$M$2:$M$1500,$A152&amp;"|"&amp;E$1&amp;"|Output"),"I/O","IN"),IF(COUNTIF(Flows!$M$2:$M$1500,$A152&amp;"|"&amp;E$1&amp;"|Output"),"OUT",""))</f>
        <v/>
      </c>
      <c r="F152" s="33" t="str">
        <f aca="false">IF(COUNTIF(Flows!$M$2:$M$1500,$A152&amp;"|"&amp;F$1&amp;"|Input"),IF(COUNTIF(Flows!$M$2:$M$1500,$A152&amp;"|"&amp;F$1&amp;"|Output"),"I/O","IN"),IF(COUNTIF(Flows!$M$2:$M$1500,$A152&amp;"|"&amp;F$1&amp;"|Output"),"OUT",""))</f>
        <v/>
      </c>
      <c r="G152" s="33" t="str">
        <f aca="false">IF(COUNTIF(Flows!$M$2:$M$1500,$A152&amp;"|"&amp;G$1&amp;"|Input"),IF(COUNTIF(Flows!$M$2:$M$1500,$A152&amp;"|"&amp;G$1&amp;"|Output"),"I/O","IN"),IF(COUNTIF(Flows!$M$2:$M$1500,$A152&amp;"|"&amp;G$1&amp;"|Output"),"OUT",""))</f>
        <v/>
      </c>
      <c r="H152" s="33" t="str">
        <f aca="false">IF(COUNTIF(Flows!$M$2:$M$1500,$A152&amp;"|"&amp;H$1&amp;"|Input"),IF(COUNTIF(Flows!$M$2:$M$1500,$A152&amp;"|"&amp;H$1&amp;"|Output"),"I/O","IN"),IF(COUNTIF(Flows!$M$2:$M$1500,$A152&amp;"|"&amp;H$1&amp;"|Output"),"OUT",""))</f>
        <v/>
      </c>
      <c r="I152" s="33" t="str">
        <f aca="false">IF(COUNTIF(Flows!$M$2:$M$1500,$A152&amp;"|"&amp;I$1&amp;"|Input"),IF(COUNTIF(Flows!$M$2:$M$1500,$A152&amp;"|"&amp;I$1&amp;"|Output"),"I/O","IN"),IF(COUNTIF(Flows!$M$2:$M$1500,$A152&amp;"|"&amp;I$1&amp;"|Output"),"OUT",""))</f>
        <v/>
      </c>
      <c r="J152" s="33" t="str">
        <f aca="false">IF(COUNTIF(Flows!$M$2:$M$1500,$A152&amp;"|"&amp;J$1&amp;"|Input"),IF(COUNTIF(Flows!$M$2:$M$1500,$A152&amp;"|"&amp;J$1&amp;"|Output"),"I/O","IN"),IF(COUNTIF(Flows!$M$2:$M$1500,$A152&amp;"|"&amp;J$1&amp;"|Output"),"OUT",""))</f>
        <v/>
      </c>
      <c r="K152" s="33" t="str">
        <f aca="false">IF(COUNTIF(Flows!$M$2:$M$1500,$A152&amp;"|"&amp;K$1&amp;"|Input"),IF(COUNTIF(Flows!$M$2:$M$1500,$A152&amp;"|"&amp;K$1&amp;"|Output"),"I/O","IN"),IF(COUNTIF(Flows!$M$2:$M$1500,$A152&amp;"|"&amp;K$1&amp;"|Output"),"OUT",""))</f>
        <v/>
      </c>
      <c r="L152" s="33" t="str">
        <f aca="false">IF(COUNTIF(Flows!$M$2:$M$1500,$A152&amp;"|"&amp;L$1&amp;"|Input"),IF(COUNTIF(Flows!$M$2:$M$1500,$A152&amp;"|"&amp;L$1&amp;"|Output"),"I/O","IN"),IF(COUNTIF(Flows!$M$2:$M$1500,$A152&amp;"|"&amp;L$1&amp;"|Output"),"OUT",""))</f>
        <v/>
      </c>
      <c r="M152" s="33" t="str">
        <f aca="false">IF(COUNTIF(Flows!$M$2:$M$1500,$A152&amp;"|"&amp;M$1&amp;"|Input"),IF(COUNTIF(Flows!$M$2:$M$1500,$A152&amp;"|"&amp;M$1&amp;"|Output"),"I/O","IN"),IF(COUNTIF(Flows!$M$2:$M$1500,$A152&amp;"|"&amp;M$1&amp;"|Output"),"OUT",""))</f>
        <v/>
      </c>
      <c r="N152" s="33" t="str">
        <f aca="false">IF(COUNTIF(Flows!$M$2:$M$1500,$A152&amp;"|"&amp;N$1&amp;"|Input"),IF(COUNTIF(Flows!$M$2:$M$1500,$A152&amp;"|"&amp;N$1&amp;"|Output"),"I/O","IN"),IF(COUNTIF(Flows!$M$2:$M$1500,$A152&amp;"|"&amp;N$1&amp;"|Output"),"OUT",""))</f>
        <v/>
      </c>
      <c r="O152" s="33" t="str">
        <f aca="false">IF(COUNTIF(Flows!$M$2:$M$1500,$A152&amp;"|"&amp;O$1&amp;"|Input"),IF(COUNTIF(Flows!$M$2:$M$1500,$A152&amp;"|"&amp;O$1&amp;"|Output"),"I/O","IN"),IF(COUNTIF(Flows!$M$2:$M$1500,$A152&amp;"|"&amp;O$1&amp;"|Output"),"OUT",""))</f>
        <v/>
      </c>
      <c r="P152" s="33" t="str">
        <f aca="false">IF(COUNTIF(Flows!$M$2:$M$1500,$A152&amp;"|"&amp;P$1&amp;"|Input"),IF(COUNTIF(Flows!$M$2:$M$1500,$A152&amp;"|"&amp;P$1&amp;"|Output"),"I/O","IN"),IF(COUNTIF(Flows!$M$2:$M$1500,$A152&amp;"|"&amp;P$1&amp;"|Output"),"OUT",""))</f>
        <v/>
      </c>
      <c r="Q152" s="33" t="str">
        <f aca="false">IF(COUNTIF(Flows!$M$2:$M$1500,$A152&amp;"|"&amp;Q$1&amp;"|Input"),IF(COUNTIF(Flows!$M$2:$M$1500,$A152&amp;"|"&amp;Q$1&amp;"|Output"),"I/O","IN"),IF(COUNTIF(Flows!$M$2:$M$1500,$A152&amp;"|"&amp;Q$1&amp;"|Output"),"OUT",""))</f>
        <v/>
      </c>
      <c r="R152" s="33" t="str">
        <f aca="false">IF(COUNTIF(Flows!$M$2:$M$1500,$A152&amp;"|"&amp;R$1&amp;"|Input"),IF(COUNTIF(Flows!$M$2:$M$1500,$A152&amp;"|"&amp;R$1&amp;"|Output"),"I/O","IN"),IF(COUNTIF(Flows!$M$2:$M$1500,$A152&amp;"|"&amp;R$1&amp;"|Output"),"OUT",""))</f>
        <v/>
      </c>
      <c r="S152" s="33" t="str">
        <f aca="false">IF(COUNTIF(Flows!$M$2:$M$1500,$A152&amp;"|"&amp;S$1&amp;"|Input"),IF(COUNTIF(Flows!$M$2:$M$1500,$A152&amp;"|"&amp;S$1&amp;"|Output"),"I/O","IN"),IF(COUNTIF(Flows!$M$2:$M$1500,$A152&amp;"|"&amp;S$1&amp;"|Output"),"OUT",""))</f>
        <v/>
      </c>
      <c r="T152" s="33" t="str">
        <f aca="false">IF(COUNTIF(Flows!$M$2:$M$1500,$A152&amp;"|"&amp;T$1&amp;"|Input"),IF(COUNTIF(Flows!$M$2:$M$1500,$A152&amp;"|"&amp;T$1&amp;"|Output"),"I/O","IN"),IF(COUNTIF(Flows!$M$2:$M$1500,$A152&amp;"|"&amp;T$1&amp;"|Output"),"OUT",""))</f>
        <v/>
      </c>
      <c r="U152" s="33" t="str">
        <f aca="false">IF(COUNTIF(Flows!$M$2:$M$1500,$A152&amp;"|"&amp;U$1&amp;"|Input"),IF(COUNTIF(Flows!$M$2:$M$1500,$A152&amp;"|"&amp;U$1&amp;"|Output"),"I/O","IN"),IF(COUNTIF(Flows!$M$2:$M$1500,$A152&amp;"|"&amp;U$1&amp;"|Output"),"OUT",""))</f>
        <v/>
      </c>
      <c r="V152" s="33" t="str">
        <f aca="false">IF(COUNTIF(Flows!$M$2:$M$1500,$A152&amp;"|"&amp;V$1&amp;"|Input"),IF(COUNTIF(Flows!$M$2:$M$1500,$A152&amp;"|"&amp;V$1&amp;"|Output"),"I/O","IN"),IF(COUNTIF(Flows!$M$2:$M$1500,$A152&amp;"|"&amp;V$1&amp;"|Output"),"OUT",""))</f>
        <v/>
      </c>
      <c r="W152" s="33" t="str">
        <f aca="false">IF(COUNTIF(Flows!$M$2:$M$1500,$A152&amp;"|"&amp;W$1&amp;"|Input"),IF(COUNTIF(Flows!$M$2:$M$1500,$A152&amp;"|"&amp;W$1&amp;"|Output"),"I/O","IN"),IF(COUNTIF(Flows!$M$2:$M$1500,$A152&amp;"|"&amp;W$1&amp;"|Output"),"OUT",""))</f>
        <v/>
      </c>
      <c r="X152" s="33" t="str">
        <f aca="false">IF(COUNTIF(Flows!$M$2:$M$1500,$A152&amp;"|"&amp;X$1&amp;"|Input"),IF(COUNTIF(Flows!$M$2:$M$1500,$A152&amp;"|"&amp;X$1&amp;"|Output"),"I/O","IN"),IF(COUNTIF(Flows!$M$2:$M$1500,$A152&amp;"|"&amp;X$1&amp;"|Output"),"OUT",""))</f>
        <v>IN</v>
      </c>
      <c r="Y152" s="33" t="str">
        <f aca="false">IF(COUNTIF(Flows!$M$2:$M$1500,$A152&amp;"|"&amp;Y$1&amp;"|Input"),IF(COUNTIF(Flows!$M$2:$M$1500,$A152&amp;"|"&amp;Y$1&amp;"|Output"),"I/O","IN"),IF(COUNTIF(Flows!$M$2:$M$1500,$A152&amp;"|"&amp;Y$1&amp;"|Output"),"OUT",""))</f>
        <v/>
      </c>
      <c r="Z152" s="33" t="str">
        <f aca="false">IF(COUNTIF(Flows!$M$2:$M$1500,$A152&amp;"|"&amp;Z$1&amp;"|Input"),IF(COUNTIF(Flows!$M$2:$M$1500,$A152&amp;"|"&amp;Z$1&amp;"|Output"),"I/O","IN"),IF(COUNTIF(Flows!$M$2:$M$1500,$A152&amp;"|"&amp;Z$1&amp;"|Output"),"OUT",""))</f>
        <v/>
      </c>
      <c r="AA152" s="33" t="str">
        <f aca="false">IF(COUNTIF(Flows!$M$2:$M$1500,$A152&amp;"|"&amp;AA$1&amp;"|Input"),IF(COUNTIF(Flows!$M$2:$M$1500,$A152&amp;"|"&amp;AA$1&amp;"|Output"),"I/O","IN"),IF(COUNTIF(Flows!$M$2:$M$1500,$A152&amp;"|"&amp;AA$1&amp;"|Output"),"OUT",""))</f>
        <v/>
      </c>
      <c r="AB152" s="33" t="str">
        <f aca="false">IF(COUNTIF(Flows!$M$2:$M$1500,$A152&amp;"|"&amp;AB$1&amp;"|Input"),IF(COUNTIF(Flows!$M$2:$M$1500,$A152&amp;"|"&amp;AB$1&amp;"|Output"),"I/O","IN"),IF(COUNTIF(Flows!$M$2:$M$1500,$A152&amp;"|"&amp;AB$1&amp;"|Output"),"OUT",""))</f>
        <v/>
      </c>
      <c r="AC152" s="33" t="str">
        <f aca="false">IF(COUNTIF(Flows!$M$2:$M$1500,$A152&amp;"|"&amp;AC$1&amp;"|Input"),IF(COUNTIF(Flows!$M$2:$M$1500,$A152&amp;"|"&amp;AC$1&amp;"|Output"),"I/O","IN"),IF(COUNTIF(Flows!$M$2:$M$1500,$A152&amp;"|"&amp;AC$1&amp;"|Output"),"OUT",""))</f>
        <v/>
      </c>
      <c r="AD152" s="33" t="str">
        <f aca="false">IF(COUNTIF(Flows!$M$2:$M$1500,$A152&amp;"|"&amp;AD$1&amp;"|Input"),IF(COUNTIF(Flows!$M$2:$M$1500,$A152&amp;"|"&amp;AD$1&amp;"|Output"),"I/O","IN"),IF(COUNTIF(Flows!$M$2:$M$1500,$A152&amp;"|"&amp;AD$1&amp;"|Output"),"OUT",""))</f>
        <v/>
      </c>
      <c r="AE152" s="33" t="str">
        <f aca="false">IF(COUNTIF(Flows!$M$2:$M$1500,$A152&amp;"|"&amp;AE$1&amp;"|Input"),IF(COUNTIF(Flows!$M$2:$M$1500,$A152&amp;"|"&amp;AE$1&amp;"|Output"),"I/O","IN"),IF(COUNTIF(Flows!$M$2:$M$1500,$A152&amp;"|"&amp;AE$1&amp;"|Output"),"OUT",""))</f>
        <v/>
      </c>
      <c r="AF152" s="33" t="str">
        <f aca="false">IF(COUNTIF(Flows!$M$2:$M$1500,$A152&amp;"|"&amp;AF$1&amp;"|Input"),IF(COUNTIF(Flows!$M$2:$M$1500,$A152&amp;"|"&amp;AF$1&amp;"|Output"),"I/O","IN"),IF(COUNTIF(Flows!$M$2:$M$1500,$A152&amp;"|"&amp;AF$1&amp;"|Output"),"OUT",""))</f>
        <v/>
      </c>
      <c r="AG152" s="33" t="str">
        <f aca="false">IF(COUNTIF(Flows!$M$2:$M$1500,$A152&amp;"|"&amp;AG$1&amp;"|Input"),IF(COUNTIF(Flows!$M$2:$M$1500,$A152&amp;"|"&amp;AG$1&amp;"|Output"),"I/O","IN"),IF(COUNTIF(Flows!$M$2:$M$1500,$A152&amp;"|"&amp;AG$1&amp;"|Output"),"OUT",""))</f>
        <v/>
      </c>
      <c r="AH152" s="33" t="str">
        <f aca="false">IF(COUNTIF(Flows!$M$2:$M$1500,$A152&amp;"|"&amp;AH$1&amp;"|Input"),IF(COUNTIF(Flows!$M$2:$M$1500,$A152&amp;"|"&amp;AH$1&amp;"|Output"),"I/O","IN"),IF(COUNTIF(Flows!$M$2:$M$1500,$A152&amp;"|"&amp;AH$1&amp;"|Output"),"OUT",""))</f>
        <v>IN</v>
      </c>
      <c r="AI152" s="33" t="str">
        <f aca="false">IF(COUNTIF(Flows!$M$2:$M$1500,$A152&amp;"|"&amp;AI$1&amp;"|Input"),IF(COUNTIF(Flows!$M$2:$M$1500,$A152&amp;"|"&amp;AI$1&amp;"|Output"),"I/O","IN"),IF(COUNTIF(Flows!$M$2:$M$1500,$A152&amp;"|"&amp;AI$1&amp;"|Output"),"OUT",""))</f>
        <v/>
      </c>
      <c r="AJ152" s="33" t="str">
        <f aca="false">IF(COUNTIF(Flows!$M$2:$M$1500,$A152&amp;"|"&amp;AJ$1&amp;"|Input"),IF(COUNTIF(Flows!$M$2:$M$1500,$A152&amp;"|"&amp;AJ$1&amp;"|Output"),"I/O","IN"),IF(COUNTIF(Flows!$M$2:$M$1500,$A152&amp;"|"&amp;AJ$1&amp;"|Output"),"OUT",""))</f>
        <v/>
      </c>
      <c r="AK152" s="33" t="str">
        <f aca="false">IF(COUNTIF(Flows!$M$2:$M$1500,$A152&amp;"|"&amp;AK$1&amp;"|Input"),IF(COUNTIF(Flows!$M$2:$M$1500,$A152&amp;"|"&amp;AK$1&amp;"|Output"),"I/O","IN"),IF(COUNTIF(Flows!$M$2:$M$1500,$A152&amp;"|"&amp;AK$1&amp;"|Output"),"OUT",""))</f>
        <v/>
      </c>
      <c r="AL152" s="33" t="str">
        <f aca="false">IF(COUNTIF(Flows!$M$2:$M$1500,$A152&amp;"|"&amp;AL$1&amp;"|Input"),IF(COUNTIF(Flows!$M$2:$M$1500,$A152&amp;"|"&amp;AL$1&amp;"|Output"),"I/O","IN"),IF(COUNTIF(Flows!$M$2:$M$1500,$A152&amp;"|"&amp;AL$1&amp;"|Output"),"OUT",""))</f>
        <v>OUT</v>
      </c>
      <c r="AM152" s="33" t="str">
        <f aca="false">IF(COUNTIF(Flows!$M$2:$M$1500,$A152&amp;"|"&amp;AM$1&amp;"|Input"),IF(COUNTIF(Flows!$M$2:$M$1500,$A152&amp;"|"&amp;AM$1&amp;"|Output"),"I/O","IN"),IF(COUNTIF(Flows!$M$2:$M$1500,$A152&amp;"|"&amp;AM$1&amp;"|Output"),"OUT",""))</f>
        <v/>
      </c>
      <c r="AN152" s="33" t="str">
        <f aca="false">IF(COUNTIF(Flows!$M$2:$M$1500,$A152&amp;"|"&amp;AN$1&amp;"|Input"),IF(COUNTIF(Flows!$M$2:$M$1500,$A152&amp;"|"&amp;AN$1&amp;"|Output"),"I/O","IN"),IF(COUNTIF(Flows!$M$2:$M$1500,$A152&amp;"|"&amp;AN$1&amp;"|Output"),"OUT",""))</f>
        <v/>
      </c>
      <c r="AO152" s="33" t="str">
        <f aca="false">IF(COUNTIF(Flows!$M$2:$M$1500,$A152&amp;"|"&amp;AO$1&amp;"|Input"),IF(COUNTIF(Flows!$M$2:$M$1500,$A152&amp;"|"&amp;AO$1&amp;"|Output"),"I/O","IN"),IF(COUNTIF(Flows!$M$2:$M$1500,$A152&amp;"|"&amp;AO$1&amp;"|Output"),"OUT",""))</f>
        <v/>
      </c>
      <c r="AP152" s="33" t="str">
        <f aca="false">IF(COUNTIF(Flows!$M$2:$M$1500,$A152&amp;"|"&amp;AP$1&amp;"|Input"),IF(COUNTIF(Flows!$M$2:$M$1500,$A152&amp;"|"&amp;AP$1&amp;"|Output"),"I/O","IN"),IF(COUNTIF(Flows!$M$2:$M$1500,$A152&amp;"|"&amp;AP$1&amp;"|Output"),"OUT",""))</f>
        <v/>
      </c>
      <c r="AQ152" s="33" t="str">
        <f aca="false">IF(COUNTIF(Flows!$M$2:$M$1500,$A152&amp;"|"&amp;AQ$1&amp;"|Input"),IF(COUNTIF(Flows!$M$2:$M$1500,$A152&amp;"|"&amp;AQ$1&amp;"|Output"),"I/O","IN"),IF(COUNTIF(Flows!$M$2:$M$1500,$A152&amp;"|"&amp;AQ$1&amp;"|Output"),"OUT",""))</f>
        <v/>
      </c>
      <c r="AR152" s="33" t="str">
        <f aca="false">IF(COUNTIF(Flows!$M$2:$M$1500,$A152&amp;"|"&amp;AR$1&amp;"|Input"),IF(COUNTIF(Flows!$M$2:$M$1500,$A152&amp;"|"&amp;AR$1&amp;"|Output"),"I/O","IN"),IF(COUNTIF(Flows!$M$2:$M$1500,$A152&amp;"|"&amp;AR$1&amp;"|Output"),"OUT",""))</f>
        <v/>
      </c>
      <c r="AS152" s="33" t="str">
        <f aca="false">IF(COUNTIF(Flows!$M$2:$M$1500,$A152&amp;"|"&amp;AS$1&amp;"|Input"),IF(COUNTIF(Flows!$M$2:$M$1500,$A152&amp;"|"&amp;AS$1&amp;"|Output"),"I/O","IN"),IF(COUNTIF(Flows!$M$2:$M$1500,$A152&amp;"|"&amp;AS$1&amp;"|Output"),"OUT",""))</f>
        <v/>
      </c>
      <c r="AT152" s="33" t="str">
        <f aca="false">IF(COUNTIF(Flows!$M$2:$M$1500,$A152&amp;"|"&amp;AT$1&amp;"|Input"),IF(COUNTIF(Flows!$M$2:$M$1500,$A152&amp;"|"&amp;AT$1&amp;"|Output"),"I/O","IN"),IF(COUNTIF(Flows!$M$2:$M$1500,$A152&amp;"|"&amp;AT$1&amp;"|Output"),"OUT",""))</f>
        <v/>
      </c>
      <c r="AU152" s="33" t="str">
        <f aca="false">IF(COUNTIF(Flows!$M$2:$M$1500,$A152&amp;"|"&amp;AU$1&amp;"|Input"),IF(COUNTIF(Flows!$M$2:$M$1500,$A152&amp;"|"&amp;AU$1&amp;"|Output"),"I/O","IN"),IF(COUNTIF(Flows!$M$2:$M$1500,$A152&amp;"|"&amp;AU$1&amp;"|Output"),"OUT",""))</f>
        <v/>
      </c>
      <c r="AV152" s="33" t="str">
        <f aca="false">IF(COUNTIF(Flows!$M$2:$M$1500,$A152&amp;"|"&amp;AV$1&amp;"|Input"),IF(COUNTIF(Flows!$M$2:$M$1500,$A152&amp;"|"&amp;AV$1&amp;"|Output"),"I/O","IN"),IF(COUNTIF(Flows!$M$2:$M$1500,$A152&amp;"|"&amp;AV$1&amp;"|Output"),"OUT",""))</f>
        <v/>
      </c>
      <c r="AW152" s="33" t="str">
        <f aca="false">IF(COUNTIF(Flows!$M$2:$M$1500,$A152&amp;"|"&amp;AW$1&amp;"|Input"),IF(COUNTIF(Flows!$M$2:$M$1500,$A152&amp;"|"&amp;AW$1&amp;"|Output"),"I/O","IN"),IF(COUNTIF(Flows!$M$2:$M$1500,$A152&amp;"|"&amp;AW$1&amp;"|Output"),"OUT",""))</f>
        <v/>
      </c>
      <c r="AX152" s="33" t="str">
        <f aca="false">IF(COUNTIF(Flows!$M$2:$M$1500,$A152&amp;"|"&amp;AX$1&amp;"|Input"),IF(COUNTIF(Flows!$M$2:$M$1500,$A152&amp;"|"&amp;AX$1&amp;"|Output"),"I/O","IN"),IF(COUNTIF(Flows!$M$2:$M$1500,$A152&amp;"|"&amp;AX$1&amp;"|Output"),"OUT",""))</f>
        <v/>
      </c>
      <c r="AY152" s="33" t="str">
        <f aca="false">IF(COUNTIF(Flows!$M$2:$M$1500,$A152&amp;"|"&amp;AY$1&amp;"|Input"),IF(COUNTIF(Flows!$M$2:$M$1500,$A152&amp;"|"&amp;AY$1&amp;"|Output"),"I/O","IN"),IF(COUNTIF(Flows!$M$2:$M$1500,$A152&amp;"|"&amp;AY$1&amp;"|Output"),"OUT",""))</f>
        <v/>
      </c>
      <c r="AZ152" s="33" t="str">
        <f aca="false">IF(COUNTIF(Flows!$M$2:$M$1500,$A152&amp;"|"&amp;AZ$1&amp;"|Input"),IF(COUNTIF(Flows!$M$2:$M$1500,$A152&amp;"|"&amp;AZ$1&amp;"|Output"),"I/O","IN"),IF(COUNTIF(Flows!$M$2:$M$1500,$A152&amp;"|"&amp;AZ$1&amp;"|Output"),"OUT",""))</f>
        <v/>
      </c>
      <c r="BA152" s="33" t="str">
        <f aca="false">IF(COUNTIF(Flows!$M$2:$M$1500,$A152&amp;"|"&amp;BA$1&amp;"|Input"),IF(COUNTIF(Flows!$M$2:$M$1500,$A152&amp;"|"&amp;BA$1&amp;"|Output"),"I/O","IN"),IF(COUNTIF(Flows!$M$2:$M$1500,$A152&amp;"|"&amp;BA$1&amp;"|Output"),"OUT",""))</f>
        <v/>
      </c>
      <c r="BB152" s="33" t="str">
        <f aca="false">IF(COUNTIF(Flows!$M$2:$M$1500,$A152&amp;"|"&amp;BB$1&amp;"|Input"),IF(COUNTIF(Flows!$M$2:$M$1500,$A152&amp;"|"&amp;BB$1&amp;"|Output"),"I/O","IN"),IF(COUNTIF(Flows!$M$2:$M$1500,$A152&amp;"|"&amp;BB$1&amp;"|Output"),"OUT",""))</f>
        <v/>
      </c>
      <c r="BC152" s="33" t="str">
        <f aca="false">IF(COUNTIF(Flows!$M$2:$M$1500,$A152&amp;"|"&amp;BC$1&amp;"|Input"),IF(COUNTIF(Flows!$M$2:$M$1500,$A152&amp;"|"&amp;BC$1&amp;"|Output"),"I/O","IN"),IF(COUNTIF(Flows!$M$2:$M$1500,$A152&amp;"|"&amp;BC$1&amp;"|Output"),"OUT",""))</f>
        <v/>
      </c>
      <c r="BD152" s="33" t="str">
        <f aca="false">IF(COUNTIF(Flows!$M$2:$M$1500,$A152&amp;"|"&amp;BD$1&amp;"|Input"),IF(COUNTIF(Flows!$M$2:$M$1500,$A152&amp;"|"&amp;BD$1&amp;"|Output"),"I/O","IN"),IF(COUNTIF(Flows!$M$2:$M$1500,$A152&amp;"|"&amp;BD$1&amp;"|Output"),"OUT",""))</f>
        <v/>
      </c>
      <c r="BE152" s="33" t="str">
        <f aca="false">IF(COUNTIF(Flows!$M$2:$M$1500,$A152&amp;"|"&amp;BE$1&amp;"|Input"),IF(COUNTIF(Flows!$M$2:$M$1500,$A152&amp;"|"&amp;BE$1&amp;"|Output"),"I/O","IN"),IF(COUNTIF(Flows!$M$2:$M$1500,$A152&amp;"|"&amp;BE$1&amp;"|Output"),"OUT",""))</f>
        <v>IN</v>
      </c>
      <c r="BF152" s="33" t="str">
        <f aca="false">IF(COUNTIF(Flows!$M$2:$M$1500,$A152&amp;"|"&amp;BF$1&amp;"|Input"),IF(COUNTIF(Flows!$M$2:$M$1500,$A152&amp;"|"&amp;BF$1&amp;"|Output"),"I/O","IN"),IF(COUNTIF(Flows!$M$2:$M$1500,$A152&amp;"|"&amp;BF$1&amp;"|Output"),"OUT",""))</f>
        <v/>
      </c>
      <c r="BG152" s="33" t="str">
        <f aca="false">IF(COUNTIF(Flows!$M$2:$M$1500,$A152&amp;"|"&amp;BG$1&amp;"|Input"),IF(COUNTIF(Flows!$M$2:$M$1500,$A152&amp;"|"&amp;BG$1&amp;"|Output"),"I/O","IN"),IF(COUNTIF(Flows!$M$2:$M$1500,$A152&amp;"|"&amp;BG$1&amp;"|Output"),"OUT",""))</f>
        <v/>
      </c>
      <c r="BH152" s="33" t="str">
        <f aca="false">IF(COUNTIF(Flows!$M$2:$M$1500,$A152&amp;"|"&amp;BH$1&amp;"|Input"),IF(COUNTIF(Flows!$M$2:$M$1500,$A152&amp;"|"&amp;BH$1&amp;"|Output"),"I/O","IN"),IF(COUNTIF(Flows!$M$2:$M$1500,$A152&amp;"|"&amp;BH$1&amp;"|Output"),"OUT",""))</f>
        <v/>
      </c>
      <c r="BI152" s="33" t="str">
        <f aca="false">IF(COUNTIF(Flows!$M$2:$M$1500,$A152&amp;"|"&amp;BI$1&amp;"|Input"),IF(COUNTIF(Flows!$M$2:$M$1500,$A152&amp;"|"&amp;BI$1&amp;"|Output"),"I/O","IN"),IF(COUNTIF(Flows!$M$2:$M$1500,$A152&amp;"|"&amp;BI$1&amp;"|Output"),"OUT",""))</f>
        <v/>
      </c>
      <c r="BJ152" s="33" t="str">
        <f aca="false">IF(COUNTIF(Flows!$M$2:$M$1500,$A152&amp;"|"&amp;BJ$1&amp;"|Input"),IF(COUNTIF(Flows!$M$2:$M$1500,$A152&amp;"|"&amp;BJ$1&amp;"|Output"),"I/O","IN"),IF(COUNTIF(Flows!$M$2:$M$1500,$A152&amp;"|"&amp;BJ$1&amp;"|Output"),"OUT",""))</f>
        <v/>
      </c>
      <c r="BK152" s="33" t="str">
        <f aca="false">IF(COUNTIF(Flows!$M$2:$M$1500,$A152&amp;"|"&amp;BK$1&amp;"|Input"),IF(COUNTIF(Flows!$M$2:$M$1500,$A152&amp;"|"&amp;BK$1&amp;"|Output"),"I/O","IN"),IF(COUNTIF(Flows!$M$2:$M$1500,$A152&amp;"|"&amp;BK$1&amp;"|Output"),"OUT",""))</f>
        <v/>
      </c>
    </row>
    <row r="153" customFormat="false" ht="15" hidden="false" customHeight="true" outlineLevel="0" collapsed="false">
      <c r="A153" s="6" t="str">
        <f aca="false">Systems!B153</f>
        <v>Wood Chipper</v>
      </c>
      <c r="B153" s="33" t="str">
        <f aca="false">IF(COUNTIF(Flows!$M$2:$M$1500,$A153&amp;"|"&amp;B$1&amp;"|Input"),IF(COUNTIF(Flows!$M$2:$M$1500,$A153&amp;"|"&amp;B$1&amp;"|Output"),"I/O","IN"),IF(COUNTIF(Flows!$M$2:$M$1500,$A153&amp;"|"&amp;B$1&amp;"|Output"),"OUT",""))</f>
        <v/>
      </c>
      <c r="C153" s="33" t="str">
        <f aca="false">IF(COUNTIF(Flows!$M$2:$M$1500,$A153&amp;"|"&amp;C$1&amp;"|Input"),IF(COUNTIF(Flows!$M$2:$M$1500,$A153&amp;"|"&amp;C$1&amp;"|Output"),"I/O","IN"),IF(COUNTIF(Flows!$M$2:$M$1500,$A153&amp;"|"&amp;C$1&amp;"|Output"),"OUT",""))</f>
        <v/>
      </c>
      <c r="D153" s="33" t="str">
        <f aca="false">IF(COUNTIF(Flows!$M$2:$M$1500,$A153&amp;"|"&amp;D$1&amp;"|Input"),IF(COUNTIF(Flows!$M$2:$M$1500,$A153&amp;"|"&amp;D$1&amp;"|Output"),"I/O","IN"),IF(COUNTIF(Flows!$M$2:$M$1500,$A153&amp;"|"&amp;D$1&amp;"|Output"),"OUT",""))</f>
        <v/>
      </c>
      <c r="E153" s="33" t="str">
        <f aca="false">IF(COUNTIF(Flows!$M$2:$M$1500,$A153&amp;"|"&amp;E$1&amp;"|Input"),IF(COUNTIF(Flows!$M$2:$M$1500,$A153&amp;"|"&amp;E$1&amp;"|Output"),"I/O","IN"),IF(COUNTIF(Flows!$M$2:$M$1500,$A153&amp;"|"&amp;E$1&amp;"|Output"),"OUT",""))</f>
        <v/>
      </c>
      <c r="F153" s="33" t="str">
        <f aca="false">IF(COUNTIF(Flows!$M$2:$M$1500,$A153&amp;"|"&amp;F$1&amp;"|Input"),IF(COUNTIF(Flows!$M$2:$M$1500,$A153&amp;"|"&amp;F$1&amp;"|Output"),"I/O","IN"),IF(COUNTIF(Flows!$M$2:$M$1500,$A153&amp;"|"&amp;F$1&amp;"|Output"),"OUT",""))</f>
        <v/>
      </c>
      <c r="G153" s="33" t="str">
        <f aca="false">IF(COUNTIF(Flows!$M$2:$M$1500,$A153&amp;"|"&amp;G$1&amp;"|Input"),IF(COUNTIF(Flows!$M$2:$M$1500,$A153&amp;"|"&amp;G$1&amp;"|Output"),"I/O","IN"),IF(COUNTIF(Flows!$M$2:$M$1500,$A153&amp;"|"&amp;G$1&amp;"|Output"),"OUT",""))</f>
        <v/>
      </c>
      <c r="H153" s="33" t="str">
        <f aca="false">IF(COUNTIF(Flows!$M$2:$M$1500,$A153&amp;"|"&amp;H$1&amp;"|Input"),IF(COUNTIF(Flows!$M$2:$M$1500,$A153&amp;"|"&amp;H$1&amp;"|Output"),"I/O","IN"),IF(COUNTIF(Flows!$M$2:$M$1500,$A153&amp;"|"&amp;H$1&amp;"|Output"),"OUT",""))</f>
        <v/>
      </c>
      <c r="I153" s="33" t="str">
        <f aca="false">IF(COUNTIF(Flows!$M$2:$M$1500,$A153&amp;"|"&amp;I$1&amp;"|Input"),IF(COUNTIF(Flows!$M$2:$M$1500,$A153&amp;"|"&amp;I$1&amp;"|Output"),"I/O","IN"),IF(COUNTIF(Flows!$M$2:$M$1500,$A153&amp;"|"&amp;I$1&amp;"|Output"),"OUT",""))</f>
        <v/>
      </c>
      <c r="J153" s="33" t="str">
        <f aca="false">IF(COUNTIF(Flows!$M$2:$M$1500,$A153&amp;"|"&amp;J$1&amp;"|Input"),IF(COUNTIF(Flows!$M$2:$M$1500,$A153&amp;"|"&amp;J$1&amp;"|Output"),"I/O","IN"),IF(COUNTIF(Flows!$M$2:$M$1500,$A153&amp;"|"&amp;J$1&amp;"|Output"),"OUT",""))</f>
        <v/>
      </c>
      <c r="K153" s="33" t="str">
        <f aca="false">IF(COUNTIF(Flows!$M$2:$M$1500,$A153&amp;"|"&amp;K$1&amp;"|Input"),IF(COUNTIF(Flows!$M$2:$M$1500,$A153&amp;"|"&amp;K$1&amp;"|Output"),"I/O","IN"),IF(COUNTIF(Flows!$M$2:$M$1500,$A153&amp;"|"&amp;K$1&amp;"|Output"),"OUT",""))</f>
        <v/>
      </c>
      <c r="L153" s="33" t="str">
        <f aca="false">IF(COUNTIF(Flows!$M$2:$M$1500,$A153&amp;"|"&amp;L$1&amp;"|Input"),IF(COUNTIF(Flows!$M$2:$M$1500,$A153&amp;"|"&amp;L$1&amp;"|Output"),"I/O","IN"),IF(COUNTIF(Flows!$M$2:$M$1500,$A153&amp;"|"&amp;L$1&amp;"|Output"),"OUT",""))</f>
        <v/>
      </c>
      <c r="M153" s="33" t="str">
        <f aca="false">IF(COUNTIF(Flows!$M$2:$M$1500,$A153&amp;"|"&amp;M$1&amp;"|Input"),IF(COUNTIF(Flows!$M$2:$M$1500,$A153&amp;"|"&amp;M$1&amp;"|Output"),"I/O","IN"),IF(COUNTIF(Flows!$M$2:$M$1500,$A153&amp;"|"&amp;M$1&amp;"|Output"),"OUT",""))</f>
        <v/>
      </c>
      <c r="N153" s="33" t="str">
        <f aca="false">IF(COUNTIF(Flows!$M$2:$M$1500,$A153&amp;"|"&amp;N$1&amp;"|Input"),IF(COUNTIF(Flows!$M$2:$M$1500,$A153&amp;"|"&amp;N$1&amp;"|Output"),"I/O","IN"),IF(COUNTIF(Flows!$M$2:$M$1500,$A153&amp;"|"&amp;N$1&amp;"|Output"),"OUT",""))</f>
        <v/>
      </c>
      <c r="O153" s="33" t="str">
        <f aca="false">IF(COUNTIF(Flows!$M$2:$M$1500,$A153&amp;"|"&amp;O$1&amp;"|Input"),IF(COUNTIF(Flows!$M$2:$M$1500,$A153&amp;"|"&amp;O$1&amp;"|Output"),"I/O","IN"),IF(COUNTIF(Flows!$M$2:$M$1500,$A153&amp;"|"&amp;O$1&amp;"|Output"),"OUT",""))</f>
        <v/>
      </c>
      <c r="P153" s="33" t="str">
        <f aca="false">IF(COUNTIF(Flows!$M$2:$M$1500,$A153&amp;"|"&amp;P$1&amp;"|Input"),IF(COUNTIF(Flows!$M$2:$M$1500,$A153&amp;"|"&amp;P$1&amp;"|Output"),"I/O","IN"),IF(COUNTIF(Flows!$M$2:$M$1500,$A153&amp;"|"&amp;P$1&amp;"|Output"),"OUT",""))</f>
        <v/>
      </c>
      <c r="Q153" s="33" t="str">
        <f aca="false">IF(COUNTIF(Flows!$M$2:$M$1500,$A153&amp;"|"&amp;Q$1&amp;"|Input"),IF(COUNTIF(Flows!$M$2:$M$1500,$A153&amp;"|"&amp;Q$1&amp;"|Output"),"I/O","IN"),IF(COUNTIF(Flows!$M$2:$M$1500,$A153&amp;"|"&amp;Q$1&amp;"|Output"),"OUT",""))</f>
        <v/>
      </c>
      <c r="R153" s="33" t="str">
        <f aca="false">IF(COUNTIF(Flows!$M$2:$M$1500,$A153&amp;"|"&amp;R$1&amp;"|Input"),IF(COUNTIF(Flows!$M$2:$M$1500,$A153&amp;"|"&amp;R$1&amp;"|Output"),"I/O","IN"),IF(COUNTIF(Flows!$M$2:$M$1500,$A153&amp;"|"&amp;R$1&amp;"|Output"),"OUT",""))</f>
        <v/>
      </c>
      <c r="S153" s="33" t="str">
        <f aca="false">IF(COUNTIF(Flows!$M$2:$M$1500,$A153&amp;"|"&amp;S$1&amp;"|Input"),IF(COUNTIF(Flows!$M$2:$M$1500,$A153&amp;"|"&amp;S$1&amp;"|Output"),"I/O","IN"),IF(COUNTIF(Flows!$M$2:$M$1500,$A153&amp;"|"&amp;S$1&amp;"|Output"),"OUT",""))</f>
        <v/>
      </c>
      <c r="T153" s="33" t="str">
        <f aca="false">IF(COUNTIF(Flows!$M$2:$M$1500,$A153&amp;"|"&amp;T$1&amp;"|Input"),IF(COUNTIF(Flows!$M$2:$M$1500,$A153&amp;"|"&amp;T$1&amp;"|Output"),"I/O","IN"),IF(COUNTIF(Flows!$M$2:$M$1500,$A153&amp;"|"&amp;T$1&amp;"|Output"),"OUT",""))</f>
        <v/>
      </c>
      <c r="U153" s="33" t="str">
        <f aca="false">IF(COUNTIF(Flows!$M$2:$M$1500,$A153&amp;"|"&amp;U$1&amp;"|Input"),IF(COUNTIF(Flows!$M$2:$M$1500,$A153&amp;"|"&amp;U$1&amp;"|Output"),"I/O","IN"),IF(COUNTIF(Flows!$M$2:$M$1500,$A153&amp;"|"&amp;U$1&amp;"|Output"),"OUT",""))</f>
        <v/>
      </c>
      <c r="V153" s="33" t="str">
        <f aca="false">IF(COUNTIF(Flows!$M$2:$M$1500,$A153&amp;"|"&amp;V$1&amp;"|Input"),IF(COUNTIF(Flows!$M$2:$M$1500,$A153&amp;"|"&amp;V$1&amp;"|Output"),"I/O","IN"),IF(COUNTIF(Flows!$M$2:$M$1500,$A153&amp;"|"&amp;V$1&amp;"|Output"),"OUT",""))</f>
        <v/>
      </c>
      <c r="W153" s="33" t="str">
        <f aca="false">IF(COUNTIF(Flows!$M$2:$M$1500,$A153&amp;"|"&amp;W$1&amp;"|Input"),IF(COUNTIF(Flows!$M$2:$M$1500,$A153&amp;"|"&amp;W$1&amp;"|Output"),"I/O","IN"),IF(COUNTIF(Flows!$M$2:$M$1500,$A153&amp;"|"&amp;W$1&amp;"|Output"),"OUT",""))</f>
        <v/>
      </c>
      <c r="X153" s="33" t="str">
        <f aca="false">IF(COUNTIF(Flows!$M$2:$M$1500,$A153&amp;"|"&amp;X$1&amp;"|Input"),IF(COUNTIF(Flows!$M$2:$M$1500,$A153&amp;"|"&amp;X$1&amp;"|Output"),"I/O","IN"),IF(COUNTIF(Flows!$M$2:$M$1500,$A153&amp;"|"&amp;X$1&amp;"|Output"),"OUT",""))</f>
        <v>IN</v>
      </c>
      <c r="Y153" s="33" t="str">
        <f aca="false">IF(COUNTIF(Flows!$M$2:$M$1500,$A153&amp;"|"&amp;Y$1&amp;"|Input"),IF(COUNTIF(Flows!$M$2:$M$1500,$A153&amp;"|"&amp;Y$1&amp;"|Output"),"I/O","IN"),IF(COUNTIF(Flows!$M$2:$M$1500,$A153&amp;"|"&amp;Y$1&amp;"|Output"),"OUT",""))</f>
        <v/>
      </c>
      <c r="Z153" s="33" t="str">
        <f aca="false">IF(COUNTIF(Flows!$M$2:$M$1500,$A153&amp;"|"&amp;Z$1&amp;"|Input"),IF(COUNTIF(Flows!$M$2:$M$1500,$A153&amp;"|"&amp;Z$1&amp;"|Output"),"I/O","IN"),IF(COUNTIF(Flows!$M$2:$M$1500,$A153&amp;"|"&amp;Z$1&amp;"|Output"),"OUT",""))</f>
        <v/>
      </c>
      <c r="AA153" s="33" t="str">
        <f aca="false">IF(COUNTIF(Flows!$M$2:$M$1500,$A153&amp;"|"&amp;AA$1&amp;"|Input"),IF(COUNTIF(Flows!$M$2:$M$1500,$A153&amp;"|"&amp;AA$1&amp;"|Output"),"I/O","IN"),IF(COUNTIF(Flows!$M$2:$M$1500,$A153&amp;"|"&amp;AA$1&amp;"|Output"),"OUT",""))</f>
        <v/>
      </c>
      <c r="AB153" s="33" t="str">
        <f aca="false">IF(COUNTIF(Flows!$M$2:$M$1500,$A153&amp;"|"&amp;AB$1&amp;"|Input"),IF(COUNTIF(Flows!$M$2:$M$1500,$A153&amp;"|"&amp;AB$1&amp;"|Output"),"I/O","IN"),IF(COUNTIF(Flows!$M$2:$M$1500,$A153&amp;"|"&amp;AB$1&amp;"|Output"),"OUT",""))</f>
        <v/>
      </c>
      <c r="AC153" s="33" t="str">
        <f aca="false">IF(COUNTIF(Flows!$M$2:$M$1500,$A153&amp;"|"&amp;AC$1&amp;"|Input"),IF(COUNTIF(Flows!$M$2:$M$1500,$A153&amp;"|"&amp;AC$1&amp;"|Output"),"I/O","IN"),IF(COUNTIF(Flows!$M$2:$M$1500,$A153&amp;"|"&amp;AC$1&amp;"|Output"),"OUT",""))</f>
        <v/>
      </c>
      <c r="AD153" s="33" t="str">
        <f aca="false">IF(COUNTIF(Flows!$M$2:$M$1500,$A153&amp;"|"&amp;AD$1&amp;"|Input"),IF(COUNTIF(Flows!$M$2:$M$1500,$A153&amp;"|"&amp;AD$1&amp;"|Output"),"I/O","IN"),IF(COUNTIF(Flows!$M$2:$M$1500,$A153&amp;"|"&amp;AD$1&amp;"|Output"),"OUT",""))</f>
        <v/>
      </c>
      <c r="AE153" s="33" t="str">
        <f aca="false">IF(COUNTIF(Flows!$M$2:$M$1500,$A153&amp;"|"&amp;AE$1&amp;"|Input"),IF(COUNTIF(Flows!$M$2:$M$1500,$A153&amp;"|"&amp;AE$1&amp;"|Output"),"I/O","IN"),IF(COUNTIF(Flows!$M$2:$M$1500,$A153&amp;"|"&amp;AE$1&amp;"|Output"),"OUT",""))</f>
        <v/>
      </c>
      <c r="AF153" s="33" t="str">
        <f aca="false">IF(COUNTIF(Flows!$M$2:$M$1500,$A153&amp;"|"&amp;AF$1&amp;"|Input"),IF(COUNTIF(Flows!$M$2:$M$1500,$A153&amp;"|"&amp;AF$1&amp;"|Output"),"I/O","IN"),IF(COUNTIF(Flows!$M$2:$M$1500,$A153&amp;"|"&amp;AF$1&amp;"|Output"),"OUT",""))</f>
        <v/>
      </c>
      <c r="AG153" s="33" t="str">
        <f aca="false">IF(COUNTIF(Flows!$M$2:$M$1500,$A153&amp;"|"&amp;AG$1&amp;"|Input"),IF(COUNTIF(Flows!$M$2:$M$1500,$A153&amp;"|"&amp;AG$1&amp;"|Output"),"I/O","IN"),IF(COUNTIF(Flows!$M$2:$M$1500,$A153&amp;"|"&amp;AG$1&amp;"|Output"),"OUT",""))</f>
        <v/>
      </c>
      <c r="AH153" s="33" t="str">
        <f aca="false">IF(COUNTIF(Flows!$M$2:$M$1500,$A153&amp;"|"&amp;AH$1&amp;"|Input"),IF(COUNTIF(Flows!$M$2:$M$1500,$A153&amp;"|"&amp;AH$1&amp;"|Output"),"I/O","IN"),IF(COUNTIF(Flows!$M$2:$M$1500,$A153&amp;"|"&amp;AH$1&amp;"|Output"),"OUT",""))</f>
        <v>IN</v>
      </c>
      <c r="AI153" s="33" t="str">
        <f aca="false">IF(COUNTIF(Flows!$M$2:$M$1500,$A153&amp;"|"&amp;AI$1&amp;"|Input"),IF(COUNTIF(Flows!$M$2:$M$1500,$A153&amp;"|"&amp;AI$1&amp;"|Output"),"I/O","IN"),IF(COUNTIF(Flows!$M$2:$M$1500,$A153&amp;"|"&amp;AI$1&amp;"|Output"),"OUT",""))</f>
        <v/>
      </c>
      <c r="AJ153" s="33" t="str">
        <f aca="false">IF(COUNTIF(Flows!$M$2:$M$1500,$A153&amp;"|"&amp;AJ$1&amp;"|Input"),IF(COUNTIF(Flows!$M$2:$M$1500,$A153&amp;"|"&amp;AJ$1&amp;"|Output"),"I/O","IN"),IF(COUNTIF(Flows!$M$2:$M$1500,$A153&amp;"|"&amp;AJ$1&amp;"|Output"),"OUT",""))</f>
        <v/>
      </c>
      <c r="AK153" s="33" t="str">
        <f aca="false">IF(COUNTIF(Flows!$M$2:$M$1500,$A153&amp;"|"&amp;AK$1&amp;"|Input"),IF(COUNTIF(Flows!$M$2:$M$1500,$A153&amp;"|"&amp;AK$1&amp;"|Output"),"I/O","IN"),IF(COUNTIF(Flows!$M$2:$M$1500,$A153&amp;"|"&amp;AK$1&amp;"|Output"),"OUT",""))</f>
        <v/>
      </c>
      <c r="AL153" s="33" t="str">
        <f aca="false">IF(COUNTIF(Flows!$M$2:$M$1500,$A153&amp;"|"&amp;AL$1&amp;"|Input"),IF(COUNTIF(Flows!$M$2:$M$1500,$A153&amp;"|"&amp;AL$1&amp;"|Output"),"I/O","IN"),IF(COUNTIF(Flows!$M$2:$M$1500,$A153&amp;"|"&amp;AL$1&amp;"|Output"),"OUT",""))</f>
        <v>IN</v>
      </c>
      <c r="AM153" s="33" t="str">
        <f aca="false">IF(COUNTIF(Flows!$M$2:$M$1500,$A153&amp;"|"&amp;AM$1&amp;"|Input"),IF(COUNTIF(Flows!$M$2:$M$1500,$A153&amp;"|"&amp;AM$1&amp;"|Output"),"I/O","IN"),IF(COUNTIF(Flows!$M$2:$M$1500,$A153&amp;"|"&amp;AM$1&amp;"|Output"),"OUT",""))</f>
        <v>OUT</v>
      </c>
      <c r="AN153" s="33" t="str">
        <f aca="false">IF(COUNTIF(Flows!$M$2:$M$1500,$A153&amp;"|"&amp;AN$1&amp;"|Input"),IF(COUNTIF(Flows!$M$2:$M$1500,$A153&amp;"|"&amp;AN$1&amp;"|Output"),"I/O","IN"),IF(COUNTIF(Flows!$M$2:$M$1500,$A153&amp;"|"&amp;AN$1&amp;"|Output"),"OUT",""))</f>
        <v/>
      </c>
      <c r="AO153" s="33" t="str">
        <f aca="false">IF(COUNTIF(Flows!$M$2:$M$1500,$A153&amp;"|"&amp;AO$1&amp;"|Input"),IF(COUNTIF(Flows!$M$2:$M$1500,$A153&amp;"|"&amp;AO$1&amp;"|Output"),"I/O","IN"),IF(COUNTIF(Flows!$M$2:$M$1500,$A153&amp;"|"&amp;AO$1&amp;"|Output"),"OUT",""))</f>
        <v/>
      </c>
      <c r="AP153" s="33" t="str">
        <f aca="false">IF(COUNTIF(Flows!$M$2:$M$1500,$A153&amp;"|"&amp;AP$1&amp;"|Input"),IF(COUNTIF(Flows!$M$2:$M$1500,$A153&amp;"|"&amp;AP$1&amp;"|Output"),"I/O","IN"),IF(COUNTIF(Flows!$M$2:$M$1500,$A153&amp;"|"&amp;AP$1&amp;"|Output"),"OUT",""))</f>
        <v/>
      </c>
      <c r="AQ153" s="33" t="str">
        <f aca="false">IF(COUNTIF(Flows!$M$2:$M$1500,$A153&amp;"|"&amp;AQ$1&amp;"|Input"),IF(COUNTIF(Flows!$M$2:$M$1500,$A153&amp;"|"&amp;AQ$1&amp;"|Output"),"I/O","IN"),IF(COUNTIF(Flows!$M$2:$M$1500,$A153&amp;"|"&amp;AQ$1&amp;"|Output"),"OUT",""))</f>
        <v/>
      </c>
      <c r="AR153" s="33" t="str">
        <f aca="false">IF(COUNTIF(Flows!$M$2:$M$1500,$A153&amp;"|"&amp;AR$1&amp;"|Input"),IF(COUNTIF(Flows!$M$2:$M$1500,$A153&amp;"|"&amp;AR$1&amp;"|Output"),"I/O","IN"),IF(COUNTIF(Flows!$M$2:$M$1500,$A153&amp;"|"&amp;AR$1&amp;"|Output"),"OUT",""))</f>
        <v/>
      </c>
      <c r="AS153" s="33" t="str">
        <f aca="false">IF(COUNTIF(Flows!$M$2:$M$1500,$A153&amp;"|"&amp;AS$1&amp;"|Input"),IF(COUNTIF(Flows!$M$2:$M$1500,$A153&amp;"|"&amp;AS$1&amp;"|Output"),"I/O","IN"),IF(COUNTIF(Flows!$M$2:$M$1500,$A153&amp;"|"&amp;AS$1&amp;"|Output"),"OUT",""))</f>
        <v/>
      </c>
      <c r="AT153" s="33" t="str">
        <f aca="false">IF(COUNTIF(Flows!$M$2:$M$1500,$A153&amp;"|"&amp;AT$1&amp;"|Input"),IF(COUNTIF(Flows!$M$2:$M$1500,$A153&amp;"|"&amp;AT$1&amp;"|Output"),"I/O","IN"),IF(COUNTIF(Flows!$M$2:$M$1500,$A153&amp;"|"&amp;AT$1&amp;"|Output"),"OUT",""))</f>
        <v/>
      </c>
      <c r="AU153" s="33" t="str">
        <f aca="false">IF(COUNTIF(Flows!$M$2:$M$1500,$A153&amp;"|"&amp;AU$1&amp;"|Input"),IF(COUNTIF(Flows!$M$2:$M$1500,$A153&amp;"|"&amp;AU$1&amp;"|Output"),"I/O","IN"),IF(COUNTIF(Flows!$M$2:$M$1500,$A153&amp;"|"&amp;AU$1&amp;"|Output"),"OUT",""))</f>
        <v/>
      </c>
      <c r="AV153" s="33" t="str">
        <f aca="false">IF(COUNTIF(Flows!$M$2:$M$1500,$A153&amp;"|"&amp;AV$1&amp;"|Input"),IF(COUNTIF(Flows!$M$2:$M$1500,$A153&amp;"|"&amp;AV$1&amp;"|Output"),"I/O","IN"),IF(COUNTIF(Flows!$M$2:$M$1500,$A153&amp;"|"&amp;AV$1&amp;"|Output"),"OUT",""))</f>
        <v/>
      </c>
      <c r="AW153" s="33" t="str">
        <f aca="false">IF(COUNTIF(Flows!$M$2:$M$1500,$A153&amp;"|"&amp;AW$1&amp;"|Input"),IF(COUNTIF(Flows!$M$2:$M$1500,$A153&amp;"|"&amp;AW$1&amp;"|Output"),"I/O","IN"),IF(COUNTIF(Flows!$M$2:$M$1500,$A153&amp;"|"&amp;AW$1&amp;"|Output"),"OUT",""))</f>
        <v/>
      </c>
      <c r="AX153" s="33" t="str">
        <f aca="false">IF(COUNTIF(Flows!$M$2:$M$1500,$A153&amp;"|"&amp;AX$1&amp;"|Input"),IF(COUNTIF(Flows!$M$2:$M$1500,$A153&amp;"|"&amp;AX$1&amp;"|Output"),"I/O","IN"),IF(COUNTIF(Flows!$M$2:$M$1500,$A153&amp;"|"&amp;AX$1&amp;"|Output"),"OUT",""))</f>
        <v/>
      </c>
      <c r="AY153" s="33" t="str">
        <f aca="false">IF(COUNTIF(Flows!$M$2:$M$1500,$A153&amp;"|"&amp;AY$1&amp;"|Input"),IF(COUNTIF(Flows!$M$2:$M$1500,$A153&amp;"|"&amp;AY$1&amp;"|Output"),"I/O","IN"),IF(COUNTIF(Flows!$M$2:$M$1500,$A153&amp;"|"&amp;AY$1&amp;"|Output"),"OUT",""))</f>
        <v/>
      </c>
      <c r="AZ153" s="33" t="str">
        <f aca="false">IF(COUNTIF(Flows!$M$2:$M$1500,$A153&amp;"|"&amp;AZ$1&amp;"|Input"),IF(COUNTIF(Flows!$M$2:$M$1500,$A153&amp;"|"&amp;AZ$1&amp;"|Output"),"I/O","IN"),IF(COUNTIF(Flows!$M$2:$M$1500,$A153&amp;"|"&amp;AZ$1&amp;"|Output"),"OUT",""))</f>
        <v/>
      </c>
      <c r="BA153" s="33" t="str">
        <f aca="false">IF(COUNTIF(Flows!$M$2:$M$1500,$A153&amp;"|"&amp;BA$1&amp;"|Input"),IF(COUNTIF(Flows!$M$2:$M$1500,$A153&amp;"|"&amp;BA$1&amp;"|Output"),"I/O","IN"),IF(COUNTIF(Flows!$M$2:$M$1500,$A153&amp;"|"&amp;BA$1&amp;"|Output"),"OUT",""))</f>
        <v/>
      </c>
      <c r="BB153" s="33" t="str">
        <f aca="false">IF(COUNTIF(Flows!$M$2:$M$1500,$A153&amp;"|"&amp;BB$1&amp;"|Input"),IF(COUNTIF(Flows!$M$2:$M$1500,$A153&amp;"|"&amp;BB$1&amp;"|Output"),"I/O","IN"),IF(COUNTIF(Flows!$M$2:$M$1500,$A153&amp;"|"&amp;BB$1&amp;"|Output"),"OUT",""))</f>
        <v/>
      </c>
      <c r="BC153" s="33" t="str">
        <f aca="false">IF(COUNTIF(Flows!$M$2:$M$1500,$A153&amp;"|"&amp;BC$1&amp;"|Input"),IF(COUNTIF(Flows!$M$2:$M$1500,$A153&amp;"|"&amp;BC$1&amp;"|Output"),"I/O","IN"),IF(COUNTIF(Flows!$M$2:$M$1500,$A153&amp;"|"&amp;BC$1&amp;"|Output"),"OUT",""))</f>
        <v/>
      </c>
      <c r="BD153" s="33" t="str">
        <f aca="false">IF(COUNTIF(Flows!$M$2:$M$1500,$A153&amp;"|"&amp;BD$1&amp;"|Input"),IF(COUNTIF(Flows!$M$2:$M$1500,$A153&amp;"|"&amp;BD$1&amp;"|Output"),"I/O","IN"),IF(COUNTIF(Flows!$M$2:$M$1500,$A153&amp;"|"&amp;BD$1&amp;"|Output"),"OUT",""))</f>
        <v/>
      </c>
      <c r="BE153" s="33" t="str">
        <f aca="false">IF(COUNTIF(Flows!$M$2:$M$1500,$A153&amp;"|"&amp;BE$1&amp;"|Input"),IF(COUNTIF(Flows!$M$2:$M$1500,$A153&amp;"|"&amp;BE$1&amp;"|Output"),"I/O","IN"),IF(COUNTIF(Flows!$M$2:$M$1500,$A153&amp;"|"&amp;BE$1&amp;"|Output"),"OUT",""))</f>
        <v>IN</v>
      </c>
      <c r="BF153" s="33" t="str">
        <f aca="false">IF(COUNTIF(Flows!$M$2:$M$1500,$A153&amp;"|"&amp;BF$1&amp;"|Input"),IF(COUNTIF(Flows!$M$2:$M$1500,$A153&amp;"|"&amp;BF$1&amp;"|Output"),"I/O","IN"),IF(COUNTIF(Flows!$M$2:$M$1500,$A153&amp;"|"&amp;BF$1&amp;"|Output"),"OUT",""))</f>
        <v/>
      </c>
      <c r="BG153" s="33" t="str">
        <f aca="false">IF(COUNTIF(Flows!$M$2:$M$1500,$A153&amp;"|"&amp;BG$1&amp;"|Input"),IF(COUNTIF(Flows!$M$2:$M$1500,$A153&amp;"|"&amp;BG$1&amp;"|Output"),"I/O","IN"),IF(COUNTIF(Flows!$M$2:$M$1500,$A153&amp;"|"&amp;BG$1&amp;"|Output"),"OUT",""))</f>
        <v/>
      </c>
      <c r="BH153" s="33" t="str">
        <f aca="false">IF(COUNTIF(Flows!$M$2:$M$1500,$A153&amp;"|"&amp;BH$1&amp;"|Input"),IF(COUNTIF(Flows!$M$2:$M$1500,$A153&amp;"|"&amp;BH$1&amp;"|Output"),"I/O","IN"),IF(COUNTIF(Flows!$M$2:$M$1500,$A153&amp;"|"&amp;BH$1&amp;"|Output"),"OUT",""))</f>
        <v/>
      </c>
      <c r="BI153" s="33" t="str">
        <f aca="false">IF(COUNTIF(Flows!$M$2:$M$1500,$A153&amp;"|"&amp;BI$1&amp;"|Input"),IF(COUNTIF(Flows!$M$2:$M$1500,$A153&amp;"|"&amp;BI$1&amp;"|Output"),"I/O","IN"),IF(COUNTIF(Flows!$M$2:$M$1500,$A153&amp;"|"&amp;BI$1&amp;"|Output"),"OUT",""))</f>
        <v/>
      </c>
      <c r="BJ153" s="33" t="str">
        <f aca="false">IF(COUNTIF(Flows!$M$2:$M$1500,$A153&amp;"|"&amp;BJ$1&amp;"|Input"),IF(COUNTIF(Flows!$M$2:$M$1500,$A153&amp;"|"&amp;BJ$1&amp;"|Output"),"I/O","IN"),IF(COUNTIF(Flows!$M$2:$M$1500,$A153&amp;"|"&amp;BJ$1&amp;"|Output"),"OUT",""))</f>
        <v/>
      </c>
      <c r="BK153" s="33" t="str">
        <f aca="false">IF(COUNTIF(Flows!$M$2:$M$1500,$A153&amp;"|"&amp;BK$1&amp;"|Input"),IF(COUNTIF(Flows!$M$2:$M$1500,$A153&amp;"|"&amp;BK$1&amp;"|Output"),"I/O","IN"),IF(COUNTIF(Flows!$M$2:$M$1500,$A153&amp;"|"&amp;BK$1&amp;"|Output"),"OUT",""))</f>
        <v/>
      </c>
    </row>
    <row r="154" customFormat="false" ht="15" hidden="false" customHeight="true" outlineLevel="0" collapsed="false">
      <c r="A154" s="6" t="str">
        <f aca="false">Systems!B154</f>
        <v>Grain Mill</v>
      </c>
      <c r="B154" s="33" t="str">
        <f aca="false">IF(COUNTIF(Flows!$M$2:$M$1500,$A154&amp;"|"&amp;B$1&amp;"|Input"),IF(COUNTIF(Flows!$M$2:$M$1500,$A154&amp;"|"&amp;B$1&amp;"|Output"),"I/O","IN"),IF(COUNTIF(Flows!$M$2:$M$1500,$A154&amp;"|"&amp;B$1&amp;"|Output"),"OUT",""))</f>
        <v/>
      </c>
      <c r="C154" s="33" t="str">
        <f aca="false">IF(COUNTIF(Flows!$M$2:$M$1500,$A154&amp;"|"&amp;C$1&amp;"|Input"),IF(COUNTIF(Flows!$M$2:$M$1500,$A154&amp;"|"&amp;C$1&amp;"|Output"),"I/O","IN"),IF(COUNTIF(Flows!$M$2:$M$1500,$A154&amp;"|"&amp;C$1&amp;"|Output"),"OUT",""))</f>
        <v/>
      </c>
      <c r="D154" s="33" t="str">
        <f aca="false">IF(COUNTIF(Flows!$M$2:$M$1500,$A154&amp;"|"&amp;D$1&amp;"|Input"),IF(COUNTIF(Flows!$M$2:$M$1500,$A154&amp;"|"&amp;D$1&amp;"|Output"),"I/O","IN"),IF(COUNTIF(Flows!$M$2:$M$1500,$A154&amp;"|"&amp;D$1&amp;"|Output"),"OUT",""))</f>
        <v/>
      </c>
      <c r="E154" s="33" t="str">
        <f aca="false">IF(COUNTIF(Flows!$M$2:$M$1500,$A154&amp;"|"&amp;E$1&amp;"|Input"),IF(COUNTIF(Flows!$M$2:$M$1500,$A154&amp;"|"&amp;E$1&amp;"|Output"),"I/O","IN"),IF(COUNTIF(Flows!$M$2:$M$1500,$A154&amp;"|"&amp;E$1&amp;"|Output"),"OUT",""))</f>
        <v/>
      </c>
      <c r="F154" s="33" t="str">
        <f aca="false">IF(COUNTIF(Flows!$M$2:$M$1500,$A154&amp;"|"&amp;F$1&amp;"|Input"),IF(COUNTIF(Flows!$M$2:$M$1500,$A154&amp;"|"&amp;F$1&amp;"|Output"),"I/O","IN"),IF(COUNTIF(Flows!$M$2:$M$1500,$A154&amp;"|"&amp;F$1&amp;"|Output"),"OUT",""))</f>
        <v>OUT</v>
      </c>
      <c r="G154" s="33" t="str">
        <f aca="false">IF(COUNTIF(Flows!$M$2:$M$1500,$A154&amp;"|"&amp;G$1&amp;"|Input"),IF(COUNTIF(Flows!$M$2:$M$1500,$A154&amp;"|"&amp;G$1&amp;"|Output"),"I/O","IN"),IF(COUNTIF(Flows!$M$2:$M$1500,$A154&amp;"|"&amp;G$1&amp;"|Output"),"OUT",""))</f>
        <v/>
      </c>
      <c r="H154" s="33" t="str">
        <f aca="false">IF(COUNTIF(Flows!$M$2:$M$1500,$A154&amp;"|"&amp;H$1&amp;"|Input"),IF(COUNTIF(Flows!$M$2:$M$1500,$A154&amp;"|"&amp;H$1&amp;"|Output"),"I/O","IN"),IF(COUNTIF(Flows!$M$2:$M$1500,$A154&amp;"|"&amp;H$1&amp;"|Output"),"OUT",""))</f>
        <v/>
      </c>
      <c r="I154" s="33" t="str">
        <f aca="false">IF(COUNTIF(Flows!$M$2:$M$1500,$A154&amp;"|"&amp;I$1&amp;"|Input"),IF(COUNTIF(Flows!$M$2:$M$1500,$A154&amp;"|"&amp;I$1&amp;"|Output"),"I/O","IN"),IF(COUNTIF(Flows!$M$2:$M$1500,$A154&amp;"|"&amp;I$1&amp;"|Output"),"OUT",""))</f>
        <v>IN</v>
      </c>
      <c r="J154" s="33" t="str">
        <f aca="false">IF(COUNTIF(Flows!$M$2:$M$1500,$A154&amp;"|"&amp;J$1&amp;"|Input"),IF(COUNTIF(Flows!$M$2:$M$1500,$A154&amp;"|"&amp;J$1&amp;"|Output"),"I/O","IN"),IF(COUNTIF(Flows!$M$2:$M$1500,$A154&amp;"|"&amp;J$1&amp;"|Output"),"OUT",""))</f>
        <v/>
      </c>
      <c r="K154" s="33" t="str">
        <f aca="false">IF(COUNTIF(Flows!$M$2:$M$1500,$A154&amp;"|"&amp;K$1&amp;"|Input"),IF(COUNTIF(Flows!$M$2:$M$1500,$A154&amp;"|"&amp;K$1&amp;"|Output"),"I/O","IN"),IF(COUNTIF(Flows!$M$2:$M$1500,$A154&amp;"|"&amp;K$1&amp;"|Output"),"OUT",""))</f>
        <v/>
      </c>
      <c r="L154" s="33" t="str">
        <f aca="false">IF(COUNTIF(Flows!$M$2:$M$1500,$A154&amp;"|"&amp;L$1&amp;"|Input"),IF(COUNTIF(Flows!$M$2:$M$1500,$A154&amp;"|"&amp;L$1&amp;"|Output"),"I/O","IN"),IF(COUNTIF(Flows!$M$2:$M$1500,$A154&amp;"|"&amp;L$1&amp;"|Output"),"OUT",""))</f>
        <v/>
      </c>
      <c r="M154" s="33" t="str">
        <f aca="false">IF(COUNTIF(Flows!$M$2:$M$1500,$A154&amp;"|"&amp;M$1&amp;"|Input"),IF(COUNTIF(Flows!$M$2:$M$1500,$A154&amp;"|"&amp;M$1&amp;"|Output"),"I/O","IN"),IF(COUNTIF(Flows!$M$2:$M$1500,$A154&amp;"|"&amp;M$1&amp;"|Output"),"OUT",""))</f>
        <v/>
      </c>
      <c r="N154" s="33" t="str">
        <f aca="false">IF(COUNTIF(Flows!$M$2:$M$1500,$A154&amp;"|"&amp;N$1&amp;"|Input"),IF(COUNTIF(Flows!$M$2:$M$1500,$A154&amp;"|"&amp;N$1&amp;"|Output"),"I/O","IN"),IF(COUNTIF(Flows!$M$2:$M$1500,$A154&amp;"|"&amp;N$1&amp;"|Output"),"OUT",""))</f>
        <v/>
      </c>
      <c r="O154" s="33" t="str">
        <f aca="false">IF(COUNTIF(Flows!$M$2:$M$1500,$A154&amp;"|"&amp;O$1&amp;"|Input"),IF(COUNTIF(Flows!$M$2:$M$1500,$A154&amp;"|"&amp;O$1&amp;"|Output"),"I/O","IN"),IF(COUNTIF(Flows!$M$2:$M$1500,$A154&amp;"|"&amp;O$1&amp;"|Output"),"OUT",""))</f>
        <v/>
      </c>
      <c r="P154" s="33" t="str">
        <f aca="false">IF(COUNTIF(Flows!$M$2:$M$1500,$A154&amp;"|"&amp;P$1&amp;"|Input"),IF(COUNTIF(Flows!$M$2:$M$1500,$A154&amp;"|"&amp;P$1&amp;"|Output"),"I/O","IN"),IF(COUNTIF(Flows!$M$2:$M$1500,$A154&amp;"|"&amp;P$1&amp;"|Output"),"OUT",""))</f>
        <v/>
      </c>
      <c r="Q154" s="33" t="str">
        <f aca="false">IF(COUNTIF(Flows!$M$2:$M$1500,$A154&amp;"|"&amp;Q$1&amp;"|Input"),IF(COUNTIF(Flows!$M$2:$M$1500,$A154&amp;"|"&amp;Q$1&amp;"|Output"),"I/O","IN"),IF(COUNTIF(Flows!$M$2:$M$1500,$A154&amp;"|"&amp;Q$1&amp;"|Output"),"OUT",""))</f>
        <v/>
      </c>
      <c r="R154" s="33" t="str">
        <f aca="false">IF(COUNTIF(Flows!$M$2:$M$1500,$A154&amp;"|"&amp;R$1&amp;"|Input"),IF(COUNTIF(Flows!$M$2:$M$1500,$A154&amp;"|"&amp;R$1&amp;"|Output"),"I/O","IN"),IF(COUNTIF(Flows!$M$2:$M$1500,$A154&amp;"|"&amp;R$1&amp;"|Output"),"OUT",""))</f>
        <v/>
      </c>
      <c r="S154" s="33" t="str">
        <f aca="false">IF(COUNTIF(Flows!$M$2:$M$1500,$A154&amp;"|"&amp;S$1&amp;"|Input"),IF(COUNTIF(Flows!$M$2:$M$1500,$A154&amp;"|"&amp;S$1&amp;"|Output"),"I/O","IN"),IF(COUNTIF(Flows!$M$2:$M$1500,$A154&amp;"|"&amp;S$1&amp;"|Output"),"OUT",""))</f>
        <v/>
      </c>
      <c r="T154" s="33" t="str">
        <f aca="false">IF(COUNTIF(Flows!$M$2:$M$1500,$A154&amp;"|"&amp;T$1&amp;"|Input"),IF(COUNTIF(Flows!$M$2:$M$1500,$A154&amp;"|"&amp;T$1&amp;"|Output"),"I/O","IN"),IF(COUNTIF(Flows!$M$2:$M$1500,$A154&amp;"|"&amp;T$1&amp;"|Output"),"OUT",""))</f>
        <v/>
      </c>
      <c r="U154" s="33" t="str">
        <f aca="false">IF(COUNTIF(Flows!$M$2:$M$1500,$A154&amp;"|"&amp;U$1&amp;"|Input"),IF(COUNTIF(Flows!$M$2:$M$1500,$A154&amp;"|"&amp;U$1&amp;"|Output"),"I/O","IN"),IF(COUNTIF(Flows!$M$2:$M$1500,$A154&amp;"|"&amp;U$1&amp;"|Output"),"OUT",""))</f>
        <v/>
      </c>
      <c r="V154" s="33" t="str">
        <f aca="false">IF(COUNTIF(Flows!$M$2:$M$1500,$A154&amp;"|"&amp;V$1&amp;"|Input"),IF(COUNTIF(Flows!$M$2:$M$1500,$A154&amp;"|"&amp;V$1&amp;"|Output"),"I/O","IN"),IF(COUNTIF(Flows!$M$2:$M$1500,$A154&amp;"|"&amp;V$1&amp;"|Output"),"OUT",""))</f>
        <v/>
      </c>
      <c r="W154" s="33" t="str">
        <f aca="false">IF(COUNTIF(Flows!$M$2:$M$1500,$A154&amp;"|"&amp;W$1&amp;"|Input"),IF(COUNTIF(Flows!$M$2:$M$1500,$A154&amp;"|"&amp;W$1&amp;"|Output"),"I/O","IN"),IF(COUNTIF(Flows!$M$2:$M$1500,$A154&amp;"|"&amp;W$1&amp;"|Output"),"OUT",""))</f>
        <v/>
      </c>
      <c r="X154" s="33" t="str">
        <f aca="false">IF(COUNTIF(Flows!$M$2:$M$1500,$A154&amp;"|"&amp;X$1&amp;"|Input"),IF(COUNTIF(Flows!$M$2:$M$1500,$A154&amp;"|"&amp;X$1&amp;"|Output"),"I/O","IN"),IF(COUNTIF(Flows!$M$2:$M$1500,$A154&amp;"|"&amp;X$1&amp;"|Output"),"OUT",""))</f>
        <v>IN</v>
      </c>
      <c r="Y154" s="33" t="str">
        <f aca="false">IF(COUNTIF(Flows!$M$2:$M$1500,$A154&amp;"|"&amp;Y$1&amp;"|Input"),IF(COUNTIF(Flows!$M$2:$M$1500,$A154&amp;"|"&amp;Y$1&amp;"|Output"),"I/O","IN"),IF(COUNTIF(Flows!$M$2:$M$1500,$A154&amp;"|"&amp;Y$1&amp;"|Output"),"OUT",""))</f>
        <v/>
      </c>
      <c r="Z154" s="33" t="str">
        <f aca="false">IF(COUNTIF(Flows!$M$2:$M$1500,$A154&amp;"|"&amp;Z$1&amp;"|Input"),IF(COUNTIF(Flows!$M$2:$M$1500,$A154&amp;"|"&amp;Z$1&amp;"|Output"),"I/O","IN"),IF(COUNTIF(Flows!$M$2:$M$1500,$A154&amp;"|"&amp;Z$1&amp;"|Output"),"OUT",""))</f>
        <v/>
      </c>
      <c r="AA154" s="33" t="str">
        <f aca="false">IF(COUNTIF(Flows!$M$2:$M$1500,$A154&amp;"|"&amp;AA$1&amp;"|Input"),IF(COUNTIF(Flows!$M$2:$M$1500,$A154&amp;"|"&amp;AA$1&amp;"|Output"),"I/O","IN"),IF(COUNTIF(Flows!$M$2:$M$1500,$A154&amp;"|"&amp;AA$1&amp;"|Output"),"OUT",""))</f>
        <v/>
      </c>
      <c r="AB154" s="33" t="str">
        <f aca="false">IF(COUNTIF(Flows!$M$2:$M$1500,$A154&amp;"|"&amp;AB$1&amp;"|Input"),IF(COUNTIF(Flows!$M$2:$M$1500,$A154&amp;"|"&amp;AB$1&amp;"|Output"),"I/O","IN"),IF(COUNTIF(Flows!$M$2:$M$1500,$A154&amp;"|"&amp;AB$1&amp;"|Output"),"OUT",""))</f>
        <v/>
      </c>
      <c r="AC154" s="33" t="str">
        <f aca="false">IF(COUNTIF(Flows!$M$2:$M$1500,$A154&amp;"|"&amp;AC$1&amp;"|Input"),IF(COUNTIF(Flows!$M$2:$M$1500,$A154&amp;"|"&amp;AC$1&amp;"|Output"),"I/O","IN"),IF(COUNTIF(Flows!$M$2:$M$1500,$A154&amp;"|"&amp;AC$1&amp;"|Output"),"OUT",""))</f>
        <v/>
      </c>
      <c r="AD154" s="33" t="str">
        <f aca="false">IF(COUNTIF(Flows!$M$2:$M$1500,$A154&amp;"|"&amp;AD$1&amp;"|Input"),IF(COUNTIF(Flows!$M$2:$M$1500,$A154&amp;"|"&amp;AD$1&amp;"|Output"),"I/O","IN"),IF(COUNTIF(Flows!$M$2:$M$1500,$A154&amp;"|"&amp;AD$1&amp;"|Output"),"OUT",""))</f>
        <v/>
      </c>
      <c r="AE154" s="33" t="str">
        <f aca="false">IF(COUNTIF(Flows!$M$2:$M$1500,$A154&amp;"|"&amp;AE$1&amp;"|Input"),IF(COUNTIF(Flows!$M$2:$M$1500,$A154&amp;"|"&amp;AE$1&amp;"|Output"),"I/O","IN"),IF(COUNTIF(Flows!$M$2:$M$1500,$A154&amp;"|"&amp;AE$1&amp;"|Output"),"OUT",""))</f>
        <v/>
      </c>
      <c r="AF154" s="33" t="str">
        <f aca="false">IF(COUNTIF(Flows!$M$2:$M$1500,$A154&amp;"|"&amp;AF$1&amp;"|Input"),IF(COUNTIF(Flows!$M$2:$M$1500,$A154&amp;"|"&amp;AF$1&amp;"|Output"),"I/O","IN"),IF(COUNTIF(Flows!$M$2:$M$1500,$A154&amp;"|"&amp;AF$1&amp;"|Output"),"OUT",""))</f>
        <v/>
      </c>
      <c r="AG154" s="33" t="str">
        <f aca="false">IF(COUNTIF(Flows!$M$2:$M$1500,$A154&amp;"|"&amp;AG$1&amp;"|Input"),IF(COUNTIF(Flows!$M$2:$M$1500,$A154&amp;"|"&amp;AG$1&amp;"|Output"),"I/O","IN"),IF(COUNTIF(Flows!$M$2:$M$1500,$A154&amp;"|"&amp;AG$1&amp;"|Output"),"OUT",""))</f>
        <v/>
      </c>
      <c r="AH154" s="33" t="str">
        <f aca="false">IF(COUNTIF(Flows!$M$2:$M$1500,$A154&amp;"|"&amp;AH$1&amp;"|Input"),IF(COUNTIF(Flows!$M$2:$M$1500,$A154&amp;"|"&amp;AH$1&amp;"|Output"),"I/O","IN"),IF(COUNTIF(Flows!$M$2:$M$1500,$A154&amp;"|"&amp;AH$1&amp;"|Output"),"OUT",""))</f>
        <v/>
      </c>
      <c r="AI154" s="33" t="str">
        <f aca="false">IF(COUNTIF(Flows!$M$2:$M$1500,$A154&amp;"|"&amp;AI$1&amp;"|Input"),IF(COUNTIF(Flows!$M$2:$M$1500,$A154&amp;"|"&amp;AI$1&amp;"|Output"),"I/O","IN"),IF(COUNTIF(Flows!$M$2:$M$1500,$A154&amp;"|"&amp;AI$1&amp;"|Output"),"OUT",""))</f>
        <v/>
      </c>
      <c r="AJ154" s="33" t="str">
        <f aca="false">IF(COUNTIF(Flows!$M$2:$M$1500,$A154&amp;"|"&amp;AJ$1&amp;"|Input"),IF(COUNTIF(Flows!$M$2:$M$1500,$A154&amp;"|"&amp;AJ$1&amp;"|Output"),"I/O","IN"),IF(COUNTIF(Flows!$M$2:$M$1500,$A154&amp;"|"&amp;AJ$1&amp;"|Output"),"OUT",""))</f>
        <v/>
      </c>
      <c r="AK154" s="33" t="str">
        <f aca="false">IF(COUNTIF(Flows!$M$2:$M$1500,$A154&amp;"|"&amp;AK$1&amp;"|Input"),IF(COUNTIF(Flows!$M$2:$M$1500,$A154&amp;"|"&amp;AK$1&amp;"|Output"),"I/O","IN"),IF(COUNTIF(Flows!$M$2:$M$1500,$A154&amp;"|"&amp;AK$1&amp;"|Output"),"OUT",""))</f>
        <v/>
      </c>
      <c r="AL154" s="33" t="str">
        <f aca="false">IF(COUNTIF(Flows!$M$2:$M$1500,$A154&amp;"|"&amp;AL$1&amp;"|Input"),IF(COUNTIF(Flows!$M$2:$M$1500,$A154&amp;"|"&amp;AL$1&amp;"|Output"),"I/O","IN"),IF(COUNTIF(Flows!$M$2:$M$1500,$A154&amp;"|"&amp;AL$1&amp;"|Output"),"OUT",""))</f>
        <v/>
      </c>
      <c r="AM154" s="33" t="str">
        <f aca="false">IF(COUNTIF(Flows!$M$2:$M$1500,$A154&amp;"|"&amp;AM$1&amp;"|Input"),IF(COUNTIF(Flows!$M$2:$M$1500,$A154&amp;"|"&amp;AM$1&amp;"|Output"),"I/O","IN"),IF(COUNTIF(Flows!$M$2:$M$1500,$A154&amp;"|"&amp;AM$1&amp;"|Output"),"OUT",""))</f>
        <v/>
      </c>
      <c r="AN154" s="33" t="str">
        <f aca="false">IF(COUNTIF(Flows!$M$2:$M$1500,$A154&amp;"|"&amp;AN$1&amp;"|Input"),IF(COUNTIF(Flows!$M$2:$M$1500,$A154&amp;"|"&amp;AN$1&amp;"|Output"),"I/O","IN"),IF(COUNTIF(Flows!$M$2:$M$1500,$A154&amp;"|"&amp;AN$1&amp;"|Output"),"OUT",""))</f>
        <v/>
      </c>
      <c r="AO154" s="33" t="str">
        <f aca="false">IF(COUNTIF(Flows!$M$2:$M$1500,$A154&amp;"|"&amp;AO$1&amp;"|Input"),IF(COUNTIF(Flows!$M$2:$M$1500,$A154&amp;"|"&amp;AO$1&amp;"|Output"),"I/O","IN"),IF(COUNTIF(Flows!$M$2:$M$1500,$A154&amp;"|"&amp;AO$1&amp;"|Output"),"OUT",""))</f>
        <v/>
      </c>
      <c r="AP154" s="33" t="str">
        <f aca="false">IF(COUNTIF(Flows!$M$2:$M$1500,$A154&amp;"|"&amp;AP$1&amp;"|Input"),IF(COUNTIF(Flows!$M$2:$M$1500,$A154&amp;"|"&amp;AP$1&amp;"|Output"),"I/O","IN"),IF(COUNTIF(Flows!$M$2:$M$1500,$A154&amp;"|"&amp;AP$1&amp;"|Output"),"OUT",""))</f>
        <v/>
      </c>
      <c r="AQ154" s="33" t="str">
        <f aca="false">IF(COUNTIF(Flows!$M$2:$M$1500,$A154&amp;"|"&amp;AQ$1&amp;"|Input"),IF(COUNTIF(Flows!$M$2:$M$1500,$A154&amp;"|"&amp;AQ$1&amp;"|Output"),"I/O","IN"),IF(COUNTIF(Flows!$M$2:$M$1500,$A154&amp;"|"&amp;AQ$1&amp;"|Output"),"OUT",""))</f>
        <v/>
      </c>
      <c r="AR154" s="33" t="str">
        <f aca="false">IF(COUNTIF(Flows!$M$2:$M$1500,$A154&amp;"|"&amp;AR$1&amp;"|Input"),IF(COUNTIF(Flows!$M$2:$M$1500,$A154&amp;"|"&amp;AR$1&amp;"|Output"),"I/O","IN"),IF(COUNTIF(Flows!$M$2:$M$1500,$A154&amp;"|"&amp;AR$1&amp;"|Output"),"OUT",""))</f>
        <v/>
      </c>
      <c r="AS154" s="33" t="str">
        <f aca="false">IF(COUNTIF(Flows!$M$2:$M$1500,$A154&amp;"|"&amp;AS$1&amp;"|Input"),IF(COUNTIF(Flows!$M$2:$M$1500,$A154&amp;"|"&amp;AS$1&amp;"|Output"),"I/O","IN"),IF(COUNTIF(Flows!$M$2:$M$1500,$A154&amp;"|"&amp;AS$1&amp;"|Output"),"OUT",""))</f>
        <v/>
      </c>
      <c r="AT154" s="33" t="str">
        <f aca="false">IF(COUNTIF(Flows!$M$2:$M$1500,$A154&amp;"|"&amp;AT$1&amp;"|Input"),IF(COUNTIF(Flows!$M$2:$M$1500,$A154&amp;"|"&amp;AT$1&amp;"|Output"),"I/O","IN"),IF(COUNTIF(Flows!$M$2:$M$1500,$A154&amp;"|"&amp;AT$1&amp;"|Output"),"OUT",""))</f>
        <v/>
      </c>
      <c r="AU154" s="33" t="str">
        <f aca="false">IF(COUNTIF(Flows!$M$2:$M$1500,$A154&amp;"|"&amp;AU$1&amp;"|Input"),IF(COUNTIF(Flows!$M$2:$M$1500,$A154&amp;"|"&amp;AU$1&amp;"|Output"),"I/O","IN"),IF(COUNTIF(Flows!$M$2:$M$1500,$A154&amp;"|"&amp;AU$1&amp;"|Output"),"OUT",""))</f>
        <v/>
      </c>
      <c r="AV154" s="33" t="str">
        <f aca="false">IF(COUNTIF(Flows!$M$2:$M$1500,$A154&amp;"|"&amp;AV$1&amp;"|Input"),IF(COUNTIF(Flows!$M$2:$M$1500,$A154&amp;"|"&amp;AV$1&amp;"|Output"),"I/O","IN"),IF(COUNTIF(Flows!$M$2:$M$1500,$A154&amp;"|"&amp;AV$1&amp;"|Output"),"OUT",""))</f>
        <v/>
      </c>
      <c r="AW154" s="33" t="str">
        <f aca="false">IF(COUNTIF(Flows!$M$2:$M$1500,$A154&amp;"|"&amp;AW$1&amp;"|Input"),IF(COUNTIF(Flows!$M$2:$M$1500,$A154&amp;"|"&amp;AW$1&amp;"|Output"),"I/O","IN"),IF(COUNTIF(Flows!$M$2:$M$1500,$A154&amp;"|"&amp;AW$1&amp;"|Output"),"OUT",""))</f>
        <v/>
      </c>
      <c r="AX154" s="33" t="str">
        <f aca="false">IF(COUNTIF(Flows!$M$2:$M$1500,$A154&amp;"|"&amp;AX$1&amp;"|Input"),IF(COUNTIF(Flows!$M$2:$M$1500,$A154&amp;"|"&amp;AX$1&amp;"|Output"),"I/O","IN"),IF(COUNTIF(Flows!$M$2:$M$1500,$A154&amp;"|"&amp;AX$1&amp;"|Output"),"OUT",""))</f>
        <v/>
      </c>
      <c r="AY154" s="33" t="str">
        <f aca="false">IF(COUNTIF(Flows!$M$2:$M$1500,$A154&amp;"|"&amp;AY$1&amp;"|Input"),IF(COUNTIF(Flows!$M$2:$M$1500,$A154&amp;"|"&amp;AY$1&amp;"|Output"),"I/O","IN"),IF(COUNTIF(Flows!$M$2:$M$1500,$A154&amp;"|"&amp;AY$1&amp;"|Output"),"OUT",""))</f>
        <v/>
      </c>
      <c r="AZ154" s="33" t="str">
        <f aca="false">IF(COUNTIF(Flows!$M$2:$M$1500,$A154&amp;"|"&amp;AZ$1&amp;"|Input"),IF(COUNTIF(Flows!$M$2:$M$1500,$A154&amp;"|"&amp;AZ$1&amp;"|Output"),"I/O","IN"),IF(COUNTIF(Flows!$M$2:$M$1500,$A154&amp;"|"&amp;AZ$1&amp;"|Output"),"OUT",""))</f>
        <v/>
      </c>
      <c r="BA154" s="33" t="str">
        <f aca="false">IF(COUNTIF(Flows!$M$2:$M$1500,$A154&amp;"|"&amp;BA$1&amp;"|Input"),IF(COUNTIF(Flows!$M$2:$M$1500,$A154&amp;"|"&amp;BA$1&amp;"|Output"),"I/O","IN"),IF(COUNTIF(Flows!$M$2:$M$1500,$A154&amp;"|"&amp;BA$1&amp;"|Output"),"OUT",""))</f>
        <v/>
      </c>
      <c r="BB154" s="33" t="str">
        <f aca="false">IF(COUNTIF(Flows!$M$2:$M$1500,$A154&amp;"|"&amp;BB$1&amp;"|Input"),IF(COUNTIF(Flows!$M$2:$M$1500,$A154&amp;"|"&amp;BB$1&amp;"|Output"),"I/O","IN"),IF(COUNTIF(Flows!$M$2:$M$1500,$A154&amp;"|"&amp;BB$1&amp;"|Output"),"OUT",""))</f>
        <v/>
      </c>
      <c r="BC154" s="33" t="str">
        <f aca="false">IF(COUNTIF(Flows!$M$2:$M$1500,$A154&amp;"|"&amp;BC$1&amp;"|Input"),IF(COUNTIF(Flows!$M$2:$M$1500,$A154&amp;"|"&amp;BC$1&amp;"|Output"),"I/O","IN"),IF(COUNTIF(Flows!$M$2:$M$1500,$A154&amp;"|"&amp;BC$1&amp;"|Output"),"OUT",""))</f>
        <v/>
      </c>
      <c r="BD154" s="33" t="str">
        <f aca="false">IF(COUNTIF(Flows!$M$2:$M$1500,$A154&amp;"|"&amp;BD$1&amp;"|Input"),IF(COUNTIF(Flows!$M$2:$M$1500,$A154&amp;"|"&amp;BD$1&amp;"|Output"),"I/O","IN"),IF(COUNTIF(Flows!$M$2:$M$1500,$A154&amp;"|"&amp;BD$1&amp;"|Output"),"OUT",""))</f>
        <v/>
      </c>
      <c r="BE154" s="33" t="str">
        <f aca="false">IF(COUNTIF(Flows!$M$2:$M$1500,$A154&amp;"|"&amp;BE$1&amp;"|Input"),IF(COUNTIF(Flows!$M$2:$M$1500,$A154&amp;"|"&amp;BE$1&amp;"|Output"),"I/O","IN"),IF(COUNTIF(Flows!$M$2:$M$1500,$A154&amp;"|"&amp;BE$1&amp;"|Output"),"OUT",""))</f>
        <v/>
      </c>
      <c r="BF154" s="33" t="str">
        <f aca="false">IF(COUNTIF(Flows!$M$2:$M$1500,$A154&amp;"|"&amp;BF$1&amp;"|Input"),IF(COUNTIF(Flows!$M$2:$M$1500,$A154&amp;"|"&amp;BF$1&amp;"|Output"),"I/O","IN"),IF(COUNTIF(Flows!$M$2:$M$1500,$A154&amp;"|"&amp;BF$1&amp;"|Output"),"OUT",""))</f>
        <v/>
      </c>
      <c r="BG154" s="33" t="str">
        <f aca="false">IF(COUNTIF(Flows!$M$2:$M$1500,$A154&amp;"|"&amp;BG$1&amp;"|Input"),IF(COUNTIF(Flows!$M$2:$M$1500,$A154&amp;"|"&amp;BG$1&amp;"|Output"),"I/O","IN"),IF(COUNTIF(Flows!$M$2:$M$1500,$A154&amp;"|"&amp;BG$1&amp;"|Output"),"OUT",""))</f>
        <v/>
      </c>
      <c r="BH154" s="33" t="str">
        <f aca="false">IF(COUNTIF(Flows!$M$2:$M$1500,$A154&amp;"|"&amp;BH$1&amp;"|Input"),IF(COUNTIF(Flows!$M$2:$M$1500,$A154&amp;"|"&amp;BH$1&amp;"|Output"),"I/O","IN"),IF(COUNTIF(Flows!$M$2:$M$1500,$A154&amp;"|"&amp;BH$1&amp;"|Output"),"OUT",""))</f>
        <v/>
      </c>
      <c r="BI154" s="33" t="str">
        <f aca="false">IF(COUNTIF(Flows!$M$2:$M$1500,$A154&amp;"|"&amp;BI$1&amp;"|Input"),IF(COUNTIF(Flows!$M$2:$M$1500,$A154&amp;"|"&amp;BI$1&amp;"|Output"),"I/O","IN"),IF(COUNTIF(Flows!$M$2:$M$1500,$A154&amp;"|"&amp;BI$1&amp;"|Output"),"OUT",""))</f>
        <v/>
      </c>
      <c r="BJ154" s="33" t="str">
        <f aca="false">IF(COUNTIF(Flows!$M$2:$M$1500,$A154&amp;"|"&amp;BJ$1&amp;"|Input"),IF(COUNTIF(Flows!$M$2:$M$1500,$A154&amp;"|"&amp;BJ$1&amp;"|Output"),"I/O","IN"),IF(COUNTIF(Flows!$M$2:$M$1500,$A154&amp;"|"&amp;BJ$1&amp;"|Output"),"OUT",""))</f>
        <v/>
      </c>
      <c r="BK154" s="33" t="str">
        <f aca="false">IF(COUNTIF(Flows!$M$2:$M$1500,$A154&amp;"|"&amp;BK$1&amp;"|Input"),IF(COUNTIF(Flows!$M$2:$M$1500,$A154&amp;"|"&amp;BK$1&amp;"|Output"),"I/O","IN"),IF(COUNTIF(Flows!$M$2:$M$1500,$A154&amp;"|"&amp;BK$1&amp;"|Output"),"OUT",""))</f>
        <v/>
      </c>
    </row>
    <row r="155" customFormat="false" ht="15" hidden="false" customHeight="true" outlineLevel="0" collapsed="false">
      <c r="A155" s="6" t="str">
        <f aca="false">Systems!B155</f>
        <v>Rocket Stove</v>
      </c>
      <c r="B155" s="33" t="str">
        <f aca="false">IF(COUNTIF(Flows!$M$2:$M$1500,$A155&amp;"|"&amp;B$1&amp;"|Input"),IF(COUNTIF(Flows!$M$2:$M$1500,$A155&amp;"|"&amp;B$1&amp;"|Output"),"I/O","IN"),IF(COUNTIF(Flows!$M$2:$M$1500,$A155&amp;"|"&amp;B$1&amp;"|Output"),"OUT",""))</f>
        <v/>
      </c>
      <c r="C155" s="33" t="str">
        <f aca="false">IF(COUNTIF(Flows!$M$2:$M$1500,$A155&amp;"|"&amp;C$1&amp;"|Input"),IF(COUNTIF(Flows!$M$2:$M$1500,$A155&amp;"|"&amp;C$1&amp;"|Output"),"I/O","IN"),IF(COUNTIF(Flows!$M$2:$M$1500,$A155&amp;"|"&amp;C$1&amp;"|Output"),"OUT",""))</f>
        <v/>
      </c>
      <c r="D155" s="33" t="str">
        <f aca="false">IF(COUNTIF(Flows!$M$2:$M$1500,$A155&amp;"|"&amp;D$1&amp;"|Input"),IF(COUNTIF(Flows!$M$2:$M$1500,$A155&amp;"|"&amp;D$1&amp;"|Output"),"I/O","IN"),IF(COUNTIF(Flows!$M$2:$M$1500,$A155&amp;"|"&amp;D$1&amp;"|Output"),"OUT",""))</f>
        <v/>
      </c>
      <c r="E155" s="33" t="str">
        <f aca="false">IF(COUNTIF(Flows!$M$2:$M$1500,$A155&amp;"|"&amp;E$1&amp;"|Input"),IF(COUNTIF(Flows!$M$2:$M$1500,$A155&amp;"|"&amp;E$1&amp;"|Output"),"I/O","IN"),IF(COUNTIF(Flows!$M$2:$M$1500,$A155&amp;"|"&amp;E$1&amp;"|Output"),"OUT",""))</f>
        <v/>
      </c>
      <c r="F155" s="33" t="str">
        <f aca="false">IF(COUNTIF(Flows!$M$2:$M$1500,$A155&amp;"|"&amp;F$1&amp;"|Input"),IF(COUNTIF(Flows!$M$2:$M$1500,$A155&amp;"|"&amp;F$1&amp;"|Output"),"I/O","IN"),IF(COUNTIF(Flows!$M$2:$M$1500,$A155&amp;"|"&amp;F$1&amp;"|Output"),"OUT",""))</f>
        <v/>
      </c>
      <c r="G155" s="33" t="str">
        <f aca="false">IF(COUNTIF(Flows!$M$2:$M$1500,$A155&amp;"|"&amp;G$1&amp;"|Input"),IF(COUNTIF(Flows!$M$2:$M$1500,$A155&amp;"|"&amp;G$1&amp;"|Output"),"I/O","IN"),IF(COUNTIF(Flows!$M$2:$M$1500,$A155&amp;"|"&amp;G$1&amp;"|Output"),"OUT",""))</f>
        <v/>
      </c>
      <c r="H155" s="33" t="str">
        <f aca="false">IF(COUNTIF(Flows!$M$2:$M$1500,$A155&amp;"|"&amp;H$1&amp;"|Input"),IF(COUNTIF(Flows!$M$2:$M$1500,$A155&amp;"|"&amp;H$1&amp;"|Output"),"I/O","IN"),IF(COUNTIF(Flows!$M$2:$M$1500,$A155&amp;"|"&amp;H$1&amp;"|Output"),"OUT",""))</f>
        <v/>
      </c>
      <c r="I155" s="33" t="str">
        <f aca="false">IF(COUNTIF(Flows!$M$2:$M$1500,$A155&amp;"|"&amp;I$1&amp;"|Input"),IF(COUNTIF(Flows!$M$2:$M$1500,$A155&amp;"|"&amp;I$1&amp;"|Output"),"I/O","IN"),IF(COUNTIF(Flows!$M$2:$M$1500,$A155&amp;"|"&amp;I$1&amp;"|Output"),"OUT",""))</f>
        <v/>
      </c>
      <c r="J155" s="33" t="str">
        <f aca="false">IF(COUNTIF(Flows!$M$2:$M$1500,$A155&amp;"|"&amp;J$1&amp;"|Input"),IF(COUNTIF(Flows!$M$2:$M$1500,$A155&amp;"|"&amp;J$1&amp;"|Output"),"I/O","IN"),IF(COUNTIF(Flows!$M$2:$M$1500,$A155&amp;"|"&amp;J$1&amp;"|Output"),"OUT",""))</f>
        <v/>
      </c>
      <c r="K155" s="33" t="str">
        <f aca="false">IF(COUNTIF(Flows!$M$2:$M$1500,$A155&amp;"|"&amp;K$1&amp;"|Input"),IF(COUNTIF(Flows!$M$2:$M$1500,$A155&amp;"|"&amp;K$1&amp;"|Output"),"I/O","IN"),IF(COUNTIF(Flows!$M$2:$M$1500,$A155&amp;"|"&amp;K$1&amp;"|Output"),"OUT",""))</f>
        <v/>
      </c>
      <c r="L155" s="33" t="str">
        <f aca="false">IF(COUNTIF(Flows!$M$2:$M$1500,$A155&amp;"|"&amp;L$1&amp;"|Input"),IF(COUNTIF(Flows!$M$2:$M$1500,$A155&amp;"|"&amp;L$1&amp;"|Output"),"I/O","IN"),IF(COUNTIF(Flows!$M$2:$M$1500,$A155&amp;"|"&amp;L$1&amp;"|Output"),"OUT",""))</f>
        <v/>
      </c>
      <c r="M155" s="33" t="str">
        <f aca="false">IF(COUNTIF(Flows!$M$2:$M$1500,$A155&amp;"|"&amp;M$1&amp;"|Input"),IF(COUNTIF(Flows!$M$2:$M$1500,$A155&amp;"|"&amp;M$1&amp;"|Output"),"I/O","IN"),IF(COUNTIF(Flows!$M$2:$M$1500,$A155&amp;"|"&amp;M$1&amp;"|Output"),"OUT",""))</f>
        <v/>
      </c>
      <c r="N155" s="33" t="str">
        <f aca="false">IF(COUNTIF(Flows!$M$2:$M$1500,$A155&amp;"|"&amp;N$1&amp;"|Input"),IF(COUNTIF(Flows!$M$2:$M$1500,$A155&amp;"|"&amp;N$1&amp;"|Output"),"I/O","IN"),IF(COUNTIF(Flows!$M$2:$M$1500,$A155&amp;"|"&amp;N$1&amp;"|Output"),"OUT",""))</f>
        <v/>
      </c>
      <c r="O155" s="33" t="str">
        <f aca="false">IF(COUNTIF(Flows!$M$2:$M$1500,$A155&amp;"|"&amp;O$1&amp;"|Input"),IF(COUNTIF(Flows!$M$2:$M$1500,$A155&amp;"|"&amp;O$1&amp;"|Output"),"I/O","IN"),IF(COUNTIF(Flows!$M$2:$M$1500,$A155&amp;"|"&amp;O$1&amp;"|Output"),"OUT",""))</f>
        <v/>
      </c>
      <c r="P155" s="33" t="str">
        <f aca="false">IF(COUNTIF(Flows!$M$2:$M$1500,$A155&amp;"|"&amp;P$1&amp;"|Input"),IF(COUNTIF(Flows!$M$2:$M$1500,$A155&amp;"|"&amp;P$1&amp;"|Output"),"I/O","IN"),IF(COUNTIF(Flows!$M$2:$M$1500,$A155&amp;"|"&amp;P$1&amp;"|Output"),"OUT",""))</f>
        <v/>
      </c>
      <c r="Q155" s="33" t="str">
        <f aca="false">IF(COUNTIF(Flows!$M$2:$M$1500,$A155&amp;"|"&amp;Q$1&amp;"|Input"),IF(COUNTIF(Flows!$M$2:$M$1500,$A155&amp;"|"&amp;Q$1&amp;"|Output"),"I/O","IN"),IF(COUNTIF(Flows!$M$2:$M$1500,$A155&amp;"|"&amp;Q$1&amp;"|Output"),"OUT",""))</f>
        <v/>
      </c>
      <c r="R155" s="33" t="str">
        <f aca="false">IF(COUNTIF(Flows!$M$2:$M$1500,$A155&amp;"|"&amp;R$1&amp;"|Input"),IF(COUNTIF(Flows!$M$2:$M$1500,$A155&amp;"|"&amp;R$1&amp;"|Output"),"I/O","IN"),IF(COUNTIF(Flows!$M$2:$M$1500,$A155&amp;"|"&amp;R$1&amp;"|Output"),"OUT",""))</f>
        <v/>
      </c>
      <c r="S155" s="33" t="str">
        <f aca="false">IF(COUNTIF(Flows!$M$2:$M$1500,$A155&amp;"|"&amp;S$1&amp;"|Input"),IF(COUNTIF(Flows!$M$2:$M$1500,$A155&amp;"|"&amp;S$1&amp;"|Output"),"I/O","IN"),IF(COUNTIF(Flows!$M$2:$M$1500,$A155&amp;"|"&amp;S$1&amp;"|Output"),"OUT",""))</f>
        <v/>
      </c>
      <c r="T155" s="33" t="str">
        <f aca="false">IF(COUNTIF(Flows!$M$2:$M$1500,$A155&amp;"|"&amp;T$1&amp;"|Input"),IF(COUNTIF(Flows!$M$2:$M$1500,$A155&amp;"|"&amp;T$1&amp;"|Output"),"I/O","IN"),IF(COUNTIF(Flows!$M$2:$M$1500,$A155&amp;"|"&amp;T$1&amp;"|Output"),"OUT",""))</f>
        <v/>
      </c>
      <c r="U155" s="33" t="str">
        <f aca="false">IF(COUNTIF(Flows!$M$2:$M$1500,$A155&amp;"|"&amp;U$1&amp;"|Input"),IF(COUNTIF(Flows!$M$2:$M$1500,$A155&amp;"|"&amp;U$1&amp;"|Output"),"I/O","IN"),IF(COUNTIF(Flows!$M$2:$M$1500,$A155&amp;"|"&amp;U$1&amp;"|Output"),"OUT",""))</f>
        <v>OUT</v>
      </c>
      <c r="V155" s="33" t="str">
        <f aca="false">IF(COUNTIF(Flows!$M$2:$M$1500,$A155&amp;"|"&amp;V$1&amp;"|Input"),IF(COUNTIF(Flows!$M$2:$M$1500,$A155&amp;"|"&amp;V$1&amp;"|Output"),"I/O","IN"),IF(COUNTIF(Flows!$M$2:$M$1500,$A155&amp;"|"&amp;V$1&amp;"|Output"),"OUT",""))</f>
        <v/>
      </c>
      <c r="W155" s="33" t="str">
        <f aca="false">IF(COUNTIF(Flows!$M$2:$M$1500,$A155&amp;"|"&amp;W$1&amp;"|Input"),IF(COUNTIF(Flows!$M$2:$M$1500,$A155&amp;"|"&amp;W$1&amp;"|Output"),"I/O","IN"),IF(COUNTIF(Flows!$M$2:$M$1500,$A155&amp;"|"&amp;W$1&amp;"|Output"),"OUT",""))</f>
        <v/>
      </c>
      <c r="X155" s="33" t="str">
        <f aca="false">IF(COUNTIF(Flows!$M$2:$M$1500,$A155&amp;"|"&amp;X$1&amp;"|Input"),IF(COUNTIF(Flows!$M$2:$M$1500,$A155&amp;"|"&amp;X$1&amp;"|Output"),"I/O","IN"),IF(COUNTIF(Flows!$M$2:$M$1500,$A155&amp;"|"&amp;X$1&amp;"|Output"),"OUT",""))</f>
        <v>IN</v>
      </c>
      <c r="Y155" s="33" t="str">
        <f aca="false">IF(COUNTIF(Flows!$M$2:$M$1500,$A155&amp;"|"&amp;Y$1&amp;"|Input"),IF(COUNTIF(Flows!$M$2:$M$1500,$A155&amp;"|"&amp;Y$1&amp;"|Output"),"I/O","IN"),IF(COUNTIF(Flows!$M$2:$M$1500,$A155&amp;"|"&amp;Y$1&amp;"|Output"),"OUT",""))</f>
        <v/>
      </c>
      <c r="Z155" s="33" t="str">
        <f aca="false">IF(COUNTIF(Flows!$M$2:$M$1500,$A155&amp;"|"&amp;Z$1&amp;"|Input"),IF(COUNTIF(Flows!$M$2:$M$1500,$A155&amp;"|"&amp;Z$1&amp;"|Output"),"I/O","IN"),IF(COUNTIF(Flows!$M$2:$M$1500,$A155&amp;"|"&amp;Z$1&amp;"|Output"),"OUT",""))</f>
        <v/>
      </c>
      <c r="AA155" s="33" t="str">
        <f aca="false">IF(COUNTIF(Flows!$M$2:$M$1500,$A155&amp;"|"&amp;AA$1&amp;"|Input"),IF(COUNTIF(Flows!$M$2:$M$1500,$A155&amp;"|"&amp;AA$1&amp;"|Output"),"I/O","IN"),IF(COUNTIF(Flows!$M$2:$M$1500,$A155&amp;"|"&amp;AA$1&amp;"|Output"),"OUT",""))</f>
        <v/>
      </c>
      <c r="AB155" s="33" t="str">
        <f aca="false">IF(COUNTIF(Flows!$M$2:$M$1500,$A155&amp;"|"&amp;AB$1&amp;"|Input"),IF(COUNTIF(Flows!$M$2:$M$1500,$A155&amp;"|"&amp;AB$1&amp;"|Output"),"I/O","IN"),IF(COUNTIF(Flows!$M$2:$M$1500,$A155&amp;"|"&amp;AB$1&amp;"|Output"),"OUT",""))</f>
        <v/>
      </c>
      <c r="AC155" s="33" t="str">
        <f aca="false">IF(COUNTIF(Flows!$M$2:$M$1500,$A155&amp;"|"&amp;AC$1&amp;"|Input"),IF(COUNTIF(Flows!$M$2:$M$1500,$A155&amp;"|"&amp;AC$1&amp;"|Output"),"I/O","IN"),IF(COUNTIF(Flows!$M$2:$M$1500,$A155&amp;"|"&amp;AC$1&amp;"|Output"),"OUT",""))</f>
        <v/>
      </c>
      <c r="AD155" s="33" t="str">
        <f aca="false">IF(COUNTIF(Flows!$M$2:$M$1500,$A155&amp;"|"&amp;AD$1&amp;"|Input"),IF(COUNTIF(Flows!$M$2:$M$1500,$A155&amp;"|"&amp;AD$1&amp;"|Output"),"I/O","IN"),IF(COUNTIF(Flows!$M$2:$M$1500,$A155&amp;"|"&amp;AD$1&amp;"|Output"),"OUT",""))</f>
        <v/>
      </c>
      <c r="AE155" s="33" t="str">
        <f aca="false">IF(COUNTIF(Flows!$M$2:$M$1500,$A155&amp;"|"&amp;AE$1&amp;"|Input"),IF(COUNTIF(Flows!$M$2:$M$1500,$A155&amp;"|"&amp;AE$1&amp;"|Output"),"I/O","IN"),IF(COUNTIF(Flows!$M$2:$M$1500,$A155&amp;"|"&amp;AE$1&amp;"|Output"),"OUT",""))</f>
        <v/>
      </c>
      <c r="AF155" s="33" t="str">
        <f aca="false">IF(COUNTIF(Flows!$M$2:$M$1500,$A155&amp;"|"&amp;AF$1&amp;"|Input"),IF(COUNTIF(Flows!$M$2:$M$1500,$A155&amp;"|"&amp;AF$1&amp;"|Output"),"I/O","IN"),IF(COUNTIF(Flows!$M$2:$M$1500,$A155&amp;"|"&amp;AF$1&amp;"|Output"),"OUT",""))</f>
        <v/>
      </c>
      <c r="AG155" s="33" t="str">
        <f aca="false">IF(COUNTIF(Flows!$M$2:$M$1500,$A155&amp;"|"&amp;AG$1&amp;"|Input"),IF(COUNTIF(Flows!$M$2:$M$1500,$A155&amp;"|"&amp;AG$1&amp;"|Output"),"I/O","IN"),IF(COUNTIF(Flows!$M$2:$M$1500,$A155&amp;"|"&amp;AG$1&amp;"|Output"),"OUT",""))</f>
        <v/>
      </c>
      <c r="AH155" s="33" t="str">
        <f aca="false">IF(COUNTIF(Flows!$M$2:$M$1500,$A155&amp;"|"&amp;AH$1&amp;"|Input"),IF(COUNTIF(Flows!$M$2:$M$1500,$A155&amp;"|"&amp;AH$1&amp;"|Output"),"I/O","IN"),IF(COUNTIF(Flows!$M$2:$M$1500,$A155&amp;"|"&amp;AH$1&amp;"|Output"),"OUT",""))</f>
        <v/>
      </c>
      <c r="AI155" s="33" t="str">
        <f aca="false">IF(COUNTIF(Flows!$M$2:$M$1500,$A155&amp;"|"&amp;AI$1&amp;"|Input"),IF(COUNTIF(Flows!$M$2:$M$1500,$A155&amp;"|"&amp;AI$1&amp;"|Output"),"I/O","IN"),IF(COUNTIF(Flows!$M$2:$M$1500,$A155&amp;"|"&amp;AI$1&amp;"|Output"),"OUT",""))</f>
        <v/>
      </c>
      <c r="AJ155" s="33" t="str">
        <f aca="false">IF(COUNTIF(Flows!$M$2:$M$1500,$A155&amp;"|"&amp;AJ$1&amp;"|Input"),IF(COUNTIF(Flows!$M$2:$M$1500,$A155&amp;"|"&amp;AJ$1&amp;"|Output"),"I/O","IN"),IF(COUNTIF(Flows!$M$2:$M$1500,$A155&amp;"|"&amp;AJ$1&amp;"|Output"),"OUT",""))</f>
        <v/>
      </c>
      <c r="AK155" s="33" t="str">
        <f aca="false">IF(COUNTIF(Flows!$M$2:$M$1500,$A155&amp;"|"&amp;AK$1&amp;"|Input"),IF(COUNTIF(Flows!$M$2:$M$1500,$A155&amp;"|"&amp;AK$1&amp;"|Output"),"I/O","IN"),IF(COUNTIF(Flows!$M$2:$M$1500,$A155&amp;"|"&amp;AK$1&amp;"|Output"),"OUT",""))</f>
        <v/>
      </c>
      <c r="AL155" s="33" t="str">
        <f aca="false">IF(COUNTIF(Flows!$M$2:$M$1500,$A155&amp;"|"&amp;AL$1&amp;"|Input"),IF(COUNTIF(Flows!$M$2:$M$1500,$A155&amp;"|"&amp;AL$1&amp;"|Output"),"I/O","IN"),IF(COUNTIF(Flows!$M$2:$M$1500,$A155&amp;"|"&amp;AL$1&amp;"|Output"),"OUT",""))</f>
        <v>IN</v>
      </c>
      <c r="AM155" s="33" t="str">
        <f aca="false">IF(COUNTIF(Flows!$M$2:$M$1500,$A155&amp;"|"&amp;AM$1&amp;"|Input"),IF(COUNTIF(Flows!$M$2:$M$1500,$A155&amp;"|"&amp;AM$1&amp;"|Output"),"I/O","IN"),IF(COUNTIF(Flows!$M$2:$M$1500,$A155&amp;"|"&amp;AM$1&amp;"|Output"),"OUT",""))</f>
        <v/>
      </c>
      <c r="AN155" s="33" t="str">
        <f aca="false">IF(COUNTIF(Flows!$M$2:$M$1500,$A155&amp;"|"&amp;AN$1&amp;"|Input"),IF(COUNTIF(Flows!$M$2:$M$1500,$A155&amp;"|"&amp;AN$1&amp;"|Output"),"I/O","IN"),IF(COUNTIF(Flows!$M$2:$M$1500,$A155&amp;"|"&amp;AN$1&amp;"|Output"),"OUT",""))</f>
        <v/>
      </c>
      <c r="AO155" s="33" t="str">
        <f aca="false">IF(COUNTIF(Flows!$M$2:$M$1500,$A155&amp;"|"&amp;AO$1&amp;"|Input"),IF(COUNTIF(Flows!$M$2:$M$1500,$A155&amp;"|"&amp;AO$1&amp;"|Output"),"I/O","IN"),IF(COUNTIF(Flows!$M$2:$M$1500,$A155&amp;"|"&amp;AO$1&amp;"|Output"),"OUT",""))</f>
        <v/>
      </c>
      <c r="AP155" s="33" t="str">
        <f aca="false">IF(COUNTIF(Flows!$M$2:$M$1500,$A155&amp;"|"&amp;AP$1&amp;"|Input"),IF(COUNTIF(Flows!$M$2:$M$1500,$A155&amp;"|"&amp;AP$1&amp;"|Output"),"I/O","IN"),IF(COUNTIF(Flows!$M$2:$M$1500,$A155&amp;"|"&amp;AP$1&amp;"|Output"),"OUT",""))</f>
        <v/>
      </c>
      <c r="AQ155" s="33" t="str">
        <f aca="false">IF(COUNTIF(Flows!$M$2:$M$1500,$A155&amp;"|"&amp;AQ$1&amp;"|Input"),IF(COUNTIF(Flows!$M$2:$M$1500,$A155&amp;"|"&amp;AQ$1&amp;"|Output"),"I/O","IN"),IF(COUNTIF(Flows!$M$2:$M$1500,$A155&amp;"|"&amp;AQ$1&amp;"|Output"),"OUT",""))</f>
        <v/>
      </c>
      <c r="AR155" s="33" t="str">
        <f aca="false">IF(COUNTIF(Flows!$M$2:$M$1500,$A155&amp;"|"&amp;AR$1&amp;"|Input"),IF(COUNTIF(Flows!$M$2:$M$1500,$A155&amp;"|"&amp;AR$1&amp;"|Output"),"I/O","IN"),IF(COUNTIF(Flows!$M$2:$M$1500,$A155&amp;"|"&amp;AR$1&amp;"|Output"),"OUT",""))</f>
        <v/>
      </c>
      <c r="AS155" s="33" t="str">
        <f aca="false">IF(COUNTIF(Flows!$M$2:$M$1500,$A155&amp;"|"&amp;AS$1&amp;"|Input"),IF(COUNTIF(Flows!$M$2:$M$1500,$A155&amp;"|"&amp;AS$1&amp;"|Output"),"I/O","IN"),IF(COUNTIF(Flows!$M$2:$M$1500,$A155&amp;"|"&amp;AS$1&amp;"|Output"),"OUT",""))</f>
        <v/>
      </c>
      <c r="AT155" s="33" t="str">
        <f aca="false">IF(COUNTIF(Flows!$M$2:$M$1500,$A155&amp;"|"&amp;AT$1&amp;"|Input"),IF(COUNTIF(Flows!$M$2:$M$1500,$A155&amp;"|"&amp;AT$1&amp;"|Output"),"I/O","IN"),IF(COUNTIF(Flows!$M$2:$M$1500,$A155&amp;"|"&amp;AT$1&amp;"|Output"),"OUT",""))</f>
        <v/>
      </c>
      <c r="AU155" s="33" t="str">
        <f aca="false">IF(COUNTIF(Flows!$M$2:$M$1500,$A155&amp;"|"&amp;AU$1&amp;"|Input"),IF(COUNTIF(Flows!$M$2:$M$1500,$A155&amp;"|"&amp;AU$1&amp;"|Output"),"I/O","IN"),IF(COUNTIF(Flows!$M$2:$M$1500,$A155&amp;"|"&amp;AU$1&amp;"|Output"),"OUT",""))</f>
        <v/>
      </c>
      <c r="AV155" s="33" t="str">
        <f aca="false">IF(COUNTIF(Flows!$M$2:$M$1500,$A155&amp;"|"&amp;AV$1&amp;"|Input"),IF(COUNTIF(Flows!$M$2:$M$1500,$A155&amp;"|"&amp;AV$1&amp;"|Output"),"I/O","IN"),IF(COUNTIF(Flows!$M$2:$M$1500,$A155&amp;"|"&amp;AV$1&amp;"|Output"),"OUT",""))</f>
        <v/>
      </c>
      <c r="AW155" s="33" t="str">
        <f aca="false">IF(COUNTIF(Flows!$M$2:$M$1500,$A155&amp;"|"&amp;AW$1&amp;"|Input"),IF(COUNTIF(Flows!$M$2:$M$1500,$A155&amp;"|"&amp;AW$1&amp;"|Output"),"I/O","IN"),IF(COUNTIF(Flows!$M$2:$M$1500,$A155&amp;"|"&amp;AW$1&amp;"|Output"),"OUT",""))</f>
        <v/>
      </c>
      <c r="AX155" s="33" t="str">
        <f aca="false">IF(COUNTIF(Flows!$M$2:$M$1500,$A155&amp;"|"&amp;AX$1&amp;"|Input"),IF(COUNTIF(Flows!$M$2:$M$1500,$A155&amp;"|"&amp;AX$1&amp;"|Output"),"I/O","IN"),IF(COUNTIF(Flows!$M$2:$M$1500,$A155&amp;"|"&amp;AX$1&amp;"|Output"),"OUT",""))</f>
        <v/>
      </c>
      <c r="AY155" s="33" t="str">
        <f aca="false">IF(COUNTIF(Flows!$M$2:$M$1500,$A155&amp;"|"&amp;AY$1&amp;"|Input"),IF(COUNTIF(Flows!$M$2:$M$1500,$A155&amp;"|"&amp;AY$1&amp;"|Output"),"I/O","IN"),IF(COUNTIF(Flows!$M$2:$M$1500,$A155&amp;"|"&amp;AY$1&amp;"|Output"),"OUT",""))</f>
        <v/>
      </c>
      <c r="AZ155" s="33" t="str">
        <f aca="false">IF(COUNTIF(Flows!$M$2:$M$1500,$A155&amp;"|"&amp;AZ$1&amp;"|Input"),IF(COUNTIF(Flows!$M$2:$M$1500,$A155&amp;"|"&amp;AZ$1&amp;"|Output"),"I/O","IN"),IF(COUNTIF(Flows!$M$2:$M$1500,$A155&amp;"|"&amp;AZ$1&amp;"|Output"),"OUT",""))</f>
        <v/>
      </c>
      <c r="BA155" s="33" t="str">
        <f aca="false">IF(COUNTIF(Flows!$M$2:$M$1500,$A155&amp;"|"&amp;BA$1&amp;"|Input"),IF(COUNTIF(Flows!$M$2:$M$1500,$A155&amp;"|"&amp;BA$1&amp;"|Output"),"I/O","IN"),IF(COUNTIF(Flows!$M$2:$M$1500,$A155&amp;"|"&amp;BA$1&amp;"|Output"),"OUT",""))</f>
        <v/>
      </c>
      <c r="BB155" s="33" t="str">
        <f aca="false">IF(COUNTIF(Flows!$M$2:$M$1500,$A155&amp;"|"&amp;BB$1&amp;"|Input"),IF(COUNTIF(Flows!$M$2:$M$1500,$A155&amp;"|"&amp;BB$1&amp;"|Output"),"I/O","IN"),IF(COUNTIF(Flows!$M$2:$M$1500,$A155&amp;"|"&amp;BB$1&amp;"|Output"),"OUT",""))</f>
        <v/>
      </c>
      <c r="BC155" s="33" t="str">
        <f aca="false">IF(COUNTIF(Flows!$M$2:$M$1500,$A155&amp;"|"&amp;BC$1&amp;"|Input"),IF(COUNTIF(Flows!$M$2:$M$1500,$A155&amp;"|"&amp;BC$1&amp;"|Output"),"I/O","IN"),IF(COUNTIF(Flows!$M$2:$M$1500,$A155&amp;"|"&amp;BC$1&amp;"|Output"),"OUT",""))</f>
        <v/>
      </c>
      <c r="BD155" s="33" t="str">
        <f aca="false">IF(COUNTIF(Flows!$M$2:$M$1500,$A155&amp;"|"&amp;BD$1&amp;"|Input"),IF(COUNTIF(Flows!$M$2:$M$1500,$A155&amp;"|"&amp;BD$1&amp;"|Output"),"I/O","IN"),IF(COUNTIF(Flows!$M$2:$M$1500,$A155&amp;"|"&amp;BD$1&amp;"|Output"),"OUT",""))</f>
        <v/>
      </c>
      <c r="BE155" s="33" t="str">
        <f aca="false">IF(COUNTIF(Flows!$M$2:$M$1500,$A155&amp;"|"&amp;BE$1&amp;"|Input"),IF(COUNTIF(Flows!$M$2:$M$1500,$A155&amp;"|"&amp;BE$1&amp;"|Output"),"I/O","IN"),IF(COUNTIF(Flows!$M$2:$M$1500,$A155&amp;"|"&amp;BE$1&amp;"|Output"),"OUT",""))</f>
        <v/>
      </c>
      <c r="BF155" s="33" t="str">
        <f aca="false">IF(COUNTIF(Flows!$M$2:$M$1500,$A155&amp;"|"&amp;BF$1&amp;"|Input"),IF(COUNTIF(Flows!$M$2:$M$1500,$A155&amp;"|"&amp;BF$1&amp;"|Output"),"I/O","IN"),IF(COUNTIF(Flows!$M$2:$M$1500,$A155&amp;"|"&amp;BF$1&amp;"|Output"),"OUT",""))</f>
        <v/>
      </c>
      <c r="BG155" s="33" t="str">
        <f aca="false">IF(COUNTIF(Flows!$M$2:$M$1500,$A155&amp;"|"&amp;BG$1&amp;"|Input"),IF(COUNTIF(Flows!$M$2:$M$1500,$A155&amp;"|"&amp;BG$1&amp;"|Output"),"I/O","IN"),IF(COUNTIF(Flows!$M$2:$M$1500,$A155&amp;"|"&amp;BG$1&amp;"|Output"),"OUT",""))</f>
        <v/>
      </c>
      <c r="BH155" s="33" t="str">
        <f aca="false">IF(COUNTIF(Flows!$M$2:$M$1500,$A155&amp;"|"&amp;BH$1&amp;"|Input"),IF(COUNTIF(Flows!$M$2:$M$1500,$A155&amp;"|"&amp;BH$1&amp;"|Output"),"I/O","IN"),IF(COUNTIF(Flows!$M$2:$M$1500,$A155&amp;"|"&amp;BH$1&amp;"|Output"),"OUT",""))</f>
        <v/>
      </c>
      <c r="BI155" s="33" t="str">
        <f aca="false">IF(COUNTIF(Flows!$M$2:$M$1500,$A155&amp;"|"&amp;BI$1&amp;"|Input"),IF(COUNTIF(Flows!$M$2:$M$1500,$A155&amp;"|"&amp;BI$1&amp;"|Output"),"I/O","IN"),IF(COUNTIF(Flows!$M$2:$M$1500,$A155&amp;"|"&amp;BI$1&amp;"|Output"),"OUT",""))</f>
        <v/>
      </c>
      <c r="BJ155" s="33" t="str">
        <f aca="false">IF(COUNTIF(Flows!$M$2:$M$1500,$A155&amp;"|"&amp;BJ$1&amp;"|Input"),IF(COUNTIF(Flows!$M$2:$M$1500,$A155&amp;"|"&amp;BJ$1&amp;"|Output"),"I/O","IN"),IF(COUNTIF(Flows!$M$2:$M$1500,$A155&amp;"|"&amp;BJ$1&amp;"|Output"),"OUT",""))</f>
        <v/>
      </c>
      <c r="BK155" s="33" t="str">
        <f aca="false">IF(COUNTIF(Flows!$M$2:$M$1500,$A155&amp;"|"&amp;BK$1&amp;"|Input"),IF(COUNTIF(Flows!$M$2:$M$1500,$A155&amp;"|"&amp;BK$1&amp;"|Output"),"I/O","IN"),IF(COUNTIF(Flows!$M$2:$M$1500,$A155&amp;"|"&amp;BK$1&amp;"|Output"),"OUT",""))</f>
        <v/>
      </c>
    </row>
    <row r="156" customFormat="false" ht="15" hidden="false" customHeight="true" outlineLevel="0" collapsed="false">
      <c r="A156" s="6" t="str">
        <f aca="false">Systems!B156</f>
        <v>Propane Range</v>
      </c>
      <c r="B156" s="33" t="str">
        <f aca="false">IF(COUNTIF(Flows!$M$2:$M$1500,$A156&amp;"|"&amp;B$1&amp;"|Input"),IF(COUNTIF(Flows!$M$2:$M$1500,$A156&amp;"|"&amp;B$1&amp;"|Output"),"I/O","IN"),IF(COUNTIF(Flows!$M$2:$M$1500,$A156&amp;"|"&amp;B$1&amp;"|Output"),"OUT",""))</f>
        <v/>
      </c>
      <c r="C156" s="33" t="str">
        <f aca="false">IF(COUNTIF(Flows!$M$2:$M$1500,$A156&amp;"|"&amp;C$1&amp;"|Input"),IF(COUNTIF(Flows!$M$2:$M$1500,$A156&amp;"|"&amp;C$1&amp;"|Output"),"I/O","IN"),IF(COUNTIF(Flows!$M$2:$M$1500,$A156&amp;"|"&amp;C$1&amp;"|Output"),"OUT",""))</f>
        <v/>
      </c>
      <c r="D156" s="33" t="str">
        <f aca="false">IF(COUNTIF(Flows!$M$2:$M$1500,$A156&amp;"|"&amp;D$1&amp;"|Input"),IF(COUNTIF(Flows!$M$2:$M$1500,$A156&amp;"|"&amp;D$1&amp;"|Output"),"I/O","IN"),IF(COUNTIF(Flows!$M$2:$M$1500,$A156&amp;"|"&amp;D$1&amp;"|Output"),"OUT",""))</f>
        <v/>
      </c>
      <c r="E156" s="33" t="str">
        <f aca="false">IF(COUNTIF(Flows!$M$2:$M$1500,$A156&amp;"|"&amp;E$1&amp;"|Input"),IF(COUNTIF(Flows!$M$2:$M$1500,$A156&amp;"|"&amp;E$1&amp;"|Output"),"I/O","IN"),IF(COUNTIF(Flows!$M$2:$M$1500,$A156&amp;"|"&amp;E$1&amp;"|Output"),"OUT",""))</f>
        <v/>
      </c>
      <c r="F156" s="33" t="str">
        <f aca="false">IF(COUNTIF(Flows!$M$2:$M$1500,$A156&amp;"|"&amp;F$1&amp;"|Input"),IF(COUNTIF(Flows!$M$2:$M$1500,$A156&amp;"|"&amp;F$1&amp;"|Output"),"I/O","IN"),IF(COUNTIF(Flows!$M$2:$M$1500,$A156&amp;"|"&amp;F$1&amp;"|Output"),"OUT",""))</f>
        <v/>
      </c>
      <c r="G156" s="33" t="str">
        <f aca="false">IF(COUNTIF(Flows!$M$2:$M$1500,$A156&amp;"|"&amp;G$1&amp;"|Input"),IF(COUNTIF(Flows!$M$2:$M$1500,$A156&amp;"|"&amp;G$1&amp;"|Output"),"I/O","IN"),IF(COUNTIF(Flows!$M$2:$M$1500,$A156&amp;"|"&amp;G$1&amp;"|Output"),"OUT",""))</f>
        <v/>
      </c>
      <c r="H156" s="33" t="str">
        <f aca="false">IF(COUNTIF(Flows!$M$2:$M$1500,$A156&amp;"|"&amp;H$1&amp;"|Input"),IF(COUNTIF(Flows!$M$2:$M$1500,$A156&amp;"|"&amp;H$1&amp;"|Output"),"I/O","IN"),IF(COUNTIF(Flows!$M$2:$M$1500,$A156&amp;"|"&amp;H$1&amp;"|Output"),"OUT",""))</f>
        <v/>
      </c>
      <c r="I156" s="33" t="str">
        <f aca="false">IF(COUNTIF(Flows!$M$2:$M$1500,$A156&amp;"|"&amp;I$1&amp;"|Input"),IF(COUNTIF(Flows!$M$2:$M$1500,$A156&amp;"|"&amp;I$1&amp;"|Output"),"I/O","IN"),IF(COUNTIF(Flows!$M$2:$M$1500,$A156&amp;"|"&amp;I$1&amp;"|Output"),"OUT",""))</f>
        <v/>
      </c>
      <c r="J156" s="33" t="str">
        <f aca="false">IF(COUNTIF(Flows!$M$2:$M$1500,$A156&amp;"|"&amp;J$1&amp;"|Input"),IF(COUNTIF(Flows!$M$2:$M$1500,$A156&amp;"|"&amp;J$1&amp;"|Output"),"I/O","IN"),IF(COUNTIF(Flows!$M$2:$M$1500,$A156&amp;"|"&amp;J$1&amp;"|Output"),"OUT",""))</f>
        <v/>
      </c>
      <c r="K156" s="33" t="str">
        <f aca="false">IF(COUNTIF(Flows!$M$2:$M$1500,$A156&amp;"|"&amp;K$1&amp;"|Input"),IF(COUNTIF(Flows!$M$2:$M$1500,$A156&amp;"|"&amp;K$1&amp;"|Output"),"I/O","IN"),IF(COUNTIF(Flows!$M$2:$M$1500,$A156&amp;"|"&amp;K$1&amp;"|Output"),"OUT",""))</f>
        <v/>
      </c>
      <c r="L156" s="33" t="str">
        <f aca="false">IF(COUNTIF(Flows!$M$2:$M$1500,$A156&amp;"|"&amp;L$1&amp;"|Input"),IF(COUNTIF(Flows!$M$2:$M$1500,$A156&amp;"|"&amp;L$1&amp;"|Output"),"I/O","IN"),IF(COUNTIF(Flows!$M$2:$M$1500,$A156&amp;"|"&amp;L$1&amp;"|Output"),"OUT",""))</f>
        <v/>
      </c>
      <c r="M156" s="33" t="str">
        <f aca="false">IF(COUNTIF(Flows!$M$2:$M$1500,$A156&amp;"|"&amp;M$1&amp;"|Input"),IF(COUNTIF(Flows!$M$2:$M$1500,$A156&amp;"|"&amp;M$1&amp;"|Output"),"I/O","IN"),IF(COUNTIF(Flows!$M$2:$M$1500,$A156&amp;"|"&amp;M$1&amp;"|Output"),"OUT",""))</f>
        <v/>
      </c>
      <c r="N156" s="33" t="str">
        <f aca="false">IF(COUNTIF(Flows!$M$2:$M$1500,$A156&amp;"|"&amp;N$1&amp;"|Input"),IF(COUNTIF(Flows!$M$2:$M$1500,$A156&amp;"|"&amp;N$1&amp;"|Output"),"I/O","IN"),IF(COUNTIF(Flows!$M$2:$M$1500,$A156&amp;"|"&amp;N$1&amp;"|Output"),"OUT",""))</f>
        <v/>
      </c>
      <c r="O156" s="33" t="str">
        <f aca="false">IF(COUNTIF(Flows!$M$2:$M$1500,$A156&amp;"|"&amp;O$1&amp;"|Input"),IF(COUNTIF(Flows!$M$2:$M$1500,$A156&amp;"|"&amp;O$1&amp;"|Output"),"I/O","IN"),IF(COUNTIF(Flows!$M$2:$M$1500,$A156&amp;"|"&amp;O$1&amp;"|Output"),"OUT",""))</f>
        <v/>
      </c>
      <c r="P156" s="33" t="str">
        <f aca="false">IF(COUNTIF(Flows!$M$2:$M$1500,$A156&amp;"|"&amp;P$1&amp;"|Input"),IF(COUNTIF(Flows!$M$2:$M$1500,$A156&amp;"|"&amp;P$1&amp;"|Output"),"I/O","IN"),IF(COUNTIF(Flows!$M$2:$M$1500,$A156&amp;"|"&amp;P$1&amp;"|Output"),"OUT",""))</f>
        <v/>
      </c>
      <c r="Q156" s="33" t="str">
        <f aca="false">IF(COUNTIF(Flows!$M$2:$M$1500,$A156&amp;"|"&amp;Q$1&amp;"|Input"),IF(COUNTIF(Flows!$M$2:$M$1500,$A156&amp;"|"&amp;Q$1&amp;"|Output"),"I/O","IN"),IF(COUNTIF(Flows!$M$2:$M$1500,$A156&amp;"|"&amp;Q$1&amp;"|Output"),"OUT",""))</f>
        <v/>
      </c>
      <c r="R156" s="33" t="str">
        <f aca="false">IF(COUNTIF(Flows!$M$2:$M$1500,$A156&amp;"|"&amp;R$1&amp;"|Input"),IF(COUNTIF(Flows!$M$2:$M$1500,$A156&amp;"|"&amp;R$1&amp;"|Output"),"I/O","IN"),IF(COUNTIF(Flows!$M$2:$M$1500,$A156&amp;"|"&amp;R$1&amp;"|Output"),"OUT",""))</f>
        <v/>
      </c>
      <c r="S156" s="33" t="str">
        <f aca="false">IF(COUNTIF(Flows!$M$2:$M$1500,$A156&amp;"|"&amp;S$1&amp;"|Input"),IF(COUNTIF(Flows!$M$2:$M$1500,$A156&amp;"|"&amp;S$1&amp;"|Output"),"I/O","IN"),IF(COUNTIF(Flows!$M$2:$M$1500,$A156&amp;"|"&amp;S$1&amp;"|Output"),"OUT",""))</f>
        <v/>
      </c>
      <c r="T156" s="33" t="str">
        <f aca="false">IF(COUNTIF(Flows!$M$2:$M$1500,$A156&amp;"|"&amp;T$1&amp;"|Input"),IF(COUNTIF(Flows!$M$2:$M$1500,$A156&amp;"|"&amp;T$1&amp;"|Output"),"I/O","IN"),IF(COUNTIF(Flows!$M$2:$M$1500,$A156&amp;"|"&amp;T$1&amp;"|Output"),"OUT",""))</f>
        <v/>
      </c>
      <c r="U156" s="33" t="str">
        <f aca="false">IF(COUNTIF(Flows!$M$2:$M$1500,$A156&amp;"|"&amp;U$1&amp;"|Input"),IF(COUNTIF(Flows!$M$2:$M$1500,$A156&amp;"|"&amp;U$1&amp;"|Output"),"I/O","IN"),IF(COUNTIF(Flows!$M$2:$M$1500,$A156&amp;"|"&amp;U$1&amp;"|Output"),"OUT",""))</f>
        <v>OUT</v>
      </c>
      <c r="V156" s="33" t="str">
        <f aca="false">IF(COUNTIF(Flows!$M$2:$M$1500,$A156&amp;"|"&amp;V$1&amp;"|Input"),IF(COUNTIF(Flows!$M$2:$M$1500,$A156&amp;"|"&amp;V$1&amp;"|Output"),"I/O","IN"),IF(COUNTIF(Flows!$M$2:$M$1500,$A156&amp;"|"&amp;V$1&amp;"|Output"),"OUT",""))</f>
        <v/>
      </c>
      <c r="W156" s="33" t="str">
        <f aca="false">IF(COUNTIF(Flows!$M$2:$M$1500,$A156&amp;"|"&amp;W$1&amp;"|Input"),IF(COUNTIF(Flows!$M$2:$M$1500,$A156&amp;"|"&amp;W$1&amp;"|Output"),"I/O","IN"),IF(COUNTIF(Flows!$M$2:$M$1500,$A156&amp;"|"&amp;W$1&amp;"|Output"),"OUT",""))</f>
        <v/>
      </c>
      <c r="X156" s="33" t="str">
        <f aca="false">IF(COUNTIF(Flows!$M$2:$M$1500,$A156&amp;"|"&amp;X$1&amp;"|Input"),IF(COUNTIF(Flows!$M$2:$M$1500,$A156&amp;"|"&amp;X$1&amp;"|Output"),"I/O","IN"),IF(COUNTIF(Flows!$M$2:$M$1500,$A156&amp;"|"&amp;X$1&amp;"|Output"),"OUT",""))</f>
        <v>IN</v>
      </c>
      <c r="Y156" s="33" t="str">
        <f aca="false">IF(COUNTIF(Flows!$M$2:$M$1500,$A156&amp;"|"&amp;Y$1&amp;"|Input"),IF(COUNTIF(Flows!$M$2:$M$1500,$A156&amp;"|"&amp;Y$1&amp;"|Output"),"I/O","IN"),IF(COUNTIF(Flows!$M$2:$M$1500,$A156&amp;"|"&amp;Y$1&amp;"|Output"),"OUT",""))</f>
        <v/>
      </c>
      <c r="Z156" s="33" t="str">
        <f aca="false">IF(COUNTIF(Flows!$M$2:$M$1500,$A156&amp;"|"&amp;Z$1&amp;"|Input"),IF(COUNTIF(Flows!$M$2:$M$1500,$A156&amp;"|"&amp;Z$1&amp;"|Output"),"I/O","IN"),IF(COUNTIF(Flows!$M$2:$M$1500,$A156&amp;"|"&amp;Z$1&amp;"|Output"),"OUT",""))</f>
        <v/>
      </c>
      <c r="AA156" s="33" t="str">
        <f aca="false">IF(COUNTIF(Flows!$M$2:$M$1500,$A156&amp;"|"&amp;AA$1&amp;"|Input"),IF(COUNTIF(Flows!$M$2:$M$1500,$A156&amp;"|"&amp;AA$1&amp;"|Output"),"I/O","IN"),IF(COUNTIF(Flows!$M$2:$M$1500,$A156&amp;"|"&amp;AA$1&amp;"|Output"),"OUT",""))</f>
        <v/>
      </c>
      <c r="AB156" s="33" t="str">
        <f aca="false">IF(COUNTIF(Flows!$M$2:$M$1500,$A156&amp;"|"&amp;AB$1&amp;"|Input"),IF(COUNTIF(Flows!$M$2:$M$1500,$A156&amp;"|"&amp;AB$1&amp;"|Output"),"I/O","IN"),IF(COUNTIF(Flows!$M$2:$M$1500,$A156&amp;"|"&amp;AB$1&amp;"|Output"),"OUT",""))</f>
        <v/>
      </c>
      <c r="AC156" s="33" t="str">
        <f aca="false">IF(COUNTIF(Flows!$M$2:$M$1500,$A156&amp;"|"&amp;AC$1&amp;"|Input"),IF(COUNTIF(Flows!$M$2:$M$1500,$A156&amp;"|"&amp;AC$1&amp;"|Output"),"I/O","IN"),IF(COUNTIF(Flows!$M$2:$M$1500,$A156&amp;"|"&amp;AC$1&amp;"|Output"),"OUT",""))</f>
        <v/>
      </c>
      <c r="AD156" s="33" t="str">
        <f aca="false">IF(COUNTIF(Flows!$M$2:$M$1500,$A156&amp;"|"&amp;AD$1&amp;"|Input"),IF(COUNTIF(Flows!$M$2:$M$1500,$A156&amp;"|"&amp;AD$1&amp;"|Output"),"I/O","IN"),IF(COUNTIF(Flows!$M$2:$M$1500,$A156&amp;"|"&amp;AD$1&amp;"|Output"),"OUT",""))</f>
        <v/>
      </c>
      <c r="AE156" s="33" t="str">
        <f aca="false">IF(COUNTIF(Flows!$M$2:$M$1500,$A156&amp;"|"&amp;AE$1&amp;"|Input"),IF(COUNTIF(Flows!$M$2:$M$1500,$A156&amp;"|"&amp;AE$1&amp;"|Output"),"I/O","IN"),IF(COUNTIF(Flows!$M$2:$M$1500,$A156&amp;"|"&amp;AE$1&amp;"|Output"),"OUT",""))</f>
        <v/>
      </c>
      <c r="AF156" s="33" t="str">
        <f aca="false">IF(COUNTIF(Flows!$M$2:$M$1500,$A156&amp;"|"&amp;AF$1&amp;"|Input"),IF(COUNTIF(Flows!$M$2:$M$1500,$A156&amp;"|"&amp;AF$1&amp;"|Output"),"I/O","IN"),IF(COUNTIF(Flows!$M$2:$M$1500,$A156&amp;"|"&amp;AF$1&amp;"|Output"),"OUT",""))</f>
        <v/>
      </c>
      <c r="AG156" s="33" t="str">
        <f aca="false">IF(COUNTIF(Flows!$M$2:$M$1500,$A156&amp;"|"&amp;AG$1&amp;"|Input"),IF(COUNTIF(Flows!$M$2:$M$1500,$A156&amp;"|"&amp;AG$1&amp;"|Output"),"I/O","IN"),IF(COUNTIF(Flows!$M$2:$M$1500,$A156&amp;"|"&amp;AG$1&amp;"|Output"),"OUT",""))</f>
        <v/>
      </c>
      <c r="AH156" s="33" t="str">
        <f aca="false">IF(COUNTIF(Flows!$M$2:$M$1500,$A156&amp;"|"&amp;AH$1&amp;"|Input"),IF(COUNTIF(Flows!$M$2:$M$1500,$A156&amp;"|"&amp;AH$1&amp;"|Output"),"I/O","IN"),IF(COUNTIF(Flows!$M$2:$M$1500,$A156&amp;"|"&amp;AH$1&amp;"|Output"),"OUT",""))</f>
        <v/>
      </c>
      <c r="AI156" s="33" t="str">
        <f aca="false">IF(COUNTIF(Flows!$M$2:$M$1500,$A156&amp;"|"&amp;AI$1&amp;"|Input"),IF(COUNTIF(Flows!$M$2:$M$1500,$A156&amp;"|"&amp;AI$1&amp;"|Output"),"I/O","IN"),IF(COUNTIF(Flows!$M$2:$M$1500,$A156&amp;"|"&amp;AI$1&amp;"|Output"),"OUT",""))</f>
        <v/>
      </c>
      <c r="AJ156" s="33" t="str">
        <f aca="false">IF(COUNTIF(Flows!$M$2:$M$1500,$A156&amp;"|"&amp;AJ$1&amp;"|Input"),IF(COUNTIF(Flows!$M$2:$M$1500,$A156&amp;"|"&amp;AJ$1&amp;"|Output"),"I/O","IN"),IF(COUNTIF(Flows!$M$2:$M$1500,$A156&amp;"|"&amp;AJ$1&amp;"|Output"),"OUT",""))</f>
        <v/>
      </c>
      <c r="AK156" s="33" t="str">
        <f aca="false">IF(COUNTIF(Flows!$M$2:$M$1500,$A156&amp;"|"&amp;AK$1&amp;"|Input"),IF(COUNTIF(Flows!$M$2:$M$1500,$A156&amp;"|"&amp;AK$1&amp;"|Output"),"I/O","IN"),IF(COUNTIF(Flows!$M$2:$M$1500,$A156&amp;"|"&amp;AK$1&amp;"|Output"),"OUT",""))</f>
        <v/>
      </c>
      <c r="AL156" s="33" t="str">
        <f aca="false">IF(COUNTIF(Flows!$M$2:$M$1500,$A156&amp;"|"&amp;AL$1&amp;"|Input"),IF(COUNTIF(Flows!$M$2:$M$1500,$A156&amp;"|"&amp;AL$1&amp;"|Output"),"I/O","IN"),IF(COUNTIF(Flows!$M$2:$M$1500,$A156&amp;"|"&amp;AL$1&amp;"|Output"),"OUT",""))</f>
        <v/>
      </c>
      <c r="AM156" s="33" t="str">
        <f aca="false">IF(COUNTIF(Flows!$M$2:$M$1500,$A156&amp;"|"&amp;AM$1&amp;"|Input"),IF(COUNTIF(Flows!$M$2:$M$1500,$A156&amp;"|"&amp;AM$1&amp;"|Output"),"I/O","IN"),IF(COUNTIF(Flows!$M$2:$M$1500,$A156&amp;"|"&amp;AM$1&amp;"|Output"),"OUT",""))</f>
        <v/>
      </c>
      <c r="AN156" s="33" t="str">
        <f aca="false">IF(COUNTIF(Flows!$M$2:$M$1500,$A156&amp;"|"&amp;AN$1&amp;"|Input"),IF(COUNTIF(Flows!$M$2:$M$1500,$A156&amp;"|"&amp;AN$1&amp;"|Output"),"I/O","IN"),IF(COUNTIF(Flows!$M$2:$M$1500,$A156&amp;"|"&amp;AN$1&amp;"|Output"),"OUT",""))</f>
        <v/>
      </c>
      <c r="AO156" s="33" t="str">
        <f aca="false">IF(COUNTIF(Flows!$M$2:$M$1500,$A156&amp;"|"&amp;AO$1&amp;"|Input"),IF(COUNTIF(Flows!$M$2:$M$1500,$A156&amp;"|"&amp;AO$1&amp;"|Output"),"I/O","IN"),IF(COUNTIF(Flows!$M$2:$M$1500,$A156&amp;"|"&amp;AO$1&amp;"|Output"),"OUT",""))</f>
        <v/>
      </c>
      <c r="AP156" s="33" t="str">
        <f aca="false">IF(COUNTIF(Flows!$M$2:$M$1500,$A156&amp;"|"&amp;AP$1&amp;"|Input"),IF(COUNTIF(Flows!$M$2:$M$1500,$A156&amp;"|"&amp;AP$1&amp;"|Output"),"I/O","IN"),IF(COUNTIF(Flows!$M$2:$M$1500,$A156&amp;"|"&amp;AP$1&amp;"|Output"),"OUT",""))</f>
        <v/>
      </c>
      <c r="AQ156" s="33" t="str">
        <f aca="false">IF(COUNTIF(Flows!$M$2:$M$1500,$A156&amp;"|"&amp;AQ$1&amp;"|Input"),IF(COUNTIF(Flows!$M$2:$M$1500,$A156&amp;"|"&amp;AQ$1&amp;"|Output"),"I/O","IN"),IF(COUNTIF(Flows!$M$2:$M$1500,$A156&amp;"|"&amp;AQ$1&amp;"|Output"),"OUT",""))</f>
        <v/>
      </c>
      <c r="AR156" s="33" t="str">
        <f aca="false">IF(COUNTIF(Flows!$M$2:$M$1500,$A156&amp;"|"&amp;AR$1&amp;"|Input"),IF(COUNTIF(Flows!$M$2:$M$1500,$A156&amp;"|"&amp;AR$1&amp;"|Output"),"I/O","IN"),IF(COUNTIF(Flows!$M$2:$M$1500,$A156&amp;"|"&amp;AR$1&amp;"|Output"),"OUT",""))</f>
        <v/>
      </c>
      <c r="AS156" s="33" t="str">
        <f aca="false">IF(COUNTIF(Flows!$M$2:$M$1500,$A156&amp;"|"&amp;AS$1&amp;"|Input"),IF(COUNTIF(Flows!$M$2:$M$1500,$A156&amp;"|"&amp;AS$1&amp;"|Output"),"I/O","IN"),IF(COUNTIF(Flows!$M$2:$M$1500,$A156&amp;"|"&amp;AS$1&amp;"|Output"),"OUT",""))</f>
        <v/>
      </c>
      <c r="AT156" s="33" t="str">
        <f aca="false">IF(COUNTIF(Flows!$M$2:$M$1500,$A156&amp;"|"&amp;AT$1&amp;"|Input"),IF(COUNTIF(Flows!$M$2:$M$1500,$A156&amp;"|"&amp;AT$1&amp;"|Output"),"I/O","IN"),IF(COUNTIF(Flows!$M$2:$M$1500,$A156&amp;"|"&amp;AT$1&amp;"|Output"),"OUT",""))</f>
        <v/>
      </c>
      <c r="AU156" s="33" t="str">
        <f aca="false">IF(COUNTIF(Flows!$M$2:$M$1500,$A156&amp;"|"&amp;AU$1&amp;"|Input"),IF(COUNTIF(Flows!$M$2:$M$1500,$A156&amp;"|"&amp;AU$1&amp;"|Output"),"I/O","IN"),IF(COUNTIF(Flows!$M$2:$M$1500,$A156&amp;"|"&amp;AU$1&amp;"|Output"),"OUT",""))</f>
        <v/>
      </c>
      <c r="AV156" s="33" t="str">
        <f aca="false">IF(COUNTIF(Flows!$M$2:$M$1500,$A156&amp;"|"&amp;AV$1&amp;"|Input"),IF(COUNTIF(Flows!$M$2:$M$1500,$A156&amp;"|"&amp;AV$1&amp;"|Output"),"I/O","IN"),IF(COUNTIF(Flows!$M$2:$M$1500,$A156&amp;"|"&amp;AV$1&amp;"|Output"),"OUT",""))</f>
        <v/>
      </c>
      <c r="AW156" s="33" t="str">
        <f aca="false">IF(COUNTIF(Flows!$M$2:$M$1500,$A156&amp;"|"&amp;AW$1&amp;"|Input"),IF(COUNTIF(Flows!$M$2:$M$1500,$A156&amp;"|"&amp;AW$1&amp;"|Output"),"I/O","IN"),IF(COUNTIF(Flows!$M$2:$M$1500,$A156&amp;"|"&amp;AW$1&amp;"|Output"),"OUT",""))</f>
        <v/>
      </c>
      <c r="AX156" s="33" t="str">
        <f aca="false">IF(COUNTIF(Flows!$M$2:$M$1500,$A156&amp;"|"&amp;AX$1&amp;"|Input"),IF(COUNTIF(Flows!$M$2:$M$1500,$A156&amp;"|"&amp;AX$1&amp;"|Output"),"I/O","IN"),IF(COUNTIF(Flows!$M$2:$M$1500,$A156&amp;"|"&amp;AX$1&amp;"|Output"),"OUT",""))</f>
        <v/>
      </c>
      <c r="AY156" s="33" t="str">
        <f aca="false">IF(COUNTIF(Flows!$M$2:$M$1500,$A156&amp;"|"&amp;AY$1&amp;"|Input"),IF(COUNTIF(Flows!$M$2:$M$1500,$A156&amp;"|"&amp;AY$1&amp;"|Output"),"I/O","IN"),IF(COUNTIF(Flows!$M$2:$M$1500,$A156&amp;"|"&amp;AY$1&amp;"|Output"),"OUT",""))</f>
        <v/>
      </c>
      <c r="AZ156" s="33" t="str">
        <f aca="false">IF(COUNTIF(Flows!$M$2:$M$1500,$A156&amp;"|"&amp;AZ$1&amp;"|Input"),IF(COUNTIF(Flows!$M$2:$M$1500,$A156&amp;"|"&amp;AZ$1&amp;"|Output"),"I/O","IN"),IF(COUNTIF(Flows!$M$2:$M$1500,$A156&amp;"|"&amp;AZ$1&amp;"|Output"),"OUT",""))</f>
        <v/>
      </c>
      <c r="BA156" s="33" t="str">
        <f aca="false">IF(COUNTIF(Flows!$M$2:$M$1500,$A156&amp;"|"&amp;BA$1&amp;"|Input"),IF(COUNTIF(Flows!$M$2:$M$1500,$A156&amp;"|"&amp;BA$1&amp;"|Output"),"I/O","IN"),IF(COUNTIF(Flows!$M$2:$M$1500,$A156&amp;"|"&amp;BA$1&amp;"|Output"),"OUT",""))</f>
        <v/>
      </c>
      <c r="BB156" s="33" t="str">
        <f aca="false">IF(COUNTIF(Flows!$M$2:$M$1500,$A156&amp;"|"&amp;BB$1&amp;"|Input"),IF(COUNTIF(Flows!$M$2:$M$1500,$A156&amp;"|"&amp;BB$1&amp;"|Output"),"I/O","IN"),IF(COUNTIF(Flows!$M$2:$M$1500,$A156&amp;"|"&amp;BB$1&amp;"|Output"),"OUT",""))</f>
        <v/>
      </c>
      <c r="BC156" s="33" t="str">
        <f aca="false">IF(COUNTIF(Flows!$M$2:$M$1500,$A156&amp;"|"&amp;BC$1&amp;"|Input"),IF(COUNTIF(Flows!$M$2:$M$1500,$A156&amp;"|"&amp;BC$1&amp;"|Output"),"I/O","IN"),IF(COUNTIF(Flows!$M$2:$M$1500,$A156&amp;"|"&amp;BC$1&amp;"|Output"),"OUT",""))</f>
        <v/>
      </c>
      <c r="BD156" s="33" t="str">
        <f aca="false">IF(COUNTIF(Flows!$M$2:$M$1500,$A156&amp;"|"&amp;BD$1&amp;"|Input"),IF(COUNTIF(Flows!$M$2:$M$1500,$A156&amp;"|"&amp;BD$1&amp;"|Output"),"I/O","IN"),IF(COUNTIF(Flows!$M$2:$M$1500,$A156&amp;"|"&amp;BD$1&amp;"|Output"),"OUT",""))</f>
        <v/>
      </c>
      <c r="BE156" s="33" t="str">
        <f aca="false">IF(COUNTIF(Flows!$M$2:$M$1500,$A156&amp;"|"&amp;BE$1&amp;"|Input"),IF(COUNTIF(Flows!$M$2:$M$1500,$A156&amp;"|"&amp;BE$1&amp;"|Output"),"I/O","IN"),IF(COUNTIF(Flows!$M$2:$M$1500,$A156&amp;"|"&amp;BE$1&amp;"|Output"),"OUT",""))</f>
        <v/>
      </c>
      <c r="BF156" s="33" t="str">
        <f aca="false">IF(COUNTIF(Flows!$M$2:$M$1500,$A156&amp;"|"&amp;BF$1&amp;"|Input"),IF(COUNTIF(Flows!$M$2:$M$1500,$A156&amp;"|"&amp;BF$1&amp;"|Output"),"I/O","IN"),IF(COUNTIF(Flows!$M$2:$M$1500,$A156&amp;"|"&amp;BF$1&amp;"|Output"),"OUT",""))</f>
        <v>IN</v>
      </c>
      <c r="BG156" s="33" t="str">
        <f aca="false">IF(COUNTIF(Flows!$M$2:$M$1500,$A156&amp;"|"&amp;BG$1&amp;"|Input"),IF(COUNTIF(Flows!$M$2:$M$1500,$A156&amp;"|"&amp;BG$1&amp;"|Output"),"I/O","IN"),IF(COUNTIF(Flows!$M$2:$M$1500,$A156&amp;"|"&amp;BG$1&amp;"|Output"),"OUT",""))</f>
        <v/>
      </c>
      <c r="BH156" s="33" t="str">
        <f aca="false">IF(COUNTIF(Flows!$M$2:$M$1500,$A156&amp;"|"&amp;BH$1&amp;"|Input"),IF(COUNTIF(Flows!$M$2:$M$1500,$A156&amp;"|"&amp;BH$1&amp;"|Output"),"I/O","IN"),IF(COUNTIF(Flows!$M$2:$M$1500,$A156&amp;"|"&amp;BH$1&amp;"|Output"),"OUT",""))</f>
        <v/>
      </c>
      <c r="BI156" s="33" t="str">
        <f aca="false">IF(COUNTIF(Flows!$M$2:$M$1500,$A156&amp;"|"&amp;BI$1&amp;"|Input"),IF(COUNTIF(Flows!$M$2:$M$1500,$A156&amp;"|"&amp;BI$1&amp;"|Output"),"I/O","IN"),IF(COUNTIF(Flows!$M$2:$M$1500,$A156&amp;"|"&amp;BI$1&amp;"|Output"),"OUT",""))</f>
        <v/>
      </c>
      <c r="BJ156" s="33" t="str">
        <f aca="false">IF(COUNTIF(Flows!$M$2:$M$1500,$A156&amp;"|"&amp;BJ$1&amp;"|Input"),IF(COUNTIF(Flows!$M$2:$M$1500,$A156&amp;"|"&amp;BJ$1&amp;"|Output"),"I/O","IN"),IF(COUNTIF(Flows!$M$2:$M$1500,$A156&amp;"|"&amp;BJ$1&amp;"|Output"),"OUT",""))</f>
        <v/>
      </c>
      <c r="BK156" s="33" t="str">
        <f aca="false">IF(COUNTIF(Flows!$M$2:$M$1500,$A156&amp;"|"&amp;BK$1&amp;"|Input"),IF(COUNTIF(Flows!$M$2:$M$1500,$A156&amp;"|"&amp;BK$1&amp;"|Output"),"I/O","IN"),IF(COUNTIF(Flows!$M$2:$M$1500,$A156&amp;"|"&amp;BK$1&amp;"|Output"),"OUT",""))</f>
        <v/>
      </c>
    </row>
    <row r="157" customFormat="false" ht="15" hidden="false" customHeight="true" outlineLevel="0" collapsed="false">
      <c r="A157" s="6" t="str">
        <f aca="false">Systems!B157</f>
        <v>Induction Cooktop</v>
      </c>
      <c r="B157" s="33" t="str">
        <f aca="false">IF(COUNTIF(Flows!$M$2:$M$1500,$A157&amp;"|"&amp;B$1&amp;"|Input"),IF(COUNTIF(Flows!$M$2:$M$1500,$A157&amp;"|"&amp;B$1&amp;"|Output"),"I/O","IN"),IF(COUNTIF(Flows!$M$2:$M$1500,$A157&amp;"|"&amp;B$1&amp;"|Output"),"OUT",""))</f>
        <v/>
      </c>
      <c r="C157" s="33" t="str">
        <f aca="false">IF(COUNTIF(Flows!$M$2:$M$1500,$A157&amp;"|"&amp;C$1&amp;"|Input"),IF(COUNTIF(Flows!$M$2:$M$1500,$A157&amp;"|"&amp;C$1&amp;"|Output"),"I/O","IN"),IF(COUNTIF(Flows!$M$2:$M$1500,$A157&amp;"|"&amp;C$1&amp;"|Output"),"OUT",""))</f>
        <v/>
      </c>
      <c r="D157" s="33" t="str">
        <f aca="false">IF(COUNTIF(Flows!$M$2:$M$1500,$A157&amp;"|"&amp;D$1&amp;"|Input"),IF(COUNTIF(Flows!$M$2:$M$1500,$A157&amp;"|"&amp;D$1&amp;"|Output"),"I/O","IN"),IF(COUNTIF(Flows!$M$2:$M$1500,$A157&amp;"|"&amp;D$1&amp;"|Output"),"OUT",""))</f>
        <v/>
      </c>
      <c r="E157" s="33" t="str">
        <f aca="false">IF(COUNTIF(Flows!$M$2:$M$1500,$A157&amp;"|"&amp;E$1&amp;"|Input"),IF(COUNTIF(Flows!$M$2:$M$1500,$A157&amp;"|"&amp;E$1&amp;"|Output"),"I/O","IN"),IF(COUNTIF(Flows!$M$2:$M$1500,$A157&amp;"|"&amp;E$1&amp;"|Output"),"OUT",""))</f>
        <v/>
      </c>
      <c r="F157" s="33" t="str">
        <f aca="false">IF(COUNTIF(Flows!$M$2:$M$1500,$A157&amp;"|"&amp;F$1&amp;"|Input"),IF(COUNTIF(Flows!$M$2:$M$1500,$A157&amp;"|"&amp;F$1&amp;"|Output"),"I/O","IN"),IF(COUNTIF(Flows!$M$2:$M$1500,$A157&amp;"|"&amp;F$1&amp;"|Output"),"OUT",""))</f>
        <v/>
      </c>
      <c r="G157" s="33" t="str">
        <f aca="false">IF(COUNTIF(Flows!$M$2:$M$1500,$A157&amp;"|"&amp;G$1&amp;"|Input"),IF(COUNTIF(Flows!$M$2:$M$1500,$A157&amp;"|"&amp;G$1&amp;"|Output"),"I/O","IN"),IF(COUNTIF(Flows!$M$2:$M$1500,$A157&amp;"|"&amp;G$1&amp;"|Output"),"OUT",""))</f>
        <v/>
      </c>
      <c r="H157" s="33" t="str">
        <f aca="false">IF(COUNTIF(Flows!$M$2:$M$1500,$A157&amp;"|"&amp;H$1&amp;"|Input"),IF(COUNTIF(Flows!$M$2:$M$1500,$A157&amp;"|"&amp;H$1&amp;"|Output"),"I/O","IN"),IF(COUNTIF(Flows!$M$2:$M$1500,$A157&amp;"|"&amp;H$1&amp;"|Output"),"OUT",""))</f>
        <v/>
      </c>
      <c r="I157" s="33" t="str">
        <f aca="false">IF(COUNTIF(Flows!$M$2:$M$1500,$A157&amp;"|"&amp;I$1&amp;"|Input"),IF(COUNTIF(Flows!$M$2:$M$1500,$A157&amp;"|"&amp;I$1&amp;"|Output"),"I/O","IN"),IF(COUNTIF(Flows!$M$2:$M$1500,$A157&amp;"|"&amp;I$1&amp;"|Output"),"OUT",""))</f>
        <v/>
      </c>
      <c r="J157" s="33" t="str">
        <f aca="false">IF(COUNTIF(Flows!$M$2:$M$1500,$A157&amp;"|"&amp;J$1&amp;"|Input"),IF(COUNTIF(Flows!$M$2:$M$1500,$A157&amp;"|"&amp;J$1&amp;"|Output"),"I/O","IN"),IF(COUNTIF(Flows!$M$2:$M$1500,$A157&amp;"|"&amp;J$1&amp;"|Output"),"OUT",""))</f>
        <v/>
      </c>
      <c r="K157" s="33" t="str">
        <f aca="false">IF(COUNTIF(Flows!$M$2:$M$1500,$A157&amp;"|"&amp;K$1&amp;"|Input"),IF(COUNTIF(Flows!$M$2:$M$1500,$A157&amp;"|"&amp;K$1&amp;"|Output"),"I/O","IN"),IF(COUNTIF(Flows!$M$2:$M$1500,$A157&amp;"|"&amp;K$1&amp;"|Output"),"OUT",""))</f>
        <v/>
      </c>
      <c r="L157" s="33" t="str">
        <f aca="false">IF(COUNTIF(Flows!$M$2:$M$1500,$A157&amp;"|"&amp;L$1&amp;"|Input"),IF(COUNTIF(Flows!$M$2:$M$1500,$A157&amp;"|"&amp;L$1&amp;"|Output"),"I/O","IN"),IF(COUNTIF(Flows!$M$2:$M$1500,$A157&amp;"|"&amp;L$1&amp;"|Output"),"OUT",""))</f>
        <v/>
      </c>
      <c r="M157" s="33" t="str">
        <f aca="false">IF(COUNTIF(Flows!$M$2:$M$1500,$A157&amp;"|"&amp;M$1&amp;"|Input"),IF(COUNTIF(Flows!$M$2:$M$1500,$A157&amp;"|"&amp;M$1&amp;"|Output"),"I/O","IN"),IF(COUNTIF(Flows!$M$2:$M$1500,$A157&amp;"|"&amp;M$1&amp;"|Output"),"OUT",""))</f>
        <v/>
      </c>
      <c r="N157" s="33" t="str">
        <f aca="false">IF(COUNTIF(Flows!$M$2:$M$1500,$A157&amp;"|"&amp;N$1&amp;"|Input"),IF(COUNTIF(Flows!$M$2:$M$1500,$A157&amp;"|"&amp;N$1&amp;"|Output"),"I/O","IN"),IF(COUNTIF(Flows!$M$2:$M$1500,$A157&amp;"|"&amp;N$1&amp;"|Output"),"OUT",""))</f>
        <v/>
      </c>
      <c r="O157" s="33" t="str">
        <f aca="false">IF(COUNTIF(Flows!$M$2:$M$1500,$A157&amp;"|"&amp;O$1&amp;"|Input"),IF(COUNTIF(Flows!$M$2:$M$1500,$A157&amp;"|"&amp;O$1&amp;"|Output"),"I/O","IN"),IF(COUNTIF(Flows!$M$2:$M$1500,$A157&amp;"|"&amp;O$1&amp;"|Output"),"OUT",""))</f>
        <v/>
      </c>
      <c r="P157" s="33" t="str">
        <f aca="false">IF(COUNTIF(Flows!$M$2:$M$1500,$A157&amp;"|"&amp;P$1&amp;"|Input"),IF(COUNTIF(Flows!$M$2:$M$1500,$A157&amp;"|"&amp;P$1&amp;"|Output"),"I/O","IN"),IF(COUNTIF(Flows!$M$2:$M$1500,$A157&amp;"|"&amp;P$1&amp;"|Output"),"OUT",""))</f>
        <v/>
      </c>
      <c r="Q157" s="33" t="str">
        <f aca="false">IF(COUNTIF(Flows!$M$2:$M$1500,$A157&amp;"|"&amp;Q$1&amp;"|Input"),IF(COUNTIF(Flows!$M$2:$M$1500,$A157&amp;"|"&amp;Q$1&amp;"|Output"),"I/O","IN"),IF(COUNTIF(Flows!$M$2:$M$1500,$A157&amp;"|"&amp;Q$1&amp;"|Output"),"OUT",""))</f>
        <v/>
      </c>
      <c r="R157" s="33" t="str">
        <f aca="false">IF(COUNTIF(Flows!$M$2:$M$1500,$A157&amp;"|"&amp;R$1&amp;"|Input"),IF(COUNTIF(Flows!$M$2:$M$1500,$A157&amp;"|"&amp;R$1&amp;"|Output"),"I/O","IN"),IF(COUNTIF(Flows!$M$2:$M$1500,$A157&amp;"|"&amp;R$1&amp;"|Output"),"OUT",""))</f>
        <v/>
      </c>
      <c r="S157" s="33" t="str">
        <f aca="false">IF(COUNTIF(Flows!$M$2:$M$1500,$A157&amp;"|"&amp;S$1&amp;"|Input"),IF(COUNTIF(Flows!$M$2:$M$1500,$A157&amp;"|"&amp;S$1&amp;"|Output"),"I/O","IN"),IF(COUNTIF(Flows!$M$2:$M$1500,$A157&amp;"|"&amp;S$1&amp;"|Output"),"OUT",""))</f>
        <v>IN</v>
      </c>
      <c r="T157" s="33" t="str">
        <f aca="false">IF(COUNTIF(Flows!$M$2:$M$1500,$A157&amp;"|"&amp;T$1&amp;"|Input"),IF(COUNTIF(Flows!$M$2:$M$1500,$A157&amp;"|"&amp;T$1&amp;"|Output"),"I/O","IN"),IF(COUNTIF(Flows!$M$2:$M$1500,$A157&amp;"|"&amp;T$1&amp;"|Output"),"OUT",""))</f>
        <v/>
      </c>
      <c r="U157" s="33" t="str">
        <f aca="false">IF(COUNTIF(Flows!$M$2:$M$1500,$A157&amp;"|"&amp;U$1&amp;"|Input"),IF(COUNTIF(Flows!$M$2:$M$1500,$A157&amp;"|"&amp;U$1&amp;"|Output"),"I/O","IN"),IF(COUNTIF(Flows!$M$2:$M$1500,$A157&amp;"|"&amp;U$1&amp;"|Output"),"OUT",""))</f>
        <v>OUT</v>
      </c>
      <c r="V157" s="33" t="str">
        <f aca="false">IF(COUNTIF(Flows!$M$2:$M$1500,$A157&amp;"|"&amp;V$1&amp;"|Input"),IF(COUNTIF(Flows!$M$2:$M$1500,$A157&amp;"|"&amp;V$1&amp;"|Output"),"I/O","IN"),IF(COUNTIF(Flows!$M$2:$M$1500,$A157&amp;"|"&amp;V$1&amp;"|Output"),"OUT",""))</f>
        <v/>
      </c>
      <c r="W157" s="33" t="str">
        <f aca="false">IF(COUNTIF(Flows!$M$2:$M$1500,$A157&amp;"|"&amp;W$1&amp;"|Input"),IF(COUNTIF(Flows!$M$2:$M$1500,$A157&amp;"|"&amp;W$1&amp;"|Output"),"I/O","IN"),IF(COUNTIF(Flows!$M$2:$M$1500,$A157&amp;"|"&amp;W$1&amp;"|Output"),"OUT",""))</f>
        <v/>
      </c>
      <c r="X157" s="33" t="str">
        <f aca="false">IF(COUNTIF(Flows!$M$2:$M$1500,$A157&amp;"|"&amp;X$1&amp;"|Input"),IF(COUNTIF(Flows!$M$2:$M$1500,$A157&amp;"|"&amp;X$1&amp;"|Output"),"I/O","IN"),IF(COUNTIF(Flows!$M$2:$M$1500,$A157&amp;"|"&amp;X$1&amp;"|Output"),"OUT",""))</f>
        <v/>
      </c>
      <c r="Y157" s="33" t="str">
        <f aca="false">IF(COUNTIF(Flows!$M$2:$M$1500,$A157&amp;"|"&amp;Y$1&amp;"|Input"),IF(COUNTIF(Flows!$M$2:$M$1500,$A157&amp;"|"&amp;Y$1&amp;"|Output"),"I/O","IN"),IF(COUNTIF(Flows!$M$2:$M$1500,$A157&amp;"|"&amp;Y$1&amp;"|Output"),"OUT",""))</f>
        <v/>
      </c>
      <c r="Z157" s="33" t="str">
        <f aca="false">IF(COUNTIF(Flows!$M$2:$M$1500,$A157&amp;"|"&amp;Z$1&amp;"|Input"),IF(COUNTIF(Flows!$M$2:$M$1500,$A157&amp;"|"&amp;Z$1&amp;"|Output"),"I/O","IN"),IF(COUNTIF(Flows!$M$2:$M$1500,$A157&amp;"|"&amp;Z$1&amp;"|Output"),"OUT",""))</f>
        <v/>
      </c>
      <c r="AA157" s="33" t="str">
        <f aca="false">IF(COUNTIF(Flows!$M$2:$M$1500,$A157&amp;"|"&amp;AA$1&amp;"|Input"),IF(COUNTIF(Flows!$M$2:$M$1500,$A157&amp;"|"&amp;AA$1&amp;"|Output"),"I/O","IN"),IF(COUNTIF(Flows!$M$2:$M$1500,$A157&amp;"|"&amp;AA$1&amp;"|Output"),"OUT",""))</f>
        <v/>
      </c>
      <c r="AB157" s="33" t="str">
        <f aca="false">IF(COUNTIF(Flows!$M$2:$M$1500,$A157&amp;"|"&amp;AB$1&amp;"|Input"),IF(COUNTIF(Flows!$M$2:$M$1500,$A157&amp;"|"&amp;AB$1&amp;"|Output"),"I/O","IN"),IF(COUNTIF(Flows!$M$2:$M$1500,$A157&amp;"|"&amp;AB$1&amp;"|Output"),"OUT",""))</f>
        <v/>
      </c>
      <c r="AC157" s="33" t="str">
        <f aca="false">IF(COUNTIF(Flows!$M$2:$M$1500,$A157&amp;"|"&amp;AC$1&amp;"|Input"),IF(COUNTIF(Flows!$M$2:$M$1500,$A157&amp;"|"&amp;AC$1&amp;"|Output"),"I/O","IN"),IF(COUNTIF(Flows!$M$2:$M$1500,$A157&amp;"|"&amp;AC$1&amp;"|Output"),"OUT",""))</f>
        <v/>
      </c>
      <c r="AD157" s="33" t="str">
        <f aca="false">IF(COUNTIF(Flows!$M$2:$M$1500,$A157&amp;"|"&amp;AD$1&amp;"|Input"),IF(COUNTIF(Flows!$M$2:$M$1500,$A157&amp;"|"&amp;AD$1&amp;"|Output"),"I/O","IN"),IF(COUNTIF(Flows!$M$2:$M$1500,$A157&amp;"|"&amp;AD$1&amp;"|Output"),"OUT",""))</f>
        <v/>
      </c>
      <c r="AE157" s="33" t="str">
        <f aca="false">IF(COUNTIF(Flows!$M$2:$M$1500,$A157&amp;"|"&amp;AE$1&amp;"|Input"),IF(COUNTIF(Flows!$M$2:$M$1500,$A157&amp;"|"&amp;AE$1&amp;"|Output"),"I/O","IN"),IF(COUNTIF(Flows!$M$2:$M$1500,$A157&amp;"|"&amp;AE$1&amp;"|Output"),"OUT",""))</f>
        <v/>
      </c>
      <c r="AF157" s="33" t="str">
        <f aca="false">IF(COUNTIF(Flows!$M$2:$M$1500,$A157&amp;"|"&amp;AF$1&amp;"|Input"),IF(COUNTIF(Flows!$M$2:$M$1500,$A157&amp;"|"&amp;AF$1&amp;"|Output"),"I/O","IN"),IF(COUNTIF(Flows!$M$2:$M$1500,$A157&amp;"|"&amp;AF$1&amp;"|Output"),"OUT",""))</f>
        <v/>
      </c>
      <c r="AG157" s="33" t="str">
        <f aca="false">IF(COUNTIF(Flows!$M$2:$M$1500,$A157&amp;"|"&amp;AG$1&amp;"|Input"),IF(COUNTIF(Flows!$M$2:$M$1500,$A157&amp;"|"&amp;AG$1&amp;"|Output"),"I/O","IN"),IF(COUNTIF(Flows!$M$2:$M$1500,$A157&amp;"|"&amp;AG$1&amp;"|Output"),"OUT",""))</f>
        <v/>
      </c>
      <c r="AH157" s="33" t="str">
        <f aca="false">IF(COUNTIF(Flows!$M$2:$M$1500,$A157&amp;"|"&amp;AH$1&amp;"|Input"),IF(COUNTIF(Flows!$M$2:$M$1500,$A157&amp;"|"&amp;AH$1&amp;"|Output"),"I/O","IN"),IF(COUNTIF(Flows!$M$2:$M$1500,$A157&amp;"|"&amp;AH$1&amp;"|Output"),"OUT",""))</f>
        <v/>
      </c>
      <c r="AI157" s="33" t="str">
        <f aca="false">IF(COUNTIF(Flows!$M$2:$M$1500,$A157&amp;"|"&amp;AI$1&amp;"|Input"),IF(COUNTIF(Flows!$M$2:$M$1500,$A157&amp;"|"&amp;AI$1&amp;"|Output"),"I/O","IN"),IF(COUNTIF(Flows!$M$2:$M$1500,$A157&amp;"|"&amp;AI$1&amp;"|Output"),"OUT",""))</f>
        <v/>
      </c>
      <c r="AJ157" s="33" t="str">
        <f aca="false">IF(COUNTIF(Flows!$M$2:$M$1500,$A157&amp;"|"&amp;AJ$1&amp;"|Input"),IF(COUNTIF(Flows!$M$2:$M$1500,$A157&amp;"|"&amp;AJ$1&amp;"|Output"),"I/O","IN"),IF(COUNTIF(Flows!$M$2:$M$1500,$A157&amp;"|"&amp;AJ$1&amp;"|Output"),"OUT",""))</f>
        <v/>
      </c>
      <c r="AK157" s="33" t="str">
        <f aca="false">IF(COUNTIF(Flows!$M$2:$M$1500,$A157&amp;"|"&amp;AK$1&amp;"|Input"),IF(COUNTIF(Flows!$M$2:$M$1500,$A157&amp;"|"&amp;AK$1&amp;"|Output"),"I/O","IN"),IF(COUNTIF(Flows!$M$2:$M$1500,$A157&amp;"|"&amp;AK$1&amp;"|Output"),"OUT",""))</f>
        <v/>
      </c>
      <c r="AL157" s="33" t="str">
        <f aca="false">IF(COUNTIF(Flows!$M$2:$M$1500,$A157&amp;"|"&amp;AL$1&amp;"|Input"),IF(COUNTIF(Flows!$M$2:$M$1500,$A157&amp;"|"&amp;AL$1&amp;"|Output"),"I/O","IN"),IF(COUNTIF(Flows!$M$2:$M$1500,$A157&amp;"|"&amp;AL$1&amp;"|Output"),"OUT",""))</f>
        <v/>
      </c>
      <c r="AM157" s="33" t="str">
        <f aca="false">IF(COUNTIF(Flows!$M$2:$M$1500,$A157&amp;"|"&amp;AM$1&amp;"|Input"),IF(COUNTIF(Flows!$M$2:$M$1500,$A157&amp;"|"&amp;AM$1&amp;"|Output"),"I/O","IN"),IF(COUNTIF(Flows!$M$2:$M$1500,$A157&amp;"|"&amp;AM$1&amp;"|Output"),"OUT",""))</f>
        <v/>
      </c>
      <c r="AN157" s="33" t="str">
        <f aca="false">IF(COUNTIF(Flows!$M$2:$M$1500,$A157&amp;"|"&amp;AN$1&amp;"|Input"),IF(COUNTIF(Flows!$M$2:$M$1500,$A157&amp;"|"&amp;AN$1&amp;"|Output"),"I/O","IN"),IF(COUNTIF(Flows!$M$2:$M$1500,$A157&amp;"|"&amp;AN$1&amp;"|Output"),"OUT",""))</f>
        <v/>
      </c>
      <c r="AO157" s="33" t="str">
        <f aca="false">IF(COUNTIF(Flows!$M$2:$M$1500,$A157&amp;"|"&amp;AO$1&amp;"|Input"),IF(COUNTIF(Flows!$M$2:$M$1500,$A157&amp;"|"&amp;AO$1&amp;"|Output"),"I/O","IN"),IF(COUNTIF(Flows!$M$2:$M$1500,$A157&amp;"|"&amp;AO$1&amp;"|Output"),"OUT",""))</f>
        <v/>
      </c>
      <c r="AP157" s="33" t="str">
        <f aca="false">IF(COUNTIF(Flows!$M$2:$M$1500,$A157&amp;"|"&amp;AP$1&amp;"|Input"),IF(COUNTIF(Flows!$M$2:$M$1500,$A157&amp;"|"&amp;AP$1&amp;"|Output"),"I/O","IN"),IF(COUNTIF(Flows!$M$2:$M$1500,$A157&amp;"|"&amp;AP$1&amp;"|Output"),"OUT",""))</f>
        <v/>
      </c>
      <c r="AQ157" s="33" t="str">
        <f aca="false">IF(COUNTIF(Flows!$M$2:$M$1500,$A157&amp;"|"&amp;AQ$1&amp;"|Input"),IF(COUNTIF(Flows!$M$2:$M$1500,$A157&amp;"|"&amp;AQ$1&amp;"|Output"),"I/O","IN"),IF(COUNTIF(Flows!$M$2:$M$1500,$A157&amp;"|"&amp;AQ$1&amp;"|Output"),"OUT",""))</f>
        <v/>
      </c>
      <c r="AR157" s="33" t="str">
        <f aca="false">IF(COUNTIF(Flows!$M$2:$M$1500,$A157&amp;"|"&amp;AR$1&amp;"|Input"),IF(COUNTIF(Flows!$M$2:$M$1500,$A157&amp;"|"&amp;AR$1&amp;"|Output"),"I/O","IN"),IF(COUNTIF(Flows!$M$2:$M$1500,$A157&amp;"|"&amp;AR$1&amp;"|Output"),"OUT",""))</f>
        <v/>
      </c>
      <c r="AS157" s="33" t="str">
        <f aca="false">IF(COUNTIF(Flows!$M$2:$M$1500,$A157&amp;"|"&amp;AS$1&amp;"|Input"),IF(COUNTIF(Flows!$M$2:$M$1500,$A157&amp;"|"&amp;AS$1&amp;"|Output"),"I/O","IN"),IF(COUNTIF(Flows!$M$2:$M$1500,$A157&amp;"|"&amp;AS$1&amp;"|Output"),"OUT",""))</f>
        <v/>
      </c>
      <c r="AT157" s="33" t="str">
        <f aca="false">IF(COUNTIF(Flows!$M$2:$M$1500,$A157&amp;"|"&amp;AT$1&amp;"|Input"),IF(COUNTIF(Flows!$M$2:$M$1500,$A157&amp;"|"&amp;AT$1&amp;"|Output"),"I/O","IN"),IF(COUNTIF(Flows!$M$2:$M$1500,$A157&amp;"|"&amp;AT$1&amp;"|Output"),"OUT",""))</f>
        <v/>
      </c>
      <c r="AU157" s="33" t="str">
        <f aca="false">IF(COUNTIF(Flows!$M$2:$M$1500,$A157&amp;"|"&amp;AU$1&amp;"|Input"),IF(COUNTIF(Flows!$M$2:$M$1500,$A157&amp;"|"&amp;AU$1&amp;"|Output"),"I/O","IN"),IF(COUNTIF(Flows!$M$2:$M$1500,$A157&amp;"|"&amp;AU$1&amp;"|Output"),"OUT",""))</f>
        <v/>
      </c>
      <c r="AV157" s="33" t="str">
        <f aca="false">IF(COUNTIF(Flows!$M$2:$M$1500,$A157&amp;"|"&amp;AV$1&amp;"|Input"),IF(COUNTIF(Flows!$M$2:$M$1500,$A157&amp;"|"&amp;AV$1&amp;"|Output"),"I/O","IN"),IF(COUNTIF(Flows!$M$2:$M$1500,$A157&amp;"|"&amp;AV$1&amp;"|Output"),"OUT",""))</f>
        <v/>
      </c>
      <c r="AW157" s="33" t="str">
        <f aca="false">IF(COUNTIF(Flows!$M$2:$M$1500,$A157&amp;"|"&amp;AW$1&amp;"|Input"),IF(COUNTIF(Flows!$M$2:$M$1500,$A157&amp;"|"&amp;AW$1&amp;"|Output"),"I/O","IN"),IF(COUNTIF(Flows!$M$2:$M$1500,$A157&amp;"|"&amp;AW$1&amp;"|Output"),"OUT",""))</f>
        <v/>
      </c>
      <c r="AX157" s="33" t="str">
        <f aca="false">IF(COUNTIF(Flows!$M$2:$M$1500,$A157&amp;"|"&amp;AX$1&amp;"|Input"),IF(COUNTIF(Flows!$M$2:$M$1500,$A157&amp;"|"&amp;AX$1&amp;"|Output"),"I/O","IN"),IF(COUNTIF(Flows!$M$2:$M$1500,$A157&amp;"|"&amp;AX$1&amp;"|Output"),"OUT",""))</f>
        <v/>
      </c>
      <c r="AY157" s="33" t="str">
        <f aca="false">IF(COUNTIF(Flows!$M$2:$M$1500,$A157&amp;"|"&amp;AY$1&amp;"|Input"),IF(COUNTIF(Flows!$M$2:$M$1500,$A157&amp;"|"&amp;AY$1&amp;"|Output"),"I/O","IN"),IF(COUNTIF(Flows!$M$2:$M$1500,$A157&amp;"|"&amp;AY$1&amp;"|Output"),"OUT",""))</f>
        <v/>
      </c>
      <c r="AZ157" s="33" t="str">
        <f aca="false">IF(COUNTIF(Flows!$M$2:$M$1500,$A157&amp;"|"&amp;AZ$1&amp;"|Input"),IF(COUNTIF(Flows!$M$2:$M$1500,$A157&amp;"|"&amp;AZ$1&amp;"|Output"),"I/O","IN"),IF(COUNTIF(Flows!$M$2:$M$1500,$A157&amp;"|"&amp;AZ$1&amp;"|Output"),"OUT",""))</f>
        <v/>
      </c>
      <c r="BA157" s="33" t="str">
        <f aca="false">IF(COUNTIF(Flows!$M$2:$M$1500,$A157&amp;"|"&amp;BA$1&amp;"|Input"),IF(COUNTIF(Flows!$M$2:$M$1500,$A157&amp;"|"&amp;BA$1&amp;"|Output"),"I/O","IN"),IF(COUNTIF(Flows!$M$2:$M$1500,$A157&amp;"|"&amp;BA$1&amp;"|Output"),"OUT",""))</f>
        <v/>
      </c>
      <c r="BB157" s="33" t="str">
        <f aca="false">IF(COUNTIF(Flows!$M$2:$M$1500,$A157&amp;"|"&amp;BB$1&amp;"|Input"),IF(COUNTIF(Flows!$M$2:$M$1500,$A157&amp;"|"&amp;BB$1&amp;"|Output"),"I/O","IN"),IF(COUNTIF(Flows!$M$2:$M$1500,$A157&amp;"|"&amp;BB$1&amp;"|Output"),"OUT",""))</f>
        <v/>
      </c>
      <c r="BC157" s="33" t="str">
        <f aca="false">IF(COUNTIF(Flows!$M$2:$M$1500,$A157&amp;"|"&amp;BC$1&amp;"|Input"),IF(COUNTIF(Flows!$M$2:$M$1500,$A157&amp;"|"&amp;BC$1&amp;"|Output"),"I/O","IN"),IF(COUNTIF(Flows!$M$2:$M$1500,$A157&amp;"|"&amp;BC$1&amp;"|Output"),"OUT",""))</f>
        <v/>
      </c>
      <c r="BD157" s="33" t="str">
        <f aca="false">IF(COUNTIF(Flows!$M$2:$M$1500,$A157&amp;"|"&amp;BD$1&amp;"|Input"),IF(COUNTIF(Flows!$M$2:$M$1500,$A157&amp;"|"&amp;BD$1&amp;"|Output"),"I/O","IN"),IF(COUNTIF(Flows!$M$2:$M$1500,$A157&amp;"|"&amp;BD$1&amp;"|Output"),"OUT",""))</f>
        <v/>
      </c>
      <c r="BE157" s="33" t="str">
        <f aca="false">IF(COUNTIF(Flows!$M$2:$M$1500,$A157&amp;"|"&amp;BE$1&amp;"|Input"),IF(COUNTIF(Flows!$M$2:$M$1500,$A157&amp;"|"&amp;BE$1&amp;"|Output"),"I/O","IN"),IF(COUNTIF(Flows!$M$2:$M$1500,$A157&amp;"|"&amp;BE$1&amp;"|Output"),"OUT",""))</f>
        <v/>
      </c>
      <c r="BF157" s="33" t="str">
        <f aca="false">IF(COUNTIF(Flows!$M$2:$M$1500,$A157&amp;"|"&amp;BF$1&amp;"|Input"),IF(COUNTIF(Flows!$M$2:$M$1500,$A157&amp;"|"&amp;BF$1&amp;"|Output"),"I/O","IN"),IF(COUNTIF(Flows!$M$2:$M$1500,$A157&amp;"|"&amp;BF$1&amp;"|Output"),"OUT",""))</f>
        <v/>
      </c>
      <c r="BG157" s="33" t="str">
        <f aca="false">IF(COUNTIF(Flows!$M$2:$M$1500,$A157&amp;"|"&amp;BG$1&amp;"|Input"),IF(COUNTIF(Flows!$M$2:$M$1500,$A157&amp;"|"&amp;BG$1&amp;"|Output"),"I/O","IN"),IF(COUNTIF(Flows!$M$2:$M$1500,$A157&amp;"|"&amp;BG$1&amp;"|Output"),"OUT",""))</f>
        <v/>
      </c>
      <c r="BH157" s="33" t="str">
        <f aca="false">IF(COUNTIF(Flows!$M$2:$M$1500,$A157&amp;"|"&amp;BH$1&amp;"|Input"),IF(COUNTIF(Flows!$M$2:$M$1500,$A157&amp;"|"&amp;BH$1&amp;"|Output"),"I/O","IN"),IF(COUNTIF(Flows!$M$2:$M$1500,$A157&amp;"|"&amp;BH$1&amp;"|Output"),"OUT",""))</f>
        <v/>
      </c>
      <c r="BI157" s="33" t="str">
        <f aca="false">IF(COUNTIF(Flows!$M$2:$M$1500,$A157&amp;"|"&amp;BI$1&amp;"|Input"),IF(COUNTIF(Flows!$M$2:$M$1500,$A157&amp;"|"&amp;BI$1&amp;"|Output"),"I/O","IN"),IF(COUNTIF(Flows!$M$2:$M$1500,$A157&amp;"|"&amp;BI$1&amp;"|Output"),"OUT",""))</f>
        <v/>
      </c>
      <c r="BJ157" s="33" t="str">
        <f aca="false">IF(COUNTIF(Flows!$M$2:$M$1500,$A157&amp;"|"&amp;BJ$1&amp;"|Input"),IF(COUNTIF(Flows!$M$2:$M$1500,$A157&amp;"|"&amp;BJ$1&amp;"|Output"),"I/O","IN"),IF(COUNTIF(Flows!$M$2:$M$1500,$A157&amp;"|"&amp;BJ$1&amp;"|Output"),"OUT",""))</f>
        <v/>
      </c>
      <c r="BK157" s="33" t="str">
        <f aca="false">IF(COUNTIF(Flows!$M$2:$M$1500,$A157&amp;"|"&amp;BK$1&amp;"|Input"),IF(COUNTIF(Flows!$M$2:$M$1500,$A157&amp;"|"&amp;BK$1&amp;"|Output"),"I/O","IN"),IF(COUNTIF(Flows!$M$2:$M$1500,$A157&amp;"|"&amp;BK$1&amp;"|Output"),"OUT",""))</f>
        <v/>
      </c>
    </row>
    <row r="158" customFormat="false" ht="15" hidden="false" customHeight="true" outlineLevel="0" collapsed="false">
      <c r="A158" s="6" t="str">
        <f aca="false">Systems!B158</f>
        <v>Cob Pizza Oven</v>
      </c>
      <c r="B158" s="33" t="str">
        <f aca="false">IF(COUNTIF(Flows!$M$2:$M$1500,$A158&amp;"|"&amp;B$1&amp;"|Input"),IF(COUNTIF(Flows!$M$2:$M$1500,$A158&amp;"|"&amp;B$1&amp;"|Output"),"I/O","IN"),IF(COUNTIF(Flows!$M$2:$M$1500,$A158&amp;"|"&amp;B$1&amp;"|Output"),"OUT",""))</f>
        <v/>
      </c>
      <c r="C158" s="33" t="str">
        <f aca="false">IF(COUNTIF(Flows!$M$2:$M$1500,$A158&amp;"|"&amp;C$1&amp;"|Input"),IF(COUNTIF(Flows!$M$2:$M$1500,$A158&amp;"|"&amp;C$1&amp;"|Output"),"I/O","IN"),IF(COUNTIF(Flows!$M$2:$M$1500,$A158&amp;"|"&amp;C$1&amp;"|Output"),"OUT",""))</f>
        <v/>
      </c>
      <c r="D158" s="33" t="str">
        <f aca="false">IF(COUNTIF(Flows!$M$2:$M$1500,$A158&amp;"|"&amp;D$1&amp;"|Input"),IF(COUNTIF(Flows!$M$2:$M$1500,$A158&amp;"|"&amp;D$1&amp;"|Output"),"I/O","IN"),IF(COUNTIF(Flows!$M$2:$M$1500,$A158&amp;"|"&amp;D$1&amp;"|Output"),"OUT",""))</f>
        <v/>
      </c>
      <c r="E158" s="33" t="str">
        <f aca="false">IF(COUNTIF(Flows!$M$2:$M$1500,$A158&amp;"|"&amp;E$1&amp;"|Input"),IF(COUNTIF(Flows!$M$2:$M$1500,$A158&amp;"|"&amp;E$1&amp;"|Output"),"I/O","IN"),IF(COUNTIF(Flows!$M$2:$M$1500,$A158&amp;"|"&amp;E$1&amp;"|Output"),"OUT",""))</f>
        <v/>
      </c>
      <c r="F158" s="33" t="str">
        <f aca="false">IF(COUNTIF(Flows!$M$2:$M$1500,$A158&amp;"|"&amp;F$1&amp;"|Input"),IF(COUNTIF(Flows!$M$2:$M$1500,$A158&amp;"|"&amp;F$1&amp;"|Output"),"I/O","IN"),IF(COUNTIF(Flows!$M$2:$M$1500,$A158&amp;"|"&amp;F$1&amp;"|Output"),"OUT",""))</f>
        <v/>
      </c>
      <c r="G158" s="33" t="str">
        <f aca="false">IF(COUNTIF(Flows!$M$2:$M$1500,$A158&amp;"|"&amp;G$1&amp;"|Input"),IF(COUNTIF(Flows!$M$2:$M$1500,$A158&amp;"|"&amp;G$1&amp;"|Output"),"I/O","IN"),IF(COUNTIF(Flows!$M$2:$M$1500,$A158&amp;"|"&amp;G$1&amp;"|Output"),"OUT",""))</f>
        <v/>
      </c>
      <c r="H158" s="33" t="str">
        <f aca="false">IF(COUNTIF(Flows!$M$2:$M$1500,$A158&amp;"|"&amp;H$1&amp;"|Input"),IF(COUNTIF(Flows!$M$2:$M$1500,$A158&amp;"|"&amp;H$1&amp;"|Output"),"I/O","IN"),IF(COUNTIF(Flows!$M$2:$M$1500,$A158&amp;"|"&amp;H$1&amp;"|Output"),"OUT",""))</f>
        <v/>
      </c>
      <c r="I158" s="33" t="str">
        <f aca="false">IF(COUNTIF(Flows!$M$2:$M$1500,$A158&amp;"|"&amp;I$1&amp;"|Input"),IF(COUNTIF(Flows!$M$2:$M$1500,$A158&amp;"|"&amp;I$1&amp;"|Output"),"I/O","IN"),IF(COUNTIF(Flows!$M$2:$M$1500,$A158&amp;"|"&amp;I$1&amp;"|Output"),"OUT",""))</f>
        <v/>
      </c>
      <c r="J158" s="33" t="str">
        <f aca="false">IF(COUNTIF(Flows!$M$2:$M$1500,$A158&amp;"|"&amp;J$1&amp;"|Input"),IF(COUNTIF(Flows!$M$2:$M$1500,$A158&amp;"|"&amp;J$1&amp;"|Output"),"I/O","IN"),IF(COUNTIF(Flows!$M$2:$M$1500,$A158&amp;"|"&amp;J$1&amp;"|Output"),"OUT",""))</f>
        <v/>
      </c>
      <c r="K158" s="33" t="str">
        <f aca="false">IF(COUNTIF(Flows!$M$2:$M$1500,$A158&amp;"|"&amp;K$1&amp;"|Input"),IF(COUNTIF(Flows!$M$2:$M$1500,$A158&amp;"|"&amp;K$1&amp;"|Output"),"I/O","IN"),IF(COUNTIF(Flows!$M$2:$M$1500,$A158&amp;"|"&amp;K$1&amp;"|Output"),"OUT",""))</f>
        <v/>
      </c>
      <c r="L158" s="33" t="str">
        <f aca="false">IF(COUNTIF(Flows!$M$2:$M$1500,$A158&amp;"|"&amp;L$1&amp;"|Input"),IF(COUNTIF(Flows!$M$2:$M$1500,$A158&amp;"|"&amp;L$1&amp;"|Output"),"I/O","IN"),IF(COUNTIF(Flows!$M$2:$M$1500,$A158&amp;"|"&amp;L$1&amp;"|Output"),"OUT",""))</f>
        <v/>
      </c>
      <c r="M158" s="33" t="str">
        <f aca="false">IF(COUNTIF(Flows!$M$2:$M$1500,$A158&amp;"|"&amp;M$1&amp;"|Input"),IF(COUNTIF(Flows!$M$2:$M$1500,$A158&amp;"|"&amp;M$1&amp;"|Output"),"I/O","IN"),IF(COUNTIF(Flows!$M$2:$M$1500,$A158&amp;"|"&amp;M$1&amp;"|Output"),"OUT",""))</f>
        <v/>
      </c>
      <c r="N158" s="33" t="str">
        <f aca="false">IF(COUNTIF(Flows!$M$2:$M$1500,$A158&amp;"|"&amp;N$1&amp;"|Input"),IF(COUNTIF(Flows!$M$2:$M$1500,$A158&amp;"|"&amp;N$1&amp;"|Output"),"I/O","IN"),IF(COUNTIF(Flows!$M$2:$M$1500,$A158&amp;"|"&amp;N$1&amp;"|Output"),"OUT",""))</f>
        <v/>
      </c>
      <c r="O158" s="33" t="str">
        <f aca="false">IF(COUNTIF(Flows!$M$2:$M$1500,$A158&amp;"|"&amp;O$1&amp;"|Input"),IF(COUNTIF(Flows!$M$2:$M$1500,$A158&amp;"|"&amp;O$1&amp;"|Output"),"I/O","IN"),IF(COUNTIF(Flows!$M$2:$M$1500,$A158&amp;"|"&amp;O$1&amp;"|Output"),"OUT",""))</f>
        <v/>
      </c>
      <c r="P158" s="33" t="str">
        <f aca="false">IF(COUNTIF(Flows!$M$2:$M$1500,$A158&amp;"|"&amp;P$1&amp;"|Input"),IF(COUNTIF(Flows!$M$2:$M$1500,$A158&amp;"|"&amp;P$1&amp;"|Output"),"I/O","IN"),IF(COUNTIF(Flows!$M$2:$M$1500,$A158&amp;"|"&amp;P$1&amp;"|Output"),"OUT",""))</f>
        <v/>
      </c>
      <c r="Q158" s="33" t="str">
        <f aca="false">IF(COUNTIF(Flows!$M$2:$M$1500,$A158&amp;"|"&amp;Q$1&amp;"|Input"),IF(COUNTIF(Flows!$M$2:$M$1500,$A158&amp;"|"&amp;Q$1&amp;"|Output"),"I/O","IN"),IF(COUNTIF(Flows!$M$2:$M$1500,$A158&amp;"|"&amp;Q$1&amp;"|Output"),"OUT",""))</f>
        <v/>
      </c>
      <c r="R158" s="33" t="str">
        <f aca="false">IF(COUNTIF(Flows!$M$2:$M$1500,$A158&amp;"|"&amp;R$1&amp;"|Input"),IF(COUNTIF(Flows!$M$2:$M$1500,$A158&amp;"|"&amp;R$1&amp;"|Output"),"I/O","IN"),IF(COUNTIF(Flows!$M$2:$M$1500,$A158&amp;"|"&amp;R$1&amp;"|Output"),"OUT",""))</f>
        <v/>
      </c>
      <c r="S158" s="33" t="str">
        <f aca="false">IF(COUNTIF(Flows!$M$2:$M$1500,$A158&amp;"|"&amp;S$1&amp;"|Input"),IF(COUNTIF(Flows!$M$2:$M$1500,$A158&amp;"|"&amp;S$1&amp;"|Output"),"I/O","IN"),IF(COUNTIF(Flows!$M$2:$M$1500,$A158&amp;"|"&amp;S$1&amp;"|Output"),"OUT",""))</f>
        <v/>
      </c>
      <c r="T158" s="33" t="str">
        <f aca="false">IF(COUNTIF(Flows!$M$2:$M$1500,$A158&amp;"|"&amp;T$1&amp;"|Input"),IF(COUNTIF(Flows!$M$2:$M$1500,$A158&amp;"|"&amp;T$1&amp;"|Output"),"I/O","IN"),IF(COUNTIF(Flows!$M$2:$M$1500,$A158&amp;"|"&amp;T$1&amp;"|Output"),"OUT",""))</f>
        <v/>
      </c>
      <c r="U158" s="33" t="str">
        <f aca="false">IF(COUNTIF(Flows!$M$2:$M$1500,$A158&amp;"|"&amp;U$1&amp;"|Input"),IF(COUNTIF(Flows!$M$2:$M$1500,$A158&amp;"|"&amp;U$1&amp;"|Output"),"I/O","IN"),IF(COUNTIF(Flows!$M$2:$M$1500,$A158&amp;"|"&amp;U$1&amp;"|Output"),"OUT",""))</f>
        <v>OUT</v>
      </c>
      <c r="V158" s="33" t="str">
        <f aca="false">IF(COUNTIF(Flows!$M$2:$M$1500,$A158&amp;"|"&amp;V$1&amp;"|Input"),IF(COUNTIF(Flows!$M$2:$M$1500,$A158&amp;"|"&amp;V$1&amp;"|Output"),"I/O","IN"),IF(COUNTIF(Flows!$M$2:$M$1500,$A158&amp;"|"&amp;V$1&amp;"|Output"),"OUT",""))</f>
        <v/>
      </c>
      <c r="W158" s="33" t="str">
        <f aca="false">IF(COUNTIF(Flows!$M$2:$M$1500,$A158&amp;"|"&amp;W$1&amp;"|Input"),IF(COUNTIF(Flows!$M$2:$M$1500,$A158&amp;"|"&amp;W$1&amp;"|Output"),"I/O","IN"),IF(COUNTIF(Flows!$M$2:$M$1500,$A158&amp;"|"&amp;W$1&amp;"|Output"),"OUT",""))</f>
        <v/>
      </c>
      <c r="X158" s="33" t="str">
        <f aca="false">IF(COUNTIF(Flows!$M$2:$M$1500,$A158&amp;"|"&amp;X$1&amp;"|Input"),IF(COUNTIF(Flows!$M$2:$M$1500,$A158&amp;"|"&amp;X$1&amp;"|Output"),"I/O","IN"),IF(COUNTIF(Flows!$M$2:$M$1500,$A158&amp;"|"&amp;X$1&amp;"|Output"),"OUT",""))</f>
        <v>IN</v>
      </c>
      <c r="Y158" s="33" t="str">
        <f aca="false">IF(COUNTIF(Flows!$M$2:$M$1500,$A158&amp;"|"&amp;Y$1&amp;"|Input"),IF(COUNTIF(Flows!$M$2:$M$1500,$A158&amp;"|"&amp;Y$1&amp;"|Output"),"I/O","IN"),IF(COUNTIF(Flows!$M$2:$M$1500,$A158&amp;"|"&amp;Y$1&amp;"|Output"),"OUT",""))</f>
        <v/>
      </c>
      <c r="Z158" s="33" t="str">
        <f aca="false">IF(COUNTIF(Flows!$M$2:$M$1500,$A158&amp;"|"&amp;Z$1&amp;"|Input"),IF(COUNTIF(Flows!$M$2:$M$1500,$A158&amp;"|"&amp;Z$1&amp;"|Output"),"I/O","IN"),IF(COUNTIF(Flows!$M$2:$M$1500,$A158&amp;"|"&amp;Z$1&amp;"|Output"),"OUT",""))</f>
        <v/>
      </c>
      <c r="AA158" s="33" t="str">
        <f aca="false">IF(COUNTIF(Flows!$M$2:$M$1500,$A158&amp;"|"&amp;AA$1&amp;"|Input"),IF(COUNTIF(Flows!$M$2:$M$1500,$A158&amp;"|"&amp;AA$1&amp;"|Output"),"I/O","IN"),IF(COUNTIF(Flows!$M$2:$M$1500,$A158&amp;"|"&amp;AA$1&amp;"|Output"),"OUT",""))</f>
        <v/>
      </c>
      <c r="AB158" s="33" t="str">
        <f aca="false">IF(COUNTIF(Flows!$M$2:$M$1500,$A158&amp;"|"&amp;AB$1&amp;"|Input"),IF(COUNTIF(Flows!$M$2:$M$1500,$A158&amp;"|"&amp;AB$1&amp;"|Output"),"I/O","IN"),IF(COUNTIF(Flows!$M$2:$M$1500,$A158&amp;"|"&amp;AB$1&amp;"|Output"),"OUT",""))</f>
        <v/>
      </c>
      <c r="AC158" s="33" t="str">
        <f aca="false">IF(COUNTIF(Flows!$M$2:$M$1500,$A158&amp;"|"&amp;AC$1&amp;"|Input"),IF(COUNTIF(Flows!$M$2:$M$1500,$A158&amp;"|"&amp;AC$1&amp;"|Output"),"I/O","IN"),IF(COUNTIF(Flows!$M$2:$M$1500,$A158&amp;"|"&amp;AC$1&amp;"|Output"),"OUT",""))</f>
        <v/>
      </c>
      <c r="AD158" s="33" t="str">
        <f aca="false">IF(COUNTIF(Flows!$M$2:$M$1500,$A158&amp;"|"&amp;AD$1&amp;"|Input"),IF(COUNTIF(Flows!$M$2:$M$1500,$A158&amp;"|"&amp;AD$1&amp;"|Output"),"I/O","IN"),IF(COUNTIF(Flows!$M$2:$M$1500,$A158&amp;"|"&amp;AD$1&amp;"|Output"),"OUT",""))</f>
        <v/>
      </c>
      <c r="AE158" s="33" t="str">
        <f aca="false">IF(COUNTIF(Flows!$M$2:$M$1500,$A158&amp;"|"&amp;AE$1&amp;"|Input"),IF(COUNTIF(Flows!$M$2:$M$1500,$A158&amp;"|"&amp;AE$1&amp;"|Output"),"I/O","IN"),IF(COUNTIF(Flows!$M$2:$M$1500,$A158&amp;"|"&amp;AE$1&amp;"|Output"),"OUT",""))</f>
        <v/>
      </c>
      <c r="AF158" s="33" t="str">
        <f aca="false">IF(COUNTIF(Flows!$M$2:$M$1500,$A158&amp;"|"&amp;AF$1&amp;"|Input"),IF(COUNTIF(Flows!$M$2:$M$1500,$A158&amp;"|"&amp;AF$1&amp;"|Output"),"I/O","IN"),IF(COUNTIF(Flows!$M$2:$M$1500,$A158&amp;"|"&amp;AF$1&amp;"|Output"),"OUT",""))</f>
        <v/>
      </c>
      <c r="AG158" s="33" t="str">
        <f aca="false">IF(COUNTIF(Flows!$M$2:$M$1500,$A158&amp;"|"&amp;AG$1&amp;"|Input"),IF(COUNTIF(Flows!$M$2:$M$1500,$A158&amp;"|"&amp;AG$1&amp;"|Output"),"I/O","IN"),IF(COUNTIF(Flows!$M$2:$M$1500,$A158&amp;"|"&amp;AG$1&amp;"|Output"),"OUT",""))</f>
        <v/>
      </c>
      <c r="AH158" s="33" t="str">
        <f aca="false">IF(COUNTIF(Flows!$M$2:$M$1500,$A158&amp;"|"&amp;AH$1&amp;"|Input"),IF(COUNTIF(Flows!$M$2:$M$1500,$A158&amp;"|"&amp;AH$1&amp;"|Output"),"I/O","IN"),IF(COUNTIF(Flows!$M$2:$M$1500,$A158&amp;"|"&amp;AH$1&amp;"|Output"),"OUT",""))</f>
        <v/>
      </c>
      <c r="AI158" s="33" t="str">
        <f aca="false">IF(COUNTIF(Flows!$M$2:$M$1500,$A158&amp;"|"&amp;AI$1&amp;"|Input"),IF(COUNTIF(Flows!$M$2:$M$1500,$A158&amp;"|"&amp;AI$1&amp;"|Output"),"I/O","IN"),IF(COUNTIF(Flows!$M$2:$M$1500,$A158&amp;"|"&amp;AI$1&amp;"|Output"),"OUT",""))</f>
        <v/>
      </c>
      <c r="AJ158" s="33" t="str">
        <f aca="false">IF(COUNTIF(Flows!$M$2:$M$1500,$A158&amp;"|"&amp;AJ$1&amp;"|Input"),IF(COUNTIF(Flows!$M$2:$M$1500,$A158&amp;"|"&amp;AJ$1&amp;"|Output"),"I/O","IN"),IF(COUNTIF(Flows!$M$2:$M$1500,$A158&amp;"|"&amp;AJ$1&amp;"|Output"),"OUT",""))</f>
        <v/>
      </c>
      <c r="AK158" s="33" t="str">
        <f aca="false">IF(COUNTIF(Flows!$M$2:$M$1500,$A158&amp;"|"&amp;AK$1&amp;"|Input"),IF(COUNTIF(Flows!$M$2:$M$1500,$A158&amp;"|"&amp;AK$1&amp;"|Output"),"I/O","IN"),IF(COUNTIF(Flows!$M$2:$M$1500,$A158&amp;"|"&amp;AK$1&amp;"|Output"),"OUT",""))</f>
        <v/>
      </c>
      <c r="AL158" s="33" t="str">
        <f aca="false">IF(COUNTIF(Flows!$M$2:$M$1500,$A158&amp;"|"&amp;AL$1&amp;"|Input"),IF(COUNTIF(Flows!$M$2:$M$1500,$A158&amp;"|"&amp;AL$1&amp;"|Output"),"I/O","IN"),IF(COUNTIF(Flows!$M$2:$M$1500,$A158&amp;"|"&amp;AL$1&amp;"|Output"),"OUT",""))</f>
        <v>IN</v>
      </c>
      <c r="AM158" s="33" t="str">
        <f aca="false">IF(COUNTIF(Flows!$M$2:$M$1500,$A158&amp;"|"&amp;AM$1&amp;"|Input"),IF(COUNTIF(Flows!$M$2:$M$1500,$A158&amp;"|"&amp;AM$1&amp;"|Output"),"I/O","IN"),IF(COUNTIF(Flows!$M$2:$M$1500,$A158&amp;"|"&amp;AM$1&amp;"|Output"),"OUT",""))</f>
        <v/>
      </c>
      <c r="AN158" s="33" t="str">
        <f aca="false">IF(COUNTIF(Flows!$M$2:$M$1500,$A158&amp;"|"&amp;AN$1&amp;"|Input"),IF(COUNTIF(Flows!$M$2:$M$1500,$A158&amp;"|"&amp;AN$1&amp;"|Output"),"I/O","IN"),IF(COUNTIF(Flows!$M$2:$M$1500,$A158&amp;"|"&amp;AN$1&amp;"|Output"),"OUT",""))</f>
        <v/>
      </c>
      <c r="AO158" s="33" t="str">
        <f aca="false">IF(COUNTIF(Flows!$M$2:$M$1500,$A158&amp;"|"&amp;AO$1&amp;"|Input"),IF(COUNTIF(Flows!$M$2:$M$1500,$A158&amp;"|"&amp;AO$1&amp;"|Output"),"I/O","IN"),IF(COUNTIF(Flows!$M$2:$M$1500,$A158&amp;"|"&amp;AO$1&amp;"|Output"),"OUT",""))</f>
        <v/>
      </c>
      <c r="AP158" s="33" t="str">
        <f aca="false">IF(COUNTIF(Flows!$M$2:$M$1500,$A158&amp;"|"&amp;AP$1&amp;"|Input"),IF(COUNTIF(Flows!$M$2:$M$1500,$A158&amp;"|"&amp;AP$1&amp;"|Output"),"I/O","IN"),IF(COUNTIF(Flows!$M$2:$M$1500,$A158&amp;"|"&amp;AP$1&amp;"|Output"),"OUT",""))</f>
        <v/>
      </c>
      <c r="AQ158" s="33" t="str">
        <f aca="false">IF(COUNTIF(Flows!$M$2:$M$1500,$A158&amp;"|"&amp;AQ$1&amp;"|Input"),IF(COUNTIF(Flows!$M$2:$M$1500,$A158&amp;"|"&amp;AQ$1&amp;"|Output"),"I/O","IN"),IF(COUNTIF(Flows!$M$2:$M$1500,$A158&amp;"|"&amp;AQ$1&amp;"|Output"),"OUT",""))</f>
        <v/>
      </c>
      <c r="AR158" s="33" t="str">
        <f aca="false">IF(COUNTIF(Flows!$M$2:$M$1500,$A158&amp;"|"&amp;AR$1&amp;"|Input"),IF(COUNTIF(Flows!$M$2:$M$1500,$A158&amp;"|"&amp;AR$1&amp;"|Output"),"I/O","IN"),IF(COUNTIF(Flows!$M$2:$M$1500,$A158&amp;"|"&amp;AR$1&amp;"|Output"),"OUT",""))</f>
        <v/>
      </c>
      <c r="AS158" s="33" t="str">
        <f aca="false">IF(COUNTIF(Flows!$M$2:$M$1500,$A158&amp;"|"&amp;AS$1&amp;"|Input"),IF(COUNTIF(Flows!$M$2:$M$1500,$A158&amp;"|"&amp;AS$1&amp;"|Output"),"I/O","IN"),IF(COUNTIF(Flows!$M$2:$M$1500,$A158&amp;"|"&amp;AS$1&amp;"|Output"),"OUT",""))</f>
        <v/>
      </c>
      <c r="AT158" s="33" t="str">
        <f aca="false">IF(COUNTIF(Flows!$M$2:$M$1500,$A158&amp;"|"&amp;AT$1&amp;"|Input"),IF(COUNTIF(Flows!$M$2:$M$1500,$A158&amp;"|"&amp;AT$1&amp;"|Output"),"I/O","IN"),IF(COUNTIF(Flows!$M$2:$M$1500,$A158&amp;"|"&amp;AT$1&amp;"|Output"),"OUT",""))</f>
        <v/>
      </c>
      <c r="AU158" s="33" t="str">
        <f aca="false">IF(COUNTIF(Flows!$M$2:$M$1500,$A158&amp;"|"&amp;AU$1&amp;"|Input"),IF(COUNTIF(Flows!$M$2:$M$1500,$A158&amp;"|"&amp;AU$1&amp;"|Output"),"I/O","IN"),IF(COUNTIF(Flows!$M$2:$M$1500,$A158&amp;"|"&amp;AU$1&amp;"|Output"),"OUT",""))</f>
        <v/>
      </c>
      <c r="AV158" s="33" t="str">
        <f aca="false">IF(COUNTIF(Flows!$M$2:$M$1500,$A158&amp;"|"&amp;AV$1&amp;"|Input"),IF(COUNTIF(Flows!$M$2:$M$1500,$A158&amp;"|"&amp;AV$1&amp;"|Output"),"I/O","IN"),IF(COUNTIF(Flows!$M$2:$M$1500,$A158&amp;"|"&amp;AV$1&amp;"|Output"),"OUT",""))</f>
        <v/>
      </c>
      <c r="AW158" s="33" t="str">
        <f aca="false">IF(COUNTIF(Flows!$M$2:$M$1500,$A158&amp;"|"&amp;AW$1&amp;"|Input"),IF(COUNTIF(Flows!$M$2:$M$1500,$A158&amp;"|"&amp;AW$1&amp;"|Output"),"I/O","IN"),IF(COUNTIF(Flows!$M$2:$M$1500,$A158&amp;"|"&amp;AW$1&amp;"|Output"),"OUT",""))</f>
        <v/>
      </c>
      <c r="AX158" s="33" t="str">
        <f aca="false">IF(COUNTIF(Flows!$M$2:$M$1500,$A158&amp;"|"&amp;AX$1&amp;"|Input"),IF(COUNTIF(Flows!$M$2:$M$1500,$A158&amp;"|"&amp;AX$1&amp;"|Output"),"I/O","IN"),IF(COUNTIF(Flows!$M$2:$M$1500,$A158&amp;"|"&amp;AX$1&amp;"|Output"),"OUT",""))</f>
        <v/>
      </c>
      <c r="AY158" s="33" t="str">
        <f aca="false">IF(COUNTIF(Flows!$M$2:$M$1500,$A158&amp;"|"&amp;AY$1&amp;"|Input"),IF(COUNTIF(Flows!$M$2:$M$1500,$A158&amp;"|"&amp;AY$1&amp;"|Output"),"I/O","IN"),IF(COUNTIF(Flows!$M$2:$M$1500,$A158&amp;"|"&amp;AY$1&amp;"|Output"),"OUT",""))</f>
        <v/>
      </c>
      <c r="AZ158" s="33" t="str">
        <f aca="false">IF(COUNTIF(Flows!$M$2:$M$1500,$A158&amp;"|"&amp;AZ$1&amp;"|Input"),IF(COUNTIF(Flows!$M$2:$M$1500,$A158&amp;"|"&amp;AZ$1&amp;"|Output"),"I/O","IN"),IF(COUNTIF(Flows!$M$2:$M$1500,$A158&amp;"|"&amp;AZ$1&amp;"|Output"),"OUT",""))</f>
        <v/>
      </c>
      <c r="BA158" s="33" t="str">
        <f aca="false">IF(COUNTIF(Flows!$M$2:$M$1500,$A158&amp;"|"&amp;BA$1&amp;"|Input"),IF(COUNTIF(Flows!$M$2:$M$1500,$A158&amp;"|"&amp;BA$1&amp;"|Output"),"I/O","IN"),IF(COUNTIF(Flows!$M$2:$M$1500,$A158&amp;"|"&amp;BA$1&amp;"|Output"),"OUT",""))</f>
        <v/>
      </c>
      <c r="BB158" s="33" t="str">
        <f aca="false">IF(COUNTIF(Flows!$M$2:$M$1500,$A158&amp;"|"&amp;BB$1&amp;"|Input"),IF(COUNTIF(Flows!$M$2:$M$1500,$A158&amp;"|"&amp;BB$1&amp;"|Output"),"I/O","IN"),IF(COUNTIF(Flows!$M$2:$M$1500,$A158&amp;"|"&amp;BB$1&amp;"|Output"),"OUT",""))</f>
        <v/>
      </c>
      <c r="BC158" s="33" t="str">
        <f aca="false">IF(COUNTIF(Flows!$M$2:$M$1500,$A158&amp;"|"&amp;BC$1&amp;"|Input"),IF(COUNTIF(Flows!$M$2:$M$1500,$A158&amp;"|"&amp;BC$1&amp;"|Output"),"I/O","IN"),IF(COUNTIF(Flows!$M$2:$M$1500,$A158&amp;"|"&amp;BC$1&amp;"|Output"),"OUT",""))</f>
        <v/>
      </c>
      <c r="BD158" s="33" t="str">
        <f aca="false">IF(COUNTIF(Flows!$M$2:$M$1500,$A158&amp;"|"&amp;BD$1&amp;"|Input"),IF(COUNTIF(Flows!$M$2:$M$1500,$A158&amp;"|"&amp;BD$1&amp;"|Output"),"I/O","IN"),IF(COUNTIF(Flows!$M$2:$M$1500,$A158&amp;"|"&amp;BD$1&amp;"|Output"),"OUT",""))</f>
        <v>IN</v>
      </c>
      <c r="BE158" s="33" t="str">
        <f aca="false">IF(COUNTIF(Flows!$M$2:$M$1500,$A158&amp;"|"&amp;BE$1&amp;"|Input"),IF(COUNTIF(Flows!$M$2:$M$1500,$A158&amp;"|"&amp;BE$1&amp;"|Output"),"I/O","IN"),IF(COUNTIF(Flows!$M$2:$M$1500,$A158&amp;"|"&amp;BE$1&amp;"|Output"),"OUT",""))</f>
        <v/>
      </c>
      <c r="BF158" s="33" t="str">
        <f aca="false">IF(COUNTIF(Flows!$M$2:$M$1500,$A158&amp;"|"&amp;BF$1&amp;"|Input"),IF(COUNTIF(Flows!$M$2:$M$1500,$A158&amp;"|"&amp;BF$1&amp;"|Output"),"I/O","IN"),IF(COUNTIF(Flows!$M$2:$M$1500,$A158&amp;"|"&amp;BF$1&amp;"|Output"),"OUT",""))</f>
        <v/>
      </c>
      <c r="BG158" s="33" t="str">
        <f aca="false">IF(COUNTIF(Flows!$M$2:$M$1500,$A158&amp;"|"&amp;BG$1&amp;"|Input"),IF(COUNTIF(Flows!$M$2:$M$1500,$A158&amp;"|"&amp;BG$1&amp;"|Output"),"I/O","IN"),IF(COUNTIF(Flows!$M$2:$M$1500,$A158&amp;"|"&amp;BG$1&amp;"|Output"),"OUT",""))</f>
        <v/>
      </c>
      <c r="BH158" s="33" t="str">
        <f aca="false">IF(COUNTIF(Flows!$M$2:$M$1500,$A158&amp;"|"&amp;BH$1&amp;"|Input"),IF(COUNTIF(Flows!$M$2:$M$1500,$A158&amp;"|"&amp;BH$1&amp;"|Output"),"I/O","IN"),IF(COUNTIF(Flows!$M$2:$M$1500,$A158&amp;"|"&amp;BH$1&amp;"|Output"),"OUT",""))</f>
        <v/>
      </c>
      <c r="BI158" s="33" t="str">
        <f aca="false">IF(COUNTIF(Flows!$M$2:$M$1500,$A158&amp;"|"&amp;BI$1&amp;"|Input"),IF(COUNTIF(Flows!$M$2:$M$1500,$A158&amp;"|"&amp;BI$1&amp;"|Output"),"I/O","IN"),IF(COUNTIF(Flows!$M$2:$M$1500,$A158&amp;"|"&amp;BI$1&amp;"|Output"),"OUT",""))</f>
        <v/>
      </c>
      <c r="BJ158" s="33" t="str">
        <f aca="false">IF(COUNTIF(Flows!$M$2:$M$1500,$A158&amp;"|"&amp;BJ$1&amp;"|Input"),IF(COUNTIF(Flows!$M$2:$M$1500,$A158&amp;"|"&amp;BJ$1&amp;"|Output"),"I/O","IN"),IF(COUNTIF(Flows!$M$2:$M$1500,$A158&amp;"|"&amp;BJ$1&amp;"|Output"),"OUT",""))</f>
        <v/>
      </c>
      <c r="BK158" s="33" t="str">
        <f aca="false">IF(COUNTIF(Flows!$M$2:$M$1500,$A158&amp;"|"&amp;BK$1&amp;"|Input"),IF(COUNTIF(Flows!$M$2:$M$1500,$A158&amp;"|"&amp;BK$1&amp;"|Output"),"I/O","IN"),IF(COUNTIF(Flows!$M$2:$M$1500,$A158&amp;"|"&amp;BK$1&amp;"|Output"),"OUT",""))</f>
        <v>OUT</v>
      </c>
    </row>
    <row r="159" customFormat="false" ht="15" hidden="false" customHeight="true" outlineLevel="0" collapsed="false">
      <c r="A159" s="6" t="str">
        <f aca="false">Systems!B159</f>
        <v>Evaporative (Swamp) Cooler</v>
      </c>
      <c r="B159" s="33" t="str">
        <f aca="false">IF(COUNTIF(Flows!$M$2:$M$1500,$A159&amp;"|"&amp;B$1&amp;"|Input"),IF(COUNTIF(Flows!$M$2:$M$1500,$A159&amp;"|"&amp;B$1&amp;"|Output"),"I/O","IN"),IF(COUNTIF(Flows!$M$2:$M$1500,$A159&amp;"|"&amp;B$1&amp;"|Output"),"OUT",""))</f>
        <v>IN</v>
      </c>
      <c r="C159" s="33" t="str">
        <f aca="false">IF(COUNTIF(Flows!$M$2:$M$1500,$A159&amp;"|"&amp;C$1&amp;"|Input"),IF(COUNTIF(Flows!$M$2:$M$1500,$A159&amp;"|"&amp;C$1&amp;"|Output"),"I/O","IN"),IF(COUNTIF(Flows!$M$2:$M$1500,$A159&amp;"|"&amp;C$1&amp;"|Output"),"OUT",""))</f>
        <v/>
      </c>
      <c r="D159" s="33" t="str">
        <f aca="false">IF(COUNTIF(Flows!$M$2:$M$1500,$A159&amp;"|"&amp;D$1&amp;"|Input"),IF(COUNTIF(Flows!$M$2:$M$1500,$A159&amp;"|"&amp;D$1&amp;"|Output"),"I/O","IN"),IF(COUNTIF(Flows!$M$2:$M$1500,$A159&amp;"|"&amp;D$1&amp;"|Output"),"OUT",""))</f>
        <v/>
      </c>
      <c r="E159" s="33" t="str">
        <f aca="false">IF(COUNTIF(Flows!$M$2:$M$1500,$A159&amp;"|"&amp;E$1&amp;"|Input"),IF(COUNTIF(Flows!$M$2:$M$1500,$A159&amp;"|"&amp;E$1&amp;"|Output"),"I/O","IN"),IF(COUNTIF(Flows!$M$2:$M$1500,$A159&amp;"|"&amp;E$1&amp;"|Output"),"OUT",""))</f>
        <v/>
      </c>
      <c r="F159" s="33" t="str">
        <f aca="false">IF(COUNTIF(Flows!$M$2:$M$1500,$A159&amp;"|"&amp;F$1&amp;"|Input"),IF(COUNTIF(Flows!$M$2:$M$1500,$A159&amp;"|"&amp;F$1&amp;"|Output"),"I/O","IN"),IF(COUNTIF(Flows!$M$2:$M$1500,$A159&amp;"|"&amp;F$1&amp;"|Output"),"OUT",""))</f>
        <v/>
      </c>
      <c r="G159" s="33" t="str">
        <f aca="false">IF(COUNTIF(Flows!$M$2:$M$1500,$A159&amp;"|"&amp;G$1&amp;"|Input"),IF(COUNTIF(Flows!$M$2:$M$1500,$A159&amp;"|"&amp;G$1&amp;"|Output"),"I/O","IN"),IF(COUNTIF(Flows!$M$2:$M$1500,$A159&amp;"|"&amp;G$1&amp;"|Output"),"OUT",""))</f>
        <v/>
      </c>
      <c r="H159" s="33" t="str">
        <f aca="false">IF(COUNTIF(Flows!$M$2:$M$1500,$A159&amp;"|"&amp;H$1&amp;"|Input"),IF(COUNTIF(Flows!$M$2:$M$1500,$A159&amp;"|"&amp;H$1&amp;"|Output"),"I/O","IN"),IF(COUNTIF(Flows!$M$2:$M$1500,$A159&amp;"|"&amp;H$1&amp;"|Output"),"OUT",""))</f>
        <v/>
      </c>
      <c r="I159" s="33" t="str">
        <f aca="false">IF(COUNTIF(Flows!$M$2:$M$1500,$A159&amp;"|"&amp;I$1&amp;"|Input"),IF(COUNTIF(Flows!$M$2:$M$1500,$A159&amp;"|"&amp;I$1&amp;"|Output"),"I/O","IN"),IF(COUNTIF(Flows!$M$2:$M$1500,$A159&amp;"|"&amp;I$1&amp;"|Output"),"OUT",""))</f>
        <v/>
      </c>
      <c r="J159" s="33" t="str">
        <f aca="false">IF(COUNTIF(Flows!$M$2:$M$1500,$A159&amp;"|"&amp;J$1&amp;"|Input"),IF(COUNTIF(Flows!$M$2:$M$1500,$A159&amp;"|"&amp;J$1&amp;"|Output"),"I/O","IN"),IF(COUNTIF(Flows!$M$2:$M$1500,$A159&amp;"|"&amp;J$1&amp;"|Output"),"OUT",""))</f>
        <v/>
      </c>
      <c r="K159" s="33" t="str">
        <f aca="false">IF(COUNTIF(Flows!$M$2:$M$1500,$A159&amp;"|"&amp;K$1&amp;"|Input"),IF(COUNTIF(Flows!$M$2:$M$1500,$A159&amp;"|"&amp;K$1&amp;"|Output"),"I/O","IN"),IF(COUNTIF(Flows!$M$2:$M$1500,$A159&amp;"|"&amp;K$1&amp;"|Output"),"OUT",""))</f>
        <v/>
      </c>
      <c r="L159" s="33" t="str">
        <f aca="false">IF(COUNTIF(Flows!$M$2:$M$1500,$A159&amp;"|"&amp;L$1&amp;"|Input"),IF(COUNTIF(Flows!$M$2:$M$1500,$A159&amp;"|"&amp;L$1&amp;"|Output"),"I/O","IN"),IF(COUNTIF(Flows!$M$2:$M$1500,$A159&amp;"|"&amp;L$1&amp;"|Output"),"OUT",""))</f>
        <v/>
      </c>
      <c r="M159" s="33" t="str">
        <f aca="false">IF(COUNTIF(Flows!$M$2:$M$1500,$A159&amp;"|"&amp;M$1&amp;"|Input"),IF(COUNTIF(Flows!$M$2:$M$1500,$A159&amp;"|"&amp;M$1&amp;"|Output"),"I/O","IN"),IF(COUNTIF(Flows!$M$2:$M$1500,$A159&amp;"|"&amp;M$1&amp;"|Output"),"OUT",""))</f>
        <v/>
      </c>
      <c r="N159" s="33" t="str">
        <f aca="false">IF(COUNTIF(Flows!$M$2:$M$1500,$A159&amp;"|"&amp;N$1&amp;"|Input"),IF(COUNTIF(Flows!$M$2:$M$1500,$A159&amp;"|"&amp;N$1&amp;"|Output"),"I/O","IN"),IF(COUNTIF(Flows!$M$2:$M$1500,$A159&amp;"|"&amp;N$1&amp;"|Output"),"OUT",""))</f>
        <v/>
      </c>
      <c r="O159" s="33" t="str">
        <f aca="false">IF(COUNTIF(Flows!$M$2:$M$1500,$A159&amp;"|"&amp;O$1&amp;"|Input"),IF(COUNTIF(Flows!$M$2:$M$1500,$A159&amp;"|"&amp;O$1&amp;"|Output"),"I/O","IN"),IF(COUNTIF(Flows!$M$2:$M$1500,$A159&amp;"|"&amp;O$1&amp;"|Output"),"OUT",""))</f>
        <v/>
      </c>
      <c r="P159" s="33" t="str">
        <f aca="false">IF(COUNTIF(Flows!$M$2:$M$1500,$A159&amp;"|"&amp;P$1&amp;"|Input"),IF(COUNTIF(Flows!$M$2:$M$1500,$A159&amp;"|"&amp;P$1&amp;"|Output"),"I/O","IN"),IF(COUNTIF(Flows!$M$2:$M$1500,$A159&amp;"|"&amp;P$1&amp;"|Output"),"OUT",""))</f>
        <v/>
      </c>
      <c r="Q159" s="33" t="str">
        <f aca="false">IF(COUNTIF(Flows!$M$2:$M$1500,$A159&amp;"|"&amp;Q$1&amp;"|Input"),IF(COUNTIF(Flows!$M$2:$M$1500,$A159&amp;"|"&amp;Q$1&amp;"|Output"),"I/O","IN"),IF(COUNTIF(Flows!$M$2:$M$1500,$A159&amp;"|"&amp;Q$1&amp;"|Output"),"OUT",""))</f>
        <v/>
      </c>
      <c r="R159" s="33" t="str">
        <f aca="false">IF(COUNTIF(Flows!$M$2:$M$1500,$A159&amp;"|"&amp;R$1&amp;"|Input"),IF(COUNTIF(Flows!$M$2:$M$1500,$A159&amp;"|"&amp;R$1&amp;"|Output"),"I/O","IN"),IF(COUNTIF(Flows!$M$2:$M$1500,$A159&amp;"|"&amp;R$1&amp;"|Output"),"OUT",""))</f>
        <v/>
      </c>
      <c r="S159" s="33" t="str">
        <f aca="false">IF(COUNTIF(Flows!$M$2:$M$1500,$A159&amp;"|"&amp;S$1&amp;"|Input"),IF(COUNTIF(Flows!$M$2:$M$1500,$A159&amp;"|"&amp;S$1&amp;"|Output"),"I/O","IN"),IF(COUNTIF(Flows!$M$2:$M$1500,$A159&amp;"|"&amp;S$1&amp;"|Output"),"OUT",""))</f>
        <v>IN</v>
      </c>
      <c r="T159" s="33" t="str">
        <f aca="false">IF(COUNTIF(Flows!$M$2:$M$1500,$A159&amp;"|"&amp;T$1&amp;"|Input"),IF(COUNTIF(Flows!$M$2:$M$1500,$A159&amp;"|"&amp;T$1&amp;"|Output"),"I/O","IN"),IF(COUNTIF(Flows!$M$2:$M$1500,$A159&amp;"|"&amp;T$1&amp;"|Output"),"OUT",""))</f>
        <v/>
      </c>
      <c r="U159" s="33" t="str">
        <f aca="false">IF(COUNTIF(Flows!$M$2:$M$1500,$A159&amp;"|"&amp;U$1&amp;"|Input"),IF(COUNTIF(Flows!$M$2:$M$1500,$A159&amp;"|"&amp;U$1&amp;"|Output"),"I/O","IN"),IF(COUNTIF(Flows!$M$2:$M$1500,$A159&amp;"|"&amp;U$1&amp;"|Output"),"OUT",""))</f>
        <v/>
      </c>
      <c r="V159" s="33" t="str">
        <f aca="false">IF(COUNTIF(Flows!$M$2:$M$1500,$A159&amp;"|"&amp;V$1&amp;"|Input"),IF(COUNTIF(Flows!$M$2:$M$1500,$A159&amp;"|"&amp;V$1&amp;"|Output"),"I/O","IN"),IF(COUNTIF(Flows!$M$2:$M$1500,$A159&amp;"|"&amp;V$1&amp;"|Output"),"OUT",""))</f>
        <v/>
      </c>
      <c r="W159" s="33" t="str">
        <f aca="false">IF(COUNTIF(Flows!$M$2:$M$1500,$A159&amp;"|"&amp;W$1&amp;"|Input"),IF(COUNTIF(Flows!$M$2:$M$1500,$A159&amp;"|"&amp;W$1&amp;"|Output"),"I/O","IN"),IF(COUNTIF(Flows!$M$2:$M$1500,$A159&amp;"|"&amp;W$1&amp;"|Output"),"OUT",""))</f>
        <v>OUT</v>
      </c>
      <c r="X159" s="33" t="str">
        <f aca="false">IF(COUNTIF(Flows!$M$2:$M$1500,$A159&amp;"|"&amp;X$1&amp;"|Input"),IF(COUNTIF(Flows!$M$2:$M$1500,$A159&amp;"|"&amp;X$1&amp;"|Output"),"I/O","IN"),IF(COUNTIF(Flows!$M$2:$M$1500,$A159&amp;"|"&amp;X$1&amp;"|Output"),"OUT",""))</f>
        <v>IN</v>
      </c>
      <c r="Y159" s="33" t="str">
        <f aca="false">IF(COUNTIF(Flows!$M$2:$M$1500,$A159&amp;"|"&amp;Y$1&amp;"|Input"),IF(COUNTIF(Flows!$M$2:$M$1500,$A159&amp;"|"&amp;Y$1&amp;"|Output"),"I/O","IN"),IF(COUNTIF(Flows!$M$2:$M$1500,$A159&amp;"|"&amp;Y$1&amp;"|Output"),"OUT",""))</f>
        <v/>
      </c>
      <c r="Z159" s="33" t="str">
        <f aca="false">IF(COUNTIF(Flows!$M$2:$M$1500,$A159&amp;"|"&amp;Z$1&amp;"|Input"),IF(COUNTIF(Flows!$M$2:$M$1500,$A159&amp;"|"&amp;Z$1&amp;"|Output"),"I/O","IN"),IF(COUNTIF(Flows!$M$2:$M$1500,$A159&amp;"|"&amp;Z$1&amp;"|Output"),"OUT",""))</f>
        <v/>
      </c>
      <c r="AA159" s="33" t="str">
        <f aca="false">IF(COUNTIF(Flows!$M$2:$M$1500,$A159&amp;"|"&amp;AA$1&amp;"|Input"),IF(COUNTIF(Flows!$M$2:$M$1500,$A159&amp;"|"&amp;AA$1&amp;"|Output"),"I/O","IN"),IF(COUNTIF(Flows!$M$2:$M$1500,$A159&amp;"|"&amp;AA$1&amp;"|Output"),"OUT",""))</f>
        <v/>
      </c>
      <c r="AB159" s="33" t="str">
        <f aca="false">IF(COUNTIF(Flows!$M$2:$M$1500,$A159&amp;"|"&amp;AB$1&amp;"|Input"),IF(COUNTIF(Flows!$M$2:$M$1500,$A159&amp;"|"&amp;AB$1&amp;"|Output"),"I/O","IN"),IF(COUNTIF(Flows!$M$2:$M$1500,$A159&amp;"|"&amp;AB$1&amp;"|Output"),"OUT",""))</f>
        <v/>
      </c>
      <c r="AC159" s="33" t="str">
        <f aca="false">IF(COUNTIF(Flows!$M$2:$M$1500,$A159&amp;"|"&amp;AC$1&amp;"|Input"),IF(COUNTIF(Flows!$M$2:$M$1500,$A159&amp;"|"&amp;AC$1&amp;"|Output"),"I/O","IN"),IF(COUNTIF(Flows!$M$2:$M$1500,$A159&amp;"|"&amp;AC$1&amp;"|Output"),"OUT",""))</f>
        <v/>
      </c>
      <c r="AD159" s="33" t="str">
        <f aca="false">IF(COUNTIF(Flows!$M$2:$M$1500,$A159&amp;"|"&amp;AD$1&amp;"|Input"),IF(COUNTIF(Flows!$M$2:$M$1500,$A159&amp;"|"&amp;AD$1&amp;"|Output"),"I/O","IN"),IF(COUNTIF(Flows!$M$2:$M$1500,$A159&amp;"|"&amp;AD$1&amp;"|Output"),"OUT",""))</f>
        <v/>
      </c>
      <c r="AE159" s="33" t="str">
        <f aca="false">IF(COUNTIF(Flows!$M$2:$M$1500,$A159&amp;"|"&amp;AE$1&amp;"|Input"),IF(COUNTIF(Flows!$M$2:$M$1500,$A159&amp;"|"&amp;AE$1&amp;"|Output"),"I/O","IN"),IF(COUNTIF(Flows!$M$2:$M$1500,$A159&amp;"|"&amp;AE$1&amp;"|Output"),"OUT",""))</f>
        <v/>
      </c>
      <c r="AF159" s="33" t="str">
        <f aca="false">IF(COUNTIF(Flows!$M$2:$M$1500,$A159&amp;"|"&amp;AF$1&amp;"|Input"),IF(COUNTIF(Flows!$M$2:$M$1500,$A159&amp;"|"&amp;AF$1&amp;"|Output"),"I/O","IN"),IF(COUNTIF(Flows!$M$2:$M$1500,$A159&amp;"|"&amp;AF$1&amp;"|Output"),"OUT",""))</f>
        <v/>
      </c>
      <c r="AG159" s="33" t="str">
        <f aca="false">IF(COUNTIF(Flows!$M$2:$M$1500,$A159&amp;"|"&amp;AG$1&amp;"|Input"),IF(COUNTIF(Flows!$M$2:$M$1500,$A159&amp;"|"&amp;AG$1&amp;"|Output"),"I/O","IN"),IF(COUNTIF(Flows!$M$2:$M$1500,$A159&amp;"|"&amp;AG$1&amp;"|Output"),"OUT",""))</f>
        <v/>
      </c>
      <c r="AH159" s="33" t="str">
        <f aca="false">IF(COUNTIF(Flows!$M$2:$M$1500,$A159&amp;"|"&amp;AH$1&amp;"|Input"),IF(COUNTIF(Flows!$M$2:$M$1500,$A159&amp;"|"&amp;AH$1&amp;"|Output"),"I/O","IN"),IF(COUNTIF(Flows!$M$2:$M$1500,$A159&amp;"|"&amp;AH$1&amp;"|Output"),"OUT",""))</f>
        <v/>
      </c>
      <c r="AI159" s="33" t="str">
        <f aca="false">IF(COUNTIF(Flows!$M$2:$M$1500,$A159&amp;"|"&amp;AI$1&amp;"|Input"),IF(COUNTIF(Flows!$M$2:$M$1500,$A159&amp;"|"&amp;AI$1&amp;"|Output"),"I/O","IN"),IF(COUNTIF(Flows!$M$2:$M$1500,$A159&amp;"|"&amp;AI$1&amp;"|Output"),"OUT",""))</f>
        <v/>
      </c>
      <c r="AJ159" s="33" t="str">
        <f aca="false">IF(COUNTIF(Flows!$M$2:$M$1500,$A159&amp;"|"&amp;AJ$1&amp;"|Input"),IF(COUNTIF(Flows!$M$2:$M$1500,$A159&amp;"|"&amp;AJ$1&amp;"|Output"),"I/O","IN"),IF(COUNTIF(Flows!$M$2:$M$1500,$A159&amp;"|"&amp;AJ$1&amp;"|Output"),"OUT",""))</f>
        <v/>
      </c>
      <c r="AK159" s="33" t="str">
        <f aca="false">IF(COUNTIF(Flows!$M$2:$M$1500,$A159&amp;"|"&amp;AK$1&amp;"|Input"),IF(COUNTIF(Flows!$M$2:$M$1500,$A159&amp;"|"&amp;AK$1&amp;"|Output"),"I/O","IN"),IF(COUNTIF(Flows!$M$2:$M$1500,$A159&amp;"|"&amp;AK$1&amp;"|Output"),"OUT",""))</f>
        <v/>
      </c>
      <c r="AL159" s="33" t="str">
        <f aca="false">IF(COUNTIF(Flows!$M$2:$M$1500,$A159&amp;"|"&amp;AL$1&amp;"|Input"),IF(COUNTIF(Flows!$M$2:$M$1500,$A159&amp;"|"&amp;AL$1&amp;"|Output"),"I/O","IN"),IF(COUNTIF(Flows!$M$2:$M$1500,$A159&amp;"|"&amp;AL$1&amp;"|Output"),"OUT",""))</f>
        <v/>
      </c>
      <c r="AM159" s="33" t="str">
        <f aca="false">IF(COUNTIF(Flows!$M$2:$M$1500,$A159&amp;"|"&amp;AM$1&amp;"|Input"),IF(COUNTIF(Flows!$M$2:$M$1500,$A159&amp;"|"&amp;AM$1&amp;"|Output"),"I/O","IN"),IF(COUNTIF(Flows!$M$2:$M$1500,$A159&amp;"|"&amp;AM$1&amp;"|Output"),"OUT",""))</f>
        <v/>
      </c>
      <c r="AN159" s="33" t="str">
        <f aca="false">IF(COUNTIF(Flows!$M$2:$M$1500,$A159&amp;"|"&amp;AN$1&amp;"|Input"),IF(COUNTIF(Flows!$M$2:$M$1500,$A159&amp;"|"&amp;AN$1&amp;"|Output"),"I/O","IN"),IF(COUNTIF(Flows!$M$2:$M$1500,$A159&amp;"|"&amp;AN$1&amp;"|Output"),"OUT",""))</f>
        <v/>
      </c>
      <c r="AO159" s="33" t="str">
        <f aca="false">IF(COUNTIF(Flows!$M$2:$M$1500,$A159&amp;"|"&amp;AO$1&amp;"|Input"),IF(COUNTIF(Flows!$M$2:$M$1500,$A159&amp;"|"&amp;AO$1&amp;"|Output"),"I/O","IN"),IF(COUNTIF(Flows!$M$2:$M$1500,$A159&amp;"|"&amp;AO$1&amp;"|Output"),"OUT",""))</f>
        <v/>
      </c>
      <c r="AP159" s="33" t="str">
        <f aca="false">IF(COUNTIF(Flows!$M$2:$M$1500,$A159&amp;"|"&amp;AP$1&amp;"|Input"),IF(COUNTIF(Flows!$M$2:$M$1500,$A159&amp;"|"&amp;AP$1&amp;"|Output"),"I/O","IN"),IF(COUNTIF(Flows!$M$2:$M$1500,$A159&amp;"|"&amp;AP$1&amp;"|Output"),"OUT",""))</f>
        <v/>
      </c>
      <c r="AQ159" s="33" t="str">
        <f aca="false">IF(COUNTIF(Flows!$M$2:$M$1500,$A159&amp;"|"&amp;AQ$1&amp;"|Input"),IF(COUNTIF(Flows!$M$2:$M$1500,$A159&amp;"|"&amp;AQ$1&amp;"|Output"),"I/O","IN"),IF(COUNTIF(Flows!$M$2:$M$1500,$A159&amp;"|"&amp;AQ$1&amp;"|Output"),"OUT",""))</f>
        <v/>
      </c>
      <c r="AR159" s="33" t="str">
        <f aca="false">IF(COUNTIF(Flows!$M$2:$M$1500,$A159&amp;"|"&amp;AR$1&amp;"|Input"),IF(COUNTIF(Flows!$M$2:$M$1500,$A159&amp;"|"&amp;AR$1&amp;"|Output"),"I/O","IN"),IF(COUNTIF(Flows!$M$2:$M$1500,$A159&amp;"|"&amp;AR$1&amp;"|Output"),"OUT",""))</f>
        <v/>
      </c>
      <c r="AS159" s="33" t="str">
        <f aca="false">IF(COUNTIF(Flows!$M$2:$M$1500,$A159&amp;"|"&amp;AS$1&amp;"|Input"),IF(COUNTIF(Flows!$M$2:$M$1500,$A159&amp;"|"&amp;AS$1&amp;"|Output"),"I/O","IN"),IF(COUNTIF(Flows!$M$2:$M$1500,$A159&amp;"|"&amp;AS$1&amp;"|Output"),"OUT",""))</f>
        <v/>
      </c>
      <c r="AT159" s="33" t="str">
        <f aca="false">IF(COUNTIF(Flows!$M$2:$M$1500,$A159&amp;"|"&amp;AT$1&amp;"|Input"),IF(COUNTIF(Flows!$M$2:$M$1500,$A159&amp;"|"&amp;AT$1&amp;"|Output"),"I/O","IN"),IF(COUNTIF(Flows!$M$2:$M$1500,$A159&amp;"|"&amp;AT$1&amp;"|Output"),"OUT",""))</f>
        <v/>
      </c>
      <c r="AU159" s="33" t="str">
        <f aca="false">IF(COUNTIF(Flows!$M$2:$M$1500,$A159&amp;"|"&amp;AU$1&amp;"|Input"),IF(COUNTIF(Flows!$M$2:$M$1500,$A159&amp;"|"&amp;AU$1&amp;"|Output"),"I/O","IN"),IF(COUNTIF(Flows!$M$2:$M$1500,$A159&amp;"|"&amp;AU$1&amp;"|Output"),"OUT",""))</f>
        <v/>
      </c>
      <c r="AV159" s="33" t="str">
        <f aca="false">IF(COUNTIF(Flows!$M$2:$M$1500,$A159&amp;"|"&amp;AV$1&amp;"|Input"),IF(COUNTIF(Flows!$M$2:$M$1500,$A159&amp;"|"&amp;AV$1&amp;"|Output"),"I/O","IN"),IF(COUNTIF(Flows!$M$2:$M$1500,$A159&amp;"|"&amp;AV$1&amp;"|Output"),"OUT",""))</f>
        <v/>
      </c>
      <c r="AW159" s="33" t="str">
        <f aca="false">IF(COUNTIF(Flows!$M$2:$M$1500,$A159&amp;"|"&amp;AW$1&amp;"|Input"),IF(COUNTIF(Flows!$M$2:$M$1500,$A159&amp;"|"&amp;AW$1&amp;"|Output"),"I/O","IN"),IF(COUNTIF(Flows!$M$2:$M$1500,$A159&amp;"|"&amp;AW$1&amp;"|Output"),"OUT",""))</f>
        <v/>
      </c>
      <c r="AX159" s="33" t="str">
        <f aca="false">IF(COUNTIF(Flows!$M$2:$M$1500,$A159&amp;"|"&amp;AX$1&amp;"|Input"),IF(COUNTIF(Flows!$M$2:$M$1500,$A159&amp;"|"&amp;AX$1&amp;"|Output"),"I/O","IN"),IF(COUNTIF(Flows!$M$2:$M$1500,$A159&amp;"|"&amp;AX$1&amp;"|Output"),"OUT",""))</f>
        <v/>
      </c>
      <c r="AY159" s="33" t="str">
        <f aca="false">IF(COUNTIF(Flows!$M$2:$M$1500,$A159&amp;"|"&amp;AY$1&amp;"|Input"),IF(COUNTIF(Flows!$M$2:$M$1500,$A159&amp;"|"&amp;AY$1&amp;"|Output"),"I/O","IN"),IF(COUNTIF(Flows!$M$2:$M$1500,$A159&amp;"|"&amp;AY$1&amp;"|Output"),"OUT",""))</f>
        <v/>
      </c>
      <c r="AZ159" s="33" t="str">
        <f aca="false">IF(COUNTIF(Flows!$M$2:$M$1500,$A159&amp;"|"&amp;AZ$1&amp;"|Input"),IF(COUNTIF(Flows!$M$2:$M$1500,$A159&amp;"|"&amp;AZ$1&amp;"|Output"),"I/O","IN"),IF(COUNTIF(Flows!$M$2:$M$1500,$A159&amp;"|"&amp;AZ$1&amp;"|Output"),"OUT",""))</f>
        <v/>
      </c>
      <c r="BA159" s="33" t="str">
        <f aca="false">IF(COUNTIF(Flows!$M$2:$M$1500,$A159&amp;"|"&amp;BA$1&amp;"|Input"),IF(COUNTIF(Flows!$M$2:$M$1500,$A159&amp;"|"&amp;BA$1&amp;"|Output"),"I/O","IN"),IF(COUNTIF(Flows!$M$2:$M$1500,$A159&amp;"|"&amp;BA$1&amp;"|Output"),"OUT",""))</f>
        <v/>
      </c>
      <c r="BB159" s="33" t="str">
        <f aca="false">IF(COUNTIF(Flows!$M$2:$M$1500,$A159&amp;"|"&amp;BB$1&amp;"|Input"),IF(COUNTIF(Flows!$M$2:$M$1500,$A159&amp;"|"&amp;BB$1&amp;"|Output"),"I/O","IN"),IF(COUNTIF(Flows!$M$2:$M$1500,$A159&amp;"|"&amp;BB$1&amp;"|Output"),"OUT",""))</f>
        <v/>
      </c>
      <c r="BC159" s="33" t="str">
        <f aca="false">IF(COUNTIF(Flows!$M$2:$M$1500,$A159&amp;"|"&amp;BC$1&amp;"|Input"),IF(COUNTIF(Flows!$M$2:$M$1500,$A159&amp;"|"&amp;BC$1&amp;"|Output"),"I/O","IN"),IF(COUNTIF(Flows!$M$2:$M$1500,$A159&amp;"|"&amp;BC$1&amp;"|Output"),"OUT",""))</f>
        <v/>
      </c>
      <c r="BD159" s="33" t="str">
        <f aca="false">IF(COUNTIF(Flows!$M$2:$M$1500,$A159&amp;"|"&amp;BD$1&amp;"|Input"),IF(COUNTIF(Flows!$M$2:$M$1500,$A159&amp;"|"&amp;BD$1&amp;"|Output"),"I/O","IN"),IF(COUNTIF(Flows!$M$2:$M$1500,$A159&amp;"|"&amp;BD$1&amp;"|Output"),"OUT",""))</f>
        <v/>
      </c>
      <c r="BE159" s="33" t="str">
        <f aca="false">IF(COUNTIF(Flows!$M$2:$M$1500,$A159&amp;"|"&amp;BE$1&amp;"|Input"),IF(COUNTIF(Flows!$M$2:$M$1500,$A159&amp;"|"&amp;BE$1&amp;"|Output"),"I/O","IN"),IF(COUNTIF(Flows!$M$2:$M$1500,$A159&amp;"|"&amp;BE$1&amp;"|Output"),"OUT",""))</f>
        <v/>
      </c>
      <c r="BF159" s="33" t="str">
        <f aca="false">IF(COUNTIF(Flows!$M$2:$M$1500,$A159&amp;"|"&amp;BF$1&amp;"|Input"),IF(COUNTIF(Flows!$M$2:$M$1500,$A159&amp;"|"&amp;BF$1&amp;"|Output"),"I/O","IN"),IF(COUNTIF(Flows!$M$2:$M$1500,$A159&amp;"|"&amp;BF$1&amp;"|Output"),"OUT",""))</f>
        <v/>
      </c>
      <c r="BG159" s="33" t="str">
        <f aca="false">IF(COUNTIF(Flows!$M$2:$M$1500,$A159&amp;"|"&amp;BG$1&amp;"|Input"),IF(COUNTIF(Flows!$M$2:$M$1500,$A159&amp;"|"&amp;BG$1&amp;"|Output"),"I/O","IN"),IF(COUNTIF(Flows!$M$2:$M$1500,$A159&amp;"|"&amp;BG$1&amp;"|Output"),"OUT",""))</f>
        <v/>
      </c>
      <c r="BH159" s="33" t="str">
        <f aca="false">IF(COUNTIF(Flows!$M$2:$M$1500,$A159&amp;"|"&amp;BH$1&amp;"|Input"),IF(COUNTIF(Flows!$M$2:$M$1500,$A159&amp;"|"&amp;BH$1&amp;"|Output"),"I/O","IN"),IF(COUNTIF(Flows!$M$2:$M$1500,$A159&amp;"|"&amp;BH$1&amp;"|Output"),"OUT",""))</f>
        <v/>
      </c>
      <c r="BI159" s="33" t="str">
        <f aca="false">IF(COUNTIF(Flows!$M$2:$M$1500,$A159&amp;"|"&amp;BI$1&amp;"|Input"),IF(COUNTIF(Flows!$M$2:$M$1500,$A159&amp;"|"&amp;BI$1&amp;"|Output"),"I/O","IN"),IF(COUNTIF(Flows!$M$2:$M$1500,$A159&amp;"|"&amp;BI$1&amp;"|Output"),"OUT",""))</f>
        <v/>
      </c>
      <c r="BJ159" s="33" t="str">
        <f aca="false">IF(COUNTIF(Flows!$M$2:$M$1500,$A159&amp;"|"&amp;BJ$1&amp;"|Input"),IF(COUNTIF(Flows!$M$2:$M$1500,$A159&amp;"|"&amp;BJ$1&amp;"|Output"),"I/O","IN"),IF(COUNTIF(Flows!$M$2:$M$1500,$A159&amp;"|"&amp;BJ$1&amp;"|Output"),"OUT",""))</f>
        <v/>
      </c>
      <c r="BK159" s="33" t="str">
        <f aca="false">IF(COUNTIF(Flows!$M$2:$M$1500,$A159&amp;"|"&amp;BK$1&amp;"|Input"),IF(COUNTIF(Flows!$M$2:$M$1500,$A159&amp;"|"&amp;BK$1&amp;"|Output"),"I/O","IN"),IF(COUNTIF(Flows!$M$2:$M$1500,$A159&amp;"|"&amp;BK$1&amp;"|Output"),"OUT",""))</f>
        <v/>
      </c>
    </row>
    <row r="160" customFormat="false" ht="15" hidden="false" customHeight="true" outlineLevel="0" collapsed="false">
      <c r="A160" s="6" t="str">
        <f aca="false">Systems!B160</f>
        <v>Earth Tubes</v>
      </c>
      <c r="B160" s="33" t="str">
        <f aca="false">IF(COUNTIF(Flows!$M$2:$M$1500,$A160&amp;"|"&amp;B$1&amp;"|Input"),IF(COUNTIF(Flows!$M$2:$M$1500,$A160&amp;"|"&amp;B$1&amp;"|Output"),"I/O","IN"),IF(COUNTIF(Flows!$M$2:$M$1500,$A160&amp;"|"&amp;B$1&amp;"|Output"),"OUT",""))</f>
        <v/>
      </c>
      <c r="C160" s="33" t="str">
        <f aca="false">IF(COUNTIF(Flows!$M$2:$M$1500,$A160&amp;"|"&amp;C$1&amp;"|Input"),IF(COUNTIF(Flows!$M$2:$M$1500,$A160&amp;"|"&amp;C$1&amp;"|Output"),"I/O","IN"),IF(COUNTIF(Flows!$M$2:$M$1500,$A160&amp;"|"&amp;C$1&amp;"|Output"),"OUT",""))</f>
        <v/>
      </c>
      <c r="D160" s="33" t="str">
        <f aca="false">IF(COUNTIF(Flows!$M$2:$M$1500,$A160&amp;"|"&amp;D$1&amp;"|Input"),IF(COUNTIF(Flows!$M$2:$M$1500,$A160&amp;"|"&amp;D$1&amp;"|Output"),"I/O","IN"),IF(COUNTIF(Flows!$M$2:$M$1500,$A160&amp;"|"&amp;D$1&amp;"|Output"),"OUT",""))</f>
        <v/>
      </c>
      <c r="E160" s="33" t="str">
        <f aca="false">IF(COUNTIF(Flows!$M$2:$M$1500,$A160&amp;"|"&amp;E$1&amp;"|Input"),IF(COUNTIF(Flows!$M$2:$M$1500,$A160&amp;"|"&amp;E$1&amp;"|Output"),"I/O","IN"),IF(COUNTIF(Flows!$M$2:$M$1500,$A160&amp;"|"&amp;E$1&amp;"|Output"),"OUT",""))</f>
        <v/>
      </c>
      <c r="F160" s="33" t="str">
        <f aca="false">IF(COUNTIF(Flows!$M$2:$M$1500,$A160&amp;"|"&amp;F$1&amp;"|Input"),IF(COUNTIF(Flows!$M$2:$M$1500,$A160&amp;"|"&amp;F$1&amp;"|Output"),"I/O","IN"),IF(COUNTIF(Flows!$M$2:$M$1500,$A160&amp;"|"&amp;F$1&amp;"|Output"),"OUT",""))</f>
        <v/>
      </c>
      <c r="G160" s="33" t="str">
        <f aca="false">IF(COUNTIF(Flows!$M$2:$M$1500,$A160&amp;"|"&amp;G$1&amp;"|Input"),IF(COUNTIF(Flows!$M$2:$M$1500,$A160&amp;"|"&amp;G$1&amp;"|Output"),"I/O","IN"),IF(COUNTIF(Flows!$M$2:$M$1500,$A160&amp;"|"&amp;G$1&amp;"|Output"),"OUT",""))</f>
        <v/>
      </c>
      <c r="H160" s="33" t="str">
        <f aca="false">IF(COUNTIF(Flows!$M$2:$M$1500,$A160&amp;"|"&amp;H$1&amp;"|Input"),IF(COUNTIF(Flows!$M$2:$M$1500,$A160&amp;"|"&amp;H$1&amp;"|Output"),"I/O","IN"),IF(COUNTIF(Flows!$M$2:$M$1500,$A160&amp;"|"&amp;H$1&amp;"|Output"),"OUT",""))</f>
        <v/>
      </c>
      <c r="I160" s="33" t="str">
        <f aca="false">IF(COUNTIF(Flows!$M$2:$M$1500,$A160&amp;"|"&amp;I$1&amp;"|Input"),IF(COUNTIF(Flows!$M$2:$M$1500,$A160&amp;"|"&amp;I$1&amp;"|Output"),"I/O","IN"),IF(COUNTIF(Flows!$M$2:$M$1500,$A160&amp;"|"&amp;I$1&amp;"|Output"),"OUT",""))</f>
        <v/>
      </c>
      <c r="J160" s="33" t="str">
        <f aca="false">IF(COUNTIF(Flows!$M$2:$M$1500,$A160&amp;"|"&amp;J$1&amp;"|Input"),IF(COUNTIF(Flows!$M$2:$M$1500,$A160&amp;"|"&amp;J$1&amp;"|Output"),"I/O","IN"),IF(COUNTIF(Flows!$M$2:$M$1500,$A160&amp;"|"&amp;J$1&amp;"|Output"),"OUT",""))</f>
        <v/>
      </c>
      <c r="K160" s="33" t="str">
        <f aca="false">IF(COUNTIF(Flows!$M$2:$M$1500,$A160&amp;"|"&amp;K$1&amp;"|Input"),IF(COUNTIF(Flows!$M$2:$M$1500,$A160&amp;"|"&amp;K$1&amp;"|Output"),"I/O","IN"),IF(COUNTIF(Flows!$M$2:$M$1500,$A160&amp;"|"&amp;K$1&amp;"|Output"),"OUT",""))</f>
        <v/>
      </c>
      <c r="L160" s="33" t="str">
        <f aca="false">IF(COUNTIF(Flows!$M$2:$M$1500,$A160&amp;"|"&amp;L$1&amp;"|Input"),IF(COUNTIF(Flows!$M$2:$M$1500,$A160&amp;"|"&amp;L$1&amp;"|Output"),"I/O","IN"),IF(COUNTIF(Flows!$M$2:$M$1500,$A160&amp;"|"&amp;L$1&amp;"|Output"),"OUT",""))</f>
        <v/>
      </c>
      <c r="M160" s="33" t="str">
        <f aca="false">IF(COUNTIF(Flows!$M$2:$M$1500,$A160&amp;"|"&amp;M$1&amp;"|Input"),IF(COUNTIF(Flows!$M$2:$M$1500,$A160&amp;"|"&amp;M$1&amp;"|Output"),"I/O","IN"),IF(COUNTIF(Flows!$M$2:$M$1500,$A160&amp;"|"&amp;M$1&amp;"|Output"),"OUT",""))</f>
        <v/>
      </c>
      <c r="N160" s="33" t="str">
        <f aca="false">IF(COUNTIF(Flows!$M$2:$M$1500,$A160&amp;"|"&amp;N$1&amp;"|Input"),IF(COUNTIF(Flows!$M$2:$M$1500,$A160&amp;"|"&amp;N$1&amp;"|Output"),"I/O","IN"),IF(COUNTIF(Flows!$M$2:$M$1500,$A160&amp;"|"&amp;N$1&amp;"|Output"),"OUT",""))</f>
        <v/>
      </c>
      <c r="O160" s="33" t="str">
        <f aca="false">IF(COUNTIF(Flows!$M$2:$M$1500,$A160&amp;"|"&amp;O$1&amp;"|Input"),IF(COUNTIF(Flows!$M$2:$M$1500,$A160&amp;"|"&amp;O$1&amp;"|Output"),"I/O","IN"),IF(COUNTIF(Flows!$M$2:$M$1500,$A160&amp;"|"&amp;O$1&amp;"|Output"),"OUT",""))</f>
        <v/>
      </c>
      <c r="P160" s="33" t="str">
        <f aca="false">IF(COUNTIF(Flows!$M$2:$M$1500,$A160&amp;"|"&amp;P$1&amp;"|Input"),IF(COUNTIF(Flows!$M$2:$M$1500,$A160&amp;"|"&amp;P$1&amp;"|Output"),"I/O","IN"),IF(COUNTIF(Flows!$M$2:$M$1500,$A160&amp;"|"&amp;P$1&amp;"|Output"),"OUT",""))</f>
        <v/>
      </c>
      <c r="Q160" s="33" t="str">
        <f aca="false">IF(COUNTIF(Flows!$M$2:$M$1500,$A160&amp;"|"&amp;Q$1&amp;"|Input"),IF(COUNTIF(Flows!$M$2:$M$1500,$A160&amp;"|"&amp;Q$1&amp;"|Output"),"I/O","IN"),IF(COUNTIF(Flows!$M$2:$M$1500,$A160&amp;"|"&amp;Q$1&amp;"|Output"),"OUT",""))</f>
        <v/>
      </c>
      <c r="R160" s="33" t="str">
        <f aca="false">IF(COUNTIF(Flows!$M$2:$M$1500,$A160&amp;"|"&amp;R$1&amp;"|Input"),IF(COUNTIF(Flows!$M$2:$M$1500,$A160&amp;"|"&amp;R$1&amp;"|Output"),"I/O","IN"),IF(COUNTIF(Flows!$M$2:$M$1500,$A160&amp;"|"&amp;R$1&amp;"|Output"),"OUT",""))</f>
        <v/>
      </c>
      <c r="S160" s="33" t="str">
        <f aca="false">IF(COUNTIF(Flows!$M$2:$M$1500,$A160&amp;"|"&amp;S$1&amp;"|Input"),IF(COUNTIF(Flows!$M$2:$M$1500,$A160&amp;"|"&amp;S$1&amp;"|Output"),"I/O","IN"),IF(COUNTIF(Flows!$M$2:$M$1500,$A160&amp;"|"&amp;S$1&amp;"|Output"),"OUT",""))</f>
        <v>IN</v>
      </c>
      <c r="T160" s="33" t="str">
        <f aca="false">IF(COUNTIF(Flows!$M$2:$M$1500,$A160&amp;"|"&amp;T$1&amp;"|Input"),IF(COUNTIF(Flows!$M$2:$M$1500,$A160&amp;"|"&amp;T$1&amp;"|Output"),"I/O","IN"),IF(COUNTIF(Flows!$M$2:$M$1500,$A160&amp;"|"&amp;T$1&amp;"|Output"),"OUT",""))</f>
        <v/>
      </c>
      <c r="U160" s="33" t="str">
        <f aca="false">IF(COUNTIF(Flows!$M$2:$M$1500,$A160&amp;"|"&amp;U$1&amp;"|Input"),IF(COUNTIF(Flows!$M$2:$M$1500,$A160&amp;"|"&amp;U$1&amp;"|Output"),"I/O","IN"),IF(COUNTIF(Flows!$M$2:$M$1500,$A160&amp;"|"&amp;U$1&amp;"|Output"),"OUT",""))</f>
        <v/>
      </c>
      <c r="V160" s="33" t="str">
        <f aca="false">IF(COUNTIF(Flows!$M$2:$M$1500,$A160&amp;"|"&amp;V$1&amp;"|Input"),IF(COUNTIF(Flows!$M$2:$M$1500,$A160&amp;"|"&amp;V$1&amp;"|Output"),"I/O","IN"),IF(COUNTIF(Flows!$M$2:$M$1500,$A160&amp;"|"&amp;V$1&amp;"|Output"),"OUT",""))</f>
        <v>OUT</v>
      </c>
      <c r="W160" s="33" t="str">
        <f aca="false">IF(COUNTIF(Flows!$M$2:$M$1500,$A160&amp;"|"&amp;W$1&amp;"|Input"),IF(COUNTIF(Flows!$M$2:$M$1500,$A160&amp;"|"&amp;W$1&amp;"|Output"),"I/O","IN"),IF(COUNTIF(Flows!$M$2:$M$1500,$A160&amp;"|"&amp;W$1&amp;"|Output"),"OUT",""))</f>
        <v>OUT</v>
      </c>
      <c r="X160" s="33" t="str">
        <f aca="false">IF(COUNTIF(Flows!$M$2:$M$1500,$A160&amp;"|"&amp;X$1&amp;"|Input"),IF(COUNTIF(Flows!$M$2:$M$1500,$A160&amp;"|"&amp;X$1&amp;"|Output"),"I/O","IN"),IF(COUNTIF(Flows!$M$2:$M$1500,$A160&amp;"|"&amp;X$1&amp;"|Output"),"OUT",""))</f>
        <v>IN</v>
      </c>
      <c r="Y160" s="33" t="str">
        <f aca="false">IF(COUNTIF(Flows!$M$2:$M$1500,$A160&amp;"|"&amp;Y$1&amp;"|Input"),IF(COUNTIF(Flows!$M$2:$M$1500,$A160&amp;"|"&amp;Y$1&amp;"|Output"),"I/O","IN"),IF(COUNTIF(Flows!$M$2:$M$1500,$A160&amp;"|"&amp;Y$1&amp;"|Output"),"OUT",""))</f>
        <v/>
      </c>
      <c r="Z160" s="33" t="str">
        <f aca="false">IF(COUNTIF(Flows!$M$2:$M$1500,$A160&amp;"|"&amp;Z$1&amp;"|Input"),IF(COUNTIF(Flows!$M$2:$M$1500,$A160&amp;"|"&amp;Z$1&amp;"|Output"),"I/O","IN"),IF(COUNTIF(Flows!$M$2:$M$1500,$A160&amp;"|"&amp;Z$1&amp;"|Output"),"OUT",""))</f>
        <v/>
      </c>
      <c r="AA160" s="33" t="str">
        <f aca="false">IF(COUNTIF(Flows!$M$2:$M$1500,$A160&amp;"|"&amp;AA$1&amp;"|Input"),IF(COUNTIF(Flows!$M$2:$M$1500,$A160&amp;"|"&amp;AA$1&amp;"|Output"),"I/O","IN"),IF(COUNTIF(Flows!$M$2:$M$1500,$A160&amp;"|"&amp;AA$1&amp;"|Output"),"OUT",""))</f>
        <v/>
      </c>
      <c r="AB160" s="33" t="str">
        <f aca="false">IF(COUNTIF(Flows!$M$2:$M$1500,$A160&amp;"|"&amp;AB$1&amp;"|Input"),IF(COUNTIF(Flows!$M$2:$M$1500,$A160&amp;"|"&amp;AB$1&amp;"|Output"),"I/O","IN"),IF(COUNTIF(Flows!$M$2:$M$1500,$A160&amp;"|"&amp;AB$1&amp;"|Output"),"OUT",""))</f>
        <v/>
      </c>
      <c r="AC160" s="33" t="str">
        <f aca="false">IF(COUNTIF(Flows!$M$2:$M$1500,$A160&amp;"|"&amp;AC$1&amp;"|Input"),IF(COUNTIF(Flows!$M$2:$M$1500,$A160&amp;"|"&amp;AC$1&amp;"|Output"),"I/O","IN"),IF(COUNTIF(Flows!$M$2:$M$1500,$A160&amp;"|"&amp;AC$1&amp;"|Output"),"OUT",""))</f>
        <v/>
      </c>
      <c r="AD160" s="33" t="str">
        <f aca="false">IF(COUNTIF(Flows!$M$2:$M$1500,$A160&amp;"|"&amp;AD$1&amp;"|Input"),IF(COUNTIF(Flows!$M$2:$M$1500,$A160&amp;"|"&amp;AD$1&amp;"|Output"),"I/O","IN"),IF(COUNTIF(Flows!$M$2:$M$1500,$A160&amp;"|"&amp;AD$1&amp;"|Output"),"OUT",""))</f>
        <v/>
      </c>
      <c r="AE160" s="33" t="str">
        <f aca="false">IF(COUNTIF(Flows!$M$2:$M$1500,$A160&amp;"|"&amp;AE$1&amp;"|Input"),IF(COUNTIF(Flows!$M$2:$M$1500,$A160&amp;"|"&amp;AE$1&amp;"|Output"),"I/O","IN"),IF(COUNTIF(Flows!$M$2:$M$1500,$A160&amp;"|"&amp;AE$1&amp;"|Output"),"OUT",""))</f>
        <v/>
      </c>
      <c r="AF160" s="33" t="str">
        <f aca="false">IF(COUNTIF(Flows!$M$2:$M$1500,$A160&amp;"|"&amp;AF$1&amp;"|Input"),IF(COUNTIF(Flows!$M$2:$M$1500,$A160&amp;"|"&amp;AF$1&amp;"|Output"),"I/O","IN"),IF(COUNTIF(Flows!$M$2:$M$1500,$A160&amp;"|"&amp;AF$1&amp;"|Output"),"OUT",""))</f>
        <v/>
      </c>
      <c r="AG160" s="33" t="str">
        <f aca="false">IF(COUNTIF(Flows!$M$2:$M$1500,$A160&amp;"|"&amp;AG$1&amp;"|Input"),IF(COUNTIF(Flows!$M$2:$M$1500,$A160&amp;"|"&amp;AG$1&amp;"|Output"),"I/O","IN"),IF(COUNTIF(Flows!$M$2:$M$1500,$A160&amp;"|"&amp;AG$1&amp;"|Output"),"OUT",""))</f>
        <v/>
      </c>
      <c r="AH160" s="33" t="str">
        <f aca="false">IF(COUNTIF(Flows!$M$2:$M$1500,$A160&amp;"|"&amp;AH$1&amp;"|Input"),IF(COUNTIF(Flows!$M$2:$M$1500,$A160&amp;"|"&amp;AH$1&amp;"|Output"),"I/O","IN"),IF(COUNTIF(Flows!$M$2:$M$1500,$A160&amp;"|"&amp;AH$1&amp;"|Output"),"OUT",""))</f>
        <v/>
      </c>
      <c r="AI160" s="33" t="str">
        <f aca="false">IF(COUNTIF(Flows!$M$2:$M$1500,$A160&amp;"|"&amp;AI$1&amp;"|Input"),IF(COUNTIF(Flows!$M$2:$M$1500,$A160&amp;"|"&amp;AI$1&amp;"|Output"),"I/O","IN"),IF(COUNTIF(Flows!$M$2:$M$1500,$A160&amp;"|"&amp;AI$1&amp;"|Output"),"OUT",""))</f>
        <v/>
      </c>
      <c r="AJ160" s="33" t="str">
        <f aca="false">IF(COUNTIF(Flows!$M$2:$M$1500,$A160&amp;"|"&amp;AJ$1&amp;"|Input"),IF(COUNTIF(Flows!$M$2:$M$1500,$A160&amp;"|"&amp;AJ$1&amp;"|Output"),"I/O","IN"),IF(COUNTIF(Flows!$M$2:$M$1500,$A160&amp;"|"&amp;AJ$1&amp;"|Output"),"OUT",""))</f>
        <v/>
      </c>
      <c r="AK160" s="33" t="str">
        <f aca="false">IF(COUNTIF(Flows!$M$2:$M$1500,$A160&amp;"|"&amp;AK$1&amp;"|Input"),IF(COUNTIF(Flows!$M$2:$M$1500,$A160&amp;"|"&amp;AK$1&amp;"|Output"),"I/O","IN"),IF(COUNTIF(Flows!$M$2:$M$1500,$A160&amp;"|"&amp;AK$1&amp;"|Output"),"OUT",""))</f>
        <v/>
      </c>
      <c r="AL160" s="33" t="str">
        <f aca="false">IF(COUNTIF(Flows!$M$2:$M$1500,$A160&amp;"|"&amp;AL$1&amp;"|Input"),IF(COUNTIF(Flows!$M$2:$M$1500,$A160&amp;"|"&amp;AL$1&amp;"|Output"),"I/O","IN"),IF(COUNTIF(Flows!$M$2:$M$1500,$A160&amp;"|"&amp;AL$1&amp;"|Output"),"OUT",""))</f>
        <v/>
      </c>
      <c r="AM160" s="33" t="str">
        <f aca="false">IF(COUNTIF(Flows!$M$2:$M$1500,$A160&amp;"|"&amp;AM$1&amp;"|Input"),IF(COUNTIF(Flows!$M$2:$M$1500,$A160&amp;"|"&amp;AM$1&amp;"|Output"),"I/O","IN"),IF(COUNTIF(Flows!$M$2:$M$1500,$A160&amp;"|"&amp;AM$1&amp;"|Output"),"OUT",""))</f>
        <v/>
      </c>
      <c r="AN160" s="33" t="str">
        <f aca="false">IF(COUNTIF(Flows!$M$2:$M$1500,$A160&amp;"|"&amp;AN$1&amp;"|Input"),IF(COUNTIF(Flows!$M$2:$M$1500,$A160&amp;"|"&amp;AN$1&amp;"|Output"),"I/O","IN"),IF(COUNTIF(Flows!$M$2:$M$1500,$A160&amp;"|"&amp;AN$1&amp;"|Output"),"OUT",""))</f>
        <v/>
      </c>
      <c r="AO160" s="33" t="str">
        <f aca="false">IF(COUNTIF(Flows!$M$2:$M$1500,$A160&amp;"|"&amp;AO$1&amp;"|Input"),IF(COUNTIF(Flows!$M$2:$M$1500,$A160&amp;"|"&amp;AO$1&amp;"|Output"),"I/O","IN"),IF(COUNTIF(Flows!$M$2:$M$1500,$A160&amp;"|"&amp;AO$1&amp;"|Output"),"OUT",""))</f>
        <v/>
      </c>
      <c r="AP160" s="33" t="str">
        <f aca="false">IF(COUNTIF(Flows!$M$2:$M$1500,$A160&amp;"|"&amp;AP$1&amp;"|Input"),IF(COUNTIF(Flows!$M$2:$M$1500,$A160&amp;"|"&amp;AP$1&amp;"|Output"),"I/O","IN"),IF(COUNTIF(Flows!$M$2:$M$1500,$A160&amp;"|"&amp;AP$1&amp;"|Output"),"OUT",""))</f>
        <v/>
      </c>
      <c r="AQ160" s="33" t="str">
        <f aca="false">IF(COUNTIF(Flows!$M$2:$M$1500,$A160&amp;"|"&amp;AQ$1&amp;"|Input"),IF(COUNTIF(Flows!$M$2:$M$1500,$A160&amp;"|"&amp;AQ$1&amp;"|Output"),"I/O","IN"),IF(COUNTIF(Flows!$M$2:$M$1500,$A160&amp;"|"&amp;AQ$1&amp;"|Output"),"OUT",""))</f>
        <v/>
      </c>
      <c r="AR160" s="33" t="str">
        <f aca="false">IF(COUNTIF(Flows!$M$2:$M$1500,$A160&amp;"|"&amp;AR$1&amp;"|Input"),IF(COUNTIF(Flows!$M$2:$M$1500,$A160&amp;"|"&amp;AR$1&amp;"|Output"),"I/O","IN"),IF(COUNTIF(Flows!$M$2:$M$1500,$A160&amp;"|"&amp;AR$1&amp;"|Output"),"OUT",""))</f>
        <v/>
      </c>
      <c r="AS160" s="33" t="str">
        <f aca="false">IF(COUNTIF(Flows!$M$2:$M$1500,$A160&amp;"|"&amp;AS$1&amp;"|Input"),IF(COUNTIF(Flows!$M$2:$M$1500,$A160&amp;"|"&amp;AS$1&amp;"|Output"),"I/O","IN"),IF(COUNTIF(Flows!$M$2:$M$1500,$A160&amp;"|"&amp;AS$1&amp;"|Output"),"OUT",""))</f>
        <v/>
      </c>
      <c r="AT160" s="33" t="str">
        <f aca="false">IF(COUNTIF(Flows!$M$2:$M$1500,$A160&amp;"|"&amp;AT$1&amp;"|Input"),IF(COUNTIF(Flows!$M$2:$M$1500,$A160&amp;"|"&amp;AT$1&amp;"|Output"),"I/O","IN"),IF(COUNTIF(Flows!$M$2:$M$1500,$A160&amp;"|"&amp;AT$1&amp;"|Output"),"OUT",""))</f>
        <v/>
      </c>
      <c r="AU160" s="33" t="str">
        <f aca="false">IF(COUNTIF(Flows!$M$2:$M$1500,$A160&amp;"|"&amp;AU$1&amp;"|Input"),IF(COUNTIF(Flows!$M$2:$M$1500,$A160&amp;"|"&amp;AU$1&amp;"|Output"),"I/O","IN"),IF(COUNTIF(Flows!$M$2:$M$1500,$A160&amp;"|"&amp;AU$1&amp;"|Output"),"OUT",""))</f>
        <v/>
      </c>
      <c r="AV160" s="33" t="str">
        <f aca="false">IF(COUNTIF(Flows!$M$2:$M$1500,$A160&amp;"|"&amp;AV$1&amp;"|Input"),IF(COUNTIF(Flows!$M$2:$M$1500,$A160&amp;"|"&amp;AV$1&amp;"|Output"),"I/O","IN"),IF(COUNTIF(Flows!$M$2:$M$1500,$A160&amp;"|"&amp;AV$1&amp;"|Output"),"OUT",""))</f>
        <v/>
      </c>
      <c r="AW160" s="33" t="str">
        <f aca="false">IF(COUNTIF(Flows!$M$2:$M$1500,$A160&amp;"|"&amp;AW$1&amp;"|Input"),IF(COUNTIF(Flows!$M$2:$M$1500,$A160&amp;"|"&amp;AW$1&amp;"|Output"),"I/O","IN"),IF(COUNTIF(Flows!$M$2:$M$1500,$A160&amp;"|"&amp;AW$1&amp;"|Output"),"OUT",""))</f>
        <v/>
      </c>
      <c r="AX160" s="33" t="str">
        <f aca="false">IF(COUNTIF(Flows!$M$2:$M$1500,$A160&amp;"|"&amp;AX$1&amp;"|Input"),IF(COUNTIF(Flows!$M$2:$M$1500,$A160&amp;"|"&amp;AX$1&amp;"|Output"),"I/O","IN"),IF(COUNTIF(Flows!$M$2:$M$1500,$A160&amp;"|"&amp;AX$1&amp;"|Output"),"OUT",""))</f>
        <v/>
      </c>
      <c r="AY160" s="33" t="str">
        <f aca="false">IF(COUNTIF(Flows!$M$2:$M$1500,$A160&amp;"|"&amp;AY$1&amp;"|Input"),IF(COUNTIF(Flows!$M$2:$M$1500,$A160&amp;"|"&amp;AY$1&amp;"|Output"),"I/O","IN"),IF(COUNTIF(Flows!$M$2:$M$1500,$A160&amp;"|"&amp;AY$1&amp;"|Output"),"OUT",""))</f>
        <v/>
      </c>
      <c r="AZ160" s="33" t="str">
        <f aca="false">IF(COUNTIF(Flows!$M$2:$M$1500,$A160&amp;"|"&amp;AZ$1&amp;"|Input"),IF(COUNTIF(Flows!$M$2:$M$1500,$A160&amp;"|"&amp;AZ$1&amp;"|Output"),"I/O","IN"),IF(COUNTIF(Flows!$M$2:$M$1500,$A160&amp;"|"&amp;AZ$1&amp;"|Output"),"OUT",""))</f>
        <v/>
      </c>
      <c r="BA160" s="33" t="str">
        <f aca="false">IF(COUNTIF(Flows!$M$2:$M$1500,$A160&amp;"|"&amp;BA$1&amp;"|Input"),IF(COUNTIF(Flows!$M$2:$M$1500,$A160&amp;"|"&amp;BA$1&amp;"|Output"),"I/O","IN"),IF(COUNTIF(Flows!$M$2:$M$1500,$A160&amp;"|"&amp;BA$1&amp;"|Output"),"OUT",""))</f>
        <v/>
      </c>
      <c r="BB160" s="33" t="str">
        <f aca="false">IF(COUNTIF(Flows!$M$2:$M$1500,$A160&amp;"|"&amp;BB$1&amp;"|Input"),IF(COUNTIF(Flows!$M$2:$M$1500,$A160&amp;"|"&amp;BB$1&amp;"|Output"),"I/O","IN"),IF(COUNTIF(Flows!$M$2:$M$1500,$A160&amp;"|"&amp;BB$1&amp;"|Output"),"OUT",""))</f>
        <v/>
      </c>
      <c r="BC160" s="33" t="str">
        <f aca="false">IF(COUNTIF(Flows!$M$2:$M$1500,$A160&amp;"|"&amp;BC$1&amp;"|Input"),IF(COUNTIF(Flows!$M$2:$M$1500,$A160&amp;"|"&amp;BC$1&amp;"|Output"),"I/O","IN"),IF(COUNTIF(Flows!$M$2:$M$1500,$A160&amp;"|"&amp;BC$1&amp;"|Output"),"OUT",""))</f>
        <v/>
      </c>
      <c r="BD160" s="33" t="str">
        <f aca="false">IF(COUNTIF(Flows!$M$2:$M$1500,$A160&amp;"|"&amp;BD$1&amp;"|Input"),IF(COUNTIF(Flows!$M$2:$M$1500,$A160&amp;"|"&amp;BD$1&amp;"|Output"),"I/O","IN"),IF(COUNTIF(Flows!$M$2:$M$1500,$A160&amp;"|"&amp;BD$1&amp;"|Output"),"OUT",""))</f>
        <v/>
      </c>
      <c r="BE160" s="33" t="str">
        <f aca="false">IF(COUNTIF(Flows!$M$2:$M$1500,$A160&amp;"|"&amp;BE$1&amp;"|Input"),IF(COUNTIF(Flows!$M$2:$M$1500,$A160&amp;"|"&amp;BE$1&amp;"|Output"),"I/O","IN"),IF(COUNTIF(Flows!$M$2:$M$1500,$A160&amp;"|"&amp;BE$1&amp;"|Output"),"OUT",""))</f>
        <v/>
      </c>
      <c r="BF160" s="33" t="str">
        <f aca="false">IF(COUNTIF(Flows!$M$2:$M$1500,$A160&amp;"|"&amp;BF$1&amp;"|Input"),IF(COUNTIF(Flows!$M$2:$M$1500,$A160&amp;"|"&amp;BF$1&amp;"|Output"),"I/O","IN"),IF(COUNTIF(Flows!$M$2:$M$1500,$A160&amp;"|"&amp;BF$1&amp;"|Output"),"OUT",""))</f>
        <v/>
      </c>
      <c r="BG160" s="33" t="str">
        <f aca="false">IF(COUNTIF(Flows!$M$2:$M$1500,$A160&amp;"|"&amp;BG$1&amp;"|Input"),IF(COUNTIF(Flows!$M$2:$M$1500,$A160&amp;"|"&amp;BG$1&amp;"|Output"),"I/O","IN"),IF(COUNTIF(Flows!$M$2:$M$1500,$A160&amp;"|"&amp;BG$1&amp;"|Output"),"OUT",""))</f>
        <v/>
      </c>
      <c r="BH160" s="33" t="str">
        <f aca="false">IF(COUNTIF(Flows!$M$2:$M$1500,$A160&amp;"|"&amp;BH$1&amp;"|Input"),IF(COUNTIF(Flows!$M$2:$M$1500,$A160&amp;"|"&amp;BH$1&amp;"|Output"),"I/O","IN"),IF(COUNTIF(Flows!$M$2:$M$1500,$A160&amp;"|"&amp;BH$1&amp;"|Output"),"OUT",""))</f>
        <v/>
      </c>
      <c r="BI160" s="33" t="str">
        <f aca="false">IF(COUNTIF(Flows!$M$2:$M$1500,$A160&amp;"|"&amp;BI$1&amp;"|Input"),IF(COUNTIF(Flows!$M$2:$M$1500,$A160&amp;"|"&amp;BI$1&amp;"|Output"),"I/O","IN"),IF(COUNTIF(Flows!$M$2:$M$1500,$A160&amp;"|"&amp;BI$1&amp;"|Output"),"OUT",""))</f>
        <v/>
      </c>
      <c r="BJ160" s="33" t="str">
        <f aca="false">IF(COUNTIF(Flows!$M$2:$M$1500,$A160&amp;"|"&amp;BJ$1&amp;"|Input"),IF(COUNTIF(Flows!$M$2:$M$1500,$A160&amp;"|"&amp;BJ$1&amp;"|Output"),"I/O","IN"),IF(COUNTIF(Flows!$M$2:$M$1500,$A160&amp;"|"&amp;BJ$1&amp;"|Output"),"OUT",""))</f>
        <v/>
      </c>
      <c r="BK160" s="33" t="str">
        <f aca="false">IF(COUNTIF(Flows!$M$2:$M$1500,$A160&amp;"|"&amp;BK$1&amp;"|Input"),IF(COUNTIF(Flows!$M$2:$M$1500,$A160&amp;"|"&amp;BK$1&amp;"|Output"),"I/O","IN"),IF(COUNTIF(Flows!$M$2:$M$1500,$A160&amp;"|"&amp;BK$1&amp;"|Output"),"OUT",""))</f>
        <v/>
      </c>
    </row>
    <row r="161" customFormat="false" ht="15" hidden="false" customHeight="true" outlineLevel="0" collapsed="false">
      <c r="A161" s="6" t="str">
        <f aca="false">Systems!B161</f>
        <v>Masonry Heater</v>
      </c>
      <c r="B161" s="33" t="str">
        <f aca="false">IF(COUNTIF(Flows!$M$2:$M$1500,$A161&amp;"|"&amp;B$1&amp;"|Input"),IF(COUNTIF(Flows!$M$2:$M$1500,$A161&amp;"|"&amp;B$1&amp;"|Output"),"I/O","IN"),IF(COUNTIF(Flows!$M$2:$M$1500,$A161&amp;"|"&amp;B$1&amp;"|Output"),"OUT",""))</f>
        <v/>
      </c>
      <c r="C161" s="33" t="str">
        <f aca="false">IF(COUNTIF(Flows!$M$2:$M$1500,$A161&amp;"|"&amp;C$1&amp;"|Input"),IF(COUNTIF(Flows!$M$2:$M$1500,$A161&amp;"|"&amp;C$1&amp;"|Output"),"I/O","IN"),IF(COUNTIF(Flows!$M$2:$M$1500,$A161&amp;"|"&amp;C$1&amp;"|Output"),"OUT",""))</f>
        <v/>
      </c>
      <c r="D161" s="33" t="str">
        <f aca="false">IF(COUNTIF(Flows!$M$2:$M$1500,$A161&amp;"|"&amp;D$1&amp;"|Input"),IF(COUNTIF(Flows!$M$2:$M$1500,$A161&amp;"|"&amp;D$1&amp;"|Output"),"I/O","IN"),IF(COUNTIF(Flows!$M$2:$M$1500,$A161&amp;"|"&amp;D$1&amp;"|Output"),"OUT",""))</f>
        <v/>
      </c>
      <c r="E161" s="33" t="str">
        <f aca="false">IF(COUNTIF(Flows!$M$2:$M$1500,$A161&amp;"|"&amp;E$1&amp;"|Input"),IF(COUNTIF(Flows!$M$2:$M$1500,$A161&amp;"|"&amp;E$1&amp;"|Output"),"I/O","IN"),IF(COUNTIF(Flows!$M$2:$M$1500,$A161&amp;"|"&amp;E$1&amp;"|Output"),"OUT",""))</f>
        <v/>
      </c>
      <c r="F161" s="33" t="str">
        <f aca="false">IF(COUNTIF(Flows!$M$2:$M$1500,$A161&amp;"|"&amp;F$1&amp;"|Input"),IF(COUNTIF(Flows!$M$2:$M$1500,$A161&amp;"|"&amp;F$1&amp;"|Output"),"I/O","IN"),IF(COUNTIF(Flows!$M$2:$M$1500,$A161&amp;"|"&amp;F$1&amp;"|Output"),"OUT",""))</f>
        <v/>
      </c>
      <c r="G161" s="33" t="str">
        <f aca="false">IF(COUNTIF(Flows!$M$2:$M$1500,$A161&amp;"|"&amp;G$1&amp;"|Input"),IF(COUNTIF(Flows!$M$2:$M$1500,$A161&amp;"|"&amp;G$1&amp;"|Output"),"I/O","IN"),IF(COUNTIF(Flows!$M$2:$M$1500,$A161&amp;"|"&amp;G$1&amp;"|Output"),"OUT",""))</f>
        <v/>
      </c>
      <c r="H161" s="33" t="str">
        <f aca="false">IF(COUNTIF(Flows!$M$2:$M$1500,$A161&amp;"|"&amp;H$1&amp;"|Input"),IF(COUNTIF(Flows!$M$2:$M$1500,$A161&amp;"|"&amp;H$1&amp;"|Output"),"I/O","IN"),IF(COUNTIF(Flows!$M$2:$M$1500,$A161&amp;"|"&amp;H$1&amp;"|Output"),"OUT",""))</f>
        <v/>
      </c>
      <c r="I161" s="33" t="str">
        <f aca="false">IF(COUNTIF(Flows!$M$2:$M$1500,$A161&amp;"|"&amp;I$1&amp;"|Input"),IF(COUNTIF(Flows!$M$2:$M$1500,$A161&amp;"|"&amp;I$1&amp;"|Output"),"I/O","IN"),IF(COUNTIF(Flows!$M$2:$M$1500,$A161&amp;"|"&amp;I$1&amp;"|Output"),"OUT",""))</f>
        <v/>
      </c>
      <c r="J161" s="33" t="str">
        <f aca="false">IF(COUNTIF(Flows!$M$2:$M$1500,$A161&amp;"|"&amp;J$1&amp;"|Input"),IF(COUNTIF(Flows!$M$2:$M$1500,$A161&amp;"|"&amp;J$1&amp;"|Output"),"I/O","IN"),IF(COUNTIF(Flows!$M$2:$M$1500,$A161&amp;"|"&amp;J$1&amp;"|Output"),"OUT",""))</f>
        <v/>
      </c>
      <c r="K161" s="33" t="str">
        <f aca="false">IF(COUNTIF(Flows!$M$2:$M$1500,$A161&amp;"|"&amp;K$1&amp;"|Input"),IF(COUNTIF(Flows!$M$2:$M$1500,$A161&amp;"|"&amp;K$1&amp;"|Output"),"I/O","IN"),IF(COUNTIF(Flows!$M$2:$M$1500,$A161&amp;"|"&amp;K$1&amp;"|Output"),"OUT",""))</f>
        <v/>
      </c>
      <c r="L161" s="33" t="str">
        <f aca="false">IF(COUNTIF(Flows!$M$2:$M$1500,$A161&amp;"|"&amp;L$1&amp;"|Input"),IF(COUNTIF(Flows!$M$2:$M$1500,$A161&amp;"|"&amp;L$1&amp;"|Output"),"I/O","IN"),IF(COUNTIF(Flows!$M$2:$M$1500,$A161&amp;"|"&amp;L$1&amp;"|Output"),"OUT",""))</f>
        <v/>
      </c>
      <c r="M161" s="33" t="str">
        <f aca="false">IF(COUNTIF(Flows!$M$2:$M$1500,$A161&amp;"|"&amp;M$1&amp;"|Input"),IF(COUNTIF(Flows!$M$2:$M$1500,$A161&amp;"|"&amp;M$1&amp;"|Output"),"I/O","IN"),IF(COUNTIF(Flows!$M$2:$M$1500,$A161&amp;"|"&amp;M$1&amp;"|Output"),"OUT",""))</f>
        <v/>
      </c>
      <c r="N161" s="33" t="str">
        <f aca="false">IF(COUNTIF(Flows!$M$2:$M$1500,$A161&amp;"|"&amp;N$1&amp;"|Input"),IF(COUNTIF(Flows!$M$2:$M$1500,$A161&amp;"|"&amp;N$1&amp;"|Output"),"I/O","IN"),IF(COUNTIF(Flows!$M$2:$M$1500,$A161&amp;"|"&amp;N$1&amp;"|Output"),"OUT",""))</f>
        <v/>
      </c>
      <c r="O161" s="33" t="str">
        <f aca="false">IF(COUNTIF(Flows!$M$2:$M$1500,$A161&amp;"|"&amp;O$1&amp;"|Input"),IF(COUNTIF(Flows!$M$2:$M$1500,$A161&amp;"|"&amp;O$1&amp;"|Output"),"I/O","IN"),IF(COUNTIF(Flows!$M$2:$M$1500,$A161&amp;"|"&amp;O$1&amp;"|Output"),"OUT",""))</f>
        <v/>
      </c>
      <c r="P161" s="33" t="str">
        <f aca="false">IF(COUNTIF(Flows!$M$2:$M$1500,$A161&amp;"|"&amp;P$1&amp;"|Input"),IF(COUNTIF(Flows!$M$2:$M$1500,$A161&amp;"|"&amp;P$1&amp;"|Output"),"I/O","IN"),IF(COUNTIF(Flows!$M$2:$M$1500,$A161&amp;"|"&amp;P$1&amp;"|Output"),"OUT",""))</f>
        <v/>
      </c>
      <c r="Q161" s="33" t="str">
        <f aca="false">IF(COUNTIF(Flows!$M$2:$M$1500,$A161&amp;"|"&amp;Q$1&amp;"|Input"),IF(COUNTIF(Flows!$M$2:$M$1500,$A161&amp;"|"&amp;Q$1&amp;"|Output"),"I/O","IN"),IF(COUNTIF(Flows!$M$2:$M$1500,$A161&amp;"|"&amp;Q$1&amp;"|Output"),"OUT",""))</f>
        <v/>
      </c>
      <c r="R161" s="33" t="str">
        <f aca="false">IF(COUNTIF(Flows!$M$2:$M$1500,$A161&amp;"|"&amp;R$1&amp;"|Input"),IF(COUNTIF(Flows!$M$2:$M$1500,$A161&amp;"|"&amp;R$1&amp;"|Output"),"I/O","IN"),IF(COUNTIF(Flows!$M$2:$M$1500,$A161&amp;"|"&amp;R$1&amp;"|Output"),"OUT",""))</f>
        <v/>
      </c>
      <c r="S161" s="33" t="str">
        <f aca="false">IF(COUNTIF(Flows!$M$2:$M$1500,$A161&amp;"|"&amp;S$1&amp;"|Input"),IF(COUNTIF(Flows!$M$2:$M$1500,$A161&amp;"|"&amp;S$1&amp;"|Output"),"I/O","IN"),IF(COUNTIF(Flows!$M$2:$M$1500,$A161&amp;"|"&amp;S$1&amp;"|Output"),"OUT",""))</f>
        <v/>
      </c>
      <c r="T161" s="33" t="str">
        <f aca="false">IF(COUNTIF(Flows!$M$2:$M$1500,$A161&amp;"|"&amp;T$1&amp;"|Input"),IF(COUNTIF(Flows!$M$2:$M$1500,$A161&amp;"|"&amp;T$1&amp;"|Output"),"I/O","IN"),IF(COUNTIF(Flows!$M$2:$M$1500,$A161&amp;"|"&amp;T$1&amp;"|Output"),"OUT",""))</f>
        <v/>
      </c>
      <c r="U161" s="33" t="str">
        <f aca="false">IF(COUNTIF(Flows!$M$2:$M$1500,$A161&amp;"|"&amp;U$1&amp;"|Input"),IF(COUNTIF(Flows!$M$2:$M$1500,$A161&amp;"|"&amp;U$1&amp;"|Output"),"I/O","IN"),IF(COUNTIF(Flows!$M$2:$M$1500,$A161&amp;"|"&amp;U$1&amp;"|Output"),"OUT",""))</f>
        <v/>
      </c>
      <c r="V161" s="33" t="str">
        <f aca="false">IF(COUNTIF(Flows!$M$2:$M$1500,$A161&amp;"|"&amp;V$1&amp;"|Input"),IF(COUNTIF(Flows!$M$2:$M$1500,$A161&amp;"|"&amp;V$1&amp;"|Output"),"I/O","IN"),IF(COUNTIF(Flows!$M$2:$M$1500,$A161&amp;"|"&amp;V$1&amp;"|Output"),"OUT",""))</f>
        <v>OUT</v>
      </c>
      <c r="W161" s="33" t="str">
        <f aca="false">IF(COUNTIF(Flows!$M$2:$M$1500,$A161&amp;"|"&amp;W$1&amp;"|Input"),IF(COUNTIF(Flows!$M$2:$M$1500,$A161&amp;"|"&amp;W$1&amp;"|Output"),"I/O","IN"),IF(COUNTIF(Flows!$M$2:$M$1500,$A161&amp;"|"&amp;W$1&amp;"|Output"),"OUT",""))</f>
        <v/>
      </c>
      <c r="X161" s="33" t="str">
        <f aca="false">IF(COUNTIF(Flows!$M$2:$M$1500,$A161&amp;"|"&amp;X$1&amp;"|Input"),IF(COUNTIF(Flows!$M$2:$M$1500,$A161&amp;"|"&amp;X$1&amp;"|Output"),"I/O","IN"),IF(COUNTIF(Flows!$M$2:$M$1500,$A161&amp;"|"&amp;X$1&amp;"|Output"),"OUT",""))</f>
        <v>IN</v>
      </c>
      <c r="Y161" s="33" t="str">
        <f aca="false">IF(COUNTIF(Flows!$M$2:$M$1500,$A161&amp;"|"&amp;Y$1&amp;"|Input"),IF(COUNTIF(Flows!$M$2:$M$1500,$A161&amp;"|"&amp;Y$1&amp;"|Output"),"I/O","IN"),IF(COUNTIF(Flows!$M$2:$M$1500,$A161&amp;"|"&amp;Y$1&amp;"|Output"),"OUT",""))</f>
        <v/>
      </c>
      <c r="Z161" s="33" t="str">
        <f aca="false">IF(COUNTIF(Flows!$M$2:$M$1500,$A161&amp;"|"&amp;Z$1&amp;"|Input"),IF(COUNTIF(Flows!$M$2:$M$1500,$A161&amp;"|"&amp;Z$1&amp;"|Output"),"I/O","IN"),IF(COUNTIF(Flows!$M$2:$M$1500,$A161&amp;"|"&amp;Z$1&amp;"|Output"),"OUT",""))</f>
        <v/>
      </c>
      <c r="AA161" s="33" t="str">
        <f aca="false">IF(COUNTIF(Flows!$M$2:$M$1500,$A161&amp;"|"&amp;AA$1&amp;"|Input"),IF(COUNTIF(Flows!$M$2:$M$1500,$A161&amp;"|"&amp;AA$1&amp;"|Output"),"I/O","IN"),IF(COUNTIF(Flows!$M$2:$M$1500,$A161&amp;"|"&amp;AA$1&amp;"|Output"),"OUT",""))</f>
        <v/>
      </c>
      <c r="AB161" s="33" t="str">
        <f aca="false">IF(COUNTIF(Flows!$M$2:$M$1500,$A161&amp;"|"&amp;AB$1&amp;"|Input"),IF(COUNTIF(Flows!$M$2:$M$1500,$A161&amp;"|"&amp;AB$1&amp;"|Output"),"I/O","IN"),IF(COUNTIF(Flows!$M$2:$M$1500,$A161&amp;"|"&amp;AB$1&amp;"|Output"),"OUT",""))</f>
        <v/>
      </c>
      <c r="AC161" s="33" t="str">
        <f aca="false">IF(COUNTIF(Flows!$M$2:$M$1500,$A161&amp;"|"&amp;AC$1&amp;"|Input"),IF(COUNTIF(Flows!$M$2:$M$1500,$A161&amp;"|"&amp;AC$1&amp;"|Output"),"I/O","IN"),IF(COUNTIF(Flows!$M$2:$M$1500,$A161&amp;"|"&amp;AC$1&amp;"|Output"),"OUT",""))</f>
        <v/>
      </c>
      <c r="AD161" s="33" t="str">
        <f aca="false">IF(COUNTIF(Flows!$M$2:$M$1500,$A161&amp;"|"&amp;AD$1&amp;"|Input"),IF(COUNTIF(Flows!$M$2:$M$1500,$A161&amp;"|"&amp;AD$1&amp;"|Output"),"I/O","IN"),IF(COUNTIF(Flows!$M$2:$M$1500,$A161&amp;"|"&amp;AD$1&amp;"|Output"),"OUT",""))</f>
        <v/>
      </c>
      <c r="AE161" s="33" t="str">
        <f aca="false">IF(COUNTIF(Flows!$M$2:$M$1500,$A161&amp;"|"&amp;AE$1&amp;"|Input"),IF(COUNTIF(Flows!$M$2:$M$1500,$A161&amp;"|"&amp;AE$1&amp;"|Output"),"I/O","IN"),IF(COUNTIF(Flows!$M$2:$M$1500,$A161&amp;"|"&amp;AE$1&amp;"|Output"),"OUT",""))</f>
        <v/>
      </c>
      <c r="AF161" s="33" t="str">
        <f aca="false">IF(COUNTIF(Flows!$M$2:$M$1500,$A161&amp;"|"&amp;AF$1&amp;"|Input"),IF(COUNTIF(Flows!$M$2:$M$1500,$A161&amp;"|"&amp;AF$1&amp;"|Output"),"I/O","IN"),IF(COUNTIF(Flows!$M$2:$M$1500,$A161&amp;"|"&amp;AF$1&amp;"|Output"),"OUT",""))</f>
        <v/>
      </c>
      <c r="AG161" s="33" t="str">
        <f aca="false">IF(COUNTIF(Flows!$M$2:$M$1500,$A161&amp;"|"&amp;AG$1&amp;"|Input"),IF(COUNTIF(Flows!$M$2:$M$1500,$A161&amp;"|"&amp;AG$1&amp;"|Output"),"I/O","IN"),IF(COUNTIF(Flows!$M$2:$M$1500,$A161&amp;"|"&amp;AG$1&amp;"|Output"),"OUT",""))</f>
        <v/>
      </c>
      <c r="AH161" s="33" t="str">
        <f aca="false">IF(COUNTIF(Flows!$M$2:$M$1500,$A161&amp;"|"&amp;AH$1&amp;"|Input"),IF(COUNTIF(Flows!$M$2:$M$1500,$A161&amp;"|"&amp;AH$1&amp;"|Output"),"I/O","IN"),IF(COUNTIF(Flows!$M$2:$M$1500,$A161&amp;"|"&amp;AH$1&amp;"|Output"),"OUT",""))</f>
        <v/>
      </c>
      <c r="AI161" s="33" t="str">
        <f aca="false">IF(COUNTIF(Flows!$M$2:$M$1500,$A161&amp;"|"&amp;AI$1&amp;"|Input"),IF(COUNTIF(Flows!$M$2:$M$1500,$A161&amp;"|"&amp;AI$1&amp;"|Output"),"I/O","IN"),IF(COUNTIF(Flows!$M$2:$M$1500,$A161&amp;"|"&amp;AI$1&amp;"|Output"),"OUT",""))</f>
        <v/>
      </c>
      <c r="AJ161" s="33" t="str">
        <f aca="false">IF(COUNTIF(Flows!$M$2:$M$1500,$A161&amp;"|"&amp;AJ$1&amp;"|Input"),IF(COUNTIF(Flows!$M$2:$M$1500,$A161&amp;"|"&amp;AJ$1&amp;"|Output"),"I/O","IN"),IF(COUNTIF(Flows!$M$2:$M$1500,$A161&amp;"|"&amp;AJ$1&amp;"|Output"),"OUT",""))</f>
        <v/>
      </c>
      <c r="AK161" s="33" t="str">
        <f aca="false">IF(COUNTIF(Flows!$M$2:$M$1500,$A161&amp;"|"&amp;AK$1&amp;"|Input"),IF(COUNTIF(Flows!$M$2:$M$1500,$A161&amp;"|"&amp;AK$1&amp;"|Output"),"I/O","IN"),IF(COUNTIF(Flows!$M$2:$M$1500,$A161&amp;"|"&amp;AK$1&amp;"|Output"),"OUT",""))</f>
        <v/>
      </c>
      <c r="AL161" s="33" t="str">
        <f aca="false">IF(COUNTIF(Flows!$M$2:$M$1500,$A161&amp;"|"&amp;AL$1&amp;"|Input"),IF(COUNTIF(Flows!$M$2:$M$1500,$A161&amp;"|"&amp;AL$1&amp;"|Output"),"I/O","IN"),IF(COUNTIF(Flows!$M$2:$M$1500,$A161&amp;"|"&amp;AL$1&amp;"|Output"),"OUT",""))</f>
        <v>IN</v>
      </c>
      <c r="AM161" s="33" t="str">
        <f aca="false">IF(COUNTIF(Flows!$M$2:$M$1500,$A161&amp;"|"&amp;AM$1&amp;"|Input"),IF(COUNTIF(Flows!$M$2:$M$1500,$A161&amp;"|"&amp;AM$1&amp;"|Output"),"I/O","IN"),IF(COUNTIF(Flows!$M$2:$M$1500,$A161&amp;"|"&amp;AM$1&amp;"|Output"),"OUT",""))</f>
        <v/>
      </c>
      <c r="AN161" s="33" t="str">
        <f aca="false">IF(COUNTIF(Flows!$M$2:$M$1500,$A161&amp;"|"&amp;AN$1&amp;"|Input"),IF(COUNTIF(Flows!$M$2:$M$1500,$A161&amp;"|"&amp;AN$1&amp;"|Output"),"I/O","IN"),IF(COUNTIF(Flows!$M$2:$M$1500,$A161&amp;"|"&amp;AN$1&amp;"|Output"),"OUT",""))</f>
        <v/>
      </c>
      <c r="AO161" s="33" t="str">
        <f aca="false">IF(COUNTIF(Flows!$M$2:$M$1500,$A161&amp;"|"&amp;AO$1&amp;"|Input"),IF(COUNTIF(Flows!$M$2:$M$1500,$A161&amp;"|"&amp;AO$1&amp;"|Output"),"I/O","IN"),IF(COUNTIF(Flows!$M$2:$M$1500,$A161&amp;"|"&amp;AO$1&amp;"|Output"),"OUT",""))</f>
        <v/>
      </c>
      <c r="AP161" s="33" t="str">
        <f aca="false">IF(COUNTIF(Flows!$M$2:$M$1500,$A161&amp;"|"&amp;AP$1&amp;"|Input"),IF(COUNTIF(Flows!$M$2:$M$1500,$A161&amp;"|"&amp;AP$1&amp;"|Output"),"I/O","IN"),IF(COUNTIF(Flows!$M$2:$M$1500,$A161&amp;"|"&amp;AP$1&amp;"|Output"),"OUT",""))</f>
        <v/>
      </c>
      <c r="AQ161" s="33" t="str">
        <f aca="false">IF(COUNTIF(Flows!$M$2:$M$1500,$A161&amp;"|"&amp;AQ$1&amp;"|Input"),IF(COUNTIF(Flows!$M$2:$M$1500,$A161&amp;"|"&amp;AQ$1&amp;"|Output"),"I/O","IN"),IF(COUNTIF(Flows!$M$2:$M$1500,$A161&amp;"|"&amp;AQ$1&amp;"|Output"),"OUT",""))</f>
        <v/>
      </c>
      <c r="AR161" s="33" t="str">
        <f aca="false">IF(COUNTIF(Flows!$M$2:$M$1500,$A161&amp;"|"&amp;AR$1&amp;"|Input"),IF(COUNTIF(Flows!$M$2:$M$1500,$A161&amp;"|"&amp;AR$1&amp;"|Output"),"I/O","IN"),IF(COUNTIF(Flows!$M$2:$M$1500,$A161&amp;"|"&amp;AR$1&amp;"|Output"),"OUT",""))</f>
        <v/>
      </c>
      <c r="AS161" s="33" t="str">
        <f aca="false">IF(COUNTIF(Flows!$M$2:$M$1500,$A161&amp;"|"&amp;AS$1&amp;"|Input"),IF(COUNTIF(Flows!$M$2:$M$1500,$A161&amp;"|"&amp;AS$1&amp;"|Output"),"I/O","IN"),IF(COUNTIF(Flows!$M$2:$M$1500,$A161&amp;"|"&amp;AS$1&amp;"|Output"),"OUT",""))</f>
        <v/>
      </c>
      <c r="AT161" s="33" t="str">
        <f aca="false">IF(COUNTIF(Flows!$M$2:$M$1500,$A161&amp;"|"&amp;AT$1&amp;"|Input"),IF(COUNTIF(Flows!$M$2:$M$1500,$A161&amp;"|"&amp;AT$1&amp;"|Output"),"I/O","IN"),IF(COUNTIF(Flows!$M$2:$M$1500,$A161&amp;"|"&amp;AT$1&amp;"|Output"),"OUT",""))</f>
        <v/>
      </c>
      <c r="AU161" s="33" t="str">
        <f aca="false">IF(COUNTIF(Flows!$M$2:$M$1500,$A161&amp;"|"&amp;AU$1&amp;"|Input"),IF(COUNTIF(Flows!$M$2:$M$1500,$A161&amp;"|"&amp;AU$1&amp;"|Output"),"I/O","IN"),IF(COUNTIF(Flows!$M$2:$M$1500,$A161&amp;"|"&amp;AU$1&amp;"|Output"),"OUT",""))</f>
        <v/>
      </c>
      <c r="AV161" s="33" t="str">
        <f aca="false">IF(COUNTIF(Flows!$M$2:$M$1500,$A161&amp;"|"&amp;AV$1&amp;"|Input"),IF(COUNTIF(Flows!$M$2:$M$1500,$A161&amp;"|"&amp;AV$1&amp;"|Output"),"I/O","IN"),IF(COUNTIF(Flows!$M$2:$M$1500,$A161&amp;"|"&amp;AV$1&amp;"|Output"),"OUT",""))</f>
        <v/>
      </c>
      <c r="AW161" s="33" t="str">
        <f aca="false">IF(COUNTIF(Flows!$M$2:$M$1500,$A161&amp;"|"&amp;AW$1&amp;"|Input"),IF(COUNTIF(Flows!$M$2:$M$1500,$A161&amp;"|"&amp;AW$1&amp;"|Output"),"I/O","IN"),IF(COUNTIF(Flows!$M$2:$M$1500,$A161&amp;"|"&amp;AW$1&amp;"|Output"),"OUT",""))</f>
        <v/>
      </c>
      <c r="AX161" s="33" t="str">
        <f aca="false">IF(COUNTIF(Flows!$M$2:$M$1500,$A161&amp;"|"&amp;AX$1&amp;"|Input"),IF(COUNTIF(Flows!$M$2:$M$1500,$A161&amp;"|"&amp;AX$1&amp;"|Output"),"I/O","IN"),IF(COUNTIF(Flows!$M$2:$M$1500,$A161&amp;"|"&amp;AX$1&amp;"|Output"),"OUT",""))</f>
        <v/>
      </c>
      <c r="AY161" s="33" t="str">
        <f aca="false">IF(COUNTIF(Flows!$M$2:$M$1500,$A161&amp;"|"&amp;AY$1&amp;"|Input"),IF(COUNTIF(Flows!$M$2:$M$1500,$A161&amp;"|"&amp;AY$1&amp;"|Output"),"I/O","IN"),IF(COUNTIF(Flows!$M$2:$M$1500,$A161&amp;"|"&amp;AY$1&amp;"|Output"),"OUT",""))</f>
        <v/>
      </c>
      <c r="AZ161" s="33" t="str">
        <f aca="false">IF(COUNTIF(Flows!$M$2:$M$1500,$A161&amp;"|"&amp;AZ$1&amp;"|Input"),IF(COUNTIF(Flows!$M$2:$M$1500,$A161&amp;"|"&amp;AZ$1&amp;"|Output"),"I/O","IN"),IF(COUNTIF(Flows!$M$2:$M$1500,$A161&amp;"|"&amp;AZ$1&amp;"|Output"),"OUT",""))</f>
        <v/>
      </c>
      <c r="BA161" s="33" t="str">
        <f aca="false">IF(COUNTIF(Flows!$M$2:$M$1500,$A161&amp;"|"&amp;BA$1&amp;"|Input"),IF(COUNTIF(Flows!$M$2:$M$1500,$A161&amp;"|"&amp;BA$1&amp;"|Output"),"I/O","IN"),IF(COUNTIF(Flows!$M$2:$M$1500,$A161&amp;"|"&amp;BA$1&amp;"|Output"),"OUT",""))</f>
        <v/>
      </c>
      <c r="BB161" s="33" t="str">
        <f aca="false">IF(COUNTIF(Flows!$M$2:$M$1500,$A161&amp;"|"&amp;BB$1&amp;"|Input"),IF(COUNTIF(Flows!$M$2:$M$1500,$A161&amp;"|"&amp;BB$1&amp;"|Output"),"I/O","IN"),IF(COUNTIF(Flows!$M$2:$M$1500,$A161&amp;"|"&amp;BB$1&amp;"|Output"),"OUT",""))</f>
        <v/>
      </c>
      <c r="BC161" s="33" t="str">
        <f aca="false">IF(COUNTIF(Flows!$M$2:$M$1500,$A161&amp;"|"&amp;BC$1&amp;"|Input"),IF(COUNTIF(Flows!$M$2:$M$1500,$A161&amp;"|"&amp;BC$1&amp;"|Output"),"I/O","IN"),IF(COUNTIF(Flows!$M$2:$M$1500,$A161&amp;"|"&amp;BC$1&amp;"|Output"),"OUT",""))</f>
        <v/>
      </c>
      <c r="BD161" s="33" t="str">
        <f aca="false">IF(COUNTIF(Flows!$M$2:$M$1500,$A161&amp;"|"&amp;BD$1&amp;"|Input"),IF(COUNTIF(Flows!$M$2:$M$1500,$A161&amp;"|"&amp;BD$1&amp;"|Output"),"I/O","IN"),IF(COUNTIF(Flows!$M$2:$M$1500,$A161&amp;"|"&amp;BD$1&amp;"|Output"),"OUT",""))</f>
        <v/>
      </c>
      <c r="BE161" s="33" t="str">
        <f aca="false">IF(COUNTIF(Flows!$M$2:$M$1500,$A161&amp;"|"&amp;BE$1&amp;"|Input"),IF(COUNTIF(Flows!$M$2:$M$1500,$A161&amp;"|"&amp;BE$1&amp;"|Output"),"I/O","IN"),IF(COUNTIF(Flows!$M$2:$M$1500,$A161&amp;"|"&amp;BE$1&amp;"|Output"),"OUT",""))</f>
        <v/>
      </c>
      <c r="BF161" s="33" t="str">
        <f aca="false">IF(COUNTIF(Flows!$M$2:$M$1500,$A161&amp;"|"&amp;BF$1&amp;"|Input"),IF(COUNTIF(Flows!$M$2:$M$1500,$A161&amp;"|"&amp;BF$1&amp;"|Output"),"I/O","IN"),IF(COUNTIF(Flows!$M$2:$M$1500,$A161&amp;"|"&amp;BF$1&amp;"|Output"),"OUT",""))</f>
        <v/>
      </c>
      <c r="BG161" s="33" t="str">
        <f aca="false">IF(COUNTIF(Flows!$M$2:$M$1500,$A161&amp;"|"&amp;BG$1&amp;"|Input"),IF(COUNTIF(Flows!$M$2:$M$1500,$A161&amp;"|"&amp;BG$1&amp;"|Output"),"I/O","IN"),IF(COUNTIF(Flows!$M$2:$M$1500,$A161&amp;"|"&amp;BG$1&amp;"|Output"),"OUT",""))</f>
        <v/>
      </c>
      <c r="BH161" s="33" t="str">
        <f aca="false">IF(COUNTIF(Flows!$M$2:$M$1500,$A161&amp;"|"&amp;BH$1&amp;"|Input"),IF(COUNTIF(Flows!$M$2:$M$1500,$A161&amp;"|"&amp;BH$1&amp;"|Output"),"I/O","IN"),IF(COUNTIF(Flows!$M$2:$M$1500,$A161&amp;"|"&amp;BH$1&amp;"|Output"),"OUT",""))</f>
        <v/>
      </c>
      <c r="BI161" s="33" t="str">
        <f aca="false">IF(COUNTIF(Flows!$M$2:$M$1500,$A161&amp;"|"&amp;BI$1&amp;"|Input"),IF(COUNTIF(Flows!$M$2:$M$1500,$A161&amp;"|"&amp;BI$1&amp;"|Output"),"I/O","IN"),IF(COUNTIF(Flows!$M$2:$M$1500,$A161&amp;"|"&amp;BI$1&amp;"|Output"),"OUT",""))</f>
        <v/>
      </c>
      <c r="BJ161" s="33" t="str">
        <f aca="false">IF(COUNTIF(Flows!$M$2:$M$1500,$A161&amp;"|"&amp;BJ$1&amp;"|Input"),IF(COUNTIF(Flows!$M$2:$M$1500,$A161&amp;"|"&amp;BJ$1&amp;"|Output"),"I/O","IN"),IF(COUNTIF(Flows!$M$2:$M$1500,$A161&amp;"|"&amp;BJ$1&amp;"|Output"),"OUT",""))</f>
        <v/>
      </c>
      <c r="BK161" s="33" t="str">
        <f aca="false">IF(COUNTIF(Flows!$M$2:$M$1500,$A161&amp;"|"&amp;BK$1&amp;"|Input"),IF(COUNTIF(Flows!$M$2:$M$1500,$A161&amp;"|"&amp;BK$1&amp;"|Output"),"I/O","IN"),IF(COUNTIF(Flows!$M$2:$M$1500,$A161&amp;"|"&amp;BK$1&amp;"|Output"),"OUT",""))</f>
        <v/>
      </c>
    </row>
    <row r="162" customFormat="false" ht="15" hidden="false" customHeight="true" outlineLevel="0" collapsed="false">
      <c r="A162" s="6" t="str">
        <f aca="false">Systems!B162</f>
        <v>Pellet Stove</v>
      </c>
      <c r="B162" s="33" t="str">
        <f aca="false">IF(COUNTIF(Flows!$M$2:$M$1500,$A162&amp;"|"&amp;B$1&amp;"|Input"),IF(COUNTIF(Flows!$M$2:$M$1500,$A162&amp;"|"&amp;B$1&amp;"|Output"),"I/O","IN"),IF(COUNTIF(Flows!$M$2:$M$1500,$A162&amp;"|"&amp;B$1&amp;"|Output"),"OUT",""))</f>
        <v/>
      </c>
      <c r="C162" s="33" t="str">
        <f aca="false">IF(COUNTIF(Flows!$M$2:$M$1500,$A162&amp;"|"&amp;C$1&amp;"|Input"),IF(COUNTIF(Flows!$M$2:$M$1500,$A162&amp;"|"&amp;C$1&amp;"|Output"),"I/O","IN"),IF(COUNTIF(Flows!$M$2:$M$1500,$A162&amp;"|"&amp;C$1&amp;"|Output"),"OUT",""))</f>
        <v/>
      </c>
      <c r="D162" s="33" t="str">
        <f aca="false">IF(COUNTIF(Flows!$M$2:$M$1500,$A162&amp;"|"&amp;D$1&amp;"|Input"),IF(COUNTIF(Flows!$M$2:$M$1500,$A162&amp;"|"&amp;D$1&amp;"|Output"),"I/O","IN"),IF(COUNTIF(Flows!$M$2:$M$1500,$A162&amp;"|"&amp;D$1&amp;"|Output"),"OUT",""))</f>
        <v/>
      </c>
      <c r="E162" s="33" t="str">
        <f aca="false">IF(COUNTIF(Flows!$M$2:$M$1500,$A162&amp;"|"&amp;E$1&amp;"|Input"),IF(COUNTIF(Flows!$M$2:$M$1500,$A162&amp;"|"&amp;E$1&amp;"|Output"),"I/O","IN"),IF(COUNTIF(Flows!$M$2:$M$1500,$A162&amp;"|"&amp;E$1&amp;"|Output"),"OUT",""))</f>
        <v/>
      </c>
      <c r="F162" s="33" t="str">
        <f aca="false">IF(COUNTIF(Flows!$M$2:$M$1500,$A162&amp;"|"&amp;F$1&amp;"|Input"),IF(COUNTIF(Flows!$M$2:$M$1500,$A162&amp;"|"&amp;F$1&amp;"|Output"),"I/O","IN"),IF(COUNTIF(Flows!$M$2:$M$1500,$A162&amp;"|"&amp;F$1&amp;"|Output"),"OUT",""))</f>
        <v/>
      </c>
      <c r="G162" s="33" t="str">
        <f aca="false">IF(COUNTIF(Flows!$M$2:$M$1500,$A162&amp;"|"&amp;G$1&amp;"|Input"),IF(COUNTIF(Flows!$M$2:$M$1500,$A162&amp;"|"&amp;G$1&amp;"|Output"),"I/O","IN"),IF(COUNTIF(Flows!$M$2:$M$1500,$A162&amp;"|"&amp;G$1&amp;"|Output"),"OUT",""))</f>
        <v/>
      </c>
      <c r="H162" s="33" t="str">
        <f aca="false">IF(COUNTIF(Flows!$M$2:$M$1500,$A162&amp;"|"&amp;H$1&amp;"|Input"),IF(COUNTIF(Flows!$M$2:$M$1500,$A162&amp;"|"&amp;H$1&amp;"|Output"),"I/O","IN"),IF(COUNTIF(Flows!$M$2:$M$1500,$A162&amp;"|"&amp;H$1&amp;"|Output"),"OUT",""))</f>
        <v/>
      </c>
      <c r="I162" s="33" t="str">
        <f aca="false">IF(COUNTIF(Flows!$M$2:$M$1500,$A162&amp;"|"&amp;I$1&amp;"|Input"),IF(COUNTIF(Flows!$M$2:$M$1500,$A162&amp;"|"&amp;I$1&amp;"|Output"),"I/O","IN"),IF(COUNTIF(Flows!$M$2:$M$1500,$A162&amp;"|"&amp;I$1&amp;"|Output"),"OUT",""))</f>
        <v/>
      </c>
      <c r="J162" s="33" t="str">
        <f aca="false">IF(COUNTIF(Flows!$M$2:$M$1500,$A162&amp;"|"&amp;J$1&amp;"|Input"),IF(COUNTIF(Flows!$M$2:$M$1500,$A162&amp;"|"&amp;J$1&amp;"|Output"),"I/O","IN"),IF(COUNTIF(Flows!$M$2:$M$1500,$A162&amp;"|"&amp;J$1&amp;"|Output"),"OUT",""))</f>
        <v/>
      </c>
      <c r="K162" s="33" t="str">
        <f aca="false">IF(COUNTIF(Flows!$M$2:$M$1500,$A162&amp;"|"&amp;K$1&amp;"|Input"),IF(COUNTIF(Flows!$M$2:$M$1500,$A162&amp;"|"&amp;K$1&amp;"|Output"),"I/O","IN"),IF(COUNTIF(Flows!$M$2:$M$1500,$A162&amp;"|"&amp;K$1&amp;"|Output"),"OUT",""))</f>
        <v/>
      </c>
      <c r="L162" s="33" t="str">
        <f aca="false">IF(COUNTIF(Flows!$M$2:$M$1500,$A162&amp;"|"&amp;L$1&amp;"|Input"),IF(COUNTIF(Flows!$M$2:$M$1500,$A162&amp;"|"&amp;L$1&amp;"|Output"),"I/O","IN"),IF(COUNTIF(Flows!$M$2:$M$1500,$A162&amp;"|"&amp;L$1&amp;"|Output"),"OUT",""))</f>
        <v/>
      </c>
      <c r="M162" s="33" t="str">
        <f aca="false">IF(COUNTIF(Flows!$M$2:$M$1500,$A162&amp;"|"&amp;M$1&amp;"|Input"),IF(COUNTIF(Flows!$M$2:$M$1500,$A162&amp;"|"&amp;M$1&amp;"|Output"),"I/O","IN"),IF(COUNTIF(Flows!$M$2:$M$1500,$A162&amp;"|"&amp;M$1&amp;"|Output"),"OUT",""))</f>
        <v/>
      </c>
      <c r="N162" s="33" t="str">
        <f aca="false">IF(COUNTIF(Flows!$M$2:$M$1500,$A162&amp;"|"&amp;N$1&amp;"|Input"),IF(COUNTIF(Flows!$M$2:$M$1500,$A162&amp;"|"&amp;N$1&amp;"|Output"),"I/O","IN"),IF(COUNTIF(Flows!$M$2:$M$1500,$A162&amp;"|"&amp;N$1&amp;"|Output"),"OUT",""))</f>
        <v/>
      </c>
      <c r="O162" s="33" t="str">
        <f aca="false">IF(COUNTIF(Flows!$M$2:$M$1500,$A162&amp;"|"&amp;O$1&amp;"|Input"),IF(COUNTIF(Flows!$M$2:$M$1500,$A162&amp;"|"&amp;O$1&amp;"|Output"),"I/O","IN"),IF(COUNTIF(Flows!$M$2:$M$1500,$A162&amp;"|"&amp;O$1&amp;"|Output"),"OUT",""))</f>
        <v/>
      </c>
      <c r="P162" s="33" t="str">
        <f aca="false">IF(COUNTIF(Flows!$M$2:$M$1500,$A162&amp;"|"&amp;P$1&amp;"|Input"),IF(COUNTIF(Flows!$M$2:$M$1500,$A162&amp;"|"&amp;P$1&amp;"|Output"),"I/O","IN"),IF(COUNTIF(Flows!$M$2:$M$1500,$A162&amp;"|"&amp;P$1&amp;"|Output"),"OUT",""))</f>
        <v/>
      </c>
      <c r="Q162" s="33" t="str">
        <f aca="false">IF(COUNTIF(Flows!$M$2:$M$1500,$A162&amp;"|"&amp;Q$1&amp;"|Input"),IF(COUNTIF(Flows!$M$2:$M$1500,$A162&amp;"|"&amp;Q$1&amp;"|Output"),"I/O","IN"),IF(COUNTIF(Flows!$M$2:$M$1500,$A162&amp;"|"&amp;Q$1&amp;"|Output"),"OUT",""))</f>
        <v/>
      </c>
      <c r="R162" s="33" t="str">
        <f aca="false">IF(COUNTIF(Flows!$M$2:$M$1500,$A162&amp;"|"&amp;R$1&amp;"|Input"),IF(COUNTIF(Flows!$M$2:$M$1500,$A162&amp;"|"&amp;R$1&amp;"|Output"),"I/O","IN"),IF(COUNTIF(Flows!$M$2:$M$1500,$A162&amp;"|"&amp;R$1&amp;"|Output"),"OUT",""))</f>
        <v/>
      </c>
      <c r="S162" s="33" t="str">
        <f aca="false">IF(COUNTIF(Flows!$M$2:$M$1500,$A162&amp;"|"&amp;S$1&amp;"|Input"),IF(COUNTIF(Flows!$M$2:$M$1500,$A162&amp;"|"&amp;S$1&amp;"|Output"),"I/O","IN"),IF(COUNTIF(Flows!$M$2:$M$1500,$A162&amp;"|"&amp;S$1&amp;"|Output"),"OUT",""))</f>
        <v>IN</v>
      </c>
      <c r="T162" s="33" t="str">
        <f aca="false">IF(COUNTIF(Flows!$M$2:$M$1500,$A162&amp;"|"&amp;T$1&amp;"|Input"),IF(COUNTIF(Flows!$M$2:$M$1500,$A162&amp;"|"&amp;T$1&amp;"|Output"),"I/O","IN"),IF(COUNTIF(Flows!$M$2:$M$1500,$A162&amp;"|"&amp;T$1&amp;"|Output"),"OUT",""))</f>
        <v/>
      </c>
      <c r="U162" s="33" t="str">
        <f aca="false">IF(COUNTIF(Flows!$M$2:$M$1500,$A162&amp;"|"&amp;U$1&amp;"|Input"),IF(COUNTIF(Flows!$M$2:$M$1500,$A162&amp;"|"&amp;U$1&amp;"|Output"),"I/O","IN"),IF(COUNTIF(Flows!$M$2:$M$1500,$A162&amp;"|"&amp;U$1&amp;"|Output"),"OUT",""))</f>
        <v/>
      </c>
      <c r="V162" s="33" t="str">
        <f aca="false">IF(COUNTIF(Flows!$M$2:$M$1500,$A162&amp;"|"&amp;V$1&amp;"|Input"),IF(COUNTIF(Flows!$M$2:$M$1500,$A162&amp;"|"&amp;V$1&amp;"|Output"),"I/O","IN"),IF(COUNTIF(Flows!$M$2:$M$1500,$A162&amp;"|"&amp;V$1&amp;"|Output"),"OUT",""))</f>
        <v>OUT</v>
      </c>
      <c r="W162" s="33" t="str">
        <f aca="false">IF(COUNTIF(Flows!$M$2:$M$1500,$A162&amp;"|"&amp;W$1&amp;"|Input"),IF(COUNTIF(Flows!$M$2:$M$1500,$A162&amp;"|"&amp;W$1&amp;"|Output"),"I/O","IN"),IF(COUNTIF(Flows!$M$2:$M$1500,$A162&amp;"|"&amp;W$1&amp;"|Output"),"OUT",""))</f>
        <v/>
      </c>
      <c r="X162" s="33" t="str">
        <f aca="false">IF(COUNTIF(Flows!$M$2:$M$1500,$A162&amp;"|"&amp;X$1&amp;"|Input"),IF(COUNTIF(Flows!$M$2:$M$1500,$A162&amp;"|"&amp;X$1&amp;"|Output"),"I/O","IN"),IF(COUNTIF(Flows!$M$2:$M$1500,$A162&amp;"|"&amp;X$1&amp;"|Output"),"OUT",""))</f>
        <v>IN</v>
      </c>
      <c r="Y162" s="33" t="str">
        <f aca="false">IF(COUNTIF(Flows!$M$2:$M$1500,$A162&amp;"|"&amp;Y$1&amp;"|Input"),IF(COUNTIF(Flows!$M$2:$M$1500,$A162&amp;"|"&amp;Y$1&amp;"|Output"),"I/O","IN"),IF(COUNTIF(Flows!$M$2:$M$1500,$A162&amp;"|"&amp;Y$1&amp;"|Output"),"OUT",""))</f>
        <v/>
      </c>
      <c r="Z162" s="33" t="str">
        <f aca="false">IF(COUNTIF(Flows!$M$2:$M$1500,$A162&amp;"|"&amp;Z$1&amp;"|Input"),IF(COUNTIF(Flows!$M$2:$M$1500,$A162&amp;"|"&amp;Z$1&amp;"|Output"),"I/O","IN"),IF(COUNTIF(Flows!$M$2:$M$1500,$A162&amp;"|"&amp;Z$1&amp;"|Output"),"OUT",""))</f>
        <v/>
      </c>
      <c r="AA162" s="33" t="str">
        <f aca="false">IF(COUNTIF(Flows!$M$2:$M$1500,$A162&amp;"|"&amp;AA$1&amp;"|Input"),IF(COUNTIF(Flows!$M$2:$M$1500,$A162&amp;"|"&amp;AA$1&amp;"|Output"),"I/O","IN"),IF(COUNTIF(Flows!$M$2:$M$1500,$A162&amp;"|"&amp;AA$1&amp;"|Output"),"OUT",""))</f>
        <v/>
      </c>
      <c r="AB162" s="33" t="str">
        <f aca="false">IF(COUNTIF(Flows!$M$2:$M$1500,$A162&amp;"|"&amp;AB$1&amp;"|Input"),IF(COUNTIF(Flows!$M$2:$M$1500,$A162&amp;"|"&amp;AB$1&amp;"|Output"),"I/O","IN"),IF(COUNTIF(Flows!$M$2:$M$1500,$A162&amp;"|"&amp;AB$1&amp;"|Output"),"OUT",""))</f>
        <v/>
      </c>
      <c r="AC162" s="33" t="str">
        <f aca="false">IF(COUNTIF(Flows!$M$2:$M$1500,$A162&amp;"|"&amp;AC$1&amp;"|Input"),IF(COUNTIF(Flows!$M$2:$M$1500,$A162&amp;"|"&amp;AC$1&amp;"|Output"),"I/O","IN"),IF(COUNTIF(Flows!$M$2:$M$1500,$A162&amp;"|"&amp;AC$1&amp;"|Output"),"OUT",""))</f>
        <v/>
      </c>
      <c r="AD162" s="33" t="str">
        <f aca="false">IF(COUNTIF(Flows!$M$2:$M$1500,$A162&amp;"|"&amp;AD$1&amp;"|Input"),IF(COUNTIF(Flows!$M$2:$M$1500,$A162&amp;"|"&amp;AD$1&amp;"|Output"),"I/O","IN"),IF(COUNTIF(Flows!$M$2:$M$1500,$A162&amp;"|"&amp;AD$1&amp;"|Output"),"OUT",""))</f>
        <v/>
      </c>
      <c r="AE162" s="33" t="str">
        <f aca="false">IF(COUNTIF(Flows!$M$2:$M$1500,$A162&amp;"|"&amp;AE$1&amp;"|Input"),IF(COUNTIF(Flows!$M$2:$M$1500,$A162&amp;"|"&amp;AE$1&amp;"|Output"),"I/O","IN"),IF(COUNTIF(Flows!$M$2:$M$1500,$A162&amp;"|"&amp;AE$1&amp;"|Output"),"OUT",""))</f>
        <v/>
      </c>
      <c r="AF162" s="33" t="str">
        <f aca="false">IF(COUNTIF(Flows!$M$2:$M$1500,$A162&amp;"|"&amp;AF$1&amp;"|Input"),IF(COUNTIF(Flows!$M$2:$M$1500,$A162&amp;"|"&amp;AF$1&amp;"|Output"),"I/O","IN"),IF(COUNTIF(Flows!$M$2:$M$1500,$A162&amp;"|"&amp;AF$1&amp;"|Output"),"OUT",""))</f>
        <v/>
      </c>
      <c r="AG162" s="33" t="str">
        <f aca="false">IF(COUNTIF(Flows!$M$2:$M$1500,$A162&amp;"|"&amp;AG$1&amp;"|Input"),IF(COUNTIF(Flows!$M$2:$M$1500,$A162&amp;"|"&amp;AG$1&amp;"|Output"),"I/O","IN"),IF(COUNTIF(Flows!$M$2:$M$1500,$A162&amp;"|"&amp;AG$1&amp;"|Output"),"OUT",""))</f>
        <v/>
      </c>
      <c r="AH162" s="33" t="str">
        <f aca="false">IF(COUNTIF(Flows!$M$2:$M$1500,$A162&amp;"|"&amp;AH$1&amp;"|Input"),IF(COUNTIF(Flows!$M$2:$M$1500,$A162&amp;"|"&amp;AH$1&amp;"|Output"),"I/O","IN"),IF(COUNTIF(Flows!$M$2:$M$1500,$A162&amp;"|"&amp;AH$1&amp;"|Output"),"OUT",""))</f>
        <v/>
      </c>
      <c r="AI162" s="33" t="str">
        <f aca="false">IF(COUNTIF(Flows!$M$2:$M$1500,$A162&amp;"|"&amp;AI$1&amp;"|Input"),IF(COUNTIF(Flows!$M$2:$M$1500,$A162&amp;"|"&amp;AI$1&amp;"|Output"),"I/O","IN"),IF(COUNTIF(Flows!$M$2:$M$1500,$A162&amp;"|"&amp;AI$1&amp;"|Output"),"OUT",""))</f>
        <v/>
      </c>
      <c r="AJ162" s="33" t="str">
        <f aca="false">IF(COUNTIF(Flows!$M$2:$M$1500,$A162&amp;"|"&amp;AJ$1&amp;"|Input"),IF(COUNTIF(Flows!$M$2:$M$1500,$A162&amp;"|"&amp;AJ$1&amp;"|Output"),"I/O","IN"),IF(COUNTIF(Flows!$M$2:$M$1500,$A162&amp;"|"&amp;AJ$1&amp;"|Output"),"OUT",""))</f>
        <v/>
      </c>
      <c r="AK162" s="33" t="str">
        <f aca="false">IF(COUNTIF(Flows!$M$2:$M$1500,$A162&amp;"|"&amp;AK$1&amp;"|Input"),IF(COUNTIF(Flows!$M$2:$M$1500,$A162&amp;"|"&amp;AK$1&amp;"|Output"),"I/O","IN"),IF(COUNTIF(Flows!$M$2:$M$1500,$A162&amp;"|"&amp;AK$1&amp;"|Output"),"OUT",""))</f>
        <v/>
      </c>
      <c r="AL162" s="33" t="str">
        <f aca="false">IF(COUNTIF(Flows!$M$2:$M$1500,$A162&amp;"|"&amp;AL$1&amp;"|Input"),IF(COUNTIF(Flows!$M$2:$M$1500,$A162&amp;"|"&amp;AL$1&amp;"|Output"),"I/O","IN"),IF(COUNTIF(Flows!$M$2:$M$1500,$A162&amp;"|"&amp;AL$1&amp;"|Output"),"OUT",""))</f>
        <v/>
      </c>
      <c r="AM162" s="33" t="str">
        <f aca="false">IF(COUNTIF(Flows!$M$2:$M$1500,$A162&amp;"|"&amp;AM$1&amp;"|Input"),IF(COUNTIF(Flows!$M$2:$M$1500,$A162&amp;"|"&amp;AM$1&amp;"|Output"),"I/O","IN"),IF(COUNTIF(Flows!$M$2:$M$1500,$A162&amp;"|"&amp;AM$1&amp;"|Output"),"OUT",""))</f>
        <v/>
      </c>
      <c r="AN162" s="33" t="str">
        <f aca="false">IF(COUNTIF(Flows!$M$2:$M$1500,$A162&amp;"|"&amp;AN$1&amp;"|Input"),IF(COUNTIF(Flows!$M$2:$M$1500,$A162&amp;"|"&amp;AN$1&amp;"|Output"),"I/O","IN"),IF(COUNTIF(Flows!$M$2:$M$1500,$A162&amp;"|"&amp;AN$1&amp;"|Output"),"OUT",""))</f>
        <v>IN</v>
      </c>
      <c r="AO162" s="33" t="str">
        <f aca="false">IF(COUNTIF(Flows!$M$2:$M$1500,$A162&amp;"|"&amp;AO$1&amp;"|Input"),IF(COUNTIF(Flows!$M$2:$M$1500,$A162&amp;"|"&amp;AO$1&amp;"|Output"),"I/O","IN"),IF(COUNTIF(Flows!$M$2:$M$1500,$A162&amp;"|"&amp;AO$1&amp;"|Output"),"OUT",""))</f>
        <v/>
      </c>
      <c r="AP162" s="33" t="str">
        <f aca="false">IF(COUNTIF(Flows!$M$2:$M$1500,$A162&amp;"|"&amp;AP$1&amp;"|Input"),IF(COUNTIF(Flows!$M$2:$M$1500,$A162&amp;"|"&amp;AP$1&amp;"|Output"),"I/O","IN"),IF(COUNTIF(Flows!$M$2:$M$1500,$A162&amp;"|"&amp;AP$1&amp;"|Output"),"OUT",""))</f>
        <v/>
      </c>
      <c r="AQ162" s="33" t="str">
        <f aca="false">IF(COUNTIF(Flows!$M$2:$M$1500,$A162&amp;"|"&amp;AQ$1&amp;"|Input"),IF(COUNTIF(Flows!$M$2:$M$1500,$A162&amp;"|"&amp;AQ$1&amp;"|Output"),"I/O","IN"),IF(COUNTIF(Flows!$M$2:$M$1500,$A162&amp;"|"&amp;AQ$1&amp;"|Output"),"OUT",""))</f>
        <v/>
      </c>
      <c r="AR162" s="33" t="str">
        <f aca="false">IF(COUNTIF(Flows!$M$2:$M$1500,$A162&amp;"|"&amp;AR$1&amp;"|Input"),IF(COUNTIF(Flows!$M$2:$M$1500,$A162&amp;"|"&amp;AR$1&amp;"|Output"),"I/O","IN"),IF(COUNTIF(Flows!$M$2:$M$1500,$A162&amp;"|"&amp;AR$1&amp;"|Output"),"OUT",""))</f>
        <v/>
      </c>
      <c r="AS162" s="33" t="str">
        <f aca="false">IF(COUNTIF(Flows!$M$2:$M$1500,$A162&amp;"|"&amp;AS$1&amp;"|Input"),IF(COUNTIF(Flows!$M$2:$M$1500,$A162&amp;"|"&amp;AS$1&amp;"|Output"),"I/O","IN"),IF(COUNTIF(Flows!$M$2:$M$1500,$A162&amp;"|"&amp;AS$1&amp;"|Output"),"OUT",""))</f>
        <v/>
      </c>
      <c r="AT162" s="33" t="str">
        <f aca="false">IF(COUNTIF(Flows!$M$2:$M$1500,$A162&amp;"|"&amp;AT$1&amp;"|Input"),IF(COUNTIF(Flows!$M$2:$M$1500,$A162&amp;"|"&amp;AT$1&amp;"|Output"),"I/O","IN"),IF(COUNTIF(Flows!$M$2:$M$1500,$A162&amp;"|"&amp;AT$1&amp;"|Output"),"OUT",""))</f>
        <v/>
      </c>
      <c r="AU162" s="33" t="str">
        <f aca="false">IF(COUNTIF(Flows!$M$2:$M$1500,$A162&amp;"|"&amp;AU$1&amp;"|Input"),IF(COUNTIF(Flows!$M$2:$M$1500,$A162&amp;"|"&amp;AU$1&amp;"|Output"),"I/O","IN"),IF(COUNTIF(Flows!$M$2:$M$1500,$A162&amp;"|"&amp;AU$1&amp;"|Output"),"OUT",""))</f>
        <v/>
      </c>
      <c r="AV162" s="33" t="str">
        <f aca="false">IF(COUNTIF(Flows!$M$2:$M$1500,$A162&amp;"|"&amp;AV$1&amp;"|Input"),IF(COUNTIF(Flows!$M$2:$M$1500,$A162&amp;"|"&amp;AV$1&amp;"|Output"),"I/O","IN"),IF(COUNTIF(Flows!$M$2:$M$1500,$A162&amp;"|"&amp;AV$1&amp;"|Output"),"OUT",""))</f>
        <v/>
      </c>
      <c r="AW162" s="33" t="str">
        <f aca="false">IF(COUNTIF(Flows!$M$2:$M$1500,$A162&amp;"|"&amp;AW$1&amp;"|Input"),IF(COUNTIF(Flows!$M$2:$M$1500,$A162&amp;"|"&amp;AW$1&amp;"|Output"),"I/O","IN"),IF(COUNTIF(Flows!$M$2:$M$1500,$A162&amp;"|"&amp;AW$1&amp;"|Output"),"OUT",""))</f>
        <v/>
      </c>
      <c r="AX162" s="33" t="str">
        <f aca="false">IF(COUNTIF(Flows!$M$2:$M$1500,$A162&amp;"|"&amp;AX$1&amp;"|Input"),IF(COUNTIF(Flows!$M$2:$M$1500,$A162&amp;"|"&amp;AX$1&amp;"|Output"),"I/O","IN"),IF(COUNTIF(Flows!$M$2:$M$1500,$A162&amp;"|"&amp;AX$1&amp;"|Output"),"OUT",""))</f>
        <v/>
      </c>
      <c r="AY162" s="33" t="str">
        <f aca="false">IF(COUNTIF(Flows!$M$2:$M$1500,$A162&amp;"|"&amp;AY$1&amp;"|Input"),IF(COUNTIF(Flows!$M$2:$M$1500,$A162&amp;"|"&amp;AY$1&amp;"|Output"),"I/O","IN"),IF(COUNTIF(Flows!$M$2:$M$1500,$A162&amp;"|"&amp;AY$1&amp;"|Output"),"OUT",""))</f>
        <v/>
      </c>
      <c r="AZ162" s="33" t="str">
        <f aca="false">IF(COUNTIF(Flows!$M$2:$M$1500,$A162&amp;"|"&amp;AZ$1&amp;"|Input"),IF(COUNTIF(Flows!$M$2:$M$1500,$A162&amp;"|"&amp;AZ$1&amp;"|Output"),"I/O","IN"),IF(COUNTIF(Flows!$M$2:$M$1500,$A162&amp;"|"&amp;AZ$1&amp;"|Output"),"OUT",""))</f>
        <v/>
      </c>
      <c r="BA162" s="33" t="str">
        <f aca="false">IF(COUNTIF(Flows!$M$2:$M$1500,$A162&amp;"|"&amp;BA$1&amp;"|Input"),IF(COUNTIF(Flows!$M$2:$M$1500,$A162&amp;"|"&amp;BA$1&amp;"|Output"),"I/O","IN"),IF(COUNTIF(Flows!$M$2:$M$1500,$A162&amp;"|"&amp;BA$1&amp;"|Output"),"OUT",""))</f>
        <v/>
      </c>
      <c r="BB162" s="33" t="str">
        <f aca="false">IF(COUNTIF(Flows!$M$2:$M$1500,$A162&amp;"|"&amp;BB$1&amp;"|Input"),IF(COUNTIF(Flows!$M$2:$M$1500,$A162&amp;"|"&amp;BB$1&amp;"|Output"),"I/O","IN"),IF(COUNTIF(Flows!$M$2:$M$1500,$A162&amp;"|"&amp;BB$1&amp;"|Output"),"OUT",""))</f>
        <v/>
      </c>
      <c r="BC162" s="33" t="str">
        <f aca="false">IF(COUNTIF(Flows!$M$2:$M$1500,$A162&amp;"|"&amp;BC$1&amp;"|Input"),IF(COUNTIF(Flows!$M$2:$M$1500,$A162&amp;"|"&amp;BC$1&amp;"|Output"),"I/O","IN"),IF(COUNTIF(Flows!$M$2:$M$1500,$A162&amp;"|"&amp;BC$1&amp;"|Output"),"OUT",""))</f>
        <v/>
      </c>
      <c r="BD162" s="33" t="str">
        <f aca="false">IF(COUNTIF(Flows!$M$2:$M$1500,$A162&amp;"|"&amp;BD$1&amp;"|Input"),IF(COUNTIF(Flows!$M$2:$M$1500,$A162&amp;"|"&amp;BD$1&amp;"|Output"),"I/O","IN"),IF(COUNTIF(Flows!$M$2:$M$1500,$A162&amp;"|"&amp;BD$1&amp;"|Output"),"OUT",""))</f>
        <v/>
      </c>
      <c r="BE162" s="33" t="str">
        <f aca="false">IF(COUNTIF(Flows!$M$2:$M$1500,$A162&amp;"|"&amp;BE$1&amp;"|Input"),IF(COUNTIF(Flows!$M$2:$M$1500,$A162&amp;"|"&amp;BE$1&amp;"|Output"),"I/O","IN"),IF(COUNTIF(Flows!$M$2:$M$1500,$A162&amp;"|"&amp;BE$1&amp;"|Output"),"OUT",""))</f>
        <v/>
      </c>
      <c r="BF162" s="33" t="str">
        <f aca="false">IF(COUNTIF(Flows!$M$2:$M$1500,$A162&amp;"|"&amp;BF$1&amp;"|Input"),IF(COUNTIF(Flows!$M$2:$M$1500,$A162&amp;"|"&amp;BF$1&amp;"|Output"),"I/O","IN"),IF(COUNTIF(Flows!$M$2:$M$1500,$A162&amp;"|"&amp;BF$1&amp;"|Output"),"OUT",""))</f>
        <v/>
      </c>
      <c r="BG162" s="33" t="str">
        <f aca="false">IF(COUNTIF(Flows!$M$2:$M$1500,$A162&amp;"|"&amp;BG$1&amp;"|Input"),IF(COUNTIF(Flows!$M$2:$M$1500,$A162&amp;"|"&amp;BG$1&amp;"|Output"),"I/O","IN"),IF(COUNTIF(Flows!$M$2:$M$1500,$A162&amp;"|"&amp;BG$1&amp;"|Output"),"OUT",""))</f>
        <v/>
      </c>
      <c r="BH162" s="33" t="str">
        <f aca="false">IF(COUNTIF(Flows!$M$2:$M$1500,$A162&amp;"|"&amp;BH$1&amp;"|Input"),IF(COUNTIF(Flows!$M$2:$M$1500,$A162&amp;"|"&amp;BH$1&amp;"|Output"),"I/O","IN"),IF(COUNTIF(Flows!$M$2:$M$1500,$A162&amp;"|"&amp;BH$1&amp;"|Output"),"OUT",""))</f>
        <v/>
      </c>
      <c r="BI162" s="33" t="str">
        <f aca="false">IF(COUNTIF(Flows!$M$2:$M$1500,$A162&amp;"|"&amp;BI$1&amp;"|Input"),IF(COUNTIF(Flows!$M$2:$M$1500,$A162&amp;"|"&amp;BI$1&amp;"|Output"),"I/O","IN"),IF(COUNTIF(Flows!$M$2:$M$1500,$A162&amp;"|"&amp;BI$1&amp;"|Output"),"OUT",""))</f>
        <v/>
      </c>
      <c r="BJ162" s="33" t="str">
        <f aca="false">IF(COUNTIF(Flows!$M$2:$M$1500,$A162&amp;"|"&amp;BJ$1&amp;"|Input"),IF(COUNTIF(Flows!$M$2:$M$1500,$A162&amp;"|"&amp;BJ$1&amp;"|Output"),"I/O","IN"),IF(COUNTIF(Flows!$M$2:$M$1500,$A162&amp;"|"&amp;BJ$1&amp;"|Output"),"OUT",""))</f>
        <v/>
      </c>
      <c r="BK162" s="33" t="str">
        <f aca="false">IF(COUNTIF(Flows!$M$2:$M$1500,$A162&amp;"|"&amp;BK$1&amp;"|Input"),IF(COUNTIF(Flows!$M$2:$M$1500,$A162&amp;"|"&amp;BK$1&amp;"|Output"),"I/O","IN"),IF(COUNTIF(Flows!$M$2:$M$1500,$A162&amp;"|"&amp;BK$1&amp;"|Output"),"OUT",""))</f>
        <v/>
      </c>
    </row>
    <row r="163" customFormat="false" ht="15" hidden="false" customHeight="true" outlineLevel="0" collapsed="false">
      <c r="A163" s="6" t="str">
        <f aca="false">Systems!B163</f>
        <v>Solar Air Heater (window box)</v>
      </c>
      <c r="B163" s="33" t="str">
        <f aca="false">IF(COUNTIF(Flows!$M$2:$M$1500,$A163&amp;"|"&amp;B$1&amp;"|Input"),IF(COUNTIF(Flows!$M$2:$M$1500,$A163&amp;"|"&amp;B$1&amp;"|Output"),"I/O","IN"),IF(COUNTIF(Flows!$M$2:$M$1500,$A163&amp;"|"&amp;B$1&amp;"|Output"),"OUT",""))</f>
        <v/>
      </c>
      <c r="C163" s="33" t="str">
        <f aca="false">IF(COUNTIF(Flows!$M$2:$M$1500,$A163&amp;"|"&amp;C$1&amp;"|Input"),IF(COUNTIF(Flows!$M$2:$M$1500,$A163&amp;"|"&amp;C$1&amp;"|Output"),"I/O","IN"),IF(COUNTIF(Flows!$M$2:$M$1500,$A163&amp;"|"&amp;C$1&amp;"|Output"),"OUT",""))</f>
        <v/>
      </c>
      <c r="D163" s="33" t="str">
        <f aca="false">IF(COUNTIF(Flows!$M$2:$M$1500,$A163&amp;"|"&amp;D$1&amp;"|Input"),IF(COUNTIF(Flows!$M$2:$M$1500,$A163&amp;"|"&amp;D$1&amp;"|Output"),"I/O","IN"),IF(COUNTIF(Flows!$M$2:$M$1500,$A163&amp;"|"&amp;D$1&amp;"|Output"),"OUT",""))</f>
        <v/>
      </c>
      <c r="E163" s="33" t="str">
        <f aca="false">IF(COUNTIF(Flows!$M$2:$M$1500,$A163&amp;"|"&amp;E$1&amp;"|Input"),IF(COUNTIF(Flows!$M$2:$M$1500,$A163&amp;"|"&amp;E$1&amp;"|Output"),"I/O","IN"),IF(COUNTIF(Flows!$M$2:$M$1500,$A163&amp;"|"&amp;E$1&amp;"|Output"),"OUT",""))</f>
        <v/>
      </c>
      <c r="F163" s="33" t="str">
        <f aca="false">IF(COUNTIF(Flows!$M$2:$M$1500,$A163&amp;"|"&amp;F$1&amp;"|Input"),IF(COUNTIF(Flows!$M$2:$M$1500,$A163&amp;"|"&amp;F$1&amp;"|Output"),"I/O","IN"),IF(COUNTIF(Flows!$M$2:$M$1500,$A163&amp;"|"&amp;F$1&amp;"|Output"),"OUT",""))</f>
        <v/>
      </c>
      <c r="G163" s="33" t="str">
        <f aca="false">IF(COUNTIF(Flows!$M$2:$M$1500,$A163&amp;"|"&amp;G$1&amp;"|Input"),IF(COUNTIF(Flows!$M$2:$M$1500,$A163&amp;"|"&amp;G$1&amp;"|Output"),"I/O","IN"),IF(COUNTIF(Flows!$M$2:$M$1500,$A163&amp;"|"&amp;G$1&amp;"|Output"),"OUT",""))</f>
        <v/>
      </c>
      <c r="H163" s="33" t="str">
        <f aca="false">IF(COUNTIF(Flows!$M$2:$M$1500,$A163&amp;"|"&amp;H$1&amp;"|Input"),IF(COUNTIF(Flows!$M$2:$M$1500,$A163&amp;"|"&amp;H$1&amp;"|Output"),"I/O","IN"),IF(COUNTIF(Flows!$M$2:$M$1500,$A163&amp;"|"&amp;H$1&amp;"|Output"),"OUT",""))</f>
        <v/>
      </c>
      <c r="I163" s="33" t="str">
        <f aca="false">IF(COUNTIF(Flows!$M$2:$M$1500,$A163&amp;"|"&amp;I$1&amp;"|Input"),IF(COUNTIF(Flows!$M$2:$M$1500,$A163&amp;"|"&amp;I$1&amp;"|Output"),"I/O","IN"),IF(COUNTIF(Flows!$M$2:$M$1500,$A163&amp;"|"&amp;I$1&amp;"|Output"),"OUT",""))</f>
        <v/>
      </c>
      <c r="J163" s="33" t="str">
        <f aca="false">IF(COUNTIF(Flows!$M$2:$M$1500,$A163&amp;"|"&amp;J$1&amp;"|Input"),IF(COUNTIF(Flows!$M$2:$M$1500,$A163&amp;"|"&amp;J$1&amp;"|Output"),"I/O","IN"),IF(COUNTIF(Flows!$M$2:$M$1500,$A163&amp;"|"&amp;J$1&amp;"|Output"),"OUT",""))</f>
        <v/>
      </c>
      <c r="K163" s="33" t="str">
        <f aca="false">IF(COUNTIF(Flows!$M$2:$M$1500,$A163&amp;"|"&amp;K$1&amp;"|Input"),IF(COUNTIF(Flows!$M$2:$M$1500,$A163&amp;"|"&amp;K$1&amp;"|Output"),"I/O","IN"),IF(COUNTIF(Flows!$M$2:$M$1500,$A163&amp;"|"&amp;K$1&amp;"|Output"),"OUT",""))</f>
        <v/>
      </c>
      <c r="L163" s="33" t="str">
        <f aca="false">IF(COUNTIF(Flows!$M$2:$M$1500,$A163&amp;"|"&amp;L$1&amp;"|Input"),IF(COUNTIF(Flows!$M$2:$M$1500,$A163&amp;"|"&amp;L$1&amp;"|Output"),"I/O","IN"),IF(COUNTIF(Flows!$M$2:$M$1500,$A163&amp;"|"&amp;L$1&amp;"|Output"),"OUT",""))</f>
        <v/>
      </c>
      <c r="M163" s="33" t="str">
        <f aca="false">IF(COUNTIF(Flows!$M$2:$M$1500,$A163&amp;"|"&amp;M$1&amp;"|Input"),IF(COUNTIF(Flows!$M$2:$M$1500,$A163&amp;"|"&amp;M$1&amp;"|Output"),"I/O","IN"),IF(COUNTIF(Flows!$M$2:$M$1500,$A163&amp;"|"&amp;M$1&amp;"|Output"),"OUT",""))</f>
        <v/>
      </c>
      <c r="N163" s="33" t="str">
        <f aca="false">IF(COUNTIF(Flows!$M$2:$M$1500,$A163&amp;"|"&amp;N$1&amp;"|Input"),IF(COUNTIF(Flows!$M$2:$M$1500,$A163&amp;"|"&amp;N$1&amp;"|Output"),"I/O","IN"),IF(COUNTIF(Flows!$M$2:$M$1500,$A163&amp;"|"&amp;N$1&amp;"|Output"),"OUT",""))</f>
        <v/>
      </c>
      <c r="O163" s="33" t="str">
        <f aca="false">IF(COUNTIF(Flows!$M$2:$M$1500,$A163&amp;"|"&amp;O$1&amp;"|Input"),IF(COUNTIF(Flows!$M$2:$M$1500,$A163&amp;"|"&amp;O$1&amp;"|Output"),"I/O","IN"),IF(COUNTIF(Flows!$M$2:$M$1500,$A163&amp;"|"&amp;O$1&amp;"|Output"),"OUT",""))</f>
        <v/>
      </c>
      <c r="P163" s="33" t="str">
        <f aca="false">IF(COUNTIF(Flows!$M$2:$M$1500,$A163&amp;"|"&amp;P$1&amp;"|Input"),IF(COUNTIF(Flows!$M$2:$M$1500,$A163&amp;"|"&amp;P$1&amp;"|Output"),"I/O","IN"),IF(COUNTIF(Flows!$M$2:$M$1500,$A163&amp;"|"&amp;P$1&amp;"|Output"),"OUT",""))</f>
        <v/>
      </c>
      <c r="Q163" s="33" t="str">
        <f aca="false">IF(COUNTIF(Flows!$M$2:$M$1500,$A163&amp;"|"&amp;Q$1&amp;"|Input"),IF(COUNTIF(Flows!$M$2:$M$1500,$A163&amp;"|"&amp;Q$1&amp;"|Output"),"I/O","IN"),IF(COUNTIF(Flows!$M$2:$M$1500,$A163&amp;"|"&amp;Q$1&amp;"|Output"),"OUT",""))</f>
        <v/>
      </c>
      <c r="R163" s="33" t="str">
        <f aca="false">IF(COUNTIF(Flows!$M$2:$M$1500,$A163&amp;"|"&amp;R$1&amp;"|Input"),IF(COUNTIF(Flows!$M$2:$M$1500,$A163&amp;"|"&amp;R$1&amp;"|Output"),"I/O","IN"),IF(COUNTIF(Flows!$M$2:$M$1500,$A163&amp;"|"&amp;R$1&amp;"|Output"),"OUT",""))</f>
        <v/>
      </c>
      <c r="S163" s="33" t="str">
        <f aca="false">IF(COUNTIF(Flows!$M$2:$M$1500,$A163&amp;"|"&amp;S$1&amp;"|Input"),IF(COUNTIF(Flows!$M$2:$M$1500,$A163&amp;"|"&amp;S$1&amp;"|Output"),"I/O","IN"),IF(COUNTIF(Flows!$M$2:$M$1500,$A163&amp;"|"&amp;S$1&amp;"|Output"),"OUT",""))</f>
        <v/>
      </c>
      <c r="T163" s="33" t="str">
        <f aca="false">IF(COUNTIF(Flows!$M$2:$M$1500,$A163&amp;"|"&amp;T$1&amp;"|Input"),IF(COUNTIF(Flows!$M$2:$M$1500,$A163&amp;"|"&amp;T$1&amp;"|Output"),"I/O","IN"),IF(COUNTIF(Flows!$M$2:$M$1500,$A163&amp;"|"&amp;T$1&amp;"|Output"),"OUT",""))</f>
        <v/>
      </c>
      <c r="U163" s="33" t="str">
        <f aca="false">IF(COUNTIF(Flows!$M$2:$M$1500,$A163&amp;"|"&amp;U$1&amp;"|Input"),IF(COUNTIF(Flows!$M$2:$M$1500,$A163&amp;"|"&amp;U$1&amp;"|Output"),"I/O","IN"),IF(COUNTIF(Flows!$M$2:$M$1500,$A163&amp;"|"&amp;U$1&amp;"|Output"),"OUT",""))</f>
        <v/>
      </c>
      <c r="V163" s="33" t="str">
        <f aca="false">IF(COUNTIF(Flows!$M$2:$M$1500,$A163&amp;"|"&amp;V$1&amp;"|Input"),IF(COUNTIF(Flows!$M$2:$M$1500,$A163&amp;"|"&amp;V$1&amp;"|Output"),"I/O","IN"),IF(COUNTIF(Flows!$M$2:$M$1500,$A163&amp;"|"&amp;V$1&amp;"|Output"),"OUT",""))</f>
        <v>OUT</v>
      </c>
      <c r="W163" s="33" t="str">
        <f aca="false">IF(COUNTIF(Flows!$M$2:$M$1500,$A163&amp;"|"&amp;W$1&amp;"|Input"),IF(COUNTIF(Flows!$M$2:$M$1500,$A163&amp;"|"&amp;W$1&amp;"|Output"),"I/O","IN"),IF(COUNTIF(Flows!$M$2:$M$1500,$A163&amp;"|"&amp;W$1&amp;"|Output"),"OUT",""))</f>
        <v/>
      </c>
      <c r="X163" s="33" t="str">
        <f aca="false">IF(COUNTIF(Flows!$M$2:$M$1500,$A163&amp;"|"&amp;X$1&amp;"|Input"),IF(COUNTIF(Flows!$M$2:$M$1500,$A163&amp;"|"&amp;X$1&amp;"|Output"),"I/O","IN"),IF(COUNTIF(Flows!$M$2:$M$1500,$A163&amp;"|"&amp;X$1&amp;"|Output"),"OUT",""))</f>
        <v>IN</v>
      </c>
      <c r="Y163" s="33" t="str">
        <f aca="false">IF(COUNTIF(Flows!$M$2:$M$1500,$A163&amp;"|"&amp;Y$1&amp;"|Input"),IF(COUNTIF(Flows!$M$2:$M$1500,$A163&amp;"|"&amp;Y$1&amp;"|Output"),"I/O","IN"),IF(COUNTIF(Flows!$M$2:$M$1500,$A163&amp;"|"&amp;Y$1&amp;"|Output"),"OUT",""))</f>
        <v/>
      </c>
      <c r="Z163" s="33" t="str">
        <f aca="false">IF(COUNTIF(Flows!$M$2:$M$1500,$A163&amp;"|"&amp;Z$1&amp;"|Input"),IF(COUNTIF(Flows!$M$2:$M$1500,$A163&amp;"|"&amp;Z$1&amp;"|Output"),"I/O","IN"),IF(COUNTIF(Flows!$M$2:$M$1500,$A163&amp;"|"&amp;Z$1&amp;"|Output"),"OUT",""))</f>
        <v>IN</v>
      </c>
      <c r="AA163" s="33" t="str">
        <f aca="false">IF(COUNTIF(Flows!$M$2:$M$1500,$A163&amp;"|"&amp;AA$1&amp;"|Input"),IF(COUNTIF(Flows!$M$2:$M$1500,$A163&amp;"|"&amp;AA$1&amp;"|Output"),"I/O","IN"),IF(COUNTIF(Flows!$M$2:$M$1500,$A163&amp;"|"&amp;AA$1&amp;"|Output"),"OUT",""))</f>
        <v/>
      </c>
      <c r="AB163" s="33" t="str">
        <f aca="false">IF(COUNTIF(Flows!$M$2:$M$1500,$A163&amp;"|"&amp;AB$1&amp;"|Input"),IF(COUNTIF(Flows!$M$2:$M$1500,$A163&amp;"|"&amp;AB$1&amp;"|Output"),"I/O","IN"),IF(COUNTIF(Flows!$M$2:$M$1500,$A163&amp;"|"&amp;AB$1&amp;"|Output"),"OUT",""))</f>
        <v/>
      </c>
      <c r="AC163" s="33" t="str">
        <f aca="false">IF(COUNTIF(Flows!$M$2:$M$1500,$A163&amp;"|"&amp;AC$1&amp;"|Input"),IF(COUNTIF(Flows!$M$2:$M$1500,$A163&amp;"|"&amp;AC$1&amp;"|Output"),"I/O","IN"),IF(COUNTIF(Flows!$M$2:$M$1500,$A163&amp;"|"&amp;AC$1&amp;"|Output"),"OUT",""))</f>
        <v/>
      </c>
      <c r="AD163" s="33" t="str">
        <f aca="false">IF(COUNTIF(Flows!$M$2:$M$1500,$A163&amp;"|"&amp;AD$1&amp;"|Input"),IF(COUNTIF(Flows!$M$2:$M$1500,$A163&amp;"|"&amp;AD$1&amp;"|Output"),"I/O","IN"),IF(COUNTIF(Flows!$M$2:$M$1500,$A163&amp;"|"&amp;AD$1&amp;"|Output"),"OUT",""))</f>
        <v/>
      </c>
      <c r="AE163" s="33" t="str">
        <f aca="false">IF(COUNTIF(Flows!$M$2:$M$1500,$A163&amp;"|"&amp;AE$1&amp;"|Input"),IF(COUNTIF(Flows!$M$2:$M$1500,$A163&amp;"|"&amp;AE$1&amp;"|Output"),"I/O","IN"),IF(COUNTIF(Flows!$M$2:$M$1500,$A163&amp;"|"&amp;AE$1&amp;"|Output"),"OUT",""))</f>
        <v/>
      </c>
      <c r="AF163" s="33" t="str">
        <f aca="false">IF(COUNTIF(Flows!$M$2:$M$1500,$A163&amp;"|"&amp;AF$1&amp;"|Input"),IF(COUNTIF(Flows!$M$2:$M$1500,$A163&amp;"|"&amp;AF$1&amp;"|Output"),"I/O","IN"),IF(COUNTIF(Flows!$M$2:$M$1500,$A163&amp;"|"&amp;AF$1&amp;"|Output"),"OUT",""))</f>
        <v/>
      </c>
      <c r="AG163" s="33" t="str">
        <f aca="false">IF(COUNTIF(Flows!$M$2:$M$1500,$A163&amp;"|"&amp;AG$1&amp;"|Input"),IF(COUNTIF(Flows!$M$2:$M$1500,$A163&amp;"|"&amp;AG$1&amp;"|Output"),"I/O","IN"),IF(COUNTIF(Flows!$M$2:$M$1500,$A163&amp;"|"&amp;AG$1&amp;"|Output"),"OUT",""))</f>
        <v/>
      </c>
      <c r="AH163" s="33" t="str">
        <f aca="false">IF(COUNTIF(Flows!$M$2:$M$1500,$A163&amp;"|"&amp;AH$1&amp;"|Input"),IF(COUNTIF(Flows!$M$2:$M$1500,$A163&amp;"|"&amp;AH$1&amp;"|Output"),"I/O","IN"),IF(COUNTIF(Flows!$M$2:$M$1500,$A163&amp;"|"&amp;AH$1&amp;"|Output"),"OUT",""))</f>
        <v/>
      </c>
      <c r="AI163" s="33" t="str">
        <f aca="false">IF(COUNTIF(Flows!$M$2:$M$1500,$A163&amp;"|"&amp;AI$1&amp;"|Input"),IF(COUNTIF(Flows!$M$2:$M$1500,$A163&amp;"|"&amp;AI$1&amp;"|Output"),"I/O","IN"),IF(COUNTIF(Flows!$M$2:$M$1500,$A163&amp;"|"&amp;AI$1&amp;"|Output"),"OUT",""))</f>
        <v/>
      </c>
      <c r="AJ163" s="33" t="str">
        <f aca="false">IF(COUNTIF(Flows!$M$2:$M$1500,$A163&amp;"|"&amp;AJ$1&amp;"|Input"),IF(COUNTIF(Flows!$M$2:$M$1500,$A163&amp;"|"&amp;AJ$1&amp;"|Output"),"I/O","IN"),IF(COUNTIF(Flows!$M$2:$M$1500,$A163&amp;"|"&amp;AJ$1&amp;"|Output"),"OUT",""))</f>
        <v/>
      </c>
      <c r="AK163" s="33" t="str">
        <f aca="false">IF(COUNTIF(Flows!$M$2:$M$1500,$A163&amp;"|"&amp;AK$1&amp;"|Input"),IF(COUNTIF(Flows!$M$2:$M$1500,$A163&amp;"|"&amp;AK$1&amp;"|Output"),"I/O","IN"),IF(COUNTIF(Flows!$M$2:$M$1500,$A163&amp;"|"&amp;AK$1&amp;"|Output"),"OUT",""))</f>
        <v/>
      </c>
      <c r="AL163" s="33" t="str">
        <f aca="false">IF(COUNTIF(Flows!$M$2:$M$1500,$A163&amp;"|"&amp;AL$1&amp;"|Input"),IF(COUNTIF(Flows!$M$2:$M$1500,$A163&amp;"|"&amp;AL$1&amp;"|Output"),"I/O","IN"),IF(COUNTIF(Flows!$M$2:$M$1500,$A163&amp;"|"&amp;AL$1&amp;"|Output"),"OUT",""))</f>
        <v/>
      </c>
      <c r="AM163" s="33" t="str">
        <f aca="false">IF(COUNTIF(Flows!$M$2:$M$1500,$A163&amp;"|"&amp;AM$1&amp;"|Input"),IF(COUNTIF(Flows!$M$2:$M$1500,$A163&amp;"|"&amp;AM$1&amp;"|Output"),"I/O","IN"),IF(COUNTIF(Flows!$M$2:$M$1500,$A163&amp;"|"&amp;AM$1&amp;"|Output"),"OUT",""))</f>
        <v/>
      </c>
      <c r="AN163" s="33" t="str">
        <f aca="false">IF(COUNTIF(Flows!$M$2:$M$1500,$A163&amp;"|"&amp;AN$1&amp;"|Input"),IF(COUNTIF(Flows!$M$2:$M$1500,$A163&amp;"|"&amp;AN$1&amp;"|Output"),"I/O","IN"),IF(COUNTIF(Flows!$M$2:$M$1500,$A163&amp;"|"&amp;AN$1&amp;"|Output"),"OUT",""))</f>
        <v/>
      </c>
      <c r="AO163" s="33" t="str">
        <f aca="false">IF(COUNTIF(Flows!$M$2:$M$1500,$A163&amp;"|"&amp;AO$1&amp;"|Input"),IF(COUNTIF(Flows!$M$2:$M$1500,$A163&amp;"|"&amp;AO$1&amp;"|Output"),"I/O","IN"),IF(COUNTIF(Flows!$M$2:$M$1500,$A163&amp;"|"&amp;AO$1&amp;"|Output"),"OUT",""))</f>
        <v/>
      </c>
      <c r="AP163" s="33" t="str">
        <f aca="false">IF(COUNTIF(Flows!$M$2:$M$1500,$A163&amp;"|"&amp;AP$1&amp;"|Input"),IF(COUNTIF(Flows!$M$2:$M$1500,$A163&amp;"|"&amp;AP$1&amp;"|Output"),"I/O","IN"),IF(COUNTIF(Flows!$M$2:$M$1500,$A163&amp;"|"&amp;AP$1&amp;"|Output"),"OUT",""))</f>
        <v/>
      </c>
      <c r="AQ163" s="33" t="str">
        <f aca="false">IF(COUNTIF(Flows!$M$2:$M$1500,$A163&amp;"|"&amp;AQ$1&amp;"|Input"),IF(COUNTIF(Flows!$M$2:$M$1500,$A163&amp;"|"&amp;AQ$1&amp;"|Output"),"I/O","IN"),IF(COUNTIF(Flows!$M$2:$M$1500,$A163&amp;"|"&amp;AQ$1&amp;"|Output"),"OUT",""))</f>
        <v/>
      </c>
      <c r="AR163" s="33" t="str">
        <f aca="false">IF(COUNTIF(Flows!$M$2:$M$1500,$A163&amp;"|"&amp;AR$1&amp;"|Input"),IF(COUNTIF(Flows!$M$2:$M$1500,$A163&amp;"|"&amp;AR$1&amp;"|Output"),"I/O","IN"),IF(COUNTIF(Flows!$M$2:$M$1500,$A163&amp;"|"&amp;AR$1&amp;"|Output"),"OUT",""))</f>
        <v/>
      </c>
      <c r="AS163" s="33" t="str">
        <f aca="false">IF(COUNTIF(Flows!$M$2:$M$1500,$A163&amp;"|"&amp;AS$1&amp;"|Input"),IF(COUNTIF(Flows!$M$2:$M$1500,$A163&amp;"|"&amp;AS$1&amp;"|Output"),"I/O","IN"),IF(COUNTIF(Flows!$M$2:$M$1500,$A163&amp;"|"&amp;AS$1&amp;"|Output"),"OUT",""))</f>
        <v/>
      </c>
      <c r="AT163" s="33" t="str">
        <f aca="false">IF(COUNTIF(Flows!$M$2:$M$1500,$A163&amp;"|"&amp;AT$1&amp;"|Input"),IF(COUNTIF(Flows!$M$2:$M$1500,$A163&amp;"|"&amp;AT$1&amp;"|Output"),"I/O","IN"),IF(COUNTIF(Flows!$M$2:$M$1500,$A163&amp;"|"&amp;AT$1&amp;"|Output"),"OUT",""))</f>
        <v/>
      </c>
      <c r="AU163" s="33" t="str">
        <f aca="false">IF(COUNTIF(Flows!$M$2:$M$1500,$A163&amp;"|"&amp;AU$1&amp;"|Input"),IF(COUNTIF(Flows!$M$2:$M$1500,$A163&amp;"|"&amp;AU$1&amp;"|Output"),"I/O","IN"),IF(COUNTIF(Flows!$M$2:$M$1500,$A163&amp;"|"&amp;AU$1&amp;"|Output"),"OUT",""))</f>
        <v/>
      </c>
      <c r="AV163" s="33" t="str">
        <f aca="false">IF(COUNTIF(Flows!$M$2:$M$1500,$A163&amp;"|"&amp;AV$1&amp;"|Input"),IF(COUNTIF(Flows!$M$2:$M$1500,$A163&amp;"|"&amp;AV$1&amp;"|Output"),"I/O","IN"),IF(COUNTIF(Flows!$M$2:$M$1500,$A163&amp;"|"&amp;AV$1&amp;"|Output"),"OUT",""))</f>
        <v/>
      </c>
      <c r="AW163" s="33" t="str">
        <f aca="false">IF(COUNTIF(Flows!$M$2:$M$1500,$A163&amp;"|"&amp;AW$1&amp;"|Input"),IF(COUNTIF(Flows!$M$2:$M$1500,$A163&amp;"|"&amp;AW$1&amp;"|Output"),"I/O","IN"),IF(COUNTIF(Flows!$M$2:$M$1500,$A163&amp;"|"&amp;AW$1&amp;"|Output"),"OUT",""))</f>
        <v/>
      </c>
      <c r="AX163" s="33" t="str">
        <f aca="false">IF(COUNTIF(Flows!$M$2:$M$1500,$A163&amp;"|"&amp;AX$1&amp;"|Input"),IF(COUNTIF(Flows!$M$2:$M$1500,$A163&amp;"|"&amp;AX$1&amp;"|Output"),"I/O","IN"),IF(COUNTIF(Flows!$M$2:$M$1500,$A163&amp;"|"&amp;AX$1&amp;"|Output"),"OUT",""))</f>
        <v/>
      </c>
      <c r="AY163" s="33" t="str">
        <f aca="false">IF(COUNTIF(Flows!$M$2:$M$1500,$A163&amp;"|"&amp;AY$1&amp;"|Input"),IF(COUNTIF(Flows!$M$2:$M$1500,$A163&amp;"|"&amp;AY$1&amp;"|Output"),"I/O","IN"),IF(COUNTIF(Flows!$M$2:$M$1500,$A163&amp;"|"&amp;AY$1&amp;"|Output"),"OUT",""))</f>
        <v/>
      </c>
      <c r="AZ163" s="33" t="str">
        <f aca="false">IF(COUNTIF(Flows!$M$2:$M$1500,$A163&amp;"|"&amp;AZ$1&amp;"|Input"),IF(COUNTIF(Flows!$M$2:$M$1500,$A163&amp;"|"&amp;AZ$1&amp;"|Output"),"I/O","IN"),IF(COUNTIF(Flows!$M$2:$M$1500,$A163&amp;"|"&amp;AZ$1&amp;"|Output"),"OUT",""))</f>
        <v/>
      </c>
      <c r="BA163" s="33" t="str">
        <f aca="false">IF(COUNTIF(Flows!$M$2:$M$1500,$A163&amp;"|"&amp;BA$1&amp;"|Input"),IF(COUNTIF(Flows!$M$2:$M$1500,$A163&amp;"|"&amp;BA$1&amp;"|Output"),"I/O","IN"),IF(COUNTIF(Flows!$M$2:$M$1500,$A163&amp;"|"&amp;BA$1&amp;"|Output"),"OUT",""))</f>
        <v/>
      </c>
      <c r="BB163" s="33" t="str">
        <f aca="false">IF(COUNTIF(Flows!$M$2:$M$1500,$A163&amp;"|"&amp;BB$1&amp;"|Input"),IF(COUNTIF(Flows!$M$2:$M$1500,$A163&amp;"|"&amp;BB$1&amp;"|Output"),"I/O","IN"),IF(COUNTIF(Flows!$M$2:$M$1500,$A163&amp;"|"&amp;BB$1&amp;"|Output"),"OUT",""))</f>
        <v/>
      </c>
      <c r="BC163" s="33" t="str">
        <f aca="false">IF(COUNTIF(Flows!$M$2:$M$1500,$A163&amp;"|"&amp;BC$1&amp;"|Input"),IF(COUNTIF(Flows!$M$2:$M$1500,$A163&amp;"|"&amp;BC$1&amp;"|Output"),"I/O","IN"),IF(COUNTIF(Flows!$M$2:$M$1500,$A163&amp;"|"&amp;BC$1&amp;"|Output"),"OUT",""))</f>
        <v/>
      </c>
      <c r="BD163" s="33" t="str">
        <f aca="false">IF(COUNTIF(Flows!$M$2:$M$1500,$A163&amp;"|"&amp;BD$1&amp;"|Input"),IF(COUNTIF(Flows!$M$2:$M$1500,$A163&amp;"|"&amp;BD$1&amp;"|Output"),"I/O","IN"),IF(COUNTIF(Flows!$M$2:$M$1500,$A163&amp;"|"&amp;BD$1&amp;"|Output"),"OUT",""))</f>
        <v/>
      </c>
      <c r="BE163" s="33" t="str">
        <f aca="false">IF(COUNTIF(Flows!$M$2:$M$1500,$A163&amp;"|"&amp;BE$1&amp;"|Input"),IF(COUNTIF(Flows!$M$2:$M$1500,$A163&amp;"|"&amp;BE$1&amp;"|Output"),"I/O","IN"),IF(COUNTIF(Flows!$M$2:$M$1500,$A163&amp;"|"&amp;BE$1&amp;"|Output"),"OUT",""))</f>
        <v/>
      </c>
      <c r="BF163" s="33" t="str">
        <f aca="false">IF(COUNTIF(Flows!$M$2:$M$1500,$A163&amp;"|"&amp;BF$1&amp;"|Input"),IF(COUNTIF(Flows!$M$2:$M$1500,$A163&amp;"|"&amp;BF$1&amp;"|Output"),"I/O","IN"),IF(COUNTIF(Flows!$M$2:$M$1500,$A163&amp;"|"&amp;BF$1&amp;"|Output"),"OUT",""))</f>
        <v/>
      </c>
      <c r="BG163" s="33" t="str">
        <f aca="false">IF(COUNTIF(Flows!$M$2:$M$1500,$A163&amp;"|"&amp;BG$1&amp;"|Input"),IF(COUNTIF(Flows!$M$2:$M$1500,$A163&amp;"|"&amp;BG$1&amp;"|Output"),"I/O","IN"),IF(COUNTIF(Flows!$M$2:$M$1500,$A163&amp;"|"&amp;BG$1&amp;"|Output"),"OUT",""))</f>
        <v/>
      </c>
      <c r="BH163" s="33" t="str">
        <f aca="false">IF(COUNTIF(Flows!$M$2:$M$1500,$A163&amp;"|"&amp;BH$1&amp;"|Input"),IF(COUNTIF(Flows!$M$2:$M$1500,$A163&amp;"|"&amp;BH$1&amp;"|Output"),"I/O","IN"),IF(COUNTIF(Flows!$M$2:$M$1500,$A163&amp;"|"&amp;BH$1&amp;"|Output"),"OUT",""))</f>
        <v/>
      </c>
      <c r="BI163" s="33" t="str">
        <f aca="false">IF(COUNTIF(Flows!$M$2:$M$1500,$A163&amp;"|"&amp;BI$1&amp;"|Input"),IF(COUNTIF(Flows!$M$2:$M$1500,$A163&amp;"|"&amp;BI$1&amp;"|Output"),"I/O","IN"),IF(COUNTIF(Flows!$M$2:$M$1500,$A163&amp;"|"&amp;BI$1&amp;"|Output"),"OUT",""))</f>
        <v/>
      </c>
      <c r="BJ163" s="33" t="str">
        <f aca="false">IF(COUNTIF(Flows!$M$2:$M$1500,$A163&amp;"|"&amp;BJ$1&amp;"|Input"),IF(COUNTIF(Flows!$M$2:$M$1500,$A163&amp;"|"&amp;BJ$1&amp;"|Output"),"I/O","IN"),IF(COUNTIF(Flows!$M$2:$M$1500,$A163&amp;"|"&amp;BJ$1&amp;"|Output"),"OUT",""))</f>
        <v/>
      </c>
      <c r="BK163" s="33" t="str">
        <f aca="false">IF(COUNTIF(Flows!$M$2:$M$1500,$A163&amp;"|"&amp;BK$1&amp;"|Input"),IF(COUNTIF(Flows!$M$2:$M$1500,$A163&amp;"|"&amp;BK$1&amp;"|Output"),"I/O","IN"),IF(COUNTIF(Flows!$M$2:$M$1500,$A163&amp;"|"&amp;BK$1&amp;"|Output"),"OUT",""))</f>
        <v/>
      </c>
    </row>
    <row r="164" customFormat="false" ht="15" hidden="false" customHeight="true" outlineLevel="0" collapsed="false">
      <c r="A164" s="6" t="str">
        <f aca="false">Systems!B164</f>
        <v>Propane Tankless Water Heater</v>
      </c>
      <c r="B164" s="33" t="str">
        <f aca="false">IF(COUNTIF(Flows!$M$2:$M$1500,$A164&amp;"|"&amp;B$1&amp;"|Input"),IF(COUNTIF(Flows!$M$2:$M$1500,$A164&amp;"|"&amp;B$1&amp;"|Output"),"I/O","IN"),IF(COUNTIF(Flows!$M$2:$M$1500,$A164&amp;"|"&amp;B$1&amp;"|Output"),"OUT",""))</f>
        <v/>
      </c>
      <c r="C164" s="33" t="str">
        <f aca="false">IF(COUNTIF(Flows!$M$2:$M$1500,$A164&amp;"|"&amp;C$1&amp;"|Input"),IF(COUNTIF(Flows!$M$2:$M$1500,$A164&amp;"|"&amp;C$1&amp;"|Output"),"I/O","IN"),IF(COUNTIF(Flows!$M$2:$M$1500,$A164&amp;"|"&amp;C$1&amp;"|Output"),"OUT",""))</f>
        <v/>
      </c>
      <c r="D164" s="33" t="str">
        <f aca="false">IF(COUNTIF(Flows!$M$2:$M$1500,$A164&amp;"|"&amp;D$1&amp;"|Input"),IF(COUNTIF(Flows!$M$2:$M$1500,$A164&amp;"|"&amp;D$1&amp;"|Output"),"I/O","IN"),IF(COUNTIF(Flows!$M$2:$M$1500,$A164&amp;"|"&amp;D$1&amp;"|Output"),"OUT",""))</f>
        <v>OUT</v>
      </c>
      <c r="E164" s="33" t="str">
        <f aca="false">IF(COUNTIF(Flows!$M$2:$M$1500,$A164&amp;"|"&amp;E$1&amp;"|Input"),IF(COUNTIF(Flows!$M$2:$M$1500,$A164&amp;"|"&amp;E$1&amp;"|Output"),"I/O","IN"),IF(COUNTIF(Flows!$M$2:$M$1500,$A164&amp;"|"&amp;E$1&amp;"|Output"),"OUT",""))</f>
        <v/>
      </c>
      <c r="F164" s="33" t="str">
        <f aca="false">IF(COUNTIF(Flows!$M$2:$M$1500,$A164&amp;"|"&amp;F$1&amp;"|Input"),IF(COUNTIF(Flows!$M$2:$M$1500,$A164&amp;"|"&amp;F$1&amp;"|Output"),"I/O","IN"),IF(COUNTIF(Flows!$M$2:$M$1500,$A164&amp;"|"&amp;F$1&amp;"|Output"),"OUT",""))</f>
        <v/>
      </c>
      <c r="G164" s="33" t="str">
        <f aca="false">IF(COUNTIF(Flows!$M$2:$M$1500,$A164&amp;"|"&amp;G$1&amp;"|Input"),IF(COUNTIF(Flows!$M$2:$M$1500,$A164&amp;"|"&amp;G$1&amp;"|Output"),"I/O","IN"),IF(COUNTIF(Flows!$M$2:$M$1500,$A164&amp;"|"&amp;G$1&amp;"|Output"),"OUT",""))</f>
        <v/>
      </c>
      <c r="H164" s="33" t="str">
        <f aca="false">IF(COUNTIF(Flows!$M$2:$M$1500,$A164&amp;"|"&amp;H$1&amp;"|Input"),IF(COUNTIF(Flows!$M$2:$M$1500,$A164&amp;"|"&amp;H$1&amp;"|Output"),"I/O","IN"),IF(COUNTIF(Flows!$M$2:$M$1500,$A164&amp;"|"&amp;H$1&amp;"|Output"),"OUT",""))</f>
        <v/>
      </c>
      <c r="I164" s="33" t="str">
        <f aca="false">IF(COUNTIF(Flows!$M$2:$M$1500,$A164&amp;"|"&amp;I$1&amp;"|Input"),IF(COUNTIF(Flows!$M$2:$M$1500,$A164&amp;"|"&amp;I$1&amp;"|Output"),"I/O","IN"),IF(COUNTIF(Flows!$M$2:$M$1500,$A164&amp;"|"&amp;I$1&amp;"|Output"),"OUT",""))</f>
        <v/>
      </c>
      <c r="J164" s="33" t="str">
        <f aca="false">IF(COUNTIF(Flows!$M$2:$M$1500,$A164&amp;"|"&amp;J$1&amp;"|Input"),IF(COUNTIF(Flows!$M$2:$M$1500,$A164&amp;"|"&amp;J$1&amp;"|Output"),"I/O","IN"),IF(COUNTIF(Flows!$M$2:$M$1500,$A164&amp;"|"&amp;J$1&amp;"|Output"),"OUT",""))</f>
        <v/>
      </c>
      <c r="K164" s="33" t="str">
        <f aca="false">IF(COUNTIF(Flows!$M$2:$M$1500,$A164&amp;"|"&amp;K$1&amp;"|Input"),IF(COUNTIF(Flows!$M$2:$M$1500,$A164&amp;"|"&amp;K$1&amp;"|Output"),"I/O","IN"),IF(COUNTIF(Flows!$M$2:$M$1500,$A164&amp;"|"&amp;K$1&amp;"|Output"),"OUT",""))</f>
        <v/>
      </c>
      <c r="L164" s="33" t="str">
        <f aca="false">IF(COUNTIF(Flows!$M$2:$M$1500,$A164&amp;"|"&amp;L$1&amp;"|Input"),IF(COUNTIF(Flows!$M$2:$M$1500,$A164&amp;"|"&amp;L$1&amp;"|Output"),"I/O","IN"),IF(COUNTIF(Flows!$M$2:$M$1500,$A164&amp;"|"&amp;L$1&amp;"|Output"),"OUT",""))</f>
        <v/>
      </c>
      <c r="M164" s="33" t="str">
        <f aca="false">IF(COUNTIF(Flows!$M$2:$M$1500,$A164&amp;"|"&amp;M$1&amp;"|Input"),IF(COUNTIF(Flows!$M$2:$M$1500,$A164&amp;"|"&amp;M$1&amp;"|Output"),"I/O","IN"),IF(COUNTIF(Flows!$M$2:$M$1500,$A164&amp;"|"&amp;M$1&amp;"|Output"),"OUT",""))</f>
        <v/>
      </c>
      <c r="N164" s="33" t="str">
        <f aca="false">IF(COUNTIF(Flows!$M$2:$M$1500,$A164&amp;"|"&amp;N$1&amp;"|Input"),IF(COUNTIF(Flows!$M$2:$M$1500,$A164&amp;"|"&amp;N$1&amp;"|Output"),"I/O","IN"),IF(COUNTIF(Flows!$M$2:$M$1500,$A164&amp;"|"&amp;N$1&amp;"|Output"),"OUT",""))</f>
        <v/>
      </c>
      <c r="O164" s="33" t="str">
        <f aca="false">IF(COUNTIF(Flows!$M$2:$M$1500,$A164&amp;"|"&amp;O$1&amp;"|Input"),IF(COUNTIF(Flows!$M$2:$M$1500,$A164&amp;"|"&amp;O$1&amp;"|Output"),"I/O","IN"),IF(COUNTIF(Flows!$M$2:$M$1500,$A164&amp;"|"&amp;O$1&amp;"|Output"),"OUT",""))</f>
        <v/>
      </c>
      <c r="P164" s="33" t="str">
        <f aca="false">IF(COUNTIF(Flows!$M$2:$M$1500,$A164&amp;"|"&amp;P$1&amp;"|Input"),IF(COUNTIF(Flows!$M$2:$M$1500,$A164&amp;"|"&amp;P$1&amp;"|Output"),"I/O","IN"),IF(COUNTIF(Flows!$M$2:$M$1500,$A164&amp;"|"&amp;P$1&amp;"|Output"),"OUT",""))</f>
        <v/>
      </c>
      <c r="Q164" s="33" t="str">
        <f aca="false">IF(COUNTIF(Flows!$M$2:$M$1500,$A164&amp;"|"&amp;Q$1&amp;"|Input"),IF(COUNTIF(Flows!$M$2:$M$1500,$A164&amp;"|"&amp;Q$1&amp;"|Output"),"I/O","IN"),IF(COUNTIF(Flows!$M$2:$M$1500,$A164&amp;"|"&amp;Q$1&amp;"|Output"),"OUT",""))</f>
        <v/>
      </c>
      <c r="R164" s="33" t="str">
        <f aca="false">IF(COUNTIF(Flows!$M$2:$M$1500,$A164&amp;"|"&amp;R$1&amp;"|Input"),IF(COUNTIF(Flows!$M$2:$M$1500,$A164&amp;"|"&amp;R$1&amp;"|Output"),"I/O","IN"),IF(COUNTIF(Flows!$M$2:$M$1500,$A164&amp;"|"&amp;R$1&amp;"|Output"),"OUT",""))</f>
        <v/>
      </c>
      <c r="S164" s="33" t="str">
        <f aca="false">IF(COUNTIF(Flows!$M$2:$M$1500,$A164&amp;"|"&amp;S$1&amp;"|Input"),IF(COUNTIF(Flows!$M$2:$M$1500,$A164&amp;"|"&amp;S$1&amp;"|Output"),"I/O","IN"),IF(COUNTIF(Flows!$M$2:$M$1500,$A164&amp;"|"&amp;S$1&amp;"|Output"),"OUT",""))</f>
        <v/>
      </c>
      <c r="T164" s="33" t="str">
        <f aca="false">IF(COUNTIF(Flows!$M$2:$M$1500,$A164&amp;"|"&amp;T$1&amp;"|Input"),IF(COUNTIF(Flows!$M$2:$M$1500,$A164&amp;"|"&amp;T$1&amp;"|Output"),"I/O","IN"),IF(COUNTIF(Flows!$M$2:$M$1500,$A164&amp;"|"&amp;T$1&amp;"|Output"),"OUT",""))</f>
        <v/>
      </c>
      <c r="U164" s="33" t="str">
        <f aca="false">IF(COUNTIF(Flows!$M$2:$M$1500,$A164&amp;"|"&amp;U$1&amp;"|Input"),IF(COUNTIF(Flows!$M$2:$M$1500,$A164&amp;"|"&amp;U$1&amp;"|Output"),"I/O","IN"),IF(COUNTIF(Flows!$M$2:$M$1500,$A164&amp;"|"&amp;U$1&amp;"|Output"),"OUT",""))</f>
        <v/>
      </c>
      <c r="V164" s="33" t="str">
        <f aca="false">IF(COUNTIF(Flows!$M$2:$M$1500,$A164&amp;"|"&amp;V$1&amp;"|Input"),IF(COUNTIF(Flows!$M$2:$M$1500,$A164&amp;"|"&amp;V$1&amp;"|Output"),"I/O","IN"),IF(COUNTIF(Flows!$M$2:$M$1500,$A164&amp;"|"&amp;V$1&amp;"|Output"),"OUT",""))</f>
        <v/>
      </c>
      <c r="W164" s="33" t="str">
        <f aca="false">IF(COUNTIF(Flows!$M$2:$M$1500,$A164&amp;"|"&amp;W$1&amp;"|Input"),IF(COUNTIF(Flows!$M$2:$M$1500,$A164&amp;"|"&amp;W$1&amp;"|Output"),"I/O","IN"),IF(COUNTIF(Flows!$M$2:$M$1500,$A164&amp;"|"&amp;W$1&amp;"|Output"),"OUT",""))</f>
        <v/>
      </c>
      <c r="X164" s="33" t="str">
        <f aca="false">IF(COUNTIF(Flows!$M$2:$M$1500,$A164&amp;"|"&amp;X$1&amp;"|Input"),IF(COUNTIF(Flows!$M$2:$M$1500,$A164&amp;"|"&amp;X$1&amp;"|Output"),"I/O","IN"),IF(COUNTIF(Flows!$M$2:$M$1500,$A164&amp;"|"&amp;X$1&amp;"|Output"),"OUT",""))</f>
        <v>IN</v>
      </c>
      <c r="Y164" s="33" t="str">
        <f aca="false">IF(COUNTIF(Flows!$M$2:$M$1500,$A164&amp;"|"&amp;Y$1&amp;"|Input"),IF(COUNTIF(Flows!$M$2:$M$1500,$A164&amp;"|"&amp;Y$1&amp;"|Output"),"I/O","IN"),IF(COUNTIF(Flows!$M$2:$M$1500,$A164&amp;"|"&amp;Y$1&amp;"|Output"),"OUT",""))</f>
        <v/>
      </c>
      <c r="Z164" s="33" t="str">
        <f aca="false">IF(COUNTIF(Flows!$M$2:$M$1500,$A164&amp;"|"&amp;Z$1&amp;"|Input"),IF(COUNTIF(Flows!$M$2:$M$1500,$A164&amp;"|"&amp;Z$1&amp;"|Output"),"I/O","IN"),IF(COUNTIF(Flows!$M$2:$M$1500,$A164&amp;"|"&amp;Z$1&amp;"|Output"),"OUT",""))</f>
        <v/>
      </c>
      <c r="AA164" s="33" t="str">
        <f aca="false">IF(COUNTIF(Flows!$M$2:$M$1500,$A164&amp;"|"&amp;AA$1&amp;"|Input"),IF(COUNTIF(Flows!$M$2:$M$1500,$A164&amp;"|"&amp;AA$1&amp;"|Output"),"I/O","IN"),IF(COUNTIF(Flows!$M$2:$M$1500,$A164&amp;"|"&amp;AA$1&amp;"|Output"),"OUT",""))</f>
        <v/>
      </c>
      <c r="AB164" s="33" t="str">
        <f aca="false">IF(COUNTIF(Flows!$M$2:$M$1500,$A164&amp;"|"&amp;AB$1&amp;"|Input"),IF(COUNTIF(Flows!$M$2:$M$1500,$A164&amp;"|"&amp;AB$1&amp;"|Output"),"I/O","IN"),IF(COUNTIF(Flows!$M$2:$M$1500,$A164&amp;"|"&amp;AB$1&amp;"|Output"),"OUT",""))</f>
        <v/>
      </c>
      <c r="AC164" s="33" t="str">
        <f aca="false">IF(COUNTIF(Flows!$M$2:$M$1500,$A164&amp;"|"&amp;AC$1&amp;"|Input"),IF(COUNTIF(Flows!$M$2:$M$1500,$A164&amp;"|"&amp;AC$1&amp;"|Output"),"I/O","IN"),IF(COUNTIF(Flows!$M$2:$M$1500,$A164&amp;"|"&amp;AC$1&amp;"|Output"),"OUT",""))</f>
        <v/>
      </c>
      <c r="AD164" s="33" t="str">
        <f aca="false">IF(COUNTIF(Flows!$M$2:$M$1500,$A164&amp;"|"&amp;AD$1&amp;"|Input"),IF(COUNTIF(Flows!$M$2:$M$1500,$A164&amp;"|"&amp;AD$1&amp;"|Output"),"I/O","IN"),IF(COUNTIF(Flows!$M$2:$M$1500,$A164&amp;"|"&amp;AD$1&amp;"|Output"),"OUT",""))</f>
        <v/>
      </c>
      <c r="AE164" s="33" t="str">
        <f aca="false">IF(COUNTIF(Flows!$M$2:$M$1500,$A164&amp;"|"&amp;AE$1&amp;"|Input"),IF(COUNTIF(Flows!$M$2:$M$1500,$A164&amp;"|"&amp;AE$1&amp;"|Output"),"I/O","IN"),IF(COUNTIF(Flows!$M$2:$M$1500,$A164&amp;"|"&amp;AE$1&amp;"|Output"),"OUT",""))</f>
        <v/>
      </c>
      <c r="AF164" s="33" t="str">
        <f aca="false">IF(COUNTIF(Flows!$M$2:$M$1500,$A164&amp;"|"&amp;AF$1&amp;"|Input"),IF(COUNTIF(Flows!$M$2:$M$1500,$A164&amp;"|"&amp;AF$1&amp;"|Output"),"I/O","IN"),IF(COUNTIF(Flows!$M$2:$M$1500,$A164&amp;"|"&amp;AF$1&amp;"|Output"),"OUT",""))</f>
        <v/>
      </c>
      <c r="AG164" s="33" t="str">
        <f aca="false">IF(COUNTIF(Flows!$M$2:$M$1500,$A164&amp;"|"&amp;AG$1&amp;"|Input"),IF(COUNTIF(Flows!$M$2:$M$1500,$A164&amp;"|"&amp;AG$1&amp;"|Output"),"I/O","IN"),IF(COUNTIF(Flows!$M$2:$M$1500,$A164&amp;"|"&amp;AG$1&amp;"|Output"),"OUT",""))</f>
        <v/>
      </c>
      <c r="AH164" s="33" t="str">
        <f aca="false">IF(COUNTIF(Flows!$M$2:$M$1500,$A164&amp;"|"&amp;AH$1&amp;"|Input"),IF(COUNTIF(Flows!$M$2:$M$1500,$A164&amp;"|"&amp;AH$1&amp;"|Output"),"I/O","IN"),IF(COUNTIF(Flows!$M$2:$M$1500,$A164&amp;"|"&amp;AH$1&amp;"|Output"),"OUT",""))</f>
        <v/>
      </c>
      <c r="AI164" s="33" t="str">
        <f aca="false">IF(COUNTIF(Flows!$M$2:$M$1500,$A164&amp;"|"&amp;AI$1&amp;"|Input"),IF(COUNTIF(Flows!$M$2:$M$1500,$A164&amp;"|"&amp;AI$1&amp;"|Output"),"I/O","IN"),IF(COUNTIF(Flows!$M$2:$M$1500,$A164&amp;"|"&amp;AI$1&amp;"|Output"),"OUT",""))</f>
        <v/>
      </c>
      <c r="AJ164" s="33" t="str">
        <f aca="false">IF(COUNTIF(Flows!$M$2:$M$1500,$A164&amp;"|"&amp;AJ$1&amp;"|Input"),IF(COUNTIF(Flows!$M$2:$M$1500,$A164&amp;"|"&amp;AJ$1&amp;"|Output"),"I/O","IN"),IF(COUNTIF(Flows!$M$2:$M$1500,$A164&amp;"|"&amp;AJ$1&amp;"|Output"),"OUT",""))</f>
        <v/>
      </c>
      <c r="AK164" s="33" t="str">
        <f aca="false">IF(COUNTIF(Flows!$M$2:$M$1500,$A164&amp;"|"&amp;AK$1&amp;"|Input"),IF(COUNTIF(Flows!$M$2:$M$1500,$A164&amp;"|"&amp;AK$1&amp;"|Output"),"I/O","IN"),IF(COUNTIF(Flows!$M$2:$M$1500,$A164&amp;"|"&amp;AK$1&amp;"|Output"),"OUT",""))</f>
        <v/>
      </c>
      <c r="AL164" s="33" t="str">
        <f aca="false">IF(COUNTIF(Flows!$M$2:$M$1500,$A164&amp;"|"&amp;AL$1&amp;"|Input"),IF(COUNTIF(Flows!$M$2:$M$1500,$A164&amp;"|"&amp;AL$1&amp;"|Output"),"I/O","IN"),IF(COUNTIF(Flows!$M$2:$M$1500,$A164&amp;"|"&amp;AL$1&amp;"|Output"),"OUT",""))</f>
        <v/>
      </c>
      <c r="AM164" s="33" t="str">
        <f aca="false">IF(COUNTIF(Flows!$M$2:$M$1500,$A164&amp;"|"&amp;AM$1&amp;"|Input"),IF(COUNTIF(Flows!$M$2:$M$1500,$A164&amp;"|"&amp;AM$1&amp;"|Output"),"I/O","IN"),IF(COUNTIF(Flows!$M$2:$M$1500,$A164&amp;"|"&amp;AM$1&amp;"|Output"),"OUT",""))</f>
        <v/>
      </c>
      <c r="AN164" s="33" t="str">
        <f aca="false">IF(COUNTIF(Flows!$M$2:$M$1500,$A164&amp;"|"&amp;AN$1&amp;"|Input"),IF(COUNTIF(Flows!$M$2:$M$1500,$A164&amp;"|"&amp;AN$1&amp;"|Output"),"I/O","IN"),IF(COUNTIF(Flows!$M$2:$M$1500,$A164&amp;"|"&amp;AN$1&amp;"|Output"),"OUT",""))</f>
        <v/>
      </c>
      <c r="AO164" s="33" t="str">
        <f aca="false">IF(COUNTIF(Flows!$M$2:$M$1500,$A164&amp;"|"&amp;AO$1&amp;"|Input"),IF(COUNTIF(Flows!$M$2:$M$1500,$A164&amp;"|"&amp;AO$1&amp;"|Output"),"I/O","IN"),IF(COUNTIF(Flows!$M$2:$M$1500,$A164&amp;"|"&amp;AO$1&amp;"|Output"),"OUT",""))</f>
        <v/>
      </c>
      <c r="AP164" s="33" t="str">
        <f aca="false">IF(COUNTIF(Flows!$M$2:$M$1500,$A164&amp;"|"&amp;AP$1&amp;"|Input"),IF(COUNTIF(Flows!$M$2:$M$1500,$A164&amp;"|"&amp;AP$1&amp;"|Output"),"I/O","IN"),IF(COUNTIF(Flows!$M$2:$M$1500,$A164&amp;"|"&amp;AP$1&amp;"|Output"),"OUT",""))</f>
        <v/>
      </c>
      <c r="AQ164" s="33" t="str">
        <f aca="false">IF(COUNTIF(Flows!$M$2:$M$1500,$A164&amp;"|"&amp;AQ$1&amp;"|Input"),IF(COUNTIF(Flows!$M$2:$M$1500,$A164&amp;"|"&amp;AQ$1&amp;"|Output"),"I/O","IN"),IF(COUNTIF(Flows!$M$2:$M$1500,$A164&amp;"|"&amp;AQ$1&amp;"|Output"),"OUT",""))</f>
        <v/>
      </c>
      <c r="AR164" s="33" t="str">
        <f aca="false">IF(COUNTIF(Flows!$M$2:$M$1500,$A164&amp;"|"&amp;AR$1&amp;"|Input"),IF(COUNTIF(Flows!$M$2:$M$1500,$A164&amp;"|"&amp;AR$1&amp;"|Output"),"I/O","IN"),IF(COUNTIF(Flows!$M$2:$M$1500,$A164&amp;"|"&amp;AR$1&amp;"|Output"),"OUT",""))</f>
        <v/>
      </c>
      <c r="AS164" s="33" t="str">
        <f aca="false">IF(COUNTIF(Flows!$M$2:$M$1500,$A164&amp;"|"&amp;AS$1&amp;"|Input"),IF(COUNTIF(Flows!$M$2:$M$1500,$A164&amp;"|"&amp;AS$1&amp;"|Output"),"I/O","IN"),IF(COUNTIF(Flows!$M$2:$M$1500,$A164&amp;"|"&amp;AS$1&amp;"|Output"),"OUT",""))</f>
        <v/>
      </c>
      <c r="AT164" s="33" t="str">
        <f aca="false">IF(COUNTIF(Flows!$M$2:$M$1500,$A164&amp;"|"&amp;AT$1&amp;"|Input"),IF(COUNTIF(Flows!$M$2:$M$1500,$A164&amp;"|"&amp;AT$1&amp;"|Output"),"I/O","IN"),IF(COUNTIF(Flows!$M$2:$M$1500,$A164&amp;"|"&amp;AT$1&amp;"|Output"),"OUT",""))</f>
        <v/>
      </c>
      <c r="AU164" s="33" t="str">
        <f aca="false">IF(COUNTIF(Flows!$M$2:$M$1500,$A164&amp;"|"&amp;AU$1&amp;"|Input"),IF(COUNTIF(Flows!$M$2:$M$1500,$A164&amp;"|"&amp;AU$1&amp;"|Output"),"I/O","IN"),IF(COUNTIF(Flows!$M$2:$M$1500,$A164&amp;"|"&amp;AU$1&amp;"|Output"),"OUT",""))</f>
        <v/>
      </c>
      <c r="AV164" s="33" t="str">
        <f aca="false">IF(COUNTIF(Flows!$M$2:$M$1500,$A164&amp;"|"&amp;AV$1&amp;"|Input"),IF(COUNTIF(Flows!$M$2:$M$1500,$A164&amp;"|"&amp;AV$1&amp;"|Output"),"I/O","IN"),IF(COUNTIF(Flows!$M$2:$M$1500,$A164&amp;"|"&amp;AV$1&amp;"|Output"),"OUT",""))</f>
        <v/>
      </c>
      <c r="AW164" s="33" t="str">
        <f aca="false">IF(COUNTIF(Flows!$M$2:$M$1500,$A164&amp;"|"&amp;AW$1&amp;"|Input"),IF(COUNTIF(Flows!$M$2:$M$1500,$A164&amp;"|"&amp;AW$1&amp;"|Output"),"I/O","IN"),IF(COUNTIF(Flows!$M$2:$M$1500,$A164&amp;"|"&amp;AW$1&amp;"|Output"),"OUT",""))</f>
        <v/>
      </c>
      <c r="AX164" s="33" t="str">
        <f aca="false">IF(COUNTIF(Flows!$M$2:$M$1500,$A164&amp;"|"&amp;AX$1&amp;"|Input"),IF(COUNTIF(Flows!$M$2:$M$1500,$A164&amp;"|"&amp;AX$1&amp;"|Output"),"I/O","IN"),IF(COUNTIF(Flows!$M$2:$M$1500,$A164&amp;"|"&amp;AX$1&amp;"|Output"),"OUT",""))</f>
        <v/>
      </c>
      <c r="AY164" s="33" t="str">
        <f aca="false">IF(COUNTIF(Flows!$M$2:$M$1500,$A164&amp;"|"&amp;AY$1&amp;"|Input"),IF(COUNTIF(Flows!$M$2:$M$1500,$A164&amp;"|"&amp;AY$1&amp;"|Output"),"I/O","IN"),IF(COUNTIF(Flows!$M$2:$M$1500,$A164&amp;"|"&amp;AY$1&amp;"|Output"),"OUT",""))</f>
        <v/>
      </c>
      <c r="AZ164" s="33" t="str">
        <f aca="false">IF(COUNTIF(Flows!$M$2:$M$1500,$A164&amp;"|"&amp;AZ$1&amp;"|Input"),IF(COUNTIF(Flows!$M$2:$M$1500,$A164&amp;"|"&amp;AZ$1&amp;"|Output"),"I/O","IN"),IF(COUNTIF(Flows!$M$2:$M$1500,$A164&amp;"|"&amp;AZ$1&amp;"|Output"),"OUT",""))</f>
        <v/>
      </c>
      <c r="BA164" s="33" t="str">
        <f aca="false">IF(COUNTIF(Flows!$M$2:$M$1500,$A164&amp;"|"&amp;BA$1&amp;"|Input"),IF(COUNTIF(Flows!$M$2:$M$1500,$A164&amp;"|"&amp;BA$1&amp;"|Output"),"I/O","IN"),IF(COUNTIF(Flows!$M$2:$M$1500,$A164&amp;"|"&amp;BA$1&amp;"|Output"),"OUT",""))</f>
        <v/>
      </c>
      <c r="BB164" s="33" t="str">
        <f aca="false">IF(COUNTIF(Flows!$M$2:$M$1500,$A164&amp;"|"&amp;BB$1&amp;"|Input"),IF(COUNTIF(Flows!$M$2:$M$1500,$A164&amp;"|"&amp;BB$1&amp;"|Output"),"I/O","IN"),IF(COUNTIF(Flows!$M$2:$M$1500,$A164&amp;"|"&amp;BB$1&amp;"|Output"),"OUT",""))</f>
        <v/>
      </c>
      <c r="BC164" s="33" t="str">
        <f aca="false">IF(COUNTIF(Flows!$M$2:$M$1500,$A164&amp;"|"&amp;BC$1&amp;"|Input"),IF(COUNTIF(Flows!$M$2:$M$1500,$A164&amp;"|"&amp;BC$1&amp;"|Output"),"I/O","IN"),IF(COUNTIF(Flows!$M$2:$M$1500,$A164&amp;"|"&amp;BC$1&amp;"|Output"),"OUT",""))</f>
        <v/>
      </c>
      <c r="BD164" s="33" t="str">
        <f aca="false">IF(COUNTIF(Flows!$M$2:$M$1500,$A164&amp;"|"&amp;BD$1&amp;"|Input"),IF(COUNTIF(Flows!$M$2:$M$1500,$A164&amp;"|"&amp;BD$1&amp;"|Output"),"I/O","IN"),IF(COUNTIF(Flows!$M$2:$M$1500,$A164&amp;"|"&amp;BD$1&amp;"|Output"),"OUT",""))</f>
        <v/>
      </c>
      <c r="BE164" s="33" t="str">
        <f aca="false">IF(COUNTIF(Flows!$M$2:$M$1500,$A164&amp;"|"&amp;BE$1&amp;"|Input"),IF(COUNTIF(Flows!$M$2:$M$1500,$A164&amp;"|"&amp;BE$1&amp;"|Output"),"I/O","IN"),IF(COUNTIF(Flows!$M$2:$M$1500,$A164&amp;"|"&amp;BE$1&amp;"|Output"),"OUT",""))</f>
        <v/>
      </c>
      <c r="BF164" s="33" t="str">
        <f aca="false">IF(COUNTIF(Flows!$M$2:$M$1500,$A164&amp;"|"&amp;BF$1&amp;"|Input"),IF(COUNTIF(Flows!$M$2:$M$1500,$A164&amp;"|"&amp;BF$1&amp;"|Output"),"I/O","IN"),IF(COUNTIF(Flows!$M$2:$M$1500,$A164&amp;"|"&amp;BF$1&amp;"|Output"),"OUT",""))</f>
        <v>IN</v>
      </c>
      <c r="BG164" s="33" t="str">
        <f aca="false">IF(COUNTIF(Flows!$M$2:$M$1500,$A164&amp;"|"&amp;BG$1&amp;"|Input"),IF(COUNTIF(Flows!$M$2:$M$1500,$A164&amp;"|"&amp;BG$1&amp;"|Output"),"I/O","IN"),IF(COUNTIF(Flows!$M$2:$M$1500,$A164&amp;"|"&amp;BG$1&amp;"|Output"),"OUT",""))</f>
        <v/>
      </c>
      <c r="BH164" s="33" t="str">
        <f aca="false">IF(COUNTIF(Flows!$M$2:$M$1500,$A164&amp;"|"&amp;BH$1&amp;"|Input"),IF(COUNTIF(Flows!$M$2:$M$1500,$A164&amp;"|"&amp;BH$1&amp;"|Output"),"I/O","IN"),IF(COUNTIF(Flows!$M$2:$M$1500,$A164&amp;"|"&amp;BH$1&amp;"|Output"),"OUT",""))</f>
        <v/>
      </c>
      <c r="BI164" s="33" t="str">
        <f aca="false">IF(COUNTIF(Flows!$M$2:$M$1500,$A164&amp;"|"&amp;BI$1&amp;"|Input"),IF(COUNTIF(Flows!$M$2:$M$1500,$A164&amp;"|"&amp;BI$1&amp;"|Output"),"I/O","IN"),IF(COUNTIF(Flows!$M$2:$M$1500,$A164&amp;"|"&amp;BI$1&amp;"|Output"),"OUT",""))</f>
        <v/>
      </c>
      <c r="BJ164" s="33" t="str">
        <f aca="false">IF(COUNTIF(Flows!$M$2:$M$1500,$A164&amp;"|"&amp;BJ$1&amp;"|Input"),IF(COUNTIF(Flows!$M$2:$M$1500,$A164&amp;"|"&amp;BJ$1&amp;"|Output"),"I/O","IN"),IF(COUNTIF(Flows!$M$2:$M$1500,$A164&amp;"|"&amp;BJ$1&amp;"|Output"),"OUT",""))</f>
        <v/>
      </c>
      <c r="BK164" s="33" t="str">
        <f aca="false">IF(COUNTIF(Flows!$M$2:$M$1500,$A164&amp;"|"&amp;BK$1&amp;"|Input"),IF(COUNTIF(Flows!$M$2:$M$1500,$A164&amp;"|"&amp;BK$1&amp;"|Output"),"I/O","IN"),IF(COUNTIF(Flows!$M$2:$M$1500,$A164&amp;"|"&amp;BK$1&amp;"|Output"),"OUT",""))</f>
        <v/>
      </c>
    </row>
    <row r="165" customFormat="false" ht="15" hidden="false" customHeight="true" outlineLevel="0" collapsed="false">
      <c r="A165" s="6" t="str">
        <f aca="false">Systems!B165</f>
        <v>Coppice Woodlot (1/4 acre)</v>
      </c>
      <c r="B165" s="33" t="str">
        <f aca="false">IF(COUNTIF(Flows!$M$2:$M$1500,$A165&amp;"|"&amp;B$1&amp;"|Input"),IF(COUNTIF(Flows!$M$2:$M$1500,$A165&amp;"|"&amp;B$1&amp;"|Output"),"I/O","IN"),IF(COUNTIF(Flows!$M$2:$M$1500,$A165&amp;"|"&amp;B$1&amp;"|Output"),"OUT",""))</f>
        <v/>
      </c>
      <c r="C165" s="33" t="str">
        <f aca="false">IF(COUNTIF(Flows!$M$2:$M$1500,$A165&amp;"|"&amp;C$1&amp;"|Input"),IF(COUNTIF(Flows!$M$2:$M$1500,$A165&amp;"|"&amp;C$1&amp;"|Output"),"I/O","IN"),IF(COUNTIF(Flows!$M$2:$M$1500,$A165&amp;"|"&amp;C$1&amp;"|Output"),"OUT",""))</f>
        <v/>
      </c>
      <c r="D165" s="33" t="str">
        <f aca="false">IF(COUNTIF(Flows!$M$2:$M$1500,$A165&amp;"|"&amp;D$1&amp;"|Input"),IF(COUNTIF(Flows!$M$2:$M$1500,$A165&amp;"|"&amp;D$1&amp;"|Output"),"I/O","IN"),IF(COUNTIF(Flows!$M$2:$M$1500,$A165&amp;"|"&amp;D$1&amp;"|Output"),"OUT",""))</f>
        <v/>
      </c>
      <c r="E165" s="33" t="str">
        <f aca="false">IF(COUNTIF(Flows!$M$2:$M$1500,$A165&amp;"|"&amp;E$1&amp;"|Input"),IF(COUNTIF(Flows!$M$2:$M$1500,$A165&amp;"|"&amp;E$1&amp;"|Output"),"I/O","IN"),IF(COUNTIF(Flows!$M$2:$M$1500,$A165&amp;"|"&amp;E$1&amp;"|Output"),"OUT",""))</f>
        <v/>
      </c>
      <c r="F165" s="33" t="str">
        <f aca="false">IF(COUNTIF(Flows!$M$2:$M$1500,$A165&amp;"|"&amp;F$1&amp;"|Input"),IF(COUNTIF(Flows!$M$2:$M$1500,$A165&amp;"|"&amp;F$1&amp;"|Output"),"I/O","IN"),IF(COUNTIF(Flows!$M$2:$M$1500,$A165&amp;"|"&amp;F$1&amp;"|Output"),"OUT",""))</f>
        <v/>
      </c>
      <c r="G165" s="33" t="str">
        <f aca="false">IF(COUNTIF(Flows!$M$2:$M$1500,$A165&amp;"|"&amp;G$1&amp;"|Input"),IF(COUNTIF(Flows!$M$2:$M$1500,$A165&amp;"|"&amp;G$1&amp;"|Output"),"I/O","IN"),IF(COUNTIF(Flows!$M$2:$M$1500,$A165&amp;"|"&amp;G$1&amp;"|Output"),"OUT",""))</f>
        <v/>
      </c>
      <c r="H165" s="33" t="str">
        <f aca="false">IF(COUNTIF(Flows!$M$2:$M$1500,$A165&amp;"|"&amp;H$1&amp;"|Input"),IF(COUNTIF(Flows!$M$2:$M$1500,$A165&amp;"|"&amp;H$1&amp;"|Output"),"I/O","IN"),IF(COUNTIF(Flows!$M$2:$M$1500,$A165&amp;"|"&amp;H$1&amp;"|Output"),"OUT",""))</f>
        <v/>
      </c>
      <c r="I165" s="33" t="str">
        <f aca="false">IF(COUNTIF(Flows!$M$2:$M$1500,$A165&amp;"|"&amp;I$1&amp;"|Input"),IF(COUNTIF(Flows!$M$2:$M$1500,$A165&amp;"|"&amp;I$1&amp;"|Output"),"I/O","IN"),IF(COUNTIF(Flows!$M$2:$M$1500,$A165&amp;"|"&amp;I$1&amp;"|Output"),"OUT",""))</f>
        <v/>
      </c>
      <c r="J165" s="33" t="str">
        <f aca="false">IF(COUNTIF(Flows!$M$2:$M$1500,$A165&amp;"|"&amp;J$1&amp;"|Input"),IF(COUNTIF(Flows!$M$2:$M$1500,$A165&amp;"|"&amp;J$1&amp;"|Output"),"I/O","IN"),IF(COUNTIF(Flows!$M$2:$M$1500,$A165&amp;"|"&amp;J$1&amp;"|Output"),"OUT",""))</f>
        <v/>
      </c>
      <c r="K165" s="33" t="str">
        <f aca="false">IF(COUNTIF(Flows!$M$2:$M$1500,$A165&amp;"|"&amp;K$1&amp;"|Input"),IF(COUNTIF(Flows!$M$2:$M$1500,$A165&amp;"|"&amp;K$1&amp;"|Output"),"I/O","IN"),IF(COUNTIF(Flows!$M$2:$M$1500,$A165&amp;"|"&amp;K$1&amp;"|Output"),"OUT",""))</f>
        <v/>
      </c>
      <c r="L165" s="33" t="str">
        <f aca="false">IF(COUNTIF(Flows!$M$2:$M$1500,$A165&amp;"|"&amp;L$1&amp;"|Input"),IF(COUNTIF(Flows!$M$2:$M$1500,$A165&amp;"|"&amp;L$1&amp;"|Output"),"I/O","IN"),IF(COUNTIF(Flows!$M$2:$M$1500,$A165&amp;"|"&amp;L$1&amp;"|Output"),"OUT",""))</f>
        <v/>
      </c>
      <c r="M165" s="33" t="str">
        <f aca="false">IF(COUNTIF(Flows!$M$2:$M$1500,$A165&amp;"|"&amp;M$1&amp;"|Input"),IF(COUNTIF(Flows!$M$2:$M$1500,$A165&amp;"|"&amp;M$1&amp;"|Output"),"I/O","IN"),IF(COUNTIF(Flows!$M$2:$M$1500,$A165&amp;"|"&amp;M$1&amp;"|Output"),"OUT",""))</f>
        <v/>
      </c>
      <c r="N165" s="33" t="str">
        <f aca="false">IF(COUNTIF(Flows!$M$2:$M$1500,$A165&amp;"|"&amp;N$1&amp;"|Input"),IF(COUNTIF(Flows!$M$2:$M$1500,$A165&amp;"|"&amp;N$1&amp;"|Output"),"I/O","IN"),IF(COUNTIF(Flows!$M$2:$M$1500,$A165&amp;"|"&amp;N$1&amp;"|Output"),"OUT",""))</f>
        <v/>
      </c>
      <c r="O165" s="33" t="str">
        <f aca="false">IF(COUNTIF(Flows!$M$2:$M$1500,$A165&amp;"|"&amp;O$1&amp;"|Input"),IF(COUNTIF(Flows!$M$2:$M$1500,$A165&amp;"|"&amp;O$1&amp;"|Output"),"I/O","IN"),IF(COUNTIF(Flows!$M$2:$M$1500,$A165&amp;"|"&amp;O$1&amp;"|Output"),"OUT",""))</f>
        <v/>
      </c>
      <c r="P165" s="33" t="str">
        <f aca="false">IF(COUNTIF(Flows!$M$2:$M$1500,$A165&amp;"|"&amp;P$1&amp;"|Input"),IF(COUNTIF(Flows!$M$2:$M$1500,$A165&amp;"|"&amp;P$1&amp;"|Output"),"I/O","IN"),IF(COUNTIF(Flows!$M$2:$M$1500,$A165&amp;"|"&amp;P$1&amp;"|Output"),"OUT",""))</f>
        <v/>
      </c>
      <c r="Q165" s="33" t="str">
        <f aca="false">IF(COUNTIF(Flows!$M$2:$M$1500,$A165&amp;"|"&amp;Q$1&amp;"|Input"),IF(COUNTIF(Flows!$M$2:$M$1500,$A165&amp;"|"&amp;Q$1&amp;"|Output"),"I/O","IN"),IF(COUNTIF(Flows!$M$2:$M$1500,$A165&amp;"|"&amp;Q$1&amp;"|Output"),"OUT",""))</f>
        <v/>
      </c>
      <c r="R165" s="33" t="str">
        <f aca="false">IF(COUNTIF(Flows!$M$2:$M$1500,$A165&amp;"|"&amp;R$1&amp;"|Input"),IF(COUNTIF(Flows!$M$2:$M$1500,$A165&amp;"|"&amp;R$1&amp;"|Output"),"I/O","IN"),IF(COUNTIF(Flows!$M$2:$M$1500,$A165&amp;"|"&amp;R$1&amp;"|Output"),"OUT",""))</f>
        <v/>
      </c>
      <c r="S165" s="33" t="str">
        <f aca="false">IF(COUNTIF(Flows!$M$2:$M$1500,$A165&amp;"|"&amp;S$1&amp;"|Input"),IF(COUNTIF(Flows!$M$2:$M$1500,$A165&amp;"|"&amp;S$1&amp;"|Output"),"I/O","IN"),IF(COUNTIF(Flows!$M$2:$M$1500,$A165&amp;"|"&amp;S$1&amp;"|Output"),"OUT",""))</f>
        <v/>
      </c>
      <c r="T165" s="33" t="str">
        <f aca="false">IF(COUNTIF(Flows!$M$2:$M$1500,$A165&amp;"|"&amp;T$1&amp;"|Input"),IF(COUNTIF(Flows!$M$2:$M$1500,$A165&amp;"|"&amp;T$1&amp;"|Output"),"I/O","IN"),IF(COUNTIF(Flows!$M$2:$M$1500,$A165&amp;"|"&amp;T$1&amp;"|Output"),"OUT",""))</f>
        <v/>
      </c>
      <c r="U165" s="33" t="str">
        <f aca="false">IF(COUNTIF(Flows!$M$2:$M$1500,$A165&amp;"|"&amp;U$1&amp;"|Input"),IF(COUNTIF(Flows!$M$2:$M$1500,$A165&amp;"|"&amp;U$1&amp;"|Output"),"I/O","IN"),IF(COUNTIF(Flows!$M$2:$M$1500,$A165&amp;"|"&amp;U$1&amp;"|Output"),"OUT",""))</f>
        <v/>
      </c>
      <c r="V165" s="33" t="str">
        <f aca="false">IF(COUNTIF(Flows!$M$2:$M$1500,$A165&amp;"|"&amp;V$1&amp;"|Input"),IF(COUNTIF(Flows!$M$2:$M$1500,$A165&amp;"|"&amp;V$1&amp;"|Output"),"I/O","IN"),IF(COUNTIF(Flows!$M$2:$M$1500,$A165&amp;"|"&amp;V$1&amp;"|Output"),"OUT",""))</f>
        <v/>
      </c>
      <c r="W165" s="33" t="str">
        <f aca="false">IF(COUNTIF(Flows!$M$2:$M$1500,$A165&amp;"|"&amp;W$1&amp;"|Input"),IF(COUNTIF(Flows!$M$2:$M$1500,$A165&amp;"|"&amp;W$1&amp;"|Output"),"I/O","IN"),IF(COUNTIF(Flows!$M$2:$M$1500,$A165&amp;"|"&amp;W$1&amp;"|Output"),"OUT",""))</f>
        <v/>
      </c>
      <c r="X165" s="33" t="str">
        <f aca="false">IF(COUNTIF(Flows!$M$2:$M$1500,$A165&amp;"|"&amp;X$1&amp;"|Input"),IF(COUNTIF(Flows!$M$2:$M$1500,$A165&amp;"|"&amp;X$1&amp;"|Output"),"I/O","IN"),IF(COUNTIF(Flows!$M$2:$M$1500,$A165&amp;"|"&amp;X$1&amp;"|Output"),"OUT",""))</f>
        <v>IN</v>
      </c>
      <c r="Y165" s="33" t="str">
        <f aca="false">IF(COUNTIF(Flows!$M$2:$M$1500,$A165&amp;"|"&amp;Y$1&amp;"|Input"),IF(COUNTIF(Flows!$M$2:$M$1500,$A165&amp;"|"&amp;Y$1&amp;"|Output"),"I/O","IN"),IF(COUNTIF(Flows!$M$2:$M$1500,$A165&amp;"|"&amp;Y$1&amp;"|Output"),"OUT",""))</f>
        <v/>
      </c>
      <c r="Z165" s="33" t="str">
        <f aca="false">IF(COUNTIF(Flows!$M$2:$M$1500,$A165&amp;"|"&amp;Z$1&amp;"|Input"),IF(COUNTIF(Flows!$M$2:$M$1500,$A165&amp;"|"&amp;Z$1&amp;"|Output"),"I/O","IN"),IF(COUNTIF(Flows!$M$2:$M$1500,$A165&amp;"|"&amp;Z$1&amp;"|Output"),"OUT",""))</f>
        <v/>
      </c>
      <c r="AA165" s="33" t="str">
        <f aca="false">IF(COUNTIF(Flows!$M$2:$M$1500,$A165&amp;"|"&amp;AA$1&amp;"|Input"),IF(COUNTIF(Flows!$M$2:$M$1500,$A165&amp;"|"&amp;AA$1&amp;"|Output"),"I/O","IN"),IF(COUNTIF(Flows!$M$2:$M$1500,$A165&amp;"|"&amp;AA$1&amp;"|Output"),"OUT",""))</f>
        <v/>
      </c>
      <c r="AB165" s="33" t="str">
        <f aca="false">IF(COUNTIF(Flows!$M$2:$M$1500,$A165&amp;"|"&amp;AB$1&amp;"|Input"),IF(COUNTIF(Flows!$M$2:$M$1500,$A165&amp;"|"&amp;AB$1&amp;"|Output"),"I/O","IN"),IF(COUNTIF(Flows!$M$2:$M$1500,$A165&amp;"|"&amp;AB$1&amp;"|Output"),"OUT",""))</f>
        <v/>
      </c>
      <c r="AC165" s="33" t="str">
        <f aca="false">IF(COUNTIF(Flows!$M$2:$M$1500,$A165&amp;"|"&amp;AC$1&amp;"|Input"),IF(COUNTIF(Flows!$M$2:$M$1500,$A165&amp;"|"&amp;AC$1&amp;"|Output"),"I/O","IN"),IF(COUNTIF(Flows!$M$2:$M$1500,$A165&amp;"|"&amp;AC$1&amp;"|Output"),"OUT",""))</f>
        <v/>
      </c>
      <c r="AD165" s="33" t="str">
        <f aca="false">IF(COUNTIF(Flows!$M$2:$M$1500,$A165&amp;"|"&amp;AD$1&amp;"|Input"),IF(COUNTIF(Flows!$M$2:$M$1500,$A165&amp;"|"&amp;AD$1&amp;"|Output"),"I/O","IN"),IF(COUNTIF(Flows!$M$2:$M$1500,$A165&amp;"|"&amp;AD$1&amp;"|Output"),"OUT",""))</f>
        <v/>
      </c>
      <c r="AE165" s="33" t="str">
        <f aca="false">IF(COUNTIF(Flows!$M$2:$M$1500,$A165&amp;"|"&amp;AE$1&amp;"|Input"),IF(COUNTIF(Flows!$M$2:$M$1500,$A165&amp;"|"&amp;AE$1&amp;"|Output"),"I/O","IN"),IF(COUNTIF(Flows!$M$2:$M$1500,$A165&amp;"|"&amp;AE$1&amp;"|Output"),"OUT",""))</f>
        <v/>
      </c>
      <c r="AF165" s="33" t="str">
        <f aca="false">IF(COUNTIF(Flows!$M$2:$M$1500,$A165&amp;"|"&amp;AF$1&amp;"|Input"),IF(COUNTIF(Flows!$M$2:$M$1500,$A165&amp;"|"&amp;AF$1&amp;"|Output"),"I/O","IN"),IF(COUNTIF(Flows!$M$2:$M$1500,$A165&amp;"|"&amp;AF$1&amp;"|Output"),"OUT",""))</f>
        <v/>
      </c>
      <c r="AG165" s="33" t="str">
        <f aca="false">IF(COUNTIF(Flows!$M$2:$M$1500,$A165&amp;"|"&amp;AG$1&amp;"|Input"),IF(COUNTIF(Flows!$M$2:$M$1500,$A165&amp;"|"&amp;AG$1&amp;"|Output"),"I/O","IN"),IF(COUNTIF(Flows!$M$2:$M$1500,$A165&amp;"|"&amp;AG$1&amp;"|Output"),"OUT",""))</f>
        <v/>
      </c>
      <c r="AH165" s="33" t="str">
        <f aca="false">IF(COUNTIF(Flows!$M$2:$M$1500,$A165&amp;"|"&amp;AH$1&amp;"|Input"),IF(COUNTIF(Flows!$M$2:$M$1500,$A165&amp;"|"&amp;AH$1&amp;"|Output"),"I/O","IN"),IF(COUNTIF(Flows!$M$2:$M$1500,$A165&amp;"|"&amp;AH$1&amp;"|Output"),"OUT",""))</f>
        <v/>
      </c>
      <c r="AI165" s="33" t="str">
        <f aca="false">IF(COUNTIF(Flows!$M$2:$M$1500,$A165&amp;"|"&amp;AI$1&amp;"|Input"),IF(COUNTIF(Flows!$M$2:$M$1500,$A165&amp;"|"&amp;AI$1&amp;"|Output"),"I/O","IN"),IF(COUNTIF(Flows!$M$2:$M$1500,$A165&amp;"|"&amp;AI$1&amp;"|Output"),"OUT",""))</f>
        <v/>
      </c>
      <c r="AJ165" s="33" t="str">
        <f aca="false">IF(COUNTIF(Flows!$M$2:$M$1500,$A165&amp;"|"&amp;AJ$1&amp;"|Input"),IF(COUNTIF(Flows!$M$2:$M$1500,$A165&amp;"|"&amp;AJ$1&amp;"|Output"),"I/O","IN"),IF(COUNTIF(Flows!$M$2:$M$1500,$A165&amp;"|"&amp;AJ$1&amp;"|Output"),"OUT",""))</f>
        <v/>
      </c>
      <c r="AK165" s="33" t="str">
        <f aca="false">IF(COUNTIF(Flows!$M$2:$M$1500,$A165&amp;"|"&amp;AK$1&amp;"|Input"),IF(COUNTIF(Flows!$M$2:$M$1500,$A165&amp;"|"&amp;AK$1&amp;"|Output"),"I/O","IN"),IF(COUNTIF(Flows!$M$2:$M$1500,$A165&amp;"|"&amp;AK$1&amp;"|Output"),"OUT",""))</f>
        <v/>
      </c>
      <c r="AL165" s="33" t="str">
        <f aca="false">IF(COUNTIF(Flows!$M$2:$M$1500,$A165&amp;"|"&amp;AL$1&amp;"|Input"),IF(COUNTIF(Flows!$M$2:$M$1500,$A165&amp;"|"&amp;AL$1&amp;"|Output"),"I/O","IN"),IF(COUNTIF(Flows!$M$2:$M$1500,$A165&amp;"|"&amp;AL$1&amp;"|Output"),"OUT",""))</f>
        <v>OUT</v>
      </c>
      <c r="AM165" s="33" t="str">
        <f aca="false">IF(COUNTIF(Flows!$M$2:$M$1500,$A165&amp;"|"&amp;AM$1&amp;"|Input"),IF(COUNTIF(Flows!$M$2:$M$1500,$A165&amp;"|"&amp;AM$1&amp;"|Output"),"I/O","IN"),IF(COUNTIF(Flows!$M$2:$M$1500,$A165&amp;"|"&amp;AM$1&amp;"|Output"),"OUT",""))</f>
        <v/>
      </c>
      <c r="AN165" s="33" t="str">
        <f aca="false">IF(COUNTIF(Flows!$M$2:$M$1500,$A165&amp;"|"&amp;AN$1&amp;"|Input"),IF(COUNTIF(Flows!$M$2:$M$1500,$A165&amp;"|"&amp;AN$1&amp;"|Output"),"I/O","IN"),IF(COUNTIF(Flows!$M$2:$M$1500,$A165&amp;"|"&amp;AN$1&amp;"|Output"),"OUT",""))</f>
        <v/>
      </c>
      <c r="AO165" s="33" t="str">
        <f aca="false">IF(COUNTIF(Flows!$M$2:$M$1500,$A165&amp;"|"&amp;AO$1&amp;"|Input"),IF(COUNTIF(Flows!$M$2:$M$1500,$A165&amp;"|"&amp;AO$1&amp;"|Output"),"I/O","IN"),IF(COUNTIF(Flows!$M$2:$M$1500,$A165&amp;"|"&amp;AO$1&amp;"|Output"),"OUT",""))</f>
        <v/>
      </c>
      <c r="AP165" s="33" t="str">
        <f aca="false">IF(COUNTIF(Flows!$M$2:$M$1500,$A165&amp;"|"&amp;AP$1&amp;"|Input"),IF(COUNTIF(Flows!$M$2:$M$1500,$A165&amp;"|"&amp;AP$1&amp;"|Output"),"I/O","IN"),IF(COUNTIF(Flows!$M$2:$M$1500,$A165&amp;"|"&amp;AP$1&amp;"|Output"),"OUT",""))</f>
        <v/>
      </c>
      <c r="AQ165" s="33" t="str">
        <f aca="false">IF(COUNTIF(Flows!$M$2:$M$1500,$A165&amp;"|"&amp;AQ$1&amp;"|Input"),IF(COUNTIF(Flows!$M$2:$M$1500,$A165&amp;"|"&amp;AQ$1&amp;"|Output"),"I/O","IN"),IF(COUNTIF(Flows!$M$2:$M$1500,$A165&amp;"|"&amp;AQ$1&amp;"|Output"),"OUT",""))</f>
        <v/>
      </c>
      <c r="AR165" s="33" t="str">
        <f aca="false">IF(COUNTIF(Flows!$M$2:$M$1500,$A165&amp;"|"&amp;AR$1&amp;"|Input"),IF(COUNTIF(Flows!$M$2:$M$1500,$A165&amp;"|"&amp;AR$1&amp;"|Output"),"I/O","IN"),IF(COUNTIF(Flows!$M$2:$M$1500,$A165&amp;"|"&amp;AR$1&amp;"|Output"),"OUT",""))</f>
        <v>OUT</v>
      </c>
      <c r="AS165" s="33" t="str">
        <f aca="false">IF(COUNTIF(Flows!$M$2:$M$1500,$A165&amp;"|"&amp;AS$1&amp;"|Input"),IF(COUNTIF(Flows!$M$2:$M$1500,$A165&amp;"|"&amp;AS$1&amp;"|Output"),"I/O","IN"),IF(COUNTIF(Flows!$M$2:$M$1500,$A165&amp;"|"&amp;AS$1&amp;"|Output"),"OUT",""))</f>
        <v/>
      </c>
      <c r="AT165" s="33" t="str">
        <f aca="false">IF(COUNTIF(Flows!$M$2:$M$1500,$A165&amp;"|"&amp;AT$1&amp;"|Input"),IF(COUNTIF(Flows!$M$2:$M$1500,$A165&amp;"|"&amp;AT$1&amp;"|Output"),"I/O","IN"),IF(COUNTIF(Flows!$M$2:$M$1500,$A165&amp;"|"&amp;AT$1&amp;"|Output"),"OUT",""))</f>
        <v/>
      </c>
      <c r="AU165" s="33" t="str">
        <f aca="false">IF(COUNTIF(Flows!$M$2:$M$1500,$A165&amp;"|"&amp;AU$1&amp;"|Input"),IF(COUNTIF(Flows!$M$2:$M$1500,$A165&amp;"|"&amp;AU$1&amp;"|Output"),"I/O","IN"),IF(COUNTIF(Flows!$M$2:$M$1500,$A165&amp;"|"&amp;AU$1&amp;"|Output"),"OUT",""))</f>
        <v/>
      </c>
      <c r="AV165" s="33" t="str">
        <f aca="false">IF(COUNTIF(Flows!$M$2:$M$1500,$A165&amp;"|"&amp;AV$1&amp;"|Input"),IF(COUNTIF(Flows!$M$2:$M$1500,$A165&amp;"|"&amp;AV$1&amp;"|Output"),"I/O","IN"),IF(COUNTIF(Flows!$M$2:$M$1500,$A165&amp;"|"&amp;AV$1&amp;"|Output"),"OUT",""))</f>
        <v/>
      </c>
      <c r="AW165" s="33" t="str">
        <f aca="false">IF(COUNTIF(Flows!$M$2:$M$1500,$A165&amp;"|"&amp;AW$1&amp;"|Input"),IF(COUNTIF(Flows!$M$2:$M$1500,$A165&amp;"|"&amp;AW$1&amp;"|Output"),"I/O","IN"),IF(COUNTIF(Flows!$M$2:$M$1500,$A165&amp;"|"&amp;AW$1&amp;"|Output"),"OUT",""))</f>
        <v/>
      </c>
      <c r="AX165" s="33" t="str">
        <f aca="false">IF(COUNTIF(Flows!$M$2:$M$1500,$A165&amp;"|"&amp;AX$1&amp;"|Input"),IF(COUNTIF(Flows!$M$2:$M$1500,$A165&amp;"|"&amp;AX$1&amp;"|Output"),"I/O","IN"),IF(COUNTIF(Flows!$M$2:$M$1500,$A165&amp;"|"&amp;AX$1&amp;"|Output"),"OUT",""))</f>
        <v/>
      </c>
      <c r="AY165" s="33" t="str">
        <f aca="false">IF(COUNTIF(Flows!$M$2:$M$1500,$A165&amp;"|"&amp;AY$1&amp;"|Input"),IF(COUNTIF(Flows!$M$2:$M$1500,$A165&amp;"|"&amp;AY$1&amp;"|Output"),"I/O","IN"),IF(COUNTIF(Flows!$M$2:$M$1500,$A165&amp;"|"&amp;AY$1&amp;"|Output"),"OUT",""))</f>
        <v/>
      </c>
      <c r="AZ165" s="33" t="str">
        <f aca="false">IF(COUNTIF(Flows!$M$2:$M$1500,$A165&amp;"|"&amp;AZ$1&amp;"|Input"),IF(COUNTIF(Flows!$M$2:$M$1500,$A165&amp;"|"&amp;AZ$1&amp;"|Output"),"I/O","IN"),IF(COUNTIF(Flows!$M$2:$M$1500,$A165&amp;"|"&amp;AZ$1&amp;"|Output"),"OUT",""))</f>
        <v/>
      </c>
      <c r="BA165" s="33" t="str">
        <f aca="false">IF(COUNTIF(Flows!$M$2:$M$1500,$A165&amp;"|"&amp;BA$1&amp;"|Input"),IF(COUNTIF(Flows!$M$2:$M$1500,$A165&amp;"|"&amp;BA$1&amp;"|Output"),"I/O","IN"),IF(COUNTIF(Flows!$M$2:$M$1500,$A165&amp;"|"&amp;BA$1&amp;"|Output"),"OUT",""))</f>
        <v/>
      </c>
      <c r="BB165" s="33" t="str">
        <f aca="false">IF(COUNTIF(Flows!$M$2:$M$1500,$A165&amp;"|"&amp;BB$1&amp;"|Input"),IF(COUNTIF(Flows!$M$2:$M$1500,$A165&amp;"|"&amp;BB$1&amp;"|Output"),"I/O","IN"),IF(COUNTIF(Flows!$M$2:$M$1500,$A165&amp;"|"&amp;BB$1&amp;"|Output"),"OUT",""))</f>
        <v/>
      </c>
      <c r="BC165" s="33" t="str">
        <f aca="false">IF(COUNTIF(Flows!$M$2:$M$1500,$A165&amp;"|"&amp;BC$1&amp;"|Input"),IF(COUNTIF(Flows!$M$2:$M$1500,$A165&amp;"|"&amp;BC$1&amp;"|Output"),"I/O","IN"),IF(COUNTIF(Flows!$M$2:$M$1500,$A165&amp;"|"&amp;BC$1&amp;"|Output"),"OUT",""))</f>
        <v>IN</v>
      </c>
      <c r="BD165" s="33" t="str">
        <f aca="false">IF(COUNTIF(Flows!$M$2:$M$1500,$A165&amp;"|"&amp;BD$1&amp;"|Input"),IF(COUNTIF(Flows!$M$2:$M$1500,$A165&amp;"|"&amp;BD$1&amp;"|Output"),"I/O","IN"),IF(COUNTIF(Flows!$M$2:$M$1500,$A165&amp;"|"&amp;BD$1&amp;"|Output"),"OUT",""))</f>
        <v/>
      </c>
      <c r="BE165" s="33" t="str">
        <f aca="false">IF(COUNTIF(Flows!$M$2:$M$1500,$A165&amp;"|"&amp;BE$1&amp;"|Input"),IF(COUNTIF(Flows!$M$2:$M$1500,$A165&amp;"|"&amp;BE$1&amp;"|Output"),"I/O","IN"),IF(COUNTIF(Flows!$M$2:$M$1500,$A165&amp;"|"&amp;BE$1&amp;"|Output"),"OUT",""))</f>
        <v/>
      </c>
      <c r="BF165" s="33" t="str">
        <f aca="false">IF(COUNTIF(Flows!$M$2:$M$1500,$A165&amp;"|"&amp;BF$1&amp;"|Input"),IF(COUNTIF(Flows!$M$2:$M$1500,$A165&amp;"|"&amp;BF$1&amp;"|Output"),"I/O","IN"),IF(COUNTIF(Flows!$M$2:$M$1500,$A165&amp;"|"&amp;BF$1&amp;"|Output"),"OUT",""))</f>
        <v/>
      </c>
      <c r="BG165" s="33" t="str">
        <f aca="false">IF(COUNTIF(Flows!$M$2:$M$1500,$A165&amp;"|"&amp;BG$1&amp;"|Input"),IF(COUNTIF(Flows!$M$2:$M$1500,$A165&amp;"|"&amp;BG$1&amp;"|Output"),"I/O","IN"),IF(COUNTIF(Flows!$M$2:$M$1500,$A165&amp;"|"&amp;BG$1&amp;"|Output"),"OUT",""))</f>
        <v/>
      </c>
      <c r="BH165" s="33" t="str">
        <f aca="false">IF(COUNTIF(Flows!$M$2:$M$1500,$A165&amp;"|"&amp;BH$1&amp;"|Input"),IF(COUNTIF(Flows!$M$2:$M$1500,$A165&amp;"|"&amp;BH$1&amp;"|Output"),"I/O","IN"),IF(COUNTIF(Flows!$M$2:$M$1500,$A165&amp;"|"&amp;BH$1&amp;"|Output"),"OUT",""))</f>
        <v/>
      </c>
      <c r="BI165" s="33" t="str">
        <f aca="false">IF(COUNTIF(Flows!$M$2:$M$1500,$A165&amp;"|"&amp;BI$1&amp;"|Input"),IF(COUNTIF(Flows!$M$2:$M$1500,$A165&amp;"|"&amp;BI$1&amp;"|Output"),"I/O","IN"),IF(COUNTIF(Flows!$M$2:$M$1500,$A165&amp;"|"&amp;BI$1&amp;"|Output"),"OUT",""))</f>
        <v/>
      </c>
      <c r="BJ165" s="33" t="str">
        <f aca="false">IF(COUNTIF(Flows!$M$2:$M$1500,$A165&amp;"|"&amp;BJ$1&amp;"|Input"),IF(COUNTIF(Flows!$M$2:$M$1500,$A165&amp;"|"&amp;BJ$1&amp;"|Output"),"I/O","IN"),IF(COUNTIF(Flows!$M$2:$M$1500,$A165&amp;"|"&amp;BJ$1&amp;"|Output"),"OUT",""))</f>
        <v/>
      </c>
      <c r="BK165" s="33" t="str">
        <f aca="false">IF(COUNTIF(Flows!$M$2:$M$1500,$A165&amp;"|"&amp;BK$1&amp;"|Input"),IF(COUNTIF(Flows!$M$2:$M$1500,$A165&amp;"|"&amp;BK$1&amp;"|Output"),"I/O","IN"),IF(COUNTIF(Flows!$M$2:$M$1500,$A165&amp;"|"&amp;BK$1&amp;"|Output"),"OUT",""))</f>
        <v>OUT</v>
      </c>
    </row>
    <row r="166" customFormat="false" ht="15" hidden="false" customHeight="true" outlineLevel="0" collapsed="false">
      <c r="A166" s="6" t="str">
        <f aca="false">Systems!B166</f>
        <v>Rainfall</v>
      </c>
      <c r="B166" s="33" t="str">
        <f aca="false">IF(COUNTIF(Flows!$M$2:$M$1500,$A166&amp;"|"&amp;B$1&amp;"|Input"),IF(COUNTIF(Flows!$M$2:$M$1500,$A166&amp;"|"&amp;B$1&amp;"|Output"),"I/O","IN"),IF(COUNTIF(Flows!$M$2:$M$1500,$A166&amp;"|"&amp;B$1&amp;"|Output"),"OUT",""))</f>
        <v/>
      </c>
      <c r="C166" s="33" t="str">
        <f aca="false">IF(COUNTIF(Flows!$M$2:$M$1500,$A166&amp;"|"&amp;C$1&amp;"|Input"),IF(COUNTIF(Flows!$M$2:$M$1500,$A166&amp;"|"&amp;C$1&amp;"|Output"),"I/O","IN"),IF(COUNTIF(Flows!$M$2:$M$1500,$A166&amp;"|"&amp;C$1&amp;"|Output"),"OUT",""))</f>
        <v/>
      </c>
      <c r="D166" s="33" t="str">
        <f aca="false">IF(COUNTIF(Flows!$M$2:$M$1500,$A166&amp;"|"&amp;D$1&amp;"|Input"),IF(COUNTIF(Flows!$M$2:$M$1500,$A166&amp;"|"&amp;D$1&amp;"|Output"),"I/O","IN"),IF(COUNTIF(Flows!$M$2:$M$1500,$A166&amp;"|"&amp;D$1&amp;"|Output"),"OUT",""))</f>
        <v/>
      </c>
      <c r="E166" s="33" t="str">
        <f aca="false">IF(COUNTIF(Flows!$M$2:$M$1500,$A166&amp;"|"&amp;E$1&amp;"|Input"),IF(COUNTIF(Flows!$M$2:$M$1500,$A166&amp;"|"&amp;E$1&amp;"|Output"),"I/O","IN"),IF(COUNTIF(Flows!$M$2:$M$1500,$A166&amp;"|"&amp;E$1&amp;"|Output"),"OUT",""))</f>
        <v/>
      </c>
      <c r="F166" s="33" t="str">
        <f aca="false">IF(COUNTIF(Flows!$M$2:$M$1500,$A166&amp;"|"&amp;F$1&amp;"|Input"),IF(COUNTIF(Flows!$M$2:$M$1500,$A166&amp;"|"&amp;F$1&amp;"|Output"),"I/O","IN"),IF(COUNTIF(Flows!$M$2:$M$1500,$A166&amp;"|"&amp;F$1&amp;"|Output"),"OUT",""))</f>
        <v/>
      </c>
      <c r="G166" s="33" t="str">
        <f aca="false">IF(COUNTIF(Flows!$M$2:$M$1500,$A166&amp;"|"&amp;G$1&amp;"|Input"),IF(COUNTIF(Flows!$M$2:$M$1500,$A166&amp;"|"&amp;G$1&amp;"|Output"),"I/O","IN"),IF(COUNTIF(Flows!$M$2:$M$1500,$A166&amp;"|"&amp;G$1&amp;"|Output"),"OUT",""))</f>
        <v/>
      </c>
      <c r="H166" s="33" t="str">
        <f aca="false">IF(COUNTIF(Flows!$M$2:$M$1500,$A166&amp;"|"&amp;H$1&amp;"|Input"),IF(COUNTIF(Flows!$M$2:$M$1500,$A166&amp;"|"&amp;H$1&amp;"|Output"),"I/O","IN"),IF(COUNTIF(Flows!$M$2:$M$1500,$A166&amp;"|"&amp;H$1&amp;"|Output"),"OUT",""))</f>
        <v/>
      </c>
      <c r="I166" s="33" t="str">
        <f aca="false">IF(COUNTIF(Flows!$M$2:$M$1500,$A166&amp;"|"&amp;I$1&amp;"|Input"),IF(COUNTIF(Flows!$M$2:$M$1500,$A166&amp;"|"&amp;I$1&amp;"|Output"),"I/O","IN"),IF(COUNTIF(Flows!$M$2:$M$1500,$A166&amp;"|"&amp;I$1&amp;"|Output"),"OUT",""))</f>
        <v/>
      </c>
      <c r="J166" s="33" t="str">
        <f aca="false">IF(COUNTIF(Flows!$M$2:$M$1500,$A166&amp;"|"&amp;J$1&amp;"|Input"),IF(COUNTIF(Flows!$M$2:$M$1500,$A166&amp;"|"&amp;J$1&amp;"|Output"),"I/O","IN"),IF(COUNTIF(Flows!$M$2:$M$1500,$A166&amp;"|"&amp;J$1&amp;"|Output"),"OUT",""))</f>
        <v/>
      </c>
      <c r="K166" s="33" t="str">
        <f aca="false">IF(COUNTIF(Flows!$M$2:$M$1500,$A166&amp;"|"&amp;K$1&amp;"|Input"),IF(COUNTIF(Flows!$M$2:$M$1500,$A166&amp;"|"&amp;K$1&amp;"|Output"),"I/O","IN"),IF(COUNTIF(Flows!$M$2:$M$1500,$A166&amp;"|"&amp;K$1&amp;"|Output"),"OUT",""))</f>
        <v/>
      </c>
      <c r="L166" s="33" t="str">
        <f aca="false">IF(COUNTIF(Flows!$M$2:$M$1500,$A166&amp;"|"&amp;L$1&amp;"|Input"),IF(COUNTIF(Flows!$M$2:$M$1500,$A166&amp;"|"&amp;L$1&amp;"|Output"),"I/O","IN"),IF(COUNTIF(Flows!$M$2:$M$1500,$A166&amp;"|"&amp;L$1&amp;"|Output"),"OUT",""))</f>
        <v/>
      </c>
      <c r="M166" s="33" t="str">
        <f aca="false">IF(COUNTIF(Flows!$M$2:$M$1500,$A166&amp;"|"&amp;M$1&amp;"|Input"),IF(COUNTIF(Flows!$M$2:$M$1500,$A166&amp;"|"&amp;M$1&amp;"|Output"),"I/O","IN"),IF(COUNTIF(Flows!$M$2:$M$1500,$A166&amp;"|"&amp;M$1&amp;"|Output"),"OUT",""))</f>
        <v/>
      </c>
      <c r="N166" s="33" t="str">
        <f aca="false">IF(COUNTIF(Flows!$M$2:$M$1500,$A166&amp;"|"&amp;N$1&amp;"|Input"),IF(COUNTIF(Flows!$M$2:$M$1500,$A166&amp;"|"&amp;N$1&amp;"|Output"),"I/O","IN"),IF(COUNTIF(Flows!$M$2:$M$1500,$A166&amp;"|"&amp;N$1&amp;"|Output"),"OUT",""))</f>
        <v/>
      </c>
      <c r="O166" s="33" t="str">
        <f aca="false">IF(COUNTIF(Flows!$M$2:$M$1500,$A166&amp;"|"&amp;O$1&amp;"|Input"),IF(COUNTIF(Flows!$M$2:$M$1500,$A166&amp;"|"&amp;O$1&amp;"|Output"),"I/O","IN"),IF(COUNTIF(Flows!$M$2:$M$1500,$A166&amp;"|"&amp;O$1&amp;"|Output"),"OUT",""))</f>
        <v/>
      </c>
      <c r="P166" s="33" t="str">
        <f aca="false">IF(COUNTIF(Flows!$M$2:$M$1500,$A166&amp;"|"&amp;P$1&amp;"|Input"),IF(COUNTIF(Flows!$M$2:$M$1500,$A166&amp;"|"&amp;P$1&amp;"|Output"),"I/O","IN"),IF(COUNTIF(Flows!$M$2:$M$1500,$A166&amp;"|"&amp;P$1&amp;"|Output"),"OUT",""))</f>
        <v/>
      </c>
      <c r="Q166" s="33" t="str">
        <f aca="false">IF(COUNTIF(Flows!$M$2:$M$1500,$A166&amp;"|"&amp;Q$1&amp;"|Input"),IF(COUNTIF(Flows!$M$2:$M$1500,$A166&amp;"|"&amp;Q$1&amp;"|Output"),"I/O","IN"),IF(COUNTIF(Flows!$M$2:$M$1500,$A166&amp;"|"&amp;Q$1&amp;"|Output"),"OUT",""))</f>
        <v/>
      </c>
      <c r="R166" s="33" t="str">
        <f aca="false">IF(COUNTIF(Flows!$M$2:$M$1500,$A166&amp;"|"&amp;R$1&amp;"|Input"),IF(COUNTIF(Flows!$M$2:$M$1500,$A166&amp;"|"&amp;R$1&amp;"|Output"),"I/O","IN"),IF(COUNTIF(Flows!$M$2:$M$1500,$A166&amp;"|"&amp;R$1&amp;"|Output"),"OUT",""))</f>
        <v/>
      </c>
      <c r="S166" s="33" t="str">
        <f aca="false">IF(COUNTIF(Flows!$M$2:$M$1500,$A166&amp;"|"&amp;S$1&amp;"|Input"),IF(COUNTIF(Flows!$M$2:$M$1500,$A166&amp;"|"&amp;S$1&amp;"|Output"),"I/O","IN"),IF(COUNTIF(Flows!$M$2:$M$1500,$A166&amp;"|"&amp;S$1&amp;"|Output"),"OUT",""))</f>
        <v/>
      </c>
      <c r="T166" s="33" t="str">
        <f aca="false">IF(COUNTIF(Flows!$M$2:$M$1500,$A166&amp;"|"&amp;T$1&amp;"|Input"),IF(COUNTIF(Flows!$M$2:$M$1500,$A166&amp;"|"&amp;T$1&amp;"|Output"),"I/O","IN"),IF(COUNTIF(Flows!$M$2:$M$1500,$A166&amp;"|"&amp;T$1&amp;"|Output"),"OUT",""))</f>
        <v/>
      </c>
      <c r="U166" s="33" t="str">
        <f aca="false">IF(COUNTIF(Flows!$M$2:$M$1500,$A166&amp;"|"&amp;U$1&amp;"|Input"),IF(COUNTIF(Flows!$M$2:$M$1500,$A166&amp;"|"&amp;U$1&amp;"|Output"),"I/O","IN"),IF(COUNTIF(Flows!$M$2:$M$1500,$A166&amp;"|"&amp;U$1&amp;"|Output"),"OUT",""))</f>
        <v/>
      </c>
      <c r="V166" s="33" t="str">
        <f aca="false">IF(COUNTIF(Flows!$M$2:$M$1500,$A166&amp;"|"&amp;V$1&amp;"|Input"),IF(COUNTIF(Flows!$M$2:$M$1500,$A166&amp;"|"&amp;V$1&amp;"|Output"),"I/O","IN"),IF(COUNTIF(Flows!$M$2:$M$1500,$A166&amp;"|"&amp;V$1&amp;"|Output"),"OUT",""))</f>
        <v/>
      </c>
      <c r="W166" s="33" t="str">
        <f aca="false">IF(COUNTIF(Flows!$M$2:$M$1500,$A166&amp;"|"&amp;W$1&amp;"|Input"),IF(COUNTIF(Flows!$M$2:$M$1500,$A166&amp;"|"&amp;W$1&amp;"|Output"),"I/O","IN"),IF(COUNTIF(Flows!$M$2:$M$1500,$A166&amp;"|"&amp;W$1&amp;"|Output"),"OUT",""))</f>
        <v/>
      </c>
      <c r="X166" s="33" t="str">
        <f aca="false">IF(COUNTIF(Flows!$M$2:$M$1500,$A166&amp;"|"&amp;X$1&amp;"|Input"),IF(COUNTIF(Flows!$M$2:$M$1500,$A166&amp;"|"&amp;X$1&amp;"|Output"),"I/O","IN"),IF(COUNTIF(Flows!$M$2:$M$1500,$A166&amp;"|"&amp;X$1&amp;"|Output"),"OUT",""))</f>
        <v/>
      </c>
      <c r="Y166" s="33" t="str">
        <f aca="false">IF(COUNTIF(Flows!$M$2:$M$1500,$A166&amp;"|"&amp;Y$1&amp;"|Input"),IF(COUNTIF(Flows!$M$2:$M$1500,$A166&amp;"|"&amp;Y$1&amp;"|Output"),"I/O","IN"),IF(COUNTIF(Flows!$M$2:$M$1500,$A166&amp;"|"&amp;Y$1&amp;"|Output"),"OUT",""))</f>
        <v/>
      </c>
      <c r="Z166" s="33" t="str">
        <f aca="false">IF(COUNTIF(Flows!$M$2:$M$1500,$A166&amp;"|"&amp;Z$1&amp;"|Input"),IF(COUNTIF(Flows!$M$2:$M$1500,$A166&amp;"|"&amp;Z$1&amp;"|Output"),"I/O","IN"),IF(COUNTIF(Flows!$M$2:$M$1500,$A166&amp;"|"&amp;Z$1&amp;"|Output"),"OUT",""))</f>
        <v/>
      </c>
      <c r="AA166" s="33" t="str">
        <f aca="false">IF(COUNTIF(Flows!$M$2:$M$1500,$A166&amp;"|"&amp;AA$1&amp;"|Input"),IF(COUNTIF(Flows!$M$2:$M$1500,$A166&amp;"|"&amp;AA$1&amp;"|Output"),"I/O","IN"),IF(COUNTIF(Flows!$M$2:$M$1500,$A166&amp;"|"&amp;AA$1&amp;"|Output"),"OUT",""))</f>
        <v>OUT</v>
      </c>
      <c r="AB166" s="33" t="str">
        <f aca="false">IF(COUNTIF(Flows!$M$2:$M$1500,$A166&amp;"|"&amp;AB$1&amp;"|Input"),IF(COUNTIF(Flows!$M$2:$M$1500,$A166&amp;"|"&amp;AB$1&amp;"|Output"),"I/O","IN"),IF(COUNTIF(Flows!$M$2:$M$1500,$A166&amp;"|"&amp;AB$1&amp;"|Output"),"OUT",""))</f>
        <v/>
      </c>
      <c r="AC166" s="33" t="str">
        <f aca="false">IF(COUNTIF(Flows!$M$2:$M$1500,$A166&amp;"|"&amp;AC$1&amp;"|Input"),IF(COUNTIF(Flows!$M$2:$M$1500,$A166&amp;"|"&amp;AC$1&amp;"|Output"),"I/O","IN"),IF(COUNTIF(Flows!$M$2:$M$1500,$A166&amp;"|"&amp;AC$1&amp;"|Output"),"OUT",""))</f>
        <v/>
      </c>
      <c r="AD166" s="33" t="str">
        <f aca="false">IF(COUNTIF(Flows!$M$2:$M$1500,$A166&amp;"|"&amp;AD$1&amp;"|Input"),IF(COUNTIF(Flows!$M$2:$M$1500,$A166&amp;"|"&amp;AD$1&amp;"|Output"),"I/O","IN"),IF(COUNTIF(Flows!$M$2:$M$1500,$A166&amp;"|"&amp;AD$1&amp;"|Output"),"OUT",""))</f>
        <v/>
      </c>
      <c r="AE166" s="33" t="str">
        <f aca="false">IF(COUNTIF(Flows!$M$2:$M$1500,$A166&amp;"|"&amp;AE$1&amp;"|Input"),IF(COUNTIF(Flows!$M$2:$M$1500,$A166&amp;"|"&amp;AE$1&amp;"|Output"),"I/O","IN"),IF(COUNTIF(Flows!$M$2:$M$1500,$A166&amp;"|"&amp;AE$1&amp;"|Output"),"OUT",""))</f>
        <v/>
      </c>
      <c r="AF166" s="33" t="str">
        <f aca="false">IF(COUNTIF(Flows!$M$2:$M$1500,$A166&amp;"|"&amp;AF$1&amp;"|Input"),IF(COUNTIF(Flows!$M$2:$M$1500,$A166&amp;"|"&amp;AF$1&amp;"|Output"),"I/O","IN"),IF(COUNTIF(Flows!$M$2:$M$1500,$A166&amp;"|"&amp;AF$1&amp;"|Output"),"OUT",""))</f>
        <v/>
      </c>
      <c r="AG166" s="33" t="str">
        <f aca="false">IF(COUNTIF(Flows!$M$2:$M$1500,$A166&amp;"|"&amp;AG$1&amp;"|Input"),IF(COUNTIF(Flows!$M$2:$M$1500,$A166&amp;"|"&amp;AG$1&amp;"|Output"),"I/O","IN"),IF(COUNTIF(Flows!$M$2:$M$1500,$A166&amp;"|"&amp;AG$1&amp;"|Output"),"OUT",""))</f>
        <v/>
      </c>
      <c r="AH166" s="33" t="str">
        <f aca="false">IF(COUNTIF(Flows!$M$2:$M$1500,$A166&amp;"|"&amp;AH$1&amp;"|Input"),IF(COUNTIF(Flows!$M$2:$M$1500,$A166&amp;"|"&amp;AH$1&amp;"|Output"),"I/O","IN"),IF(COUNTIF(Flows!$M$2:$M$1500,$A166&amp;"|"&amp;AH$1&amp;"|Output"),"OUT",""))</f>
        <v/>
      </c>
      <c r="AI166" s="33" t="str">
        <f aca="false">IF(COUNTIF(Flows!$M$2:$M$1500,$A166&amp;"|"&amp;AI$1&amp;"|Input"),IF(COUNTIF(Flows!$M$2:$M$1500,$A166&amp;"|"&amp;AI$1&amp;"|Output"),"I/O","IN"),IF(COUNTIF(Flows!$M$2:$M$1500,$A166&amp;"|"&amp;AI$1&amp;"|Output"),"OUT",""))</f>
        <v/>
      </c>
      <c r="AJ166" s="33" t="str">
        <f aca="false">IF(COUNTIF(Flows!$M$2:$M$1500,$A166&amp;"|"&amp;AJ$1&amp;"|Input"),IF(COUNTIF(Flows!$M$2:$M$1500,$A166&amp;"|"&amp;AJ$1&amp;"|Output"),"I/O","IN"),IF(COUNTIF(Flows!$M$2:$M$1500,$A166&amp;"|"&amp;AJ$1&amp;"|Output"),"OUT",""))</f>
        <v/>
      </c>
      <c r="AK166" s="33" t="str">
        <f aca="false">IF(COUNTIF(Flows!$M$2:$M$1500,$A166&amp;"|"&amp;AK$1&amp;"|Input"),IF(COUNTIF(Flows!$M$2:$M$1500,$A166&amp;"|"&amp;AK$1&amp;"|Output"),"I/O","IN"),IF(COUNTIF(Flows!$M$2:$M$1500,$A166&amp;"|"&amp;AK$1&amp;"|Output"),"OUT",""))</f>
        <v/>
      </c>
      <c r="AL166" s="33" t="str">
        <f aca="false">IF(COUNTIF(Flows!$M$2:$M$1500,$A166&amp;"|"&amp;AL$1&amp;"|Input"),IF(COUNTIF(Flows!$M$2:$M$1500,$A166&amp;"|"&amp;AL$1&amp;"|Output"),"I/O","IN"),IF(COUNTIF(Flows!$M$2:$M$1500,$A166&amp;"|"&amp;AL$1&amp;"|Output"),"OUT",""))</f>
        <v/>
      </c>
      <c r="AM166" s="33" t="str">
        <f aca="false">IF(COUNTIF(Flows!$M$2:$M$1500,$A166&amp;"|"&amp;AM$1&amp;"|Input"),IF(COUNTIF(Flows!$M$2:$M$1500,$A166&amp;"|"&amp;AM$1&amp;"|Output"),"I/O","IN"),IF(COUNTIF(Flows!$M$2:$M$1500,$A166&amp;"|"&amp;AM$1&amp;"|Output"),"OUT",""))</f>
        <v/>
      </c>
      <c r="AN166" s="33" t="str">
        <f aca="false">IF(COUNTIF(Flows!$M$2:$M$1500,$A166&amp;"|"&amp;AN$1&amp;"|Input"),IF(COUNTIF(Flows!$M$2:$M$1500,$A166&amp;"|"&amp;AN$1&amp;"|Output"),"I/O","IN"),IF(COUNTIF(Flows!$M$2:$M$1500,$A166&amp;"|"&amp;AN$1&amp;"|Output"),"OUT",""))</f>
        <v/>
      </c>
      <c r="AO166" s="33" t="str">
        <f aca="false">IF(COUNTIF(Flows!$M$2:$M$1500,$A166&amp;"|"&amp;AO$1&amp;"|Input"),IF(COUNTIF(Flows!$M$2:$M$1500,$A166&amp;"|"&amp;AO$1&amp;"|Output"),"I/O","IN"),IF(COUNTIF(Flows!$M$2:$M$1500,$A166&amp;"|"&amp;AO$1&amp;"|Output"),"OUT",""))</f>
        <v/>
      </c>
      <c r="AP166" s="33" t="str">
        <f aca="false">IF(COUNTIF(Flows!$M$2:$M$1500,$A166&amp;"|"&amp;AP$1&amp;"|Input"),IF(COUNTIF(Flows!$M$2:$M$1500,$A166&amp;"|"&amp;AP$1&amp;"|Output"),"I/O","IN"),IF(COUNTIF(Flows!$M$2:$M$1500,$A166&amp;"|"&amp;AP$1&amp;"|Output"),"OUT",""))</f>
        <v/>
      </c>
      <c r="AQ166" s="33" t="str">
        <f aca="false">IF(COUNTIF(Flows!$M$2:$M$1500,$A166&amp;"|"&amp;AQ$1&amp;"|Input"),IF(COUNTIF(Flows!$M$2:$M$1500,$A166&amp;"|"&amp;AQ$1&amp;"|Output"),"I/O","IN"),IF(COUNTIF(Flows!$M$2:$M$1500,$A166&amp;"|"&amp;AQ$1&amp;"|Output"),"OUT",""))</f>
        <v/>
      </c>
      <c r="AR166" s="33" t="str">
        <f aca="false">IF(COUNTIF(Flows!$M$2:$M$1500,$A166&amp;"|"&amp;AR$1&amp;"|Input"),IF(COUNTIF(Flows!$M$2:$M$1500,$A166&amp;"|"&amp;AR$1&amp;"|Output"),"I/O","IN"),IF(COUNTIF(Flows!$M$2:$M$1500,$A166&amp;"|"&amp;AR$1&amp;"|Output"),"OUT",""))</f>
        <v/>
      </c>
      <c r="AS166" s="33" t="str">
        <f aca="false">IF(COUNTIF(Flows!$M$2:$M$1500,$A166&amp;"|"&amp;AS$1&amp;"|Input"),IF(COUNTIF(Flows!$M$2:$M$1500,$A166&amp;"|"&amp;AS$1&amp;"|Output"),"I/O","IN"),IF(COUNTIF(Flows!$M$2:$M$1500,$A166&amp;"|"&amp;AS$1&amp;"|Output"),"OUT",""))</f>
        <v/>
      </c>
      <c r="AT166" s="33" t="str">
        <f aca="false">IF(COUNTIF(Flows!$M$2:$M$1500,$A166&amp;"|"&amp;AT$1&amp;"|Input"),IF(COUNTIF(Flows!$M$2:$M$1500,$A166&amp;"|"&amp;AT$1&amp;"|Output"),"I/O","IN"),IF(COUNTIF(Flows!$M$2:$M$1500,$A166&amp;"|"&amp;AT$1&amp;"|Output"),"OUT",""))</f>
        <v/>
      </c>
      <c r="AU166" s="33" t="str">
        <f aca="false">IF(COUNTIF(Flows!$M$2:$M$1500,$A166&amp;"|"&amp;AU$1&amp;"|Input"),IF(COUNTIF(Flows!$M$2:$M$1500,$A166&amp;"|"&amp;AU$1&amp;"|Output"),"I/O","IN"),IF(COUNTIF(Flows!$M$2:$M$1500,$A166&amp;"|"&amp;AU$1&amp;"|Output"),"OUT",""))</f>
        <v/>
      </c>
      <c r="AV166" s="33" t="str">
        <f aca="false">IF(COUNTIF(Flows!$M$2:$M$1500,$A166&amp;"|"&amp;AV$1&amp;"|Input"),IF(COUNTIF(Flows!$M$2:$M$1500,$A166&amp;"|"&amp;AV$1&amp;"|Output"),"I/O","IN"),IF(COUNTIF(Flows!$M$2:$M$1500,$A166&amp;"|"&amp;AV$1&amp;"|Output"),"OUT",""))</f>
        <v/>
      </c>
      <c r="AW166" s="33" t="str">
        <f aca="false">IF(COUNTIF(Flows!$M$2:$M$1500,$A166&amp;"|"&amp;AW$1&amp;"|Input"),IF(COUNTIF(Flows!$M$2:$M$1500,$A166&amp;"|"&amp;AW$1&amp;"|Output"),"I/O","IN"),IF(COUNTIF(Flows!$M$2:$M$1500,$A166&amp;"|"&amp;AW$1&amp;"|Output"),"OUT",""))</f>
        <v/>
      </c>
      <c r="AX166" s="33" t="str">
        <f aca="false">IF(COUNTIF(Flows!$M$2:$M$1500,$A166&amp;"|"&amp;AX$1&amp;"|Input"),IF(COUNTIF(Flows!$M$2:$M$1500,$A166&amp;"|"&amp;AX$1&amp;"|Output"),"I/O","IN"),IF(COUNTIF(Flows!$M$2:$M$1500,$A166&amp;"|"&amp;AX$1&amp;"|Output"),"OUT",""))</f>
        <v/>
      </c>
      <c r="AY166" s="33" t="str">
        <f aca="false">IF(COUNTIF(Flows!$M$2:$M$1500,$A166&amp;"|"&amp;AY$1&amp;"|Input"),IF(COUNTIF(Flows!$M$2:$M$1500,$A166&amp;"|"&amp;AY$1&amp;"|Output"),"I/O","IN"),IF(COUNTIF(Flows!$M$2:$M$1500,$A166&amp;"|"&amp;AY$1&amp;"|Output"),"OUT",""))</f>
        <v/>
      </c>
      <c r="AZ166" s="33" t="str">
        <f aca="false">IF(COUNTIF(Flows!$M$2:$M$1500,$A166&amp;"|"&amp;AZ$1&amp;"|Input"),IF(COUNTIF(Flows!$M$2:$M$1500,$A166&amp;"|"&amp;AZ$1&amp;"|Output"),"I/O","IN"),IF(COUNTIF(Flows!$M$2:$M$1500,$A166&amp;"|"&amp;AZ$1&amp;"|Output"),"OUT",""))</f>
        <v/>
      </c>
      <c r="BA166" s="33" t="str">
        <f aca="false">IF(COUNTIF(Flows!$M$2:$M$1500,$A166&amp;"|"&amp;BA$1&amp;"|Input"),IF(COUNTIF(Flows!$M$2:$M$1500,$A166&amp;"|"&amp;BA$1&amp;"|Output"),"I/O","IN"),IF(COUNTIF(Flows!$M$2:$M$1500,$A166&amp;"|"&amp;BA$1&amp;"|Output"),"OUT",""))</f>
        <v/>
      </c>
      <c r="BB166" s="33" t="str">
        <f aca="false">IF(COUNTIF(Flows!$M$2:$M$1500,$A166&amp;"|"&amp;BB$1&amp;"|Input"),IF(COUNTIF(Flows!$M$2:$M$1500,$A166&amp;"|"&amp;BB$1&amp;"|Output"),"I/O","IN"),IF(COUNTIF(Flows!$M$2:$M$1500,$A166&amp;"|"&amp;BB$1&amp;"|Output"),"OUT",""))</f>
        <v/>
      </c>
      <c r="BC166" s="33" t="str">
        <f aca="false">IF(COUNTIF(Flows!$M$2:$M$1500,$A166&amp;"|"&amp;BC$1&amp;"|Input"),IF(COUNTIF(Flows!$M$2:$M$1500,$A166&amp;"|"&amp;BC$1&amp;"|Output"),"I/O","IN"),IF(COUNTIF(Flows!$M$2:$M$1500,$A166&amp;"|"&amp;BC$1&amp;"|Output"),"OUT",""))</f>
        <v/>
      </c>
      <c r="BD166" s="33" t="str">
        <f aca="false">IF(COUNTIF(Flows!$M$2:$M$1500,$A166&amp;"|"&amp;BD$1&amp;"|Input"),IF(COUNTIF(Flows!$M$2:$M$1500,$A166&amp;"|"&amp;BD$1&amp;"|Output"),"I/O","IN"),IF(COUNTIF(Flows!$M$2:$M$1500,$A166&amp;"|"&amp;BD$1&amp;"|Output"),"OUT",""))</f>
        <v/>
      </c>
      <c r="BE166" s="33" t="str">
        <f aca="false">IF(COUNTIF(Flows!$M$2:$M$1500,$A166&amp;"|"&amp;BE$1&amp;"|Input"),IF(COUNTIF(Flows!$M$2:$M$1500,$A166&amp;"|"&amp;BE$1&amp;"|Output"),"I/O","IN"),IF(COUNTIF(Flows!$M$2:$M$1500,$A166&amp;"|"&amp;BE$1&amp;"|Output"),"OUT",""))</f>
        <v/>
      </c>
      <c r="BF166" s="33" t="str">
        <f aca="false">IF(COUNTIF(Flows!$M$2:$M$1500,$A166&amp;"|"&amp;BF$1&amp;"|Input"),IF(COUNTIF(Flows!$M$2:$M$1500,$A166&amp;"|"&amp;BF$1&amp;"|Output"),"I/O","IN"),IF(COUNTIF(Flows!$M$2:$M$1500,$A166&amp;"|"&amp;BF$1&amp;"|Output"),"OUT",""))</f>
        <v/>
      </c>
      <c r="BG166" s="33" t="str">
        <f aca="false">IF(COUNTIF(Flows!$M$2:$M$1500,$A166&amp;"|"&amp;BG$1&amp;"|Input"),IF(COUNTIF(Flows!$M$2:$M$1500,$A166&amp;"|"&amp;BG$1&amp;"|Output"),"I/O","IN"),IF(COUNTIF(Flows!$M$2:$M$1500,$A166&amp;"|"&amp;BG$1&amp;"|Output"),"OUT",""))</f>
        <v/>
      </c>
      <c r="BH166" s="33" t="str">
        <f aca="false">IF(COUNTIF(Flows!$M$2:$M$1500,$A166&amp;"|"&amp;BH$1&amp;"|Input"),IF(COUNTIF(Flows!$M$2:$M$1500,$A166&amp;"|"&amp;BH$1&amp;"|Output"),"I/O","IN"),IF(COUNTIF(Flows!$M$2:$M$1500,$A166&amp;"|"&amp;BH$1&amp;"|Output"),"OUT",""))</f>
        <v/>
      </c>
      <c r="BI166" s="33" t="str">
        <f aca="false">IF(COUNTIF(Flows!$M$2:$M$1500,$A166&amp;"|"&amp;BI$1&amp;"|Input"),IF(COUNTIF(Flows!$M$2:$M$1500,$A166&amp;"|"&amp;BI$1&amp;"|Output"),"I/O","IN"),IF(COUNTIF(Flows!$M$2:$M$1500,$A166&amp;"|"&amp;BI$1&amp;"|Output"),"OUT",""))</f>
        <v/>
      </c>
      <c r="BJ166" s="33" t="str">
        <f aca="false">IF(COUNTIF(Flows!$M$2:$M$1500,$A166&amp;"|"&amp;BJ$1&amp;"|Input"),IF(COUNTIF(Flows!$M$2:$M$1500,$A166&amp;"|"&amp;BJ$1&amp;"|Output"),"I/O","IN"),IF(COUNTIF(Flows!$M$2:$M$1500,$A166&amp;"|"&amp;BJ$1&amp;"|Output"),"OUT",""))</f>
        <v/>
      </c>
      <c r="BK166" s="33" t="str">
        <f aca="false">IF(COUNTIF(Flows!$M$2:$M$1500,$A166&amp;"|"&amp;BK$1&amp;"|Input"),IF(COUNTIF(Flows!$M$2:$M$1500,$A166&amp;"|"&amp;BK$1&amp;"|Output"),"I/O","IN"),IF(COUNTIF(Flows!$M$2:$M$1500,$A166&amp;"|"&amp;BK$1&amp;"|Output"),"OUT",""))</f>
        <v/>
      </c>
    </row>
    <row r="167" customFormat="false" ht="15" hidden="false" customHeight="true" outlineLevel="0" collapsed="false">
      <c r="A167" s="6" t="str">
        <f aca="false">Systems!B167</f>
        <v>Prevailing Wind</v>
      </c>
      <c r="B167" s="33" t="str">
        <f aca="false">IF(COUNTIF(Flows!$M$2:$M$1500,$A167&amp;"|"&amp;B$1&amp;"|Input"),IF(COUNTIF(Flows!$M$2:$M$1500,$A167&amp;"|"&amp;B$1&amp;"|Output"),"I/O","IN"),IF(COUNTIF(Flows!$M$2:$M$1500,$A167&amp;"|"&amp;B$1&amp;"|Output"),"OUT",""))</f>
        <v/>
      </c>
      <c r="C167" s="33" t="str">
        <f aca="false">IF(COUNTIF(Flows!$M$2:$M$1500,$A167&amp;"|"&amp;C$1&amp;"|Input"),IF(COUNTIF(Flows!$M$2:$M$1500,$A167&amp;"|"&amp;C$1&amp;"|Output"),"I/O","IN"),IF(COUNTIF(Flows!$M$2:$M$1500,$A167&amp;"|"&amp;C$1&amp;"|Output"),"OUT",""))</f>
        <v/>
      </c>
      <c r="D167" s="33" t="str">
        <f aca="false">IF(COUNTIF(Flows!$M$2:$M$1500,$A167&amp;"|"&amp;D$1&amp;"|Input"),IF(COUNTIF(Flows!$M$2:$M$1500,$A167&amp;"|"&amp;D$1&amp;"|Output"),"I/O","IN"),IF(COUNTIF(Flows!$M$2:$M$1500,$A167&amp;"|"&amp;D$1&amp;"|Output"),"OUT",""))</f>
        <v/>
      </c>
      <c r="E167" s="33" t="str">
        <f aca="false">IF(COUNTIF(Flows!$M$2:$M$1500,$A167&amp;"|"&amp;E$1&amp;"|Input"),IF(COUNTIF(Flows!$M$2:$M$1500,$A167&amp;"|"&amp;E$1&amp;"|Output"),"I/O","IN"),IF(COUNTIF(Flows!$M$2:$M$1500,$A167&amp;"|"&amp;E$1&amp;"|Output"),"OUT",""))</f>
        <v/>
      </c>
      <c r="F167" s="33" t="str">
        <f aca="false">IF(COUNTIF(Flows!$M$2:$M$1500,$A167&amp;"|"&amp;F$1&amp;"|Input"),IF(COUNTIF(Flows!$M$2:$M$1500,$A167&amp;"|"&amp;F$1&amp;"|Output"),"I/O","IN"),IF(COUNTIF(Flows!$M$2:$M$1500,$A167&amp;"|"&amp;F$1&amp;"|Output"),"OUT",""))</f>
        <v/>
      </c>
      <c r="G167" s="33" t="str">
        <f aca="false">IF(COUNTIF(Flows!$M$2:$M$1500,$A167&amp;"|"&amp;G$1&amp;"|Input"),IF(COUNTIF(Flows!$M$2:$M$1500,$A167&amp;"|"&amp;G$1&amp;"|Output"),"I/O","IN"),IF(COUNTIF(Flows!$M$2:$M$1500,$A167&amp;"|"&amp;G$1&amp;"|Output"),"OUT",""))</f>
        <v/>
      </c>
      <c r="H167" s="33" t="str">
        <f aca="false">IF(COUNTIF(Flows!$M$2:$M$1500,$A167&amp;"|"&amp;H$1&amp;"|Input"),IF(COUNTIF(Flows!$M$2:$M$1500,$A167&amp;"|"&amp;H$1&amp;"|Output"),"I/O","IN"),IF(COUNTIF(Flows!$M$2:$M$1500,$A167&amp;"|"&amp;H$1&amp;"|Output"),"OUT",""))</f>
        <v/>
      </c>
      <c r="I167" s="33" t="str">
        <f aca="false">IF(COUNTIF(Flows!$M$2:$M$1500,$A167&amp;"|"&amp;I$1&amp;"|Input"),IF(COUNTIF(Flows!$M$2:$M$1500,$A167&amp;"|"&amp;I$1&amp;"|Output"),"I/O","IN"),IF(COUNTIF(Flows!$M$2:$M$1500,$A167&amp;"|"&amp;I$1&amp;"|Output"),"OUT",""))</f>
        <v/>
      </c>
      <c r="J167" s="33" t="str">
        <f aca="false">IF(COUNTIF(Flows!$M$2:$M$1500,$A167&amp;"|"&amp;J$1&amp;"|Input"),IF(COUNTIF(Flows!$M$2:$M$1500,$A167&amp;"|"&amp;J$1&amp;"|Output"),"I/O","IN"),IF(COUNTIF(Flows!$M$2:$M$1500,$A167&amp;"|"&amp;J$1&amp;"|Output"),"OUT",""))</f>
        <v/>
      </c>
      <c r="K167" s="33" t="str">
        <f aca="false">IF(COUNTIF(Flows!$M$2:$M$1500,$A167&amp;"|"&amp;K$1&amp;"|Input"),IF(COUNTIF(Flows!$M$2:$M$1500,$A167&amp;"|"&amp;K$1&amp;"|Output"),"I/O","IN"),IF(COUNTIF(Flows!$M$2:$M$1500,$A167&amp;"|"&amp;K$1&amp;"|Output"),"OUT",""))</f>
        <v/>
      </c>
      <c r="L167" s="33" t="str">
        <f aca="false">IF(COUNTIF(Flows!$M$2:$M$1500,$A167&amp;"|"&amp;L$1&amp;"|Input"),IF(COUNTIF(Flows!$M$2:$M$1500,$A167&amp;"|"&amp;L$1&amp;"|Output"),"I/O","IN"),IF(COUNTIF(Flows!$M$2:$M$1500,$A167&amp;"|"&amp;L$1&amp;"|Output"),"OUT",""))</f>
        <v/>
      </c>
      <c r="M167" s="33" t="str">
        <f aca="false">IF(COUNTIF(Flows!$M$2:$M$1500,$A167&amp;"|"&amp;M$1&amp;"|Input"),IF(COUNTIF(Flows!$M$2:$M$1500,$A167&amp;"|"&amp;M$1&amp;"|Output"),"I/O","IN"),IF(COUNTIF(Flows!$M$2:$M$1500,$A167&amp;"|"&amp;M$1&amp;"|Output"),"OUT",""))</f>
        <v/>
      </c>
      <c r="N167" s="33" t="str">
        <f aca="false">IF(COUNTIF(Flows!$M$2:$M$1500,$A167&amp;"|"&amp;N$1&amp;"|Input"),IF(COUNTIF(Flows!$M$2:$M$1500,$A167&amp;"|"&amp;N$1&amp;"|Output"),"I/O","IN"),IF(COUNTIF(Flows!$M$2:$M$1500,$A167&amp;"|"&amp;N$1&amp;"|Output"),"OUT",""))</f>
        <v/>
      </c>
      <c r="O167" s="33" t="str">
        <f aca="false">IF(COUNTIF(Flows!$M$2:$M$1500,$A167&amp;"|"&amp;O$1&amp;"|Input"),IF(COUNTIF(Flows!$M$2:$M$1500,$A167&amp;"|"&amp;O$1&amp;"|Output"),"I/O","IN"),IF(COUNTIF(Flows!$M$2:$M$1500,$A167&amp;"|"&amp;O$1&amp;"|Output"),"OUT",""))</f>
        <v/>
      </c>
      <c r="P167" s="33" t="str">
        <f aca="false">IF(COUNTIF(Flows!$M$2:$M$1500,$A167&amp;"|"&amp;P$1&amp;"|Input"),IF(COUNTIF(Flows!$M$2:$M$1500,$A167&amp;"|"&amp;P$1&amp;"|Output"),"I/O","IN"),IF(COUNTIF(Flows!$M$2:$M$1500,$A167&amp;"|"&amp;P$1&amp;"|Output"),"OUT",""))</f>
        <v/>
      </c>
      <c r="Q167" s="33" t="str">
        <f aca="false">IF(COUNTIF(Flows!$M$2:$M$1500,$A167&amp;"|"&amp;Q$1&amp;"|Input"),IF(COUNTIF(Flows!$M$2:$M$1500,$A167&amp;"|"&amp;Q$1&amp;"|Output"),"I/O","IN"),IF(COUNTIF(Flows!$M$2:$M$1500,$A167&amp;"|"&amp;Q$1&amp;"|Output"),"OUT",""))</f>
        <v/>
      </c>
      <c r="R167" s="33" t="str">
        <f aca="false">IF(COUNTIF(Flows!$M$2:$M$1500,$A167&amp;"|"&amp;R$1&amp;"|Input"),IF(COUNTIF(Flows!$M$2:$M$1500,$A167&amp;"|"&amp;R$1&amp;"|Output"),"I/O","IN"),IF(COUNTIF(Flows!$M$2:$M$1500,$A167&amp;"|"&amp;R$1&amp;"|Output"),"OUT",""))</f>
        <v/>
      </c>
      <c r="S167" s="33" t="str">
        <f aca="false">IF(COUNTIF(Flows!$M$2:$M$1500,$A167&amp;"|"&amp;S$1&amp;"|Input"),IF(COUNTIF(Flows!$M$2:$M$1500,$A167&amp;"|"&amp;S$1&amp;"|Output"),"I/O","IN"),IF(COUNTIF(Flows!$M$2:$M$1500,$A167&amp;"|"&amp;S$1&amp;"|Output"),"OUT",""))</f>
        <v/>
      </c>
      <c r="T167" s="33" t="str">
        <f aca="false">IF(COUNTIF(Flows!$M$2:$M$1500,$A167&amp;"|"&amp;T$1&amp;"|Input"),IF(COUNTIF(Flows!$M$2:$M$1500,$A167&amp;"|"&amp;T$1&amp;"|Output"),"I/O","IN"),IF(COUNTIF(Flows!$M$2:$M$1500,$A167&amp;"|"&amp;T$1&amp;"|Output"),"OUT",""))</f>
        <v/>
      </c>
      <c r="U167" s="33" t="str">
        <f aca="false">IF(COUNTIF(Flows!$M$2:$M$1500,$A167&amp;"|"&amp;U$1&amp;"|Input"),IF(COUNTIF(Flows!$M$2:$M$1500,$A167&amp;"|"&amp;U$1&amp;"|Output"),"I/O","IN"),IF(COUNTIF(Flows!$M$2:$M$1500,$A167&amp;"|"&amp;U$1&amp;"|Output"),"OUT",""))</f>
        <v/>
      </c>
      <c r="V167" s="33" t="str">
        <f aca="false">IF(COUNTIF(Flows!$M$2:$M$1500,$A167&amp;"|"&amp;V$1&amp;"|Input"),IF(COUNTIF(Flows!$M$2:$M$1500,$A167&amp;"|"&amp;V$1&amp;"|Output"),"I/O","IN"),IF(COUNTIF(Flows!$M$2:$M$1500,$A167&amp;"|"&amp;V$1&amp;"|Output"),"OUT",""))</f>
        <v/>
      </c>
      <c r="W167" s="33" t="str">
        <f aca="false">IF(COUNTIF(Flows!$M$2:$M$1500,$A167&amp;"|"&amp;W$1&amp;"|Input"),IF(COUNTIF(Flows!$M$2:$M$1500,$A167&amp;"|"&amp;W$1&amp;"|Output"),"I/O","IN"),IF(COUNTIF(Flows!$M$2:$M$1500,$A167&amp;"|"&amp;W$1&amp;"|Output"),"OUT",""))</f>
        <v/>
      </c>
      <c r="X167" s="33" t="str">
        <f aca="false">IF(COUNTIF(Flows!$M$2:$M$1500,$A167&amp;"|"&amp;X$1&amp;"|Input"),IF(COUNTIF(Flows!$M$2:$M$1500,$A167&amp;"|"&amp;X$1&amp;"|Output"),"I/O","IN"),IF(COUNTIF(Flows!$M$2:$M$1500,$A167&amp;"|"&amp;X$1&amp;"|Output"),"OUT",""))</f>
        <v/>
      </c>
      <c r="Y167" s="33" t="str">
        <f aca="false">IF(COUNTIF(Flows!$M$2:$M$1500,$A167&amp;"|"&amp;Y$1&amp;"|Input"),IF(COUNTIF(Flows!$M$2:$M$1500,$A167&amp;"|"&amp;Y$1&amp;"|Output"),"I/O","IN"),IF(COUNTIF(Flows!$M$2:$M$1500,$A167&amp;"|"&amp;Y$1&amp;"|Output"),"OUT",""))</f>
        <v/>
      </c>
      <c r="Z167" s="33" t="str">
        <f aca="false">IF(COUNTIF(Flows!$M$2:$M$1500,$A167&amp;"|"&amp;Z$1&amp;"|Input"),IF(COUNTIF(Flows!$M$2:$M$1500,$A167&amp;"|"&amp;Z$1&amp;"|Output"),"I/O","IN"),IF(COUNTIF(Flows!$M$2:$M$1500,$A167&amp;"|"&amp;Z$1&amp;"|Output"),"OUT",""))</f>
        <v/>
      </c>
      <c r="AA167" s="33" t="str">
        <f aca="false">IF(COUNTIF(Flows!$M$2:$M$1500,$A167&amp;"|"&amp;AA$1&amp;"|Input"),IF(COUNTIF(Flows!$M$2:$M$1500,$A167&amp;"|"&amp;AA$1&amp;"|Output"),"I/O","IN"),IF(COUNTIF(Flows!$M$2:$M$1500,$A167&amp;"|"&amp;AA$1&amp;"|Output"),"OUT",""))</f>
        <v/>
      </c>
      <c r="AB167" s="33" t="str">
        <f aca="false">IF(COUNTIF(Flows!$M$2:$M$1500,$A167&amp;"|"&amp;AB$1&amp;"|Input"),IF(COUNTIF(Flows!$M$2:$M$1500,$A167&amp;"|"&amp;AB$1&amp;"|Output"),"I/O","IN"),IF(COUNTIF(Flows!$M$2:$M$1500,$A167&amp;"|"&amp;AB$1&amp;"|Output"),"OUT",""))</f>
        <v>OUT</v>
      </c>
      <c r="AC167" s="33" t="str">
        <f aca="false">IF(COUNTIF(Flows!$M$2:$M$1500,$A167&amp;"|"&amp;AC$1&amp;"|Input"),IF(COUNTIF(Flows!$M$2:$M$1500,$A167&amp;"|"&amp;AC$1&amp;"|Output"),"I/O","IN"),IF(COUNTIF(Flows!$M$2:$M$1500,$A167&amp;"|"&amp;AC$1&amp;"|Output"),"OUT",""))</f>
        <v/>
      </c>
      <c r="AD167" s="33" t="str">
        <f aca="false">IF(COUNTIF(Flows!$M$2:$M$1500,$A167&amp;"|"&amp;AD$1&amp;"|Input"),IF(COUNTIF(Flows!$M$2:$M$1500,$A167&amp;"|"&amp;AD$1&amp;"|Output"),"I/O","IN"),IF(COUNTIF(Flows!$M$2:$M$1500,$A167&amp;"|"&amp;AD$1&amp;"|Output"),"OUT",""))</f>
        <v/>
      </c>
      <c r="AE167" s="33" t="str">
        <f aca="false">IF(COUNTIF(Flows!$M$2:$M$1500,$A167&amp;"|"&amp;AE$1&amp;"|Input"),IF(COUNTIF(Flows!$M$2:$M$1500,$A167&amp;"|"&amp;AE$1&amp;"|Output"),"I/O","IN"),IF(COUNTIF(Flows!$M$2:$M$1500,$A167&amp;"|"&amp;AE$1&amp;"|Output"),"OUT",""))</f>
        <v/>
      </c>
      <c r="AF167" s="33" t="str">
        <f aca="false">IF(COUNTIF(Flows!$M$2:$M$1500,$A167&amp;"|"&amp;AF$1&amp;"|Input"),IF(COUNTIF(Flows!$M$2:$M$1500,$A167&amp;"|"&amp;AF$1&amp;"|Output"),"I/O","IN"),IF(COUNTIF(Flows!$M$2:$M$1500,$A167&amp;"|"&amp;AF$1&amp;"|Output"),"OUT",""))</f>
        <v/>
      </c>
      <c r="AG167" s="33" t="str">
        <f aca="false">IF(COUNTIF(Flows!$M$2:$M$1500,$A167&amp;"|"&amp;AG$1&amp;"|Input"),IF(COUNTIF(Flows!$M$2:$M$1500,$A167&amp;"|"&amp;AG$1&amp;"|Output"),"I/O","IN"),IF(COUNTIF(Flows!$M$2:$M$1500,$A167&amp;"|"&amp;AG$1&amp;"|Output"),"OUT",""))</f>
        <v/>
      </c>
      <c r="AH167" s="33" t="str">
        <f aca="false">IF(COUNTIF(Flows!$M$2:$M$1500,$A167&amp;"|"&amp;AH$1&amp;"|Input"),IF(COUNTIF(Flows!$M$2:$M$1500,$A167&amp;"|"&amp;AH$1&amp;"|Output"),"I/O","IN"),IF(COUNTIF(Flows!$M$2:$M$1500,$A167&amp;"|"&amp;AH$1&amp;"|Output"),"OUT",""))</f>
        <v/>
      </c>
      <c r="AI167" s="33" t="str">
        <f aca="false">IF(COUNTIF(Flows!$M$2:$M$1500,$A167&amp;"|"&amp;AI$1&amp;"|Input"),IF(COUNTIF(Flows!$M$2:$M$1500,$A167&amp;"|"&amp;AI$1&amp;"|Output"),"I/O","IN"),IF(COUNTIF(Flows!$M$2:$M$1500,$A167&amp;"|"&amp;AI$1&amp;"|Output"),"OUT",""))</f>
        <v/>
      </c>
      <c r="AJ167" s="33" t="str">
        <f aca="false">IF(COUNTIF(Flows!$M$2:$M$1500,$A167&amp;"|"&amp;AJ$1&amp;"|Input"),IF(COUNTIF(Flows!$M$2:$M$1500,$A167&amp;"|"&amp;AJ$1&amp;"|Output"),"I/O","IN"),IF(COUNTIF(Flows!$M$2:$M$1500,$A167&amp;"|"&amp;AJ$1&amp;"|Output"),"OUT",""))</f>
        <v/>
      </c>
      <c r="AK167" s="33" t="str">
        <f aca="false">IF(COUNTIF(Flows!$M$2:$M$1500,$A167&amp;"|"&amp;AK$1&amp;"|Input"),IF(COUNTIF(Flows!$M$2:$M$1500,$A167&amp;"|"&amp;AK$1&amp;"|Output"),"I/O","IN"),IF(COUNTIF(Flows!$M$2:$M$1500,$A167&amp;"|"&amp;AK$1&amp;"|Output"),"OUT",""))</f>
        <v/>
      </c>
      <c r="AL167" s="33" t="str">
        <f aca="false">IF(COUNTIF(Flows!$M$2:$M$1500,$A167&amp;"|"&amp;AL$1&amp;"|Input"),IF(COUNTIF(Flows!$M$2:$M$1500,$A167&amp;"|"&amp;AL$1&amp;"|Output"),"I/O","IN"),IF(COUNTIF(Flows!$M$2:$M$1500,$A167&amp;"|"&amp;AL$1&amp;"|Output"),"OUT",""))</f>
        <v/>
      </c>
      <c r="AM167" s="33" t="str">
        <f aca="false">IF(COUNTIF(Flows!$M$2:$M$1500,$A167&amp;"|"&amp;AM$1&amp;"|Input"),IF(COUNTIF(Flows!$M$2:$M$1500,$A167&amp;"|"&amp;AM$1&amp;"|Output"),"I/O","IN"),IF(COUNTIF(Flows!$M$2:$M$1500,$A167&amp;"|"&amp;AM$1&amp;"|Output"),"OUT",""))</f>
        <v/>
      </c>
      <c r="AN167" s="33" t="str">
        <f aca="false">IF(COUNTIF(Flows!$M$2:$M$1500,$A167&amp;"|"&amp;AN$1&amp;"|Input"),IF(COUNTIF(Flows!$M$2:$M$1500,$A167&amp;"|"&amp;AN$1&amp;"|Output"),"I/O","IN"),IF(COUNTIF(Flows!$M$2:$M$1500,$A167&amp;"|"&amp;AN$1&amp;"|Output"),"OUT",""))</f>
        <v/>
      </c>
      <c r="AO167" s="33" t="str">
        <f aca="false">IF(COUNTIF(Flows!$M$2:$M$1500,$A167&amp;"|"&amp;AO$1&amp;"|Input"),IF(COUNTIF(Flows!$M$2:$M$1500,$A167&amp;"|"&amp;AO$1&amp;"|Output"),"I/O","IN"),IF(COUNTIF(Flows!$M$2:$M$1500,$A167&amp;"|"&amp;AO$1&amp;"|Output"),"OUT",""))</f>
        <v/>
      </c>
      <c r="AP167" s="33" t="str">
        <f aca="false">IF(COUNTIF(Flows!$M$2:$M$1500,$A167&amp;"|"&amp;AP$1&amp;"|Input"),IF(COUNTIF(Flows!$M$2:$M$1500,$A167&amp;"|"&amp;AP$1&amp;"|Output"),"I/O","IN"),IF(COUNTIF(Flows!$M$2:$M$1500,$A167&amp;"|"&amp;AP$1&amp;"|Output"),"OUT",""))</f>
        <v/>
      </c>
      <c r="AQ167" s="33" t="str">
        <f aca="false">IF(COUNTIF(Flows!$M$2:$M$1500,$A167&amp;"|"&amp;AQ$1&amp;"|Input"),IF(COUNTIF(Flows!$M$2:$M$1500,$A167&amp;"|"&amp;AQ$1&amp;"|Output"),"I/O","IN"),IF(COUNTIF(Flows!$M$2:$M$1500,$A167&amp;"|"&amp;AQ$1&amp;"|Output"),"OUT",""))</f>
        <v/>
      </c>
      <c r="AR167" s="33" t="str">
        <f aca="false">IF(COUNTIF(Flows!$M$2:$M$1500,$A167&amp;"|"&amp;AR$1&amp;"|Input"),IF(COUNTIF(Flows!$M$2:$M$1500,$A167&amp;"|"&amp;AR$1&amp;"|Output"),"I/O","IN"),IF(COUNTIF(Flows!$M$2:$M$1500,$A167&amp;"|"&amp;AR$1&amp;"|Output"),"OUT",""))</f>
        <v/>
      </c>
      <c r="AS167" s="33" t="str">
        <f aca="false">IF(COUNTIF(Flows!$M$2:$M$1500,$A167&amp;"|"&amp;AS$1&amp;"|Input"),IF(COUNTIF(Flows!$M$2:$M$1500,$A167&amp;"|"&amp;AS$1&amp;"|Output"),"I/O","IN"),IF(COUNTIF(Flows!$M$2:$M$1500,$A167&amp;"|"&amp;AS$1&amp;"|Output"),"OUT",""))</f>
        <v/>
      </c>
      <c r="AT167" s="33" t="str">
        <f aca="false">IF(COUNTIF(Flows!$M$2:$M$1500,$A167&amp;"|"&amp;AT$1&amp;"|Input"),IF(COUNTIF(Flows!$M$2:$M$1500,$A167&amp;"|"&amp;AT$1&amp;"|Output"),"I/O","IN"),IF(COUNTIF(Flows!$M$2:$M$1500,$A167&amp;"|"&amp;AT$1&amp;"|Output"),"OUT",""))</f>
        <v/>
      </c>
      <c r="AU167" s="33" t="str">
        <f aca="false">IF(COUNTIF(Flows!$M$2:$M$1500,$A167&amp;"|"&amp;AU$1&amp;"|Input"),IF(COUNTIF(Flows!$M$2:$M$1500,$A167&amp;"|"&amp;AU$1&amp;"|Output"),"I/O","IN"),IF(COUNTIF(Flows!$M$2:$M$1500,$A167&amp;"|"&amp;AU$1&amp;"|Output"),"OUT",""))</f>
        <v/>
      </c>
      <c r="AV167" s="33" t="str">
        <f aca="false">IF(COUNTIF(Flows!$M$2:$M$1500,$A167&amp;"|"&amp;AV$1&amp;"|Input"),IF(COUNTIF(Flows!$M$2:$M$1500,$A167&amp;"|"&amp;AV$1&amp;"|Output"),"I/O","IN"),IF(COUNTIF(Flows!$M$2:$M$1500,$A167&amp;"|"&amp;AV$1&amp;"|Output"),"OUT",""))</f>
        <v/>
      </c>
      <c r="AW167" s="33" t="str">
        <f aca="false">IF(COUNTIF(Flows!$M$2:$M$1500,$A167&amp;"|"&amp;AW$1&amp;"|Input"),IF(COUNTIF(Flows!$M$2:$M$1500,$A167&amp;"|"&amp;AW$1&amp;"|Output"),"I/O","IN"),IF(COUNTIF(Flows!$M$2:$M$1500,$A167&amp;"|"&amp;AW$1&amp;"|Output"),"OUT",""))</f>
        <v/>
      </c>
      <c r="AX167" s="33" t="str">
        <f aca="false">IF(COUNTIF(Flows!$M$2:$M$1500,$A167&amp;"|"&amp;AX$1&amp;"|Input"),IF(COUNTIF(Flows!$M$2:$M$1500,$A167&amp;"|"&amp;AX$1&amp;"|Output"),"I/O","IN"),IF(COUNTIF(Flows!$M$2:$M$1500,$A167&amp;"|"&amp;AX$1&amp;"|Output"),"OUT",""))</f>
        <v/>
      </c>
      <c r="AY167" s="33" t="str">
        <f aca="false">IF(COUNTIF(Flows!$M$2:$M$1500,$A167&amp;"|"&amp;AY$1&amp;"|Input"),IF(COUNTIF(Flows!$M$2:$M$1500,$A167&amp;"|"&amp;AY$1&amp;"|Output"),"I/O","IN"),IF(COUNTIF(Flows!$M$2:$M$1500,$A167&amp;"|"&amp;AY$1&amp;"|Output"),"OUT",""))</f>
        <v/>
      </c>
      <c r="AZ167" s="33" t="str">
        <f aca="false">IF(COUNTIF(Flows!$M$2:$M$1500,$A167&amp;"|"&amp;AZ$1&amp;"|Input"),IF(COUNTIF(Flows!$M$2:$M$1500,$A167&amp;"|"&amp;AZ$1&amp;"|Output"),"I/O","IN"),IF(COUNTIF(Flows!$M$2:$M$1500,$A167&amp;"|"&amp;AZ$1&amp;"|Output"),"OUT",""))</f>
        <v/>
      </c>
      <c r="BA167" s="33" t="str">
        <f aca="false">IF(COUNTIF(Flows!$M$2:$M$1500,$A167&amp;"|"&amp;BA$1&amp;"|Input"),IF(COUNTIF(Flows!$M$2:$M$1500,$A167&amp;"|"&amp;BA$1&amp;"|Output"),"I/O","IN"),IF(COUNTIF(Flows!$M$2:$M$1500,$A167&amp;"|"&amp;BA$1&amp;"|Output"),"OUT",""))</f>
        <v/>
      </c>
      <c r="BB167" s="33" t="str">
        <f aca="false">IF(COUNTIF(Flows!$M$2:$M$1500,$A167&amp;"|"&amp;BB$1&amp;"|Input"),IF(COUNTIF(Flows!$M$2:$M$1500,$A167&amp;"|"&amp;BB$1&amp;"|Output"),"I/O","IN"),IF(COUNTIF(Flows!$M$2:$M$1500,$A167&amp;"|"&amp;BB$1&amp;"|Output"),"OUT",""))</f>
        <v/>
      </c>
      <c r="BC167" s="33" t="str">
        <f aca="false">IF(COUNTIF(Flows!$M$2:$M$1500,$A167&amp;"|"&amp;BC$1&amp;"|Input"),IF(COUNTIF(Flows!$M$2:$M$1500,$A167&amp;"|"&amp;BC$1&amp;"|Output"),"I/O","IN"),IF(COUNTIF(Flows!$M$2:$M$1500,$A167&amp;"|"&amp;BC$1&amp;"|Output"),"OUT",""))</f>
        <v/>
      </c>
      <c r="BD167" s="33" t="str">
        <f aca="false">IF(COUNTIF(Flows!$M$2:$M$1500,$A167&amp;"|"&amp;BD$1&amp;"|Input"),IF(COUNTIF(Flows!$M$2:$M$1500,$A167&amp;"|"&amp;BD$1&amp;"|Output"),"I/O","IN"),IF(COUNTIF(Flows!$M$2:$M$1500,$A167&amp;"|"&amp;BD$1&amp;"|Output"),"OUT",""))</f>
        <v/>
      </c>
      <c r="BE167" s="33" t="str">
        <f aca="false">IF(COUNTIF(Flows!$M$2:$M$1500,$A167&amp;"|"&amp;BE$1&amp;"|Input"),IF(COUNTIF(Flows!$M$2:$M$1500,$A167&amp;"|"&amp;BE$1&amp;"|Output"),"I/O","IN"),IF(COUNTIF(Flows!$M$2:$M$1500,$A167&amp;"|"&amp;BE$1&amp;"|Output"),"OUT",""))</f>
        <v/>
      </c>
      <c r="BF167" s="33" t="str">
        <f aca="false">IF(COUNTIF(Flows!$M$2:$M$1500,$A167&amp;"|"&amp;BF$1&amp;"|Input"),IF(COUNTIF(Flows!$M$2:$M$1500,$A167&amp;"|"&amp;BF$1&amp;"|Output"),"I/O","IN"),IF(COUNTIF(Flows!$M$2:$M$1500,$A167&amp;"|"&amp;BF$1&amp;"|Output"),"OUT",""))</f>
        <v/>
      </c>
      <c r="BG167" s="33" t="str">
        <f aca="false">IF(COUNTIF(Flows!$M$2:$M$1500,$A167&amp;"|"&amp;BG$1&amp;"|Input"),IF(COUNTIF(Flows!$M$2:$M$1500,$A167&amp;"|"&amp;BG$1&amp;"|Output"),"I/O","IN"),IF(COUNTIF(Flows!$M$2:$M$1500,$A167&amp;"|"&amp;BG$1&amp;"|Output"),"OUT",""))</f>
        <v/>
      </c>
      <c r="BH167" s="33" t="str">
        <f aca="false">IF(COUNTIF(Flows!$M$2:$M$1500,$A167&amp;"|"&amp;BH$1&amp;"|Input"),IF(COUNTIF(Flows!$M$2:$M$1500,$A167&amp;"|"&amp;BH$1&amp;"|Output"),"I/O","IN"),IF(COUNTIF(Flows!$M$2:$M$1500,$A167&amp;"|"&amp;BH$1&amp;"|Output"),"OUT",""))</f>
        <v/>
      </c>
      <c r="BI167" s="33" t="str">
        <f aca="false">IF(COUNTIF(Flows!$M$2:$M$1500,$A167&amp;"|"&amp;BI$1&amp;"|Input"),IF(COUNTIF(Flows!$M$2:$M$1500,$A167&amp;"|"&amp;BI$1&amp;"|Output"),"I/O","IN"),IF(COUNTIF(Flows!$M$2:$M$1500,$A167&amp;"|"&amp;BI$1&amp;"|Output"),"OUT",""))</f>
        <v/>
      </c>
      <c r="BJ167" s="33" t="str">
        <f aca="false">IF(COUNTIF(Flows!$M$2:$M$1500,$A167&amp;"|"&amp;BJ$1&amp;"|Input"),IF(COUNTIF(Flows!$M$2:$M$1500,$A167&amp;"|"&amp;BJ$1&amp;"|Output"),"I/O","IN"),IF(COUNTIF(Flows!$M$2:$M$1500,$A167&amp;"|"&amp;BJ$1&amp;"|Output"),"OUT",""))</f>
        <v/>
      </c>
      <c r="BK167" s="33" t="str">
        <f aca="false">IF(COUNTIF(Flows!$M$2:$M$1500,$A167&amp;"|"&amp;BK$1&amp;"|Input"),IF(COUNTIF(Flows!$M$2:$M$1500,$A167&amp;"|"&amp;BK$1&amp;"|Output"),"I/O","IN"),IF(COUNTIF(Flows!$M$2:$M$1500,$A167&amp;"|"&amp;BK$1&amp;"|Output"),"OUT",""))</f>
        <v/>
      </c>
    </row>
    <row r="168" customFormat="false" ht="15" hidden="false" customHeight="true" outlineLevel="0" collapsed="false">
      <c r="A168" s="6" t="str">
        <f aca="false">Systems!B168</f>
        <v>Stream Frontage</v>
      </c>
      <c r="B168" s="33" t="str">
        <f aca="false">IF(COUNTIF(Flows!$M$2:$M$1500,$A168&amp;"|"&amp;B$1&amp;"|Input"),IF(COUNTIF(Flows!$M$2:$M$1500,$A168&amp;"|"&amp;B$1&amp;"|Output"),"I/O","IN"),IF(COUNTIF(Flows!$M$2:$M$1500,$A168&amp;"|"&amp;B$1&amp;"|Output"),"OUT",""))</f>
        <v/>
      </c>
      <c r="C168" s="33" t="str">
        <f aca="false">IF(COUNTIF(Flows!$M$2:$M$1500,$A168&amp;"|"&amp;C$1&amp;"|Input"),IF(COUNTIF(Flows!$M$2:$M$1500,$A168&amp;"|"&amp;C$1&amp;"|Output"),"I/O","IN"),IF(COUNTIF(Flows!$M$2:$M$1500,$A168&amp;"|"&amp;C$1&amp;"|Output"),"OUT",""))</f>
        <v/>
      </c>
      <c r="D168" s="33" t="str">
        <f aca="false">IF(COUNTIF(Flows!$M$2:$M$1500,$A168&amp;"|"&amp;D$1&amp;"|Input"),IF(COUNTIF(Flows!$M$2:$M$1500,$A168&amp;"|"&amp;D$1&amp;"|Output"),"I/O","IN"),IF(COUNTIF(Flows!$M$2:$M$1500,$A168&amp;"|"&amp;D$1&amp;"|Output"),"OUT",""))</f>
        <v/>
      </c>
      <c r="E168" s="33" t="str">
        <f aca="false">IF(COUNTIF(Flows!$M$2:$M$1500,$A168&amp;"|"&amp;E$1&amp;"|Input"),IF(COUNTIF(Flows!$M$2:$M$1500,$A168&amp;"|"&amp;E$1&amp;"|Output"),"I/O","IN"),IF(COUNTIF(Flows!$M$2:$M$1500,$A168&amp;"|"&amp;E$1&amp;"|Output"),"OUT",""))</f>
        <v/>
      </c>
      <c r="F168" s="33" t="str">
        <f aca="false">IF(COUNTIF(Flows!$M$2:$M$1500,$A168&amp;"|"&amp;F$1&amp;"|Input"),IF(COUNTIF(Flows!$M$2:$M$1500,$A168&amp;"|"&amp;F$1&amp;"|Output"),"I/O","IN"),IF(COUNTIF(Flows!$M$2:$M$1500,$A168&amp;"|"&amp;F$1&amp;"|Output"),"OUT",""))</f>
        <v/>
      </c>
      <c r="G168" s="33" t="str">
        <f aca="false">IF(COUNTIF(Flows!$M$2:$M$1500,$A168&amp;"|"&amp;G$1&amp;"|Input"),IF(COUNTIF(Flows!$M$2:$M$1500,$A168&amp;"|"&amp;G$1&amp;"|Output"),"I/O","IN"),IF(COUNTIF(Flows!$M$2:$M$1500,$A168&amp;"|"&amp;G$1&amp;"|Output"),"OUT",""))</f>
        <v/>
      </c>
      <c r="H168" s="33" t="str">
        <f aca="false">IF(COUNTIF(Flows!$M$2:$M$1500,$A168&amp;"|"&amp;H$1&amp;"|Input"),IF(COUNTIF(Flows!$M$2:$M$1500,$A168&amp;"|"&amp;H$1&amp;"|Output"),"I/O","IN"),IF(COUNTIF(Flows!$M$2:$M$1500,$A168&amp;"|"&amp;H$1&amp;"|Output"),"OUT",""))</f>
        <v/>
      </c>
      <c r="I168" s="33" t="str">
        <f aca="false">IF(COUNTIF(Flows!$M$2:$M$1500,$A168&amp;"|"&amp;I$1&amp;"|Input"),IF(COUNTIF(Flows!$M$2:$M$1500,$A168&amp;"|"&amp;I$1&amp;"|Output"),"I/O","IN"),IF(COUNTIF(Flows!$M$2:$M$1500,$A168&amp;"|"&amp;I$1&amp;"|Output"),"OUT",""))</f>
        <v/>
      </c>
      <c r="J168" s="33" t="str">
        <f aca="false">IF(COUNTIF(Flows!$M$2:$M$1500,$A168&amp;"|"&amp;J$1&amp;"|Input"),IF(COUNTIF(Flows!$M$2:$M$1500,$A168&amp;"|"&amp;J$1&amp;"|Output"),"I/O","IN"),IF(COUNTIF(Flows!$M$2:$M$1500,$A168&amp;"|"&amp;J$1&amp;"|Output"),"OUT",""))</f>
        <v/>
      </c>
      <c r="K168" s="33" t="str">
        <f aca="false">IF(COUNTIF(Flows!$M$2:$M$1500,$A168&amp;"|"&amp;K$1&amp;"|Input"),IF(COUNTIF(Flows!$M$2:$M$1500,$A168&amp;"|"&amp;K$1&amp;"|Output"),"I/O","IN"),IF(COUNTIF(Flows!$M$2:$M$1500,$A168&amp;"|"&amp;K$1&amp;"|Output"),"OUT",""))</f>
        <v/>
      </c>
      <c r="L168" s="33" t="str">
        <f aca="false">IF(COUNTIF(Flows!$M$2:$M$1500,$A168&amp;"|"&amp;L$1&amp;"|Input"),IF(COUNTIF(Flows!$M$2:$M$1500,$A168&amp;"|"&amp;L$1&amp;"|Output"),"I/O","IN"),IF(COUNTIF(Flows!$M$2:$M$1500,$A168&amp;"|"&amp;L$1&amp;"|Output"),"OUT",""))</f>
        <v/>
      </c>
      <c r="M168" s="33" t="str">
        <f aca="false">IF(COUNTIF(Flows!$M$2:$M$1500,$A168&amp;"|"&amp;M$1&amp;"|Input"),IF(COUNTIF(Flows!$M$2:$M$1500,$A168&amp;"|"&amp;M$1&amp;"|Output"),"I/O","IN"),IF(COUNTIF(Flows!$M$2:$M$1500,$A168&amp;"|"&amp;M$1&amp;"|Output"),"OUT",""))</f>
        <v/>
      </c>
      <c r="N168" s="33" t="str">
        <f aca="false">IF(COUNTIF(Flows!$M$2:$M$1500,$A168&amp;"|"&amp;N$1&amp;"|Input"),IF(COUNTIF(Flows!$M$2:$M$1500,$A168&amp;"|"&amp;N$1&amp;"|Output"),"I/O","IN"),IF(COUNTIF(Flows!$M$2:$M$1500,$A168&amp;"|"&amp;N$1&amp;"|Output"),"OUT",""))</f>
        <v/>
      </c>
      <c r="O168" s="33" t="str">
        <f aca="false">IF(COUNTIF(Flows!$M$2:$M$1500,$A168&amp;"|"&amp;O$1&amp;"|Input"),IF(COUNTIF(Flows!$M$2:$M$1500,$A168&amp;"|"&amp;O$1&amp;"|Output"),"I/O","IN"),IF(COUNTIF(Flows!$M$2:$M$1500,$A168&amp;"|"&amp;O$1&amp;"|Output"),"OUT",""))</f>
        <v/>
      </c>
      <c r="P168" s="33" t="str">
        <f aca="false">IF(COUNTIF(Flows!$M$2:$M$1500,$A168&amp;"|"&amp;P$1&amp;"|Input"),IF(COUNTIF(Flows!$M$2:$M$1500,$A168&amp;"|"&amp;P$1&amp;"|Output"),"I/O","IN"),IF(COUNTIF(Flows!$M$2:$M$1500,$A168&amp;"|"&amp;P$1&amp;"|Output"),"OUT",""))</f>
        <v/>
      </c>
      <c r="Q168" s="33" t="str">
        <f aca="false">IF(COUNTIF(Flows!$M$2:$M$1500,$A168&amp;"|"&amp;Q$1&amp;"|Input"),IF(COUNTIF(Flows!$M$2:$M$1500,$A168&amp;"|"&amp;Q$1&amp;"|Output"),"I/O","IN"),IF(COUNTIF(Flows!$M$2:$M$1500,$A168&amp;"|"&amp;Q$1&amp;"|Output"),"OUT",""))</f>
        <v/>
      </c>
      <c r="R168" s="33" t="str">
        <f aca="false">IF(COUNTIF(Flows!$M$2:$M$1500,$A168&amp;"|"&amp;R$1&amp;"|Input"),IF(COUNTIF(Flows!$M$2:$M$1500,$A168&amp;"|"&amp;R$1&amp;"|Output"),"I/O","IN"),IF(COUNTIF(Flows!$M$2:$M$1500,$A168&amp;"|"&amp;R$1&amp;"|Output"),"OUT",""))</f>
        <v/>
      </c>
      <c r="S168" s="33" t="str">
        <f aca="false">IF(COUNTIF(Flows!$M$2:$M$1500,$A168&amp;"|"&amp;S$1&amp;"|Input"),IF(COUNTIF(Flows!$M$2:$M$1500,$A168&amp;"|"&amp;S$1&amp;"|Output"),"I/O","IN"),IF(COUNTIF(Flows!$M$2:$M$1500,$A168&amp;"|"&amp;S$1&amp;"|Output"),"OUT",""))</f>
        <v/>
      </c>
      <c r="T168" s="33" t="str">
        <f aca="false">IF(COUNTIF(Flows!$M$2:$M$1500,$A168&amp;"|"&amp;T$1&amp;"|Input"),IF(COUNTIF(Flows!$M$2:$M$1500,$A168&amp;"|"&amp;T$1&amp;"|Output"),"I/O","IN"),IF(COUNTIF(Flows!$M$2:$M$1500,$A168&amp;"|"&amp;T$1&amp;"|Output"),"OUT",""))</f>
        <v/>
      </c>
      <c r="U168" s="33" t="str">
        <f aca="false">IF(COUNTIF(Flows!$M$2:$M$1500,$A168&amp;"|"&amp;U$1&amp;"|Input"),IF(COUNTIF(Flows!$M$2:$M$1500,$A168&amp;"|"&amp;U$1&amp;"|Output"),"I/O","IN"),IF(COUNTIF(Flows!$M$2:$M$1500,$A168&amp;"|"&amp;U$1&amp;"|Output"),"OUT",""))</f>
        <v/>
      </c>
      <c r="V168" s="33" t="str">
        <f aca="false">IF(COUNTIF(Flows!$M$2:$M$1500,$A168&amp;"|"&amp;V$1&amp;"|Input"),IF(COUNTIF(Flows!$M$2:$M$1500,$A168&amp;"|"&amp;V$1&amp;"|Output"),"I/O","IN"),IF(COUNTIF(Flows!$M$2:$M$1500,$A168&amp;"|"&amp;V$1&amp;"|Output"),"OUT",""))</f>
        <v/>
      </c>
      <c r="W168" s="33" t="str">
        <f aca="false">IF(COUNTIF(Flows!$M$2:$M$1500,$A168&amp;"|"&amp;W$1&amp;"|Input"),IF(COUNTIF(Flows!$M$2:$M$1500,$A168&amp;"|"&amp;W$1&amp;"|Output"),"I/O","IN"),IF(COUNTIF(Flows!$M$2:$M$1500,$A168&amp;"|"&amp;W$1&amp;"|Output"),"OUT",""))</f>
        <v/>
      </c>
      <c r="X168" s="33" t="str">
        <f aca="false">IF(COUNTIF(Flows!$M$2:$M$1500,$A168&amp;"|"&amp;X$1&amp;"|Input"),IF(COUNTIF(Flows!$M$2:$M$1500,$A168&amp;"|"&amp;X$1&amp;"|Output"),"I/O","IN"),IF(COUNTIF(Flows!$M$2:$M$1500,$A168&amp;"|"&amp;X$1&amp;"|Output"),"OUT",""))</f>
        <v/>
      </c>
      <c r="Y168" s="33" t="str">
        <f aca="false">IF(COUNTIF(Flows!$M$2:$M$1500,$A168&amp;"|"&amp;Y$1&amp;"|Input"),IF(COUNTIF(Flows!$M$2:$M$1500,$A168&amp;"|"&amp;Y$1&amp;"|Output"),"I/O","IN"),IF(COUNTIF(Flows!$M$2:$M$1500,$A168&amp;"|"&amp;Y$1&amp;"|Output"),"OUT",""))</f>
        <v/>
      </c>
      <c r="Z168" s="33" t="str">
        <f aca="false">IF(COUNTIF(Flows!$M$2:$M$1500,$A168&amp;"|"&amp;Z$1&amp;"|Input"),IF(COUNTIF(Flows!$M$2:$M$1500,$A168&amp;"|"&amp;Z$1&amp;"|Output"),"I/O","IN"),IF(COUNTIF(Flows!$M$2:$M$1500,$A168&amp;"|"&amp;Z$1&amp;"|Output"),"OUT",""))</f>
        <v/>
      </c>
      <c r="AA168" s="33" t="str">
        <f aca="false">IF(COUNTIF(Flows!$M$2:$M$1500,$A168&amp;"|"&amp;AA$1&amp;"|Input"),IF(COUNTIF(Flows!$M$2:$M$1500,$A168&amp;"|"&amp;AA$1&amp;"|Output"),"I/O","IN"),IF(COUNTIF(Flows!$M$2:$M$1500,$A168&amp;"|"&amp;AA$1&amp;"|Output"),"OUT",""))</f>
        <v/>
      </c>
      <c r="AB168" s="33" t="str">
        <f aca="false">IF(COUNTIF(Flows!$M$2:$M$1500,$A168&amp;"|"&amp;AB$1&amp;"|Input"),IF(COUNTIF(Flows!$M$2:$M$1500,$A168&amp;"|"&amp;AB$1&amp;"|Output"),"I/O","IN"),IF(COUNTIF(Flows!$M$2:$M$1500,$A168&amp;"|"&amp;AB$1&amp;"|Output"),"OUT",""))</f>
        <v/>
      </c>
      <c r="AC168" s="33" t="str">
        <f aca="false">IF(COUNTIF(Flows!$M$2:$M$1500,$A168&amp;"|"&amp;AC$1&amp;"|Input"),IF(COUNTIF(Flows!$M$2:$M$1500,$A168&amp;"|"&amp;AC$1&amp;"|Output"),"I/O","IN"),IF(COUNTIF(Flows!$M$2:$M$1500,$A168&amp;"|"&amp;AC$1&amp;"|Output"),"OUT",""))</f>
        <v>OUT</v>
      </c>
      <c r="AD168" s="33" t="str">
        <f aca="false">IF(COUNTIF(Flows!$M$2:$M$1500,$A168&amp;"|"&amp;AD$1&amp;"|Input"),IF(COUNTIF(Flows!$M$2:$M$1500,$A168&amp;"|"&amp;AD$1&amp;"|Output"),"I/O","IN"),IF(COUNTIF(Flows!$M$2:$M$1500,$A168&amp;"|"&amp;AD$1&amp;"|Output"),"OUT",""))</f>
        <v/>
      </c>
      <c r="AE168" s="33" t="str">
        <f aca="false">IF(COUNTIF(Flows!$M$2:$M$1500,$A168&amp;"|"&amp;AE$1&amp;"|Input"),IF(COUNTIF(Flows!$M$2:$M$1500,$A168&amp;"|"&amp;AE$1&amp;"|Output"),"I/O","IN"),IF(COUNTIF(Flows!$M$2:$M$1500,$A168&amp;"|"&amp;AE$1&amp;"|Output"),"OUT",""))</f>
        <v/>
      </c>
      <c r="AF168" s="33" t="str">
        <f aca="false">IF(COUNTIF(Flows!$M$2:$M$1500,$A168&amp;"|"&amp;AF$1&amp;"|Input"),IF(COUNTIF(Flows!$M$2:$M$1500,$A168&amp;"|"&amp;AF$1&amp;"|Output"),"I/O","IN"),IF(COUNTIF(Flows!$M$2:$M$1500,$A168&amp;"|"&amp;AF$1&amp;"|Output"),"OUT",""))</f>
        <v/>
      </c>
      <c r="AG168" s="33" t="str">
        <f aca="false">IF(COUNTIF(Flows!$M$2:$M$1500,$A168&amp;"|"&amp;AG$1&amp;"|Input"),IF(COUNTIF(Flows!$M$2:$M$1500,$A168&amp;"|"&amp;AG$1&amp;"|Output"),"I/O","IN"),IF(COUNTIF(Flows!$M$2:$M$1500,$A168&amp;"|"&amp;AG$1&amp;"|Output"),"OUT",""))</f>
        <v/>
      </c>
      <c r="AH168" s="33" t="str">
        <f aca="false">IF(COUNTIF(Flows!$M$2:$M$1500,$A168&amp;"|"&amp;AH$1&amp;"|Input"),IF(COUNTIF(Flows!$M$2:$M$1500,$A168&amp;"|"&amp;AH$1&amp;"|Output"),"I/O","IN"),IF(COUNTIF(Flows!$M$2:$M$1500,$A168&amp;"|"&amp;AH$1&amp;"|Output"),"OUT",""))</f>
        <v/>
      </c>
      <c r="AI168" s="33" t="str">
        <f aca="false">IF(COUNTIF(Flows!$M$2:$M$1500,$A168&amp;"|"&amp;AI$1&amp;"|Input"),IF(COUNTIF(Flows!$M$2:$M$1500,$A168&amp;"|"&amp;AI$1&amp;"|Output"),"I/O","IN"),IF(COUNTIF(Flows!$M$2:$M$1500,$A168&amp;"|"&amp;AI$1&amp;"|Output"),"OUT",""))</f>
        <v/>
      </c>
      <c r="AJ168" s="33" t="str">
        <f aca="false">IF(COUNTIF(Flows!$M$2:$M$1500,$A168&amp;"|"&amp;AJ$1&amp;"|Input"),IF(COUNTIF(Flows!$M$2:$M$1500,$A168&amp;"|"&amp;AJ$1&amp;"|Output"),"I/O","IN"),IF(COUNTIF(Flows!$M$2:$M$1500,$A168&amp;"|"&amp;AJ$1&amp;"|Output"),"OUT",""))</f>
        <v/>
      </c>
      <c r="AK168" s="33" t="str">
        <f aca="false">IF(COUNTIF(Flows!$M$2:$M$1500,$A168&amp;"|"&amp;AK$1&amp;"|Input"),IF(COUNTIF(Flows!$M$2:$M$1500,$A168&amp;"|"&amp;AK$1&amp;"|Output"),"I/O","IN"),IF(COUNTIF(Flows!$M$2:$M$1500,$A168&amp;"|"&amp;AK$1&amp;"|Output"),"OUT",""))</f>
        <v/>
      </c>
      <c r="AL168" s="33" t="str">
        <f aca="false">IF(COUNTIF(Flows!$M$2:$M$1500,$A168&amp;"|"&amp;AL$1&amp;"|Input"),IF(COUNTIF(Flows!$M$2:$M$1500,$A168&amp;"|"&amp;AL$1&amp;"|Output"),"I/O","IN"),IF(COUNTIF(Flows!$M$2:$M$1500,$A168&amp;"|"&amp;AL$1&amp;"|Output"),"OUT",""))</f>
        <v/>
      </c>
      <c r="AM168" s="33" t="str">
        <f aca="false">IF(COUNTIF(Flows!$M$2:$M$1500,$A168&amp;"|"&amp;AM$1&amp;"|Input"),IF(COUNTIF(Flows!$M$2:$M$1500,$A168&amp;"|"&amp;AM$1&amp;"|Output"),"I/O","IN"),IF(COUNTIF(Flows!$M$2:$M$1500,$A168&amp;"|"&amp;AM$1&amp;"|Output"),"OUT",""))</f>
        <v/>
      </c>
      <c r="AN168" s="33" t="str">
        <f aca="false">IF(COUNTIF(Flows!$M$2:$M$1500,$A168&amp;"|"&amp;AN$1&amp;"|Input"),IF(COUNTIF(Flows!$M$2:$M$1500,$A168&amp;"|"&amp;AN$1&amp;"|Output"),"I/O","IN"),IF(COUNTIF(Flows!$M$2:$M$1500,$A168&amp;"|"&amp;AN$1&amp;"|Output"),"OUT",""))</f>
        <v/>
      </c>
      <c r="AO168" s="33" t="str">
        <f aca="false">IF(COUNTIF(Flows!$M$2:$M$1500,$A168&amp;"|"&amp;AO$1&amp;"|Input"),IF(COUNTIF(Flows!$M$2:$M$1500,$A168&amp;"|"&amp;AO$1&amp;"|Output"),"I/O","IN"),IF(COUNTIF(Flows!$M$2:$M$1500,$A168&amp;"|"&amp;AO$1&amp;"|Output"),"OUT",""))</f>
        <v/>
      </c>
      <c r="AP168" s="33" t="str">
        <f aca="false">IF(COUNTIF(Flows!$M$2:$M$1500,$A168&amp;"|"&amp;AP$1&amp;"|Input"),IF(COUNTIF(Flows!$M$2:$M$1500,$A168&amp;"|"&amp;AP$1&amp;"|Output"),"I/O","IN"),IF(COUNTIF(Flows!$M$2:$M$1500,$A168&amp;"|"&amp;AP$1&amp;"|Output"),"OUT",""))</f>
        <v/>
      </c>
      <c r="AQ168" s="33" t="str">
        <f aca="false">IF(COUNTIF(Flows!$M$2:$M$1500,$A168&amp;"|"&amp;AQ$1&amp;"|Input"),IF(COUNTIF(Flows!$M$2:$M$1500,$A168&amp;"|"&amp;AQ$1&amp;"|Output"),"I/O","IN"),IF(COUNTIF(Flows!$M$2:$M$1500,$A168&amp;"|"&amp;AQ$1&amp;"|Output"),"OUT",""))</f>
        <v/>
      </c>
      <c r="AR168" s="33" t="str">
        <f aca="false">IF(COUNTIF(Flows!$M$2:$M$1500,$A168&amp;"|"&amp;AR$1&amp;"|Input"),IF(COUNTIF(Flows!$M$2:$M$1500,$A168&amp;"|"&amp;AR$1&amp;"|Output"),"I/O","IN"),IF(COUNTIF(Flows!$M$2:$M$1500,$A168&amp;"|"&amp;AR$1&amp;"|Output"),"OUT",""))</f>
        <v/>
      </c>
      <c r="AS168" s="33" t="str">
        <f aca="false">IF(COUNTIF(Flows!$M$2:$M$1500,$A168&amp;"|"&amp;AS$1&amp;"|Input"),IF(COUNTIF(Flows!$M$2:$M$1500,$A168&amp;"|"&amp;AS$1&amp;"|Output"),"I/O","IN"),IF(COUNTIF(Flows!$M$2:$M$1500,$A168&amp;"|"&amp;AS$1&amp;"|Output"),"OUT",""))</f>
        <v/>
      </c>
      <c r="AT168" s="33" t="str">
        <f aca="false">IF(COUNTIF(Flows!$M$2:$M$1500,$A168&amp;"|"&amp;AT$1&amp;"|Input"),IF(COUNTIF(Flows!$M$2:$M$1500,$A168&amp;"|"&amp;AT$1&amp;"|Output"),"I/O","IN"),IF(COUNTIF(Flows!$M$2:$M$1500,$A168&amp;"|"&amp;AT$1&amp;"|Output"),"OUT",""))</f>
        <v/>
      </c>
      <c r="AU168" s="33" t="str">
        <f aca="false">IF(COUNTIF(Flows!$M$2:$M$1500,$A168&amp;"|"&amp;AU$1&amp;"|Input"),IF(COUNTIF(Flows!$M$2:$M$1500,$A168&amp;"|"&amp;AU$1&amp;"|Output"),"I/O","IN"),IF(COUNTIF(Flows!$M$2:$M$1500,$A168&amp;"|"&amp;AU$1&amp;"|Output"),"OUT",""))</f>
        <v/>
      </c>
      <c r="AV168" s="33" t="str">
        <f aca="false">IF(COUNTIF(Flows!$M$2:$M$1500,$A168&amp;"|"&amp;AV$1&amp;"|Input"),IF(COUNTIF(Flows!$M$2:$M$1500,$A168&amp;"|"&amp;AV$1&amp;"|Output"),"I/O","IN"),IF(COUNTIF(Flows!$M$2:$M$1500,$A168&amp;"|"&amp;AV$1&amp;"|Output"),"OUT",""))</f>
        <v/>
      </c>
      <c r="AW168" s="33" t="str">
        <f aca="false">IF(COUNTIF(Flows!$M$2:$M$1500,$A168&amp;"|"&amp;AW$1&amp;"|Input"),IF(COUNTIF(Flows!$M$2:$M$1500,$A168&amp;"|"&amp;AW$1&amp;"|Output"),"I/O","IN"),IF(COUNTIF(Flows!$M$2:$M$1500,$A168&amp;"|"&amp;AW$1&amp;"|Output"),"OUT",""))</f>
        <v/>
      </c>
      <c r="AX168" s="33" t="str">
        <f aca="false">IF(COUNTIF(Flows!$M$2:$M$1500,$A168&amp;"|"&amp;AX$1&amp;"|Input"),IF(COUNTIF(Flows!$M$2:$M$1500,$A168&amp;"|"&amp;AX$1&amp;"|Output"),"I/O","IN"),IF(COUNTIF(Flows!$M$2:$M$1500,$A168&amp;"|"&amp;AX$1&amp;"|Output"),"OUT",""))</f>
        <v/>
      </c>
      <c r="AY168" s="33" t="str">
        <f aca="false">IF(COUNTIF(Flows!$M$2:$M$1500,$A168&amp;"|"&amp;AY$1&amp;"|Input"),IF(COUNTIF(Flows!$M$2:$M$1500,$A168&amp;"|"&amp;AY$1&amp;"|Output"),"I/O","IN"),IF(COUNTIF(Flows!$M$2:$M$1500,$A168&amp;"|"&amp;AY$1&amp;"|Output"),"OUT",""))</f>
        <v/>
      </c>
      <c r="AZ168" s="33" t="str">
        <f aca="false">IF(COUNTIF(Flows!$M$2:$M$1500,$A168&amp;"|"&amp;AZ$1&amp;"|Input"),IF(COUNTIF(Flows!$M$2:$M$1500,$A168&amp;"|"&amp;AZ$1&amp;"|Output"),"I/O","IN"),IF(COUNTIF(Flows!$M$2:$M$1500,$A168&amp;"|"&amp;AZ$1&amp;"|Output"),"OUT",""))</f>
        <v/>
      </c>
      <c r="BA168" s="33" t="str">
        <f aca="false">IF(COUNTIF(Flows!$M$2:$M$1500,$A168&amp;"|"&amp;BA$1&amp;"|Input"),IF(COUNTIF(Flows!$M$2:$M$1500,$A168&amp;"|"&amp;BA$1&amp;"|Output"),"I/O","IN"),IF(COUNTIF(Flows!$M$2:$M$1500,$A168&amp;"|"&amp;BA$1&amp;"|Output"),"OUT",""))</f>
        <v/>
      </c>
      <c r="BB168" s="33" t="str">
        <f aca="false">IF(COUNTIF(Flows!$M$2:$M$1500,$A168&amp;"|"&amp;BB$1&amp;"|Input"),IF(COUNTIF(Flows!$M$2:$M$1500,$A168&amp;"|"&amp;BB$1&amp;"|Output"),"I/O","IN"),IF(COUNTIF(Flows!$M$2:$M$1500,$A168&amp;"|"&amp;BB$1&amp;"|Output"),"OUT",""))</f>
        <v/>
      </c>
      <c r="BC168" s="33" t="str">
        <f aca="false">IF(COUNTIF(Flows!$M$2:$M$1500,$A168&amp;"|"&amp;BC$1&amp;"|Input"),IF(COUNTIF(Flows!$M$2:$M$1500,$A168&amp;"|"&amp;BC$1&amp;"|Output"),"I/O","IN"),IF(COUNTIF(Flows!$M$2:$M$1500,$A168&amp;"|"&amp;BC$1&amp;"|Output"),"OUT",""))</f>
        <v/>
      </c>
      <c r="BD168" s="33" t="str">
        <f aca="false">IF(COUNTIF(Flows!$M$2:$M$1500,$A168&amp;"|"&amp;BD$1&amp;"|Input"),IF(COUNTIF(Flows!$M$2:$M$1500,$A168&amp;"|"&amp;BD$1&amp;"|Output"),"I/O","IN"),IF(COUNTIF(Flows!$M$2:$M$1500,$A168&amp;"|"&amp;BD$1&amp;"|Output"),"OUT",""))</f>
        <v/>
      </c>
      <c r="BE168" s="33" t="str">
        <f aca="false">IF(COUNTIF(Flows!$M$2:$M$1500,$A168&amp;"|"&amp;BE$1&amp;"|Input"),IF(COUNTIF(Flows!$M$2:$M$1500,$A168&amp;"|"&amp;BE$1&amp;"|Output"),"I/O","IN"),IF(COUNTIF(Flows!$M$2:$M$1500,$A168&amp;"|"&amp;BE$1&amp;"|Output"),"OUT",""))</f>
        <v/>
      </c>
      <c r="BF168" s="33" t="str">
        <f aca="false">IF(COUNTIF(Flows!$M$2:$M$1500,$A168&amp;"|"&amp;BF$1&amp;"|Input"),IF(COUNTIF(Flows!$M$2:$M$1500,$A168&amp;"|"&amp;BF$1&amp;"|Output"),"I/O","IN"),IF(COUNTIF(Flows!$M$2:$M$1500,$A168&amp;"|"&amp;BF$1&amp;"|Output"),"OUT",""))</f>
        <v/>
      </c>
      <c r="BG168" s="33" t="str">
        <f aca="false">IF(COUNTIF(Flows!$M$2:$M$1500,$A168&amp;"|"&amp;BG$1&amp;"|Input"),IF(COUNTIF(Flows!$M$2:$M$1500,$A168&amp;"|"&amp;BG$1&amp;"|Output"),"I/O","IN"),IF(COUNTIF(Flows!$M$2:$M$1500,$A168&amp;"|"&amp;BG$1&amp;"|Output"),"OUT",""))</f>
        <v/>
      </c>
      <c r="BH168" s="33" t="str">
        <f aca="false">IF(COUNTIF(Flows!$M$2:$M$1500,$A168&amp;"|"&amp;BH$1&amp;"|Input"),IF(COUNTIF(Flows!$M$2:$M$1500,$A168&amp;"|"&amp;BH$1&amp;"|Output"),"I/O","IN"),IF(COUNTIF(Flows!$M$2:$M$1500,$A168&amp;"|"&amp;BH$1&amp;"|Output"),"OUT",""))</f>
        <v/>
      </c>
      <c r="BI168" s="33" t="str">
        <f aca="false">IF(COUNTIF(Flows!$M$2:$M$1500,$A168&amp;"|"&amp;BI$1&amp;"|Input"),IF(COUNTIF(Flows!$M$2:$M$1500,$A168&amp;"|"&amp;BI$1&amp;"|Output"),"I/O","IN"),IF(COUNTIF(Flows!$M$2:$M$1500,$A168&amp;"|"&amp;BI$1&amp;"|Output"),"OUT",""))</f>
        <v/>
      </c>
      <c r="BJ168" s="33" t="str">
        <f aca="false">IF(COUNTIF(Flows!$M$2:$M$1500,$A168&amp;"|"&amp;BJ$1&amp;"|Input"),IF(COUNTIF(Flows!$M$2:$M$1500,$A168&amp;"|"&amp;BJ$1&amp;"|Output"),"I/O","IN"),IF(COUNTIF(Flows!$M$2:$M$1500,$A168&amp;"|"&amp;BJ$1&amp;"|Output"),"OUT",""))</f>
        <v/>
      </c>
      <c r="BK168" s="33" t="str">
        <f aca="false">IF(COUNTIF(Flows!$M$2:$M$1500,$A168&amp;"|"&amp;BK$1&amp;"|Input"),IF(COUNTIF(Flows!$M$2:$M$1500,$A168&amp;"|"&amp;BK$1&amp;"|Output"),"I/O","IN"),IF(COUNTIF(Flows!$M$2:$M$1500,$A168&amp;"|"&amp;BK$1&amp;"|Output"),"OUT",""))</f>
        <v>OUT</v>
      </c>
    </row>
    <row r="169" customFormat="false" ht="15" hidden="false" customHeight="true" outlineLevel="0" collapsed="false">
      <c r="A169" s="6" t="str">
        <f aca="false">Systems!B169</f>
        <v>Pasture (1 acre)</v>
      </c>
      <c r="B169" s="33" t="str">
        <f aca="false">IF(COUNTIF(Flows!$M$2:$M$1500,$A169&amp;"|"&amp;B$1&amp;"|Input"),IF(COUNTIF(Flows!$M$2:$M$1500,$A169&amp;"|"&amp;B$1&amp;"|Output"),"I/O","IN"),IF(COUNTIF(Flows!$M$2:$M$1500,$A169&amp;"|"&amp;B$1&amp;"|Output"),"OUT",""))</f>
        <v/>
      </c>
      <c r="C169" s="33" t="str">
        <f aca="false">IF(COUNTIF(Flows!$M$2:$M$1500,$A169&amp;"|"&amp;C$1&amp;"|Input"),IF(COUNTIF(Flows!$M$2:$M$1500,$A169&amp;"|"&amp;C$1&amp;"|Output"),"I/O","IN"),IF(COUNTIF(Flows!$M$2:$M$1500,$A169&amp;"|"&amp;C$1&amp;"|Output"),"OUT",""))</f>
        <v/>
      </c>
      <c r="D169" s="33" t="str">
        <f aca="false">IF(COUNTIF(Flows!$M$2:$M$1500,$A169&amp;"|"&amp;D$1&amp;"|Input"),IF(COUNTIF(Flows!$M$2:$M$1500,$A169&amp;"|"&amp;D$1&amp;"|Output"),"I/O","IN"),IF(COUNTIF(Flows!$M$2:$M$1500,$A169&amp;"|"&amp;D$1&amp;"|Output"),"OUT",""))</f>
        <v/>
      </c>
      <c r="E169" s="33" t="str">
        <f aca="false">IF(COUNTIF(Flows!$M$2:$M$1500,$A169&amp;"|"&amp;E$1&amp;"|Input"),IF(COUNTIF(Flows!$M$2:$M$1500,$A169&amp;"|"&amp;E$1&amp;"|Output"),"I/O","IN"),IF(COUNTIF(Flows!$M$2:$M$1500,$A169&amp;"|"&amp;E$1&amp;"|Output"),"OUT",""))</f>
        <v/>
      </c>
      <c r="F169" s="33" t="str">
        <f aca="false">IF(COUNTIF(Flows!$M$2:$M$1500,$A169&amp;"|"&amp;F$1&amp;"|Input"),IF(COUNTIF(Flows!$M$2:$M$1500,$A169&amp;"|"&amp;F$1&amp;"|Output"),"I/O","IN"),IF(COUNTIF(Flows!$M$2:$M$1500,$A169&amp;"|"&amp;F$1&amp;"|Output"),"OUT",""))</f>
        <v/>
      </c>
      <c r="G169" s="33" t="str">
        <f aca="false">IF(COUNTIF(Flows!$M$2:$M$1500,$A169&amp;"|"&amp;G$1&amp;"|Input"),IF(COUNTIF(Flows!$M$2:$M$1500,$A169&amp;"|"&amp;G$1&amp;"|Output"),"I/O","IN"),IF(COUNTIF(Flows!$M$2:$M$1500,$A169&amp;"|"&amp;G$1&amp;"|Output"),"OUT",""))</f>
        <v/>
      </c>
      <c r="H169" s="33" t="str">
        <f aca="false">IF(COUNTIF(Flows!$M$2:$M$1500,$A169&amp;"|"&amp;H$1&amp;"|Input"),IF(COUNTIF(Flows!$M$2:$M$1500,$A169&amp;"|"&amp;H$1&amp;"|Output"),"I/O","IN"),IF(COUNTIF(Flows!$M$2:$M$1500,$A169&amp;"|"&amp;H$1&amp;"|Output"),"OUT",""))</f>
        <v/>
      </c>
      <c r="I169" s="33" t="str">
        <f aca="false">IF(COUNTIF(Flows!$M$2:$M$1500,$A169&amp;"|"&amp;I$1&amp;"|Input"),IF(COUNTIF(Flows!$M$2:$M$1500,$A169&amp;"|"&amp;I$1&amp;"|Output"),"I/O","IN"),IF(COUNTIF(Flows!$M$2:$M$1500,$A169&amp;"|"&amp;I$1&amp;"|Output"),"OUT",""))</f>
        <v/>
      </c>
      <c r="J169" s="33" t="str">
        <f aca="false">IF(COUNTIF(Flows!$M$2:$M$1500,$A169&amp;"|"&amp;J$1&amp;"|Input"),IF(COUNTIF(Flows!$M$2:$M$1500,$A169&amp;"|"&amp;J$1&amp;"|Output"),"I/O","IN"),IF(COUNTIF(Flows!$M$2:$M$1500,$A169&amp;"|"&amp;J$1&amp;"|Output"),"OUT",""))</f>
        <v/>
      </c>
      <c r="K169" s="33" t="str">
        <f aca="false">IF(COUNTIF(Flows!$M$2:$M$1500,$A169&amp;"|"&amp;K$1&amp;"|Input"),IF(COUNTIF(Flows!$M$2:$M$1500,$A169&amp;"|"&amp;K$1&amp;"|Output"),"I/O","IN"),IF(COUNTIF(Flows!$M$2:$M$1500,$A169&amp;"|"&amp;K$1&amp;"|Output"),"OUT",""))</f>
        <v/>
      </c>
      <c r="L169" s="33" t="str">
        <f aca="false">IF(COUNTIF(Flows!$M$2:$M$1500,$A169&amp;"|"&amp;L$1&amp;"|Input"),IF(COUNTIF(Flows!$M$2:$M$1500,$A169&amp;"|"&amp;L$1&amp;"|Output"),"I/O","IN"),IF(COUNTIF(Flows!$M$2:$M$1500,$A169&amp;"|"&amp;L$1&amp;"|Output"),"OUT",""))</f>
        <v/>
      </c>
      <c r="M169" s="33" t="str">
        <f aca="false">IF(COUNTIF(Flows!$M$2:$M$1500,$A169&amp;"|"&amp;M$1&amp;"|Input"),IF(COUNTIF(Flows!$M$2:$M$1500,$A169&amp;"|"&amp;M$1&amp;"|Output"),"I/O","IN"),IF(COUNTIF(Flows!$M$2:$M$1500,$A169&amp;"|"&amp;M$1&amp;"|Output"),"OUT",""))</f>
        <v/>
      </c>
      <c r="N169" s="33" t="str">
        <f aca="false">IF(COUNTIF(Flows!$M$2:$M$1500,$A169&amp;"|"&amp;N$1&amp;"|Input"),IF(COUNTIF(Flows!$M$2:$M$1500,$A169&amp;"|"&amp;N$1&amp;"|Output"),"I/O","IN"),IF(COUNTIF(Flows!$M$2:$M$1500,$A169&amp;"|"&amp;N$1&amp;"|Output"),"OUT",""))</f>
        <v/>
      </c>
      <c r="O169" s="33" t="str">
        <f aca="false">IF(COUNTIF(Flows!$M$2:$M$1500,$A169&amp;"|"&amp;O$1&amp;"|Input"),IF(COUNTIF(Flows!$M$2:$M$1500,$A169&amp;"|"&amp;O$1&amp;"|Output"),"I/O","IN"),IF(COUNTIF(Flows!$M$2:$M$1500,$A169&amp;"|"&amp;O$1&amp;"|Output"),"OUT",""))</f>
        <v/>
      </c>
      <c r="P169" s="33" t="str">
        <f aca="false">IF(COUNTIF(Flows!$M$2:$M$1500,$A169&amp;"|"&amp;P$1&amp;"|Input"),IF(COUNTIF(Flows!$M$2:$M$1500,$A169&amp;"|"&amp;P$1&amp;"|Output"),"I/O","IN"),IF(COUNTIF(Flows!$M$2:$M$1500,$A169&amp;"|"&amp;P$1&amp;"|Output"),"OUT",""))</f>
        <v/>
      </c>
      <c r="Q169" s="33" t="str">
        <f aca="false">IF(COUNTIF(Flows!$M$2:$M$1500,$A169&amp;"|"&amp;Q$1&amp;"|Input"),IF(COUNTIF(Flows!$M$2:$M$1500,$A169&amp;"|"&amp;Q$1&amp;"|Output"),"I/O","IN"),IF(COUNTIF(Flows!$M$2:$M$1500,$A169&amp;"|"&amp;Q$1&amp;"|Output"),"OUT",""))</f>
        <v/>
      </c>
      <c r="R169" s="33" t="str">
        <f aca="false">IF(COUNTIF(Flows!$M$2:$M$1500,$A169&amp;"|"&amp;R$1&amp;"|Input"),IF(COUNTIF(Flows!$M$2:$M$1500,$A169&amp;"|"&amp;R$1&amp;"|Output"),"I/O","IN"),IF(COUNTIF(Flows!$M$2:$M$1500,$A169&amp;"|"&amp;R$1&amp;"|Output"),"OUT",""))</f>
        <v/>
      </c>
      <c r="S169" s="33" t="str">
        <f aca="false">IF(COUNTIF(Flows!$M$2:$M$1500,$A169&amp;"|"&amp;S$1&amp;"|Input"),IF(COUNTIF(Flows!$M$2:$M$1500,$A169&amp;"|"&amp;S$1&amp;"|Output"),"I/O","IN"),IF(COUNTIF(Flows!$M$2:$M$1500,$A169&amp;"|"&amp;S$1&amp;"|Output"),"OUT",""))</f>
        <v/>
      </c>
      <c r="T169" s="33" t="str">
        <f aca="false">IF(COUNTIF(Flows!$M$2:$M$1500,$A169&amp;"|"&amp;T$1&amp;"|Input"),IF(COUNTIF(Flows!$M$2:$M$1500,$A169&amp;"|"&amp;T$1&amp;"|Output"),"I/O","IN"),IF(COUNTIF(Flows!$M$2:$M$1500,$A169&amp;"|"&amp;T$1&amp;"|Output"),"OUT",""))</f>
        <v/>
      </c>
      <c r="U169" s="33" t="str">
        <f aca="false">IF(COUNTIF(Flows!$M$2:$M$1500,$A169&amp;"|"&amp;U$1&amp;"|Input"),IF(COUNTIF(Flows!$M$2:$M$1500,$A169&amp;"|"&amp;U$1&amp;"|Output"),"I/O","IN"),IF(COUNTIF(Flows!$M$2:$M$1500,$A169&amp;"|"&amp;U$1&amp;"|Output"),"OUT",""))</f>
        <v/>
      </c>
      <c r="V169" s="33" t="str">
        <f aca="false">IF(COUNTIF(Flows!$M$2:$M$1500,$A169&amp;"|"&amp;V$1&amp;"|Input"),IF(COUNTIF(Flows!$M$2:$M$1500,$A169&amp;"|"&amp;V$1&amp;"|Output"),"I/O","IN"),IF(COUNTIF(Flows!$M$2:$M$1500,$A169&amp;"|"&amp;V$1&amp;"|Output"),"OUT",""))</f>
        <v/>
      </c>
      <c r="W169" s="33" t="str">
        <f aca="false">IF(COUNTIF(Flows!$M$2:$M$1500,$A169&amp;"|"&amp;W$1&amp;"|Input"),IF(COUNTIF(Flows!$M$2:$M$1500,$A169&amp;"|"&amp;W$1&amp;"|Output"),"I/O","IN"),IF(COUNTIF(Flows!$M$2:$M$1500,$A169&amp;"|"&amp;W$1&amp;"|Output"),"OUT",""))</f>
        <v/>
      </c>
      <c r="X169" s="33" t="str">
        <f aca="false">IF(COUNTIF(Flows!$M$2:$M$1500,$A169&amp;"|"&amp;X$1&amp;"|Input"),IF(COUNTIF(Flows!$M$2:$M$1500,$A169&amp;"|"&amp;X$1&amp;"|Output"),"I/O","IN"),IF(COUNTIF(Flows!$M$2:$M$1500,$A169&amp;"|"&amp;X$1&amp;"|Output"),"OUT",""))</f>
        <v>IN</v>
      </c>
      <c r="Y169" s="33" t="str">
        <f aca="false">IF(COUNTIF(Flows!$M$2:$M$1500,$A169&amp;"|"&amp;Y$1&amp;"|Input"),IF(COUNTIF(Flows!$M$2:$M$1500,$A169&amp;"|"&amp;Y$1&amp;"|Output"),"I/O","IN"),IF(COUNTIF(Flows!$M$2:$M$1500,$A169&amp;"|"&amp;Y$1&amp;"|Output"),"OUT",""))</f>
        <v/>
      </c>
      <c r="Z169" s="33" t="str">
        <f aca="false">IF(COUNTIF(Flows!$M$2:$M$1500,$A169&amp;"|"&amp;Z$1&amp;"|Input"),IF(COUNTIF(Flows!$M$2:$M$1500,$A169&amp;"|"&amp;Z$1&amp;"|Output"),"I/O","IN"),IF(COUNTIF(Flows!$M$2:$M$1500,$A169&amp;"|"&amp;Z$1&amp;"|Output"),"OUT",""))</f>
        <v/>
      </c>
      <c r="AA169" s="33" t="str">
        <f aca="false">IF(COUNTIF(Flows!$M$2:$M$1500,$A169&amp;"|"&amp;AA$1&amp;"|Input"),IF(COUNTIF(Flows!$M$2:$M$1500,$A169&amp;"|"&amp;AA$1&amp;"|Output"),"I/O","IN"),IF(COUNTIF(Flows!$M$2:$M$1500,$A169&amp;"|"&amp;AA$1&amp;"|Output"),"OUT",""))</f>
        <v>IN</v>
      </c>
      <c r="AB169" s="33" t="str">
        <f aca="false">IF(COUNTIF(Flows!$M$2:$M$1500,$A169&amp;"|"&amp;AB$1&amp;"|Input"),IF(COUNTIF(Flows!$M$2:$M$1500,$A169&amp;"|"&amp;AB$1&amp;"|Output"),"I/O","IN"),IF(COUNTIF(Flows!$M$2:$M$1500,$A169&amp;"|"&amp;AB$1&amp;"|Output"),"OUT",""))</f>
        <v/>
      </c>
      <c r="AC169" s="33" t="str">
        <f aca="false">IF(COUNTIF(Flows!$M$2:$M$1500,$A169&amp;"|"&amp;AC$1&amp;"|Input"),IF(COUNTIF(Flows!$M$2:$M$1500,$A169&amp;"|"&amp;AC$1&amp;"|Output"),"I/O","IN"),IF(COUNTIF(Flows!$M$2:$M$1500,$A169&amp;"|"&amp;AC$1&amp;"|Output"),"OUT",""))</f>
        <v/>
      </c>
      <c r="AD169" s="33" t="str">
        <f aca="false">IF(COUNTIF(Flows!$M$2:$M$1500,$A169&amp;"|"&amp;AD$1&amp;"|Input"),IF(COUNTIF(Flows!$M$2:$M$1500,$A169&amp;"|"&amp;AD$1&amp;"|Output"),"I/O","IN"),IF(COUNTIF(Flows!$M$2:$M$1500,$A169&amp;"|"&amp;AD$1&amp;"|Output"),"OUT",""))</f>
        <v/>
      </c>
      <c r="AE169" s="33" t="str">
        <f aca="false">IF(COUNTIF(Flows!$M$2:$M$1500,$A169&amp;"|"&amp;AE$1&amp;"|Input"),IF(COUNTIF(Flows!$M$2:$M$1500,$A169&amp;"|"&amp;AE$1&amp;"|Output"),"I/O","IN"),IF(COUNTIF(Flows!$M$2:$M$1500,$A169&amp;"|"&amp;AE$1&amp;"|Output"),"OUT",""))</f>
        <v/>
      </c>
      <c r="AF169" s="33" t="str">
        <f aca="false">IF(COUNTIF(Flows!$M$2:$M$1500,$A169&amp;"|"&amp;AF$1&amp;"|Input"),IF(COUNTIF(Flows!$M$2:$M$1500,$A169&amp;"|"&amp;AF$1&amp;"|Output"),"I/O","IN"),IF(COUNTIF(Flows!$M$2:$M$1500,$A169&amp;"|"&amp;AF$1&amp;"|Output"),"OUT",""))</f>
        <v/>
      </c>
      <c r="AG169" s="33" t="str">
        <f aca="false">IF(COUNTIF(Flows!$M$2:$M$1500,$A169&amp;"|"&amp;AG$1&amp;"|Input"),IF(COUNTIF(Flows!$M$2:$M$1500,$A169&amp;"|"&amp;AG$1&amp;"|Output"),"I/O","IN"),IF(COUNTIF(Flows!$M$2:$M$1500,$A169&amp;"|"&amp;AG$1&amp;"|Output"),"OUT",""))</f>
        <v/>
      </c>
      <c r="AH169" s="33" t="str">
        <f aca="false">IF(COUNTIF(Flows!$M$2:$M$1500,$A169&amp;"|"&amp;AH$1&amp;"|Input"),IF(COUNTIF(Flows!$M$2:$M$1500,$A169&amp;"|"&amp;AH$1&amp;"|Output"),"I/O","IN"),IF(COUNTIF(Flows!$M$2:$M$1500,$A169&amp;"|"&amp;AH$1&amp;"|Output"),"OUT",""))</f>
        <v/>
      </c>
      <c r="AI169" s="33" t="str">
        <f aca="false">IF(COUNTIF(Flows!$M$2:$M$1500,$A169&amp;"|"&amp;AI$1&amp;"|Input"),IF(COUNTIF(Flows!$M$2:$M$1500,$A169&amp;"|"&amp;AI$1&amp;"|Output"),"I/O","IN"),IF(COUNTIF(Flows!$M$2:$M$1500,$A169&amp;"|"&amp;AI$1&amp;"|Output"),"OUT",""))</f>
        <v/>
      </c>
      <c r="AJ169" s="33" t="str">
        <f aca="false">IF(COUNTIF(Flows!$M$2:$M$1500,$A169&amp;"|"&amp;AJ$1&amp;"|Input"),IF(COUNTIF(Flows!$M$2:$M$1500,$A169&amp;"|"&amp;AJ$1&amp;"|Output"),"I/O","IN"),IF(COUNTIF(Flows!$M$2:$M$1500,$A169&amp;"|"&amp;AJ$1&amp;"|Output"),"OUT",""))</f>
        <v/>
      </c>
      <c r="AK169" s="33" t="str">
        <f aca="false">IF(COUNTIF(Flows!$M$2:$M$1500,$A169&amp;"|"&amp;AK$1&amp;"|Input"),IF(COUNTIF(Flows!$M$2:$M$1500,$A169&amp;"|"&amp;AK$1&amp;"|Output"),"I/O","IN"),IF(COUNTIF(Flows!$M$2:$M$1500,$A169&amp;"|"&amp;AK$1&amp;"|Output"),"OUT",""))</f>
        <v/>
      </c>
      <c r="AL169" s="33" t="str">
        <f aca="false">IF(COUNTIF(Flows!$M$2:$M$1500,$A169&amp;"|"&amp;AL$1&amp;"|Input"),IF(COUNTIF(Flows!$M$2:$M$1500,$A169&amp;"|"&amp;AL$1&amp;"|Output"),"I/O","IN"),IF(COUNTIF(Flows!$M$2:$M$1500,$A169&amp;"|"&amp;AL$1&amp;"|Output"),"OUT",""))</f>
        <v/>
      </c>
      <c r="AM169" s="33" t="str">
        <f aca="false">IF(COUNTIF(Flows!$M$2:$M$1500,$A169&amp;"|"&amp;AM$1&amp;"|Input"),IF(COUNTIF(Flows!$M$2:$M$1500,$A169&amp;"|"&amp;AM$1&amp;"|Output"),"I/O","IN"),IF(COUNTIF(Flows!$M$2:$M$1500,$A169&amp;"|"&amp;AM$1&amp;"|Output"),"OUT",""))</f>
        <v/>
      </c>
      <c r="AN169" s="33" t="str">
        <f aca="false">IF(COUNTIF(Flows!$M$2:$M$1500,$A169&amp;"|"&amp;AN$1&amp;"|Input"),IF(COUNTIF(Flows!$M$2:$M$1500,$A169&amp;"|"&amp;AN$1&amp;"|Output"),"I/O","IN"),IF(COUNTIF(Flows!$M$2:$M$1500,$A169&amp;"|"&amp;AN$1&amp;"|Output"),"OUT",""))</f>
        <v/>
      </c>
      <c r="AO169" s="33" t="str">
        <f aca="false">IF(COUNTIF(Flows!$M$2:$M$1500,$A169&amp;"|"&amp;AO$1&amp;"|Input"),IF(COUNTIF(Flows!$M$2:$M$1500,$A169&amp;"|"&amp;AO$1&amp;"|Output"),"I/O","IN"),IF(COUNTIF(Flows!$M$2:$M$1500,$A169&amp;"|"&amp;AO$1&amp;"|Output"),"OUT",""))</f>
        <v/>
      </c>
      <c r="AP169" s="33" t="str">
        <f aca="false">IF(COUNTIF(Flows!$M$2:$M$1500,$A169&amp;"|"&amp;AP$1&amp;"|Input"),IF(COUNTIF(Flows!$M$2:$M$1500,$A169&amp;"|"&amp;AP$1&amp;"|Output"),"I/O","IN"),IF(COUNTIF(Flows!$M$2:$M$1500,$A169&amp;"|"&amp;AP$1&amp;"|Output"),"OUT",""))</f>
        <v>OUT</v>
      </c>
      <c r="AQ169" s="33" t="str">
        <f aca="false">IF(COUNTIF(Flows!$M$2:$M$1500,$A169&amp;"|"&amp;AQ$1&amp;"|Input"),IF(COUNTIF(Flows!$M$2:$M$1500,$A169&amp;"|"&amp;AQ$1&amp;"|Output"),"I/O","IN"),IF(COUNTIF(Flows!$M$2:$M$1500,$A169&amp;"|"&amp;AQ$1&amp;"|Output"),"OUT",""))</f>
        <v>OUT</v>
      </c>
      <c r="AR169" s="33" t="str">
        <f aca="false">IF(COUNTIF(Flows!$M$2:$M$1500,$A169&amp;"|"&amp;AR$1&amp;"|Input"),IF(COUNTIF(Flows!$M$2:$M$1500,$A169&amp;"|"&amp;AR$1&amp;"|Output"),"I/O","IN"),IF(COUNTIF(Flows!$M$2:$M$1500,$A169&amp;"|"&amp;AR$1&amp;"|Output"),"OUT",""))</f>
        <v/>
      </c>
      <c r="AS169" s="33" t="str">
        <f aca="false">IF(COUNTIF(Flows!$M$2:$M$1500,$A169&amp;"|"&amp;AS$1&amp;"|Input"),IF(COUNTIF(Flows!$M$2:$M$1500,$A169&amp;"|"&amp;AS$1&amp;"|Output"),"I/O","IN"),IF(COUNTIF(Flows!$M$2:$M$1500,$A169&amp;"|"&amp;AS$1&amp;"|Output"),"OUT",""))</f>
        <v/>
      </c>
      <c r="AT169" s="33" t="str">
        <f aca="false">IF(COUNTIF(Flows!$M$2:$M$1500,$A169&amp;"|"&amp;AT$1&amp;"|Input"),IF(COUNTIF(Flows!$M$2:$M$1500,$A169&amp;"|"&amp;AT$1&amp;"|Output"),"I/O","IN"),IF(COUNTIF(Flows!$M$2:$M$1500,$A169&amp;"|"&amp;AT$1&amp;"|Output"),"OUT",""))</f>
        <v/>
      </c>
      <c r="AU169" s="33" t="str">
        <f aca="false">IF(COUNTIF(Flows!$M$2:$M$1500,$A169&amp;"|"&amp;AU$1&amp;"|Input"),IF(COUNTIF(Flows!$M$2:$M$1500,$A169&amp;"|"&amp;AU$1&amp;"|Output"),"I/O","IN"),IF(COUNTIF(Flows!$M$2:$M$1500,$A169&amp;"|"&amp;AU$1&amp;"|Output"),"OUT",""))</f>
        <v/>
      </c>
      <c r="AV169" s="33" t="str">
        <f aca="false">IF(COUNTIF(Flows!$M$2:$M$1500,$A169&amp;"|"&amp;AV$1&amp;"|Input"),IF(COUNTIF(Flows!$M$2:$M$1500,$A169&amp;"|"&amp;AV$1&amp;"|Output"),"I/O","IN"),IF(COUNTIF(Flows!$M$2:$M$1500,$A169&amp;"|"&amp;AV$1&amp;"|Output"),"OUT",""))</f>
        <v/>
      </c>
      <c r="AW169" s="33" t="str">
        <f aca="false">IF(COUNTIF(Flows!$M$2:$M$1500,$A169&amp;"|"&amp;AW$1&amp;"|Input"),IF(COUNTIF(Flows!$M$2:$M$1500,$A169&amp;"|"&amp;AW$1&amp;"|Output"),"I/O","IN"),IF(COUNTIF(Flows!$M$2:$M$1500,$A169&amp;"|"&amp;AW$1&amp;"|Output"),"OUT",""))</f>
        <v/>
      </c>
      <c r="AX169" s="33" t="str">
        <f aca="false">IF(COUNTIF(Flows!$M$2:$M$1500,$A169&amp;"|"&amp;AX$1&amp;"|Input"),IF(COUNTIF(Flows!$M$2:$M$1500,$A169&amp;"|"&amp;AX$1&amp;"|Output"),"I/O","IN"),IF(COUNTIF(Flows!$M$2:$M$1500,$A169&amp;"|"&amp;AX$1&amp;"|Output"),"OUT",""))</f>
        <v/>
      </c>
      <c r="AY169" s="33" t="str">
        <f aca="false">IF(COUNTIF(Flows!$M$2:$M$1500,$A169&amp;"|"&amp;AY$1&amp;"|Input"),IF(COUNTIF(Flows!$M$2:$M$1500,$A169&amp;"|"&amp;AY$1&amp;"|Output"),"I/O","IN"),IF(COUNTIF(Flows!$M$2:$M$1500,$A169&amp;"|"&amp;AY$1&amp;"|Output"),"OUT",""))</f>
        <v/>
      </c>
      <c r="AZ169" s="33" t="str">
        <f aca="false">IF(COUNTIF(Flows!$M$2:$M$1500,$A169&amp;"|"&amp;AZ$1&amp;"|Input"),IF(COUNTIF(Flows!$M$2:$M$1500,$A169&amp;"|"&amp;AZ$1&amp;"|Output"),"I/O","IN"),IF(COUNTIF(Flows!$M$2:$M$1500,$A169&amp;"|"&amp;AZ$1&amp;"|Output"),"OUT",""))</f>
        <v/>
      </c>
      <c r="BA169" s="33" t="str">
        <f aca="false">IF(COUNTIF(Flows!$M$2:$M$1500,$A169&amp;"|"&amp;BA$1&amp;"|Input"),IF(COUNTIF(Flows!$M$2:$M$1500,$A169&amp;"|"&amp;BA$1&amp;"|Output"),"I/O","IN"),IF(COUNTIF(Flows!$M$2:$M$1500,$A169&amp;"|"&amp;BA$1&amp;"|Output"),"OUT",""))</f>
        <v/>
      </c>
      <c r="BB169" s="33" t="str">
        <f aca="false">IF(COUNTIF(Flows!$M$2:$M$1500,$A169&amp;"|"&amp;BB$1&amp;"|Input"),IF(COUNTIF(Flows!$M$2:$M$1500,$A169&amp;"|"&amp;BB$1&amp;"|Output"),"I/O","IN"),IF(COUNTIF(Flows!$M$2:$M$1500,$A169&amp;"|"&amp;BB$1&amp;"|Output"),"OUT",""))</f>
        <v>IN</v>
      </c>
      <c r="BC169" s="33" t="str">
        <f aca="false">IF(COUNTIF(Flows!$M$2:$M$1500,$A169&amp;"|"&amp;BC$1&amp;"|Input"),IF(COUNTIF(Flows!$M$2:$M$1500,$A169&amp;"|"&amp;BC$1&amp;"|Output"),"I/O","IN"),IF(COUNTIF(Flows!$M$2:$M$1500,$A169&amp;"|"&amp;BC$1&amp;"|Output"),"OUT",""))</f>
        <v/>
      </c>
      <c r="BD169" s="33" t="str">
        <f aca="false">IF(COUNTIF(Flows!$M$2:$M$1500,$A169&amp;"|"&amp;BD$1&amp;"|Input"),IF(COUNTIF(Flows!$M$2:$M$1500,$A169&amp;"|"&amp;BD$1&amp;"|Output"),"I/O","IN"),IF(COUNTIF(Flows!$M$2:$M$1500,$A169&amp;"|"&amp;BD$1&amp;"|Output"),"OUT",""))</f>
        <v/>
      </c>
      <c r="BE169" s="33" t="str">
        <f aca="false">IF(COUNTIF(Flows!$M$2:$M$1500,$A169&amp;"|"&amp;BE$1&amp;"|Input"),IF(COUNTIF(Flows!$M$2:$M$1500,$A169&amp;"|"&amp;BE$1&amp;"|Output"),"I/O","IN"),IF(COUNTIF(Flows!$M$2:$M$1500,$A169&amp;"|"&amp;BE$1&amp;"|Output"),"OUT",""))</f>
        <v/>
      </c>
      <c r="BF169" s="33" t="str">
        <f aca="false">IF(COUNTIF(Flows!$M$2:$M$1500,$A169&amp;"|"&amp;BF$1&amp;"|Input"),IF(COUNTIF(Flows!$M$2:$M$1500,$A169&amp;"|"&amp;BF$1&amp;"|Output"),"I/O","IN"),IF(COUNTIF(Flows!$M$2:$M$1500,$A169&amp;"|"&amp;BF$1&amp;"|Output"),"OUT",""))</f>
        <v/>
      </c>
      <c r="BG169" s="33" t="str">
        <f aca="false">IF(COUNTIF(Flows!$M$2:$M$1500,$A169&amp;"|"&amp;BG$1&amp;"|Input"),IF(COUNTIF(Flows!$M$2:$M$1500,$A169&amp;"|"&amp;BG$1&amp;"|Output"),"I/O","IN"),IF(COUNTIF(Flows!$M$2:$M$1500,$A169&amp;"|"&amp;BG$1&amp;"|Output"),"OUT",""))</f>
        <v/>
      </c>
      <c r="BH169" s="33" t="str">
        <f aca="false">IF(COUNTIF(Flows!$M$2:$M$1500,$A169&amp;"|"&amp;BH$1&amp;"|Input"),IF(COUNTIF(Flows!$M$2:$M$1500,$A169&amp;"|"&amp;BH$1&amp;"|Output"),"I/O","IN"),IF(COUNTIF(Flows!$M$2:$M$1500,$A169&amp;"|"&amp;BH$1&amp;"|Output"),"OUT",""))</f>
        <v/>
      </c>
      <c r="BI169" s="33" t="str">
        <f aca="false">IF(COUNTIF(Flows!$M$2:$M$1500,$A169&amp;"|"&amp;BI$1&amp;"|Input"),IF(COUNTIF(Flows!$M$2:$M$1500,$A169&amp;"|"&amp;BI$1&amp;"|Output"),"I/O","IN"),IF(COUNTIF(Flows!$M$2:$M$1500,$A169&amp;"|"&amp;BI$1&amp;"|Output"),"OUT",""))</f>
        <v>OUT</v>
      </c>
      <c r="BJ169" s="33" t="str">
        <f aca="false">IF(COUNTIF(Flows!$M$2:$M$1500,$A169&amp;"|"&amp;BJ$1&amp;"|Input"),IF(COUNTIF(Flows!$M$2:$M$1500,$A169&amp;"|"&amp;BJ$1&amp;"|Output"),"I/O","IN"),IF(COUNTIF(Flows!$M$2:$M$1500,$A169&amp;"|"&amp;BJ$1&amp;"|Output"),"OUT",""))</f>
        <v/>
      </c>
      <c r="BK169" s="33" t="str">
        <f aca="false">IF(COUNTIF(Flows!$M$2:$M$1500,$A169&amp;"|"&amp;BK$1&amp;"|Input"),IF(COUNTIF(Flows!$M$2:$M$1500,$A169&amp;"|"&amp;BK$1&amp;"|Output"),"I/O","IN"),IF(COUNTIF(Flows!$M$2:$M$1500,$A169&amp;"|"&amp;BK$1&amp;"|Output"),"OUT",""))</f>
        <v/>
      </c>
    </row>
    <row r="170" customFormat="false" ht="15" hidden="false" customHeight="true" outlineLevel="0" collapsed="false">
      <c r="A170" s="6" t="str">
        <f aca="false">Systems!B170</f>
        <v>Rain Barrel (55 gal)</v>
      </c>
      <c r="B170" s="33" t="str">
        <f aca="false">IF(COUNTIF(Flows!$M$2:$M$1500,$A170&amp;"|"&amp;B$1&amp;"|Input"),IF(COUNTIF(Flows!$M$2:$M$1500,$A170&amp;"|"&amp;B$1&amp;"|Output"),"I/O","IN"),IF(COUNTIF(Flows!$M$2:$M$1500,$A170&amp;"|"&amp;B$1&amp;"|Output"),"OUT",""))</f>
        <v>OUT</v>
      </c>
      <c r="C170" s="33" t="str">
        <f aca="false">IF(COUNTIF(Flows!$M$2:$M$1500,$A170&amp;"|"&amp;C$1&amp;"|Input"),IF(COUNTIF(Flows!$M$2:$M$1500,$A170&amp;"|"&amp;C$1&amp;"|Output"),"I/O","IN"),IF(COUNTIF(Flows!$M$2:$M$1500,$A170&amp;"|"&amp;C$1&amp;"|Output"),"OUT",""))</f>
        <v/>
      </c>
      <c r="D170" s="33" t="str">
        <f aca="false">IF(COUNTIF(Flows!$M$2:$M$1500,$A170&amp;"|"&amp;D$1&amp;"|Input"),IF(COUNTIF(Flows!$M$2:$M$1500,$A170&amp;"|"&amp;D$1&amp;"|Output"),"I/O","IN"),IF(COUNTIF(Flows!$M$2:$M$1500,$A170&amp;"|"&amp;D$1&amp;"|Output"),"OUT",""))</f>
        <v/>
      </c>
      <c r="E170" s="33" t="str">
        <f aca="false">IF(COUNTIF(Flows!$M$2:$M$1500,$A170&amp;"|"&amp;E$1&amp;"|Input"),IF(COUNTIF(Flows!$M$2:$M$1500,$A170&amp;"|"&amp;E$1&amp;"|Output"),"I/O","IN"),IF(COUNTIF(Flows!$M$2:$M$1500,$A170&amp;"|"&amp;E$1&amp;"|Output"),"OUT",""))</f>
        <v/>
      </c>
      <c r="F170" s="33" t="str">
        <f aca="false">IF(COUNTIF(Flows!$M$2:$M$1500,$A170&amp;"|"&amp;F$1&amp;"|Input"),IF(COUNTIF(Flows!$M$2:$M$1500,$A170&amp;"|"&amp;F$1&amp;"|Output"),"I/O","IN"),IF(COUNTIF(Flows!$M$2:$M$1500,$A170&amp;"|"&amp;F$1&amp;"|Output"),"OUT",""))</f>
        <v/>
      </c>
      <c r="G170" s="33" t="str">
        <f aca="false">IF(COUNTIF(Flows!$M$2:$M$1500,$A170&amp;"|"&amp;G$1&amp;"|Input"),IF(COUNTIF(Flows!$M$2:$M$1500,$A170&amp;"|"&amp;G$1&amp;"|Output"),"I/O","IN"),IF(COUNTIF(Flows!$M$2:$M$1500,$A170&amp;"|"&amp;G$1&amp;"|Output"),"OUT",""))</f>
        <v/>
      </c>
      <c r="H170" s="33" t="str">
        <f aca="false">IF(COUNTIF(Flows!$M$2:$M$1500,$A170&amp;"|"&amp;H$1&amp;"|Input"),IF(COUNTIF(Flows!$M$2:$M$1500,$A170&amp;"|"&amp;H$1&amp;"|Output"),"I/O","IN"),IF(COUNTIF(Flows!$M$2:$M$1500,$A170&amp;"|"&amp;H$1&amp;"|Output"),"OUT",""))</f>
        <v/>
      </c>
      <c r="I170" s="33" t="str">
        <f aca="false">IF(COUNTIF(Flows!$M$2:$M$1500,$A170&amp;"|"&amp;I$1&amp;"|Input"),IF(COUNTIF(Flows!$M$2:$M$1500,$A170&amp;"|"&amp;I$1&amp;"|Output"),"I/O","IN"),IF(COUNTIF(Flows!$M$2:$M$1500,$A170&amp;"|"&amp;I$1&amp;"|Output"),"OUT",""))</f>
        <v/>
      </c>
      <c r="J170" s="33" t="str">
        <f aca="false">IF(COUNTIF(Flows!$M$2:$M$1500,$A170&amp;"|"&amp;J$1&amp;"|Input"),IF(COUNTIF(Flows!$M$2:$M$1500,$A170&amp;"|"&amp;J$1&amp;"|Output"),"I/O","IN"),IF(COUNTIF(Flows!$M$2:$M$1500,$A170&amp;"|"&amp;J$1&amp;"|Output"),"OUT",""))</f>
        <v/>
      </c>
      <c r="K170" s="33" t="str">
        <f aca="false">IF(COUNTIF(Flows!$M$2:$M$1500,$A170&amp;"|"&amp;K$1&amp;"|Input"),IF(COUNTIF(Flows!$M$2:$M$1500,$A170&amp;"|"&amp;K$1&amp;"|Output"),"I/O","IN"),IF(COUNTIF(Flows!$M$2:$M$1500,$A170&amp;"|"&amp;K$1&amp;"|Output"),"OUT",""))</f>
        <v/>
      </c>
      <c r="L170" s="33" t="str">
        <f aca="false">IF(COUNTIF(Flows!$M$2:$M$1500,$A170&amp;"|"&amp;L$1&amp;"|Input"),IF(COUNTIF(Flows!$M$2:$M$1500,$A170&amp;"|"&amp;L$1&amp;"|Output"),"I/O","IN"),IF(COUNTIF(Flows!$M$2:$M$1500,$A170&amp;"|"&amp;L$1&amp;"|Output"),"OUT",""))</f>
        <v/>
      </c>
      <c r="M170" s="33" t="str">
        <f aca="false">IF(COUNTIF(Flows!$M$2:$M$1500,$A170&amp;"|"&amp;M$1&amp;"|Input"),IF(COUNTIF(Flows!$M$2:$M$1500,$A170&amp;"|"&amp;M$1&amp;"|Output"),"I/O","IN"),IF(COUNTIF(Flows!$M$2:$M$1500,$A170&amp;"|"&amp;M$1&amp;"|Output"),"OUT",""))</f>
        <v/>
      </c>
      <c r="N170" s="33" t="str">
        <f aca="false">IF(COUNTIF(Flows!$M$2:$M$1500,$A170&amp;"|"&amp;N$1&amp;"|Input"),IF(COUNTIF(Flows!$M$2:$M$1500,$A170&amp;"|"&amp;N$1&amp;"|Output"),"I/O","IN"),IF(COUNTIF(Flows!$M$2:$M$1500,$A170&amp;"|"&amp;N$1&amp;"|Output"),"OUT",""))</f>
        <v/>
      </c>
      <c r="O170" s="33" t="str">
        <f aca="false">IF(COUNTIF(Flows!$M$2:$M$1500,$A170&amp;"|"&amp;O$1&amp;"|Input"),IF(COUNTIF(Flows!$M$2:$M$1500,$A170&amp;"|"&amp;O$1&amp;"|Output"),"I/O","IN"),IF(COUNTIF(Flows!$M$2:$M$1500,$A170&amp;"|"&amp;O$1&amp;"|Output"),"OUT",""))</f>
        <v/>
      </c>
      <c r="P170" s="33" t="str">
        <f aca="false">IF(COUNTIF(Flows!$M$2:$M$1500,$A170&amp;"|"&amp;P$1&amp;"|Input"),IF(COUNTIF(Flows!$M$2:$M$1500,$A170&amp;"|"&amp;P$1&amp;"|Output"),"I/O","IN"),IF(COUNTIF(Flows!$M$2:$M$1500,$A170&amp;"|"&amp;P$1&amp;"|Output"),"OUT",""))</f>
        <v/>
      </c>
      <c r="Q170" s="33" t="str">
        <f aca="false">IF(COUNTIF(Flows!$M$2:$M$1500,$A170&amp;"|"&amp;Q$1&amp;"|Input"),IF(COUNTIF(Flows!$M$2:$M$1500,$A170&amp;"|"&amp;Q$1&amp;"|Output"),"I/O","IN"),IF(COUNTIF(Flows!$M$2:$M$1500,$A170&amp;"|"&amp;Q$1&amp;"|Output"),"OUT",""))</f>
        <v/>
      </c>
      <c r="R170" s="33" t="str">
        <f aca="false">IF(COUNTIF(Flows!$M$2:$M$1500,$A170&amp;"|"&amp;R$1&amp;"|Input"),IF(COUNTIF(Flows!$M$2:$M$1500,$A170&amp;"|"&amp;R$1&amp;"|Output"),"I/O","IN"),IF(COUNTIF(Flows!$M$2:$M$1500,$A170&amp;"|"&amp;R$1&amp;"|Output"),"OUT",""))</f>
        <v/>
      </c>
      <c r="S170" s="33" t="str">
        <f aca="false">IF(COUNTIF(Flows!$M$2:$M$1500,$A170&amp;"|"&amp;S$1&amp;"|Input"),IF(COUNTIF(Flows!$M$2:$M$1500,$A170&amp;"|"&amp;S$1&amp;"|Output"),"I/O","IN"),IF(COUNTIF(Flows!$M$2:$M$1500,$A170&amp;"|"&amp;S$1&amp;"|Output"),"OUT",""))</f>
        <v/>
      </c>
      <c r="T170" s="33" t="str">
        <f aca="false">IF(COUNTIF(Flows!$M$2:$M$1500,$A170&amp;"|"&amp;T$1&amp;"|Input"),IF(COUNTIF(Flows!$M$2:$M$1500,$A170&amp;"|"&amp;T$1&amp;"|Output"),"I/O","IN"),IF(COUNTIF(Flows!$M$2:$M$1500,$A170&amp;"|"&amp;T$1&amp;"|Output"),"OUT",""))</f>
        <v/>
      </c>
      <c r="U170" s="33" t="str">
        <f aca="false">IF(COUNTIF(Flows!$M$2:$M$1500,$A170&amp;"|"&amp;U$1&amp;"|Input"),IF(COUNTIF(Flows!$M$2:$M$1500,$A170&amp;"|"&amp;U$1&amp;"|Output"),"I/O","IN"),IF(COUNTIF(Flows!$M$2:$M$1500,$A170&amp;"|"&amp;U$1&amp;"|Output"),"OUT",""))</f>
        <v/>
      </c>
      <c r="V170" s="33" t="str">
        <f aca="false">IF(COUNTIF(Flows!$M$2:$M$1500,$A170&amp;"|"&amp;V$1&amp;"|Input"),IF(COUNTIF(Flows!$M$2:$M$1500,$A170&amp;"|"&amp;V$1&amp;"|Output"),"I/O","IN"),IF(COUNTIF(Flows!$M$2:$M$1500,$A170&amp;"|"&amp;V$1&amp;"|Output"),"OUT",""))</f>
        <v/>
      </c>
      <c r="W170" s="33" t="str">
        <f aca="false">IF(COUNTIF(Flows!$M$2:$M$1500,$A170&amp;"|"&amp;W$1&amp;"|Input"),IF(COUNTIF(Flows!$M$2:$M$1500,$A170&amp;"|"&amp;W$1&amp;"|Output"),"I/O","IN"),IF(COUNTIF(Flows!$M$2:$M$1500,$A170&amp;"|"&amp;W$1&amp;"|Output"),"OUT",""))</f>
        <v/>
      </c>
      <c r="X170" s="33" t="str">
        <f aca="false">IF(COUNTIF(Flows!$M$2:$M$1500,$A170&amp;"|"&amp;X$1&amp;"|Input"),IF(COUNTIF(Flows!$M$2:$M$1500,$A170&amp;"|"&amp;X$1&amp;"|Output"),"I/O","IN"),IF(COUNTIF(Flows!$M$2:$M$1500,$A170&amp;"|"&amp;X$1&amp;"|Output"),"OUT",""))</f>
        <v>IN</v>
      </c>
      <c r="Y170" s="33" t="str">
        <f aca="false">IF(COUNTIF(Flows!$M$2:$M$1500,$A170&amp;"|"&amp;Y$1&amp;"|Input"),IF(COUNTIF(Flows!$M$2:$M$1500,$A170&amp;"|"&amp;Y$1&amp;"|Output"),"I/O","IN"),IF(COUNTIF(Flows!$M$2:$M$1500,$A170&amp;"|"&amp;Y$1&amp;"|Output"),"OUT",""))</f>
        <v/>
      </c>
      <c r="Z170" s="33" t="str">
        <f aca="false">IF(COUNTIF(Flows!$M$2:$M$1500,$A170&amp;"|"&amp;Z$1&amp;"|Input"),IF(COUNTIF(Flows!$M$2:$M$1500,$A170&amp;"|"&amp;Z$1&amp;"|Output"),"I/O","IN"),IF(COUNTIF(Flows!$M$2:$M$1500,$A170&amp;"|"&amp;Z$1&amp;"|Output"),"OUT",""))</f>
        <v/>
      </c>
      <c r="AA170" s="33" t="str">
        <f aca="false">IF(COUNTIF(Flows!$M$2:$M$1500,$A170&amp;"|"&amp;AA$1&amp;"|Input"),IF(COUNTIF(Flows!$M$2:$M$1500,$A170&amp;"|"&amp;AA$1&amp;"|Output"),"I/O","IN"),IF(COUNTIF(Flows!$M$2:$M$1500,$A170&amp;"|"&amp;AA$1&amp;"|Output"),"OUT",""))</f>
        <v>IN</v>
      </c>
      <c r="AB170" s="33" t="str">
        <f aca="false">IF(COUNTIF(Flows!$M$2:$M$1500,$A170&amp;"|"&amp;AB$1&amp;"|Input"),IF(COUNTIF(Flows!$M$2:$M$1500,$A170&amp;"|"&amp;AB$1&amp;"|Output"),"I/O","IN"),IF(COUNTIF(Flows!$M$2:$M$1500,$A170&amp;"|"&amp;AB$1&amp;"|Output"),"OUT",""))</f>
        <v/>
      </c>
      <c r="AC170" s="33" t="str">
        <f aca="false">IF(COUNTIF(Flows!$M$2:$M$1500,$A170&amp;"|"&amp;AC$1&amp;"|Input"),IF(COUNTIF(Flows!$M$2:$M$1500,$A170&amp;"|"&amp;AC$1&amp;"|Output"),"I/O","IN"),IF(COUNTIF(Flows!$M$2:$M$1500,$A170&amp;"|"&amp;AC$1&amp;"|Output"),"OUT",""))</f>
        <v/>
      </c>
      <c r="AD170" s="33" t="str">
        <f aca="false">IF(COUNTIF(Flows!$M$2:$M$1500,$A170&amp;"|"&amp;AD$1&amp;"|Input"),IF(COUNTIF(Flows!$M$2:$M$1500,$A170&amp;"|"&amp;AD$1&amp;"|Output"),"I/O","IN"),IF(COUNTIF(Flows!$M$2:$M$1500,$A170&amp;"|"&amp;AD$1&amp;"|Output"),"OUT",""))</f>
        <v/>
      </c>
      <c r="AE170" s="33" t="str">
        <f aca="false">IF(COUNTIF(Flows!$M$2:$M$1500,$A170&amp;"|"&amp;AE$1&amp;"|Input"),IF(COUNTIF(Flows!$M$2:$M$1500,$A170&amp;"|"&amp;AE$1&amp;"|Output"),"I/O","IN"),IF(COUNTIF(Flows!$M$2:$M$1500,$A170&amp;"|"&amp;AE$1&amp;"|Output"),"OUT",""))</f>
        <v>OUT</v>
      </c>
      <c r="AF170" s="33" t="str">
        <f aca="false">IF(COUNTIF(Flows!$M$2:$M$1500,$A170&amp;"|"&amp;AF$1&amp;"|Input"),IF(COUNTIF(Flows!$M$2:$M$1500,$A170&amp;"|"&amp;AF$1&amp;"|Output"),"I/O","IN"),IF(COUNTIF(Flows!$M$2:$M$1500,$A170&amp;"|"&amp;AF$1&amp;"|Output"),"OUT",""))</f>
        <v/>
      </c>
      <c r="AG170" s="33" t="str">
        <f aca="false">IF(COUNTIF(Flows!$M$2:$M$1500,$A170&amp;"|"&amp;AG$1&amp;"|Input"),IF(COUNTIF(Flows!$M$2:$M$1500,$A170&amp;"|"&amp;AG$1&amp;"|Output"),"I/O","IN"),IF(COUNTIF(Flows!$M$2:$M$1500,$A170&amp;"|"&amp;AG$1&amp;"|Output"),"OUT",""))</f>
        <v/>
      </c>
      <c r="AH170" s="33" t="str">
        <f aca="false">IF(COUNTIF(Flows!$M$2:$M$1500,$A170&amp;"|"&amp;AH$1&amp;"|Input"),IF(COUNTIF(Flows!$M$2:$M$1500,$A170&amp;"|"&amp;AH$1&amp;"|Output"),"I/O","IN"),IF(COUNTIF(Flows!$M$2:$M$1500,$A170&amp;"|"&amp;AH$1&amp;"|Output"),"OUT",""))</f>
        <v/>
      </c>
      <c r="AI170" s="33" t="str">
        <f aca="false">IF(COUNTIF(Flows!$M$2:$M$1500,$A170&amp;"|"&amp;AI$1&amp;"|Input"),IF(COUNTIF(Flows!$M$2:$M$1500,$A170&amp;"|"&amp;AI$1&amp;"|Output"),"I/O","IN"),IF(COUNTIF(Flows!$M$2:$M$1500,$A170&amp;"|"&amp;AI$1&amp;"|Output"),"OUT",""))</f>
        <v/>
      </c>
      <c r="AJ170" s="33" t="str">
        <f aca="false">IF(COUNTIF(Flows!$M$2:$M$1500,$A170&amp;"|"&amp;AJ$1&amp;"|Input"),IF(COUNTIF(Flows!$M$2:$M$1500,$A170&amp;"|"&amp;AJ$1&amp;"|Output"),"I/O","IN"),IF(COUNTIF(Flows!$M$2:$M$1500,$A170&amp;"|"&amp;AJ$1&amp;"|Output"),"OUT",""))</f>
        <v/>
      </c>
      <c r="AK170" s="33" t="str">
        <f aca="false">IF(COUNTIF(Flows!$M$2:$M$1500,$A170&amp;"|"&amp;AK$1&amp;"|Input"),IF(COUNTIF(Flows!$M$2:$M$1500,$A170&amp;"|"&amp;AK$1&amp;"|Output"),"I/O","IN"),IF(COUNTIF(Flows!$M$2:$M$1500,$A170&amp;"|"&amp;AK$1&amp;"|Output"),"OUT",""))</f>
        <v/>
      </c>
      <c r="AL170" s="33" t="str">
        <f aca="false">IF(COUNTIF(Flows!$M$2:$M$1500,$A170&amp;"|"&amp;AL$1&amp;"|Input"),IF(COUNTIF(Flows!$M$2:$M$1500,$A170&amp;"|"&amp;AL$1&amp;"|Output"),"I/O","IN"),IF(COUNTIF(Flows!$M$2:$M$1500,$A170&amp;"|"&amp;AL$1&amp;"|Output"),"OUT",""))</f>
        <v/>
      </c>
      <c r="AM170" s="33" t="str">
        <f aca="false">IF(COUNTIF(Flows!$M$2:$M$1500,$A170&amp;"|"&amp;AM$1&amp;"|Input"),IF(COUNTIF(Flows!$M$2:$M$1500,$A170&amp;"|"&amp;AM$1&amp;"|Output"),"I/O","IN"),IF(COUNTIF(Flows!$M$2:$M$1500,$A170&amp;"|"&amp;AM$1&amp;"|Output"),"OUT",""))</f>
        <v/>
      </c>
      <c r="AN170" s="33" t="str">
        <f aca="false">IF(COUNTIF(Flows!$M$2:$M$1500,$A170&amp;"|"&amp;AN$1&amp;"|Input"),IF(COUNTIF(Flows!$M$2:$M$1500,$A170&amp;"|"&amp;AN$1&amp;"|Output"),"I/O","IN"),IF(COUNTIF(Flows!$M$2:$M$1500,$A170&amp;"|"&amp;AN$1&amp;"|Output"),"OUT",""))</f>
        <v/>
      </c>
      <c r="AO170" s="33" t="str">
        <f aca="false">IF(COUNTIF(Flows!$M$2:$M$1500,$A170&amp;"|"&amp;AO$1&amp;"|Input"),IF(COUNTIF(Flows!$M$2:$M$1500,$A170&amp;"|"&amp;AO$1&amp;"|Output"),"I/O","IN"),IF(COUNTIF(Flows!$M$2:$M$1500,$A170&amp;"|"&amp;AO$1&amp;"|Output"),"OUT",""))</f>
        <v/>
      </c>
      <c r="AP170" s="33" t="str">
        <f aca="false">IF(COUNTIF(Flows!$M$2:$M$1500,$A170&amp;"|"&amp;AP$1&amp;"|Input"),IF(COUNTIF(Flows!$M$2:$M$1500,$A170&amp;"|"&amp;AP$1&amp;"|Output"),"I/O","IN"),IF(COUNTIF(Flows!$M$2:$M$1500,$A170&amp;"|"&amp;AP$1&amp;"|Output"),"OUT",""))</f>
        <v/>
      </c>
      <c r="AQ170" s="33" t="str">
        <f aca="false">IF(COUNTIF(Flows!$M$2:$M$1500,$A170&amp;"|"&amp;AQ$1&amp;"|Input"),IF(COUNTIF(Flows!$M$2:$M$1500,$A170&amp;"|"&amp;AQ$1&amp;"|Output"),"I/O","IN"),IF(COUNTIF(Flows!$M$2:$M$1500,$A170&amp;"|"&amp;AQ$1&amp;"|Output"),"OUT",""))</f>
        <v/>
      </c>
      <c r="AR170" s="33" t="str">
        <f aca="false">IF(COUNTIF(Flows!$M$2:$M$1500,$A170&amp;"|"&amp;AR$1&amp;"|Input"),IF(COUNTIF(Flows!$M$2:$M$1500,$A170&amp;"|"&amp;AR$1&amp;"|Output"),"I/O","IN"),IF(COUNTIF(Flows!$M$2:$M$1500,$A170&amp;"|"&amp;AR$1&amp;"|Output"),"OUT",""))</f>
        <v/>
      </c>
      <c r="AS170" s="33" t="str">
        <f aca="false">IF(COUNTIF(Flows!$M$2:$M$1500,$A170&amp;"|"&amp;AS$1&amp;"|Input"),IF(COUNTIF(Flows!$M$2:$M$1500,$A170&amp;"|"&amp;AS$1&amp;"|Output"),"I/O","IN"),IF(COUNTIF(Flows!$M$2:$M$1500,$A170&amp;"|"&amp;AS$1&amp;"|Output"),"OUT",""))</f>
        <v/>
      </c>
      <c r="AT170" s="33" t="str">
        <f aca="false">IF(COUNTIF(Flows!$M$2:$M$1500,$A170&amp;"|"&amp;AT$1&amp;"|Input"),IF(COUNTIF(Flows!$M$2:$M$1500,$A170&amp;"|"&amp;AT$1&amp;"|Output"),"I/O","IN"),IF(COUNTIF(Flows!$M$2:$M$1500,$A170&amp;"|"&amp;AT$1&amp;"|Output"),"OUT",""))</f>
        <v/>
      </c>
      <c r="AU170" s="33" t="str">
        <f aca="false">IF(COUNTIF(Flows!$M$2:$M$1500,$A170&amp;"|"&amp;AU$1&amp;"|Input"),IF(COUNTIF(Flows!$M$2:$M$1500,$A170&amp;"|"&amp;AU$1&amp;"|Output"),"I/O","IN"),IF(COUNTIF(Flows!$M$2:$M$1500,$A170&amp;"|"&amp;AU$1&amp;"|Output"),"OUT",""))</f>
        <v/>
      </c>
      <c r="AV170" s="33" t="str">
        <f aca="false">IF(COUNTIF(Flows!$M$2:$M$1500,$A170&amp;"|"&amp;AV$1&amp;"|Input"),IF(COUNTIF(Flows!$M$2:$M$1500,$A170&amp;"|"&amp;AV$1&amp;"|Output"),"I/O","IN"),IF(COUNTIF(Flows!$M$2:$M$1500,$A170&amp;"|"&amp;AV$1&amp;"|Output"),"OUT",""))</f>
        <v/>
      </c>
      <c r="AW170" s="33" t="str">
        <f aca="false">IF(COUNTIF(Flows!$M$2:$M$1500,$A170&amp;"|"&amp;AW$1&amp;"|Input"),IF(COUNTIF(Flows!$M$2:$M$1500,$A170&amp;"|"&amp;AW$1&amp;"|Output"),"I/O","IN"),IF(COUNTIF(Flows!$M$2:$M$1500,$A170&amp;"|"&amp;AW$1&amp;"|Output"),"OUT",""))</f>
        <v/>
      </c>
      <c r="AX170" s="33" t="str">
        <f aca="false">IF(COUNTIF(Flows!$M$2:$M$1500,$A170&amp;"|"&amp;AX$1&amp;"|Input"),IF(COUNTIF(Flows!$M$2:$M$1500,$A170&amp;"|"&amp;AX$1&amp;"|Output"),"I/O","IN"),IF(COUNTIF(Flows!$M$2:$M$1500,$A170&amp;"|"&amp;AX$1&amp;"|Output"),"OUT",""))</f>
        <v/>
      </c>
      <c r="AY170" s="33" t="str">
        <f aca="false">IF(COUNTIF(Flows!$M$2:$M$1500,$A170&amp;"|"&amp;AY$1&amp;"|Input"),IF(COUNTIF(Flows!$M$2:$M$1500,$A170&amp;"|"&amp;AY$1&amp;"|Output"),"I/O","IN"),IF(COUNTIF(Flows!$M$2:$M$1500,$A170&amp;"|"&amp;AY$1&amp;"|Output"),"OUT",""))</f>
        <v/>
      </c>
      <c r="AZ170" s="33" t="str">
        <f aca="false">IF(COUNTIF(Flows!$M$2:$M$1500,$A170&amp;"|"&amp;AZ$1&amp;"|Input"),IF(COUNTIF(Flows!$M$2:$M$1500,$A170&amp;"|"&amp;AZ$1&amp;"|Output"),"I/O","IN"),IF(COUNTIF(Flows!$M$2:$M$1500,$A170&amp;"|"&amp;AZ$1&amp;"|Output"),"OUT",""))</f>
        <v/>
      </c>
      <c r="BA170" s="33" t="str">
        <f aca="false">IF(COUNTIF(Flows!$M$2:$M$1500,$A170&amp;"|"&amp;BA$1&amp;"|Input"),IF(COUNTIF(Flows!$M$2:$M$1500,$A170&amp;"|"&amp;BA$1&amp;"|Output"),"I/O","IN"),IF(COUNTIF(Flows!$M$2:$M$1500,$A170&amp;"|"&amp;BA$1&amp;"|Output"),"OUT",""))</f>
        <v/>
      </c>
      <c r="BB170" s="33" t="str">
        <f aca="false">IF(COUNTIF(Flows!$M$2:$M$1500,$A170&amp;"|"&amp;BB$1&amp;"|Input"),IF(COUNTIF(Flows!$M$2:$M$1500,$A170&amp;"|"&amp;BB$1&amp;"|Output"),"I/O","IN"),IF(COUNTIF(Flows!$M$2:$M$1500,$A170&amp;"|"&amp;BB$1&amp;"|Output"),"OUT",""))</f>
        <v/>
      </c>
      <c r="BC170" s="33" t="str">
        <f aca="false">IF(COUNTIF(Flows!$M$2:$M$1500,$A170&amp;"|"&amp;BC$1&amp;"|Input"),IF(COUNTIF(Flows!$M$2:$M$1500,$A170&amp;"|"&amp;BC$1&amp;"|Output"),"I/O","IN"),IF(COUNTIF(Flows!$M$2:$M$1500,$A170&amp;"|"&amp;BC$1&amp;"|Output"),"OUT",""))</f>
        <v/>
      </c>
      <c r="BD170" s="33" t="str">
        <f aca="false">IF(COUNTIF(Flows!$M$2:$M$1500,$A170&amp;"|"&amp;BD$1&amp;"|Input"),IF(COUNTIF(Flows!$M$2:$M$1500,$A170&amp;"|"&amp;BD$1&amp;"|Output"),"I/O","IN"),IF(COUNTIF(Flows!$M$2:$M$1500,$A170&amp;"|"&amp;BD$1&amp;"|Output"),"OUT",""))</f>
        <v/>
      </c>
      <c r="BE170" s="33" t="str">
        <f aca="false">IF(COUNTIF(Flows!$M$2:$M$1500,$A170&amp;"|"&amp;BE$1&amp;"|Input"),IF(COUNTIF(Flows!$M$2:$M$1500,$A170&amp;"|"&amp;BE$1&amp;"|Output"),"I/O","IN"),IF(COUNTIF(Flows!$M$2:$M$1500,$A170&amp;"|"&amp;BE$1&amp;"|Output"),"OUT",""))</f>
        <v/>
      </c>
      <c r="BF170" s="33" t="str">
        <f aca="false">IF(COUNTIF(Flows!$M$2:$M$1500,$A170&amp;"|"&amp;BF$1&amp;"|Input"),IF(COUNTIF(Flows!$M$2:$M$1500,$A170&amp;"|"&amp;BF$1&amp;"|Output"),"I/O","IN"),IF(COUNTIF(Flows!$M$2:$M$1500,$A170&amp;"|"&amp;BF$1&amp;"|Output"),"OUT",""))</f>
        <v/>
      </c>
      <c r="BG170" s="33" t="str">
        <f aca="false">IF(COUNTIF(Flows!$M$2:$M$1500,$A170&amp;"|"&amp;BG$1&amp;"|Input"),IF(COUNTIF(Flows!$M$2:$M$1500,$A170&amp;"|"&amp;BG$1&amp;"|Output"),"I/O","IN"),IF(COUNTIF(Flows!$M$2:$M$1500,$A170&amp;"|"&amp;BG$1&amp;"|Output"),"OUT",""))</f>
        <v/>
      </c>
      <c r="BH170" s="33" t="str">
        <f aca="false">IF(COUNTIF(Flows!$M$2:$M$1500,$A170&amp;"|"&amp;BH$1&amp;"|Input"),IF(COUNTIF(Flows!$M$2:$M$1500,$A170&amp;"|"&amp;BH$1&amp;"|Output"),"I/O","IN"),IF(COUNTIF(Flows!$M$2:$M$1500,$A170&amp;"|"&amp;BH$1&amp;"|Output"),"OUT",""))</f>
        <v/>
      </c>
      <c r="BI170" s="33" t="str">
        <f aca="false">IF(COUNTIF(Flows!$M$2:$M$1500,$A170&amp;"|"&amp;BI$1&amp;"|Input"),IF(COUNTIF(Flows!$M$2:$M$1500,$A170&amp;"|"&amp;BI$1&amp;"|Output"),"I/O","IN"),IF(COUNTIF(Flows!$M$2:$M$1500,$A170&amp;"|"&amp;BI$1&amp;"|Output"),"OUT",""))</f>
        <v/>
      </c>
      <c r="BJ170" s="33" t="str">
        <f aca="false">IF(COUNTIF(Flows!$M$2:$M$1500,$A170&amp;"|"&amp;BJ$1&amp;"|Input"),IF(COUNTIF(Flows!$M$2:$M$1500,$A170&amp;"|"&amp;BJ$1&amp;"|Output"),"I/O","IN"),IF(COUNTIF(Flows!$M$2:$M$1500,$A170&amp;"|"&amp;BJ$1&amp;"|Output"),"OUT",""))</f>
        <v/>
      </c>
      <c r="BK170" s="33" t="str">
        <f aca="false">IF(COUNTIF(Flows!$M$2:$M$1500,$A170&amp;"|"&amp;BK$1&amp;"|Input"),IF(COUNTIF(Flows!$M$2:$M$1500,$A170&amp;"|"&amp;BK$1&amp;"|Output"),"I/O","IN"),IF(COUNTIF(Flows!$M$2:$M$1500,$A170&amp;"|"&amp;BK$1&amp;"|Output"),"OUT",""))</f>
        <v/>
      </c>
    </row>
    <row r="171" customFormat="false" ht="15" hidden="false" customHeight="true" outlineLevel="0" collapsed="false">
      <c r="A171" s="6" t="str">
        <f aca="false">Systems!B171</f>
        <v>Pellet Mill (small)</v>
      </c>
      <c r="B171" s="33" t="str">
        <f aca="false">IF(COUNTIF(Flows!$M$2:$M$1500,$A171&amp;"|"&amp;B$1&amp;"|Input"),IF(COUNTIF(Flows!$M$2:$M$1500,$A171&amp;"|"&amp;B$1&amp;"|Output"),"I/O","IN"),IF(COUNTIF(Flows!$M$2:$M$1500,$A171&amp;"|"&amp;B$1&amp;"|Output"),"OUT",""))</f>
        <v/>
      </c>
      <c r="C171" s="33" t="str">
        <f aca="false">IF(COUNTIF(Flows!$M$2:$M$1500,$A171&amp;"|"&amp;C$1&amp;"|Input"),IF(COUNTIF(Flows!$M$2:$M$1500,$A171&amp;"|"&amp;C$1&amp;"|Output"),"I/O","IN"),IF(COUNTIF(Flows!$M$2:$M$1500,$A171&amp;"|"&amp;C$1&amp;"|Output"),"OUT",""))</f>
        <v/>
      </c>
      <c r="D171" s="33" t="str">
        <f aca="false">IF(COUNTIF(Flows!$M$2:$M$1500,$A171&amp;"|"&amp;D$1&amp;"|Input"),IF(COUNTIF(Flows!$M$2:$M$1500,$A171&amp;"|"&amp;D$1&amp;"|Output"),"I/O","IN"),IF(COUNTIF(Flows!$M$2:$M$1500,$A171&amp;"|"&amp;D$1&amp;"|Output"),"OUT",""))</f>
        <v/>
      </c>
      <c r="E171" s="33" t="str">
        <f aca="false">IF(COUNTIF(Flows!$M$2:$M$1500,$A171&amp;"|"&amp;E$1&amp;"|Input"),IF(COUNTIF(Flows!$M$2:$M$1500,$A171&amp;"|"&amp;E$1&amp;"|Output"),"I/O","IN"),IF(COUNTIF(Flows!$M$2:$M$1500,$A171&amp;"|"&amp;E$1&amp;"|Output"),"OUT",""))</f>
        <v/>
      </c>
      <c r="F171" s="33" t="str">
        <f aca="false">IF(COUNTIF(Flows!$M$2:$M$1500,$A171&amp;"|"&amp;F$1&amp;"|Input"),IF(COUNTIF(Flows!$M$2:$M$1500,$A171&amp;"|"&amp;F$1&amp;"|Output"),"I/O","IN"),IF(COUNTIF(Flows!$M$2:$M$1500,$A171&amp;"|"&amp;F$1&amp;"|Output"),"OUT",""))</f>
        <v/>
      </c>
      <c r="G171" s="33" t="str">
        <f aca="false">IF(COUNTIF(Flows!$M$2:$M$1500,$A171&amp;"|"&amp;G$1&amp;"|Input"),IF(COUNTIF(Flows!$M$2:$M$1500,$A171&amp;"|"&amp;G$1&amp;"|Output"),"I/O","IN"),IF(COUNTIF(Flows!$M$2:$M$1500,$A171&amp;"|"&amp;G$1&amp;"|Output"),"OUT",""))</f>
        <v/>
      </c>
      <c r="H171" s="33" t="str">
        <f aca="false">IF(COUNTIF(Flows!$M$2:$M$1500,$A171&amp;"|"&amp;H$1&amp;"|Input"),IF(COUNTIF(Flows!$M$2:$M$1500,$A171&amp;"|"&amp;H$1&amp;"|Output"),"I/O","IN"),IF(COUNTIF(Flows!$M$2:$M$1500,$A171&amp;"|"&amp;H$1&amp;"|Output"),"OUT",""))</f>
        <v/>
      </c>
      <c r="I171" s="33" t="str">
        <f aca="false">IF(COUNTIF(Flows!$M$2:$M$1500,$A171&amp;"|"&amp;I$1&amp;"|Input"),IF(COUNTIF(Flows!$M$2:$M$1500,$A171&amp;"|"&amp;I$1&amp;"|Output"),"I/O","IN"),IF(COUNTIF(Flows!$M$2:$M$1500,$A171&amp;"|"&amp;I$1&amp;"|Output"),"OUT",""))</f>
        <v/>
      </c>
      <c r="J171" s="33" t="str">
        <f aca="false">IF(COUNTIF(Flows!$M$2:$M$1500,$A171&amp;"|"&amp;J$1&amp;"|Input"),IF(COUNTIF(Flows!$M$2:$M$1500,$A171&amp;"|"&amp;J$1&amp;"|Output"),"I/O","IN"),IF(COUNTIF(Flows!$M$2:$M$1500,$A171&amp;"|"&amp;J$1&amp;"|Output"),"OUT",""))</f>
        <v/>
      </c>
      <c r="K171" s="33" t="str">
        <f aca="false">IF(COUNTIF(Flows!$M$2:$M$1500,$A171&amp;"|"&amp;K$1&amp;"|Input"),IF(COUNTIF(Flows!$M$2:$M$1500,$A171&amp;"|"&amp;K$1&amp;"|Output"),"I/O","IN"),IF(COUNTIF(Flows!$M$2:$M$1500,$A171&amp;"|"&amp;K$1&amp;"|Output"),"OUT",""))</f>
        <v/>
      </c>
      <c r="L171" s="33" t="str">
        <f aca="false">IF(COUNTIF(Flows!$M$2:$M$1500,$A171&amp;"|"&amp;L$1&amp;"|Input"),IF(COUNTIF(Flows!$M$2:$M$1500,$A171&amp;"|"&amp;L$1&amp;"|Output"),"I/O","IN"),IF(COUNTIF(Flows!$M$2:$M$1500,$A171&amp;"|"&amp;L$1&amp;"|Output"),"OUT",""))</f>
        <v/>
      </c>
      <c r="M171" s="33" t="str">
        <f aca="false">IF(COUNTIF(Flows!$M$2:$M$1500,$A171&amp;"|"&amp;M$1&amp;"|Input"),IF(COUNTIF(Flows!$M$2:$M$1500,$A171&amp;"|"&amp;M$1&amp;"|Output"),"I/O","IN"),IF(COUNTIF(Flows!$M$2:$M$1500,$A171&amp;"|"&amp;M$1&amp;"|Output"),"OUT",""))</f>
        <v/>
      </c>
      <c r="N171" s="33" t="str">
        <f aca="false">IF(COUNTIF(Flows!$M$2:$M$1500,$A171&amp;"|"&amp;N$1&amp;"|Input"),IF(COUNTIF(Flows!$M$2:$M$1500,$A171&amp;"|"&amp;N$1&amp;"|Output"),"I/O","IN"),IF(COUNTIF(Flows!$M$2:$M$1500,$A171&amp;"|"&amp;N$1&amp;"|Output"),"OUT",""))</f>
        <v/>
      </c>
      <c r="O171" s="33" t="str">
        <f aca="false">IF(COUNTIF(Flows!$M$2:$M$1500,$A171&amp;"|"&amp;O$1&amp;"|Input"),IF(COUNTIF(Flows!$M$2:$M$1500,$A171&amp;"|"&amp;O$1&amp;"|Output"),"I/O","IN"),IF(COUNTIF(Flows!$M$2:$M$1500,$A171&amp;"|"&amp;O$1&amp;"|Output"),"OUT",""))</f>
        <v/>
      </c>
      <c r="P171" s="33" t="str">
        <f aca="false">IF(COUNTIF(Flows!$M$2:$M$1500,$A171&amp;"|"&amp;P$1&amp;"|Input"),IF(COUNTIF(Flows!$M$2:$M$1500,$A171&amp;"|"&amp;P$1&amp;"|Output"),"I/O","IN"),IF(COUNTIF(Flows!$M$2:$M$1500,$A171&amp;"|"&amp;P$1&amp;"|Output"),"OUT",""))</f>
        <v/>
      </c>
      <c r="Q171" s="33" t="str">
        <f aca="false">IF(COUNTIF(Flows!$M$2:$M$1500,$A171&amp;"|"&amp;Q$1&amp;"|Input"),IF(COUNTIF(Flows!$M$2:$M$1500,$A171&amp;"|"&amp;Q$1&amp;"|Output"),"I/O","IN"),IF(COUNTIF(Flows!$M$2:$M$1500,$A171&amp;"|"&amp;Q$1&amp;"|Output"),"OUT",""))</f>
        <v/>
      </c>
      <c r="R171" s="33" t="str">
        <f aca="false">IF(COUNTIF(Flows!$M$2:$M$1500,$A171&amp;"|"&amp;R$1&amp;"|Input"),IF(COUNTIF(Flows!$M$2:$M$1500,$A171&amp;"|"&amp;R$1&amp;"|Output"),"I/O","IN"),IF(COUNTIF(Flows!$M$2:$M$1500,$A171&amp;"|"&amp;R$1&amp;"|Output"),"OUT",""))</f>
        <v/>
      </c>
      <c r="S171" s="33" t="str">
        <f aca="false">IF(COUNTIF(Flows!$M$2:$M$1500,$A171&amp;"|"&amp;S$1&amp;"|Input"),IF(COUNTIF(Flows!$M$2:$M$1500,$A171&amp;"|"&amp;S$1&amp;"|Output"),"I/O","IN"),IF(COUNTIF(Flows!$M$2:$M$1500,$A171&amp;"|"&amp;S$1&amp;"|Output"),"OUT",""))</f>
        <v>IN</v>
      </c>
      <c r="T171" s="33" t="str">
        <f aca="false">IF(COUNTIF(Flows!$M$2:$M$1500,$A171&amp;"|"&amp;T$1&amp;"|Input"),IF(COUNTIF(Flows!$M$2:$M$1500,$A171&amp;"|"&amp;T$1&amp;"|Output"),"I/O","IN"),IF(COUNTIF(Flows!$M$2:$M$1500,$A171&amp;"|"&amp;T$1&amp;"|Output"),"OUT",""))</f>
        <v/>
      </c>
      <c r="U171" s="33" t="str">
        <f aca="false">IF(COUNTIF(Flows!$M$2:$M$1500,$A171&amp;"|"&amp;U$1&amp;"|Input"),IF(COUNTIF(Flows!$M$2:$M$1500,$A171&amp;"|"&amp;U$1&amp;"|Output"),"I/O","IN"),IF(COUNTIF(Flows!$M$2:$M$1500,$A171&amp;"|"&amp;U$1&amp;"|Output"),"OUT",""))</f>
        <v/>
      </c>
      <c r="V171" s="33" t="str">
        <f aca="false">IF(COUNTIF(Flows!$M$2:$M$1500,$A171&amp;"|"&amp;V$1&amp;"|Input"),IF(COUNTIF(Flows!$M$2:$M$1500,$A171&amp;"|"&amp;V$1&amp;"|Output"),"I/O","IN"),IF(COUNTIF(Flows!$M$2:$M$1500,$A171&amp;"|"&amp;V$1&amp;"|Output"),"OUT",""))</f>
        <v/>
      </c>
      <c r="W171" s="33" t="str">
        <f aca="false">IF(COUNTIF(Flows!$M$2:$M$1500,$A171&amp;"|"&amp;W$1&amp;"|Input"),IF(COUNTIF(Flows!$M$2:$M$1500,$A171&amp;"|"&amp;W$1&amp;"|Output"),"I/O","IN"),IF(COUNTIF(Flows!$M$2:$M$1500,$A171&amp;"|"&amp;W$1&amp;"|Output"),"OUT",""))</f>
        <v/>
      </c>
      <c r="X171" s="33" t="str">
        <f aca="false">IF(COUNTIF(Flows!$M$2:$M$1500,$A171&amp;"|"&amp;X$1&amp;"|Input"),IF(COUNTIF(Flows!$M$2:$M$1500,$A171&amp;"|"&amp;X$1&amp;"|Output"),"I/O","IN"),IF(COUNTIF(Flows!$M$2:$M$1500,$A171&amp;"|"&amp;X$1&amp;"|Output"),"OUT",""))</f>
        <v>IN</v>
      </c>
      <c r="Y171" s="33" t="str">
        <f aca="false">IF(COUNTIF(Flows!$M$2:$M$1500,$A171&amp;"|"&amp;Y$1&amp;"|Input"),IF(COUNTIF(Flows!$M$2:$M$1500,$A171&amp;"|"&amp;Y$1&amp;"|Output"),"I/O","IN"),IF(COUNTIF(Flows!$M$2:$M$1500,$A171&amp;"|"&amp;Y$1&amp;"|Output"),"OUT",""))</f>
        <v/>
      </c>
      <c r="Z171" s="33" t="str">
        <f aca="false">IF(COUNTIF(Flows!$M$2:$M$1500,$A171&amp;"|"&amp;Z$1&amp;"|Input"),IF(COUNTIF(Flows!$M$2:$M$1500,$A171&amp;"|"&amp;Z$1&amp;"|Output"),"I/O","IN"),IF(COUNTIF(Flows!$M$2:$M$1500,$A171&amp;"|"&amp;Z$1&amp;"|Output"),"OUT",""))</f>
        <v/>
      </c>
      <c r="AA171" s="33" t="str">
        <f aca="false">IF(COUNTIF(Flows!$M$2:$M$1500,$A171&amp;"|"&amp;AA$1&amp;"|Input"),IF(COUNTIF(Flows!$M$2:$M$1500,$A171&amp;"|"&amp;AA$1&amp;"|Output"),"I/O","IN"),IF(COUNTIF(Flows!$M$2:$M$1500,$A171&amp;"|"&amp;AA$1&amp;"|Output"),"OUT",""))</f>
        <v/>
      </c>
      <c r="AB171" s="33" t="str">
        <f aca="false">IF(COUNTIF(Flows!$M$2:$M$1500,$A171&amp;"|"&amp;AB$1&amp;"|Input"),IF(COUNTIF(Flows!$M$2:$M$1500,$A171&amp;"|"&amp;AB$1&amp;"|Output"),"I/O","IN"),IF(COUNTIF(Flows!$M$2:$M$1500,$A171&amp;"|"&amp;AB$1&amp;"|Output"),"OUT",""))</f>
        <v/>
      </c>
      <c r="AC171" s="33" t="str">
        <f aca="false">IF(COUNTIF(Flows!$M$2:$M$1500,$A171&amp;"|"&amp;AC$1&amp;"|Input"),IF(COUNTIF(Flows!$M$2:$M$1500,$A171&amp;"|"&amp;AC$1&amp;"|Output"),"I/O","IN"),IF(COUNTIF(Flows!$M$2:$M$1500,$A171&amp;"|"&amp;AC$1&amp;"|Output"),"OUT",""))</f>
        <v/>
      </c>
      <c r="AD171" s="33" t="str">
        <f aca="false">IF(COUNTIF(Flows!$M$2:$M$1500,$A171&amp;"|"&amp;AD$1&amp;"|Input"),IF(COUNTIF(Flows!$M$2:$M$1500,$A171&amp;"|"&amp;AD$1&amp;"|Output"),"I/O","IN"),IF(COUNTIF(Flows!$M$2:$M$1500,$A171&amp;"|"&amp;AD$1&amp;"|Output"),"OUT",""))</f>
        <v/>
      </c>
      <c r="AE171" s="33" t="str">
        <f aca="false">IF(COUNTIF(Flows!$M$2:$M$1500,$A171&amp;"|"&amp;AE$1&amp;"|Input"),IF(COUNTIF(Flows!$M$2:$M$1500,$A171&amp;"|"&amp;AE$1&amp;"|Output"),"I/O","IN"),IF(COUNTIF(Flows!$M$2:$M$1500,$A171&amp;"|"&amp;AE$1&amp;"|Output"),"OUT",""))</f>
        <v/>
      </c>
      <c r="AF171" s="33" t="str">
        <f aca="false">IF(COUNTIF(Flows!$M$2:$M$1500,$A171&amp;"|"&amp;AF$1&amp;"|Input"),IF(COUNTIF(Flows!$M$2:$M$1500,$A171&amp;"|"&amp;AF$1&amp;"|Output"),"I/O","IN"),IF(COUNTIF(Flows!$M$2:$M$1500,$A171&amp;"|"&amp;AF$1&amp;"|Output"),"OUT",""))</f>
        <v/>
      </c>
      <c r="AG171" s="33" t="str">
        <f aca="false">IF(COUNTIF(Flows!$M$2:$M$1500,$A171&amp;"|"&amp;AG$1&amp;"|Input"),IF(COUNTIF(Flows!$M$2:$M$1500,$A171&amp;"|"&amp;AG$1&amp;"|Output"),"I/O","IN"),IF(COUNTIF(Flows!$M$2:$M$1500,$A171&amp;"|"&amp;AG$1&amp;"|Output"),"OUT",""))</f>
        <v/>
      </c>
      <c r="AH171" s="33" t="str">
        <f aca="false">IF(COUNTIF(Flows!$M$2:$M$1500,$A171&amp;"|"&amp;AH$1&amp;"|Input"),IF(COUNTIF(Flows!$M$2:$M$1500,$A171&amp;"|"&amp;AH$1&amp;"|Output"),"I/O","IN"),IF(COUNTIF(Flows!$M$2:$M$1500,$A171&amp;"|"&amp;AH$1&amp;"|Output"),"OUT",""))</f>
        <v/>
      </c>
      <c r="AI171" s="33" t="str">
        <f aca="false">IF(COUNTIF(Flows!$M$2:$M$1500,$A171&amp;"|"&amp;AI$1&amp;"|Input"),IF(COUNTIF(Flows!$M$2:$M$1500,$A171&amp;"|"&amp;AI$1&amp;"|Output"),"I/O","IN"),IF(COUNTIF(Flows!$M$2:$M$1500,$A171&amp;"|"&amp;AI$1&amp;"|Output"),"OUT",""))</f>
        <v/>
      </c>
      <c r="AJ171" s="33" t="str">
        <f aca="false">IF(COUNTIF(Flows!$M$2:$M$1500,$A171&amp;"|"&amp;AJ$1&amp;"|Input"),IF(COUNTIF(Flows!$M$2:$M$1500,$A171&amp;"|"&amp;AJ$1&amp;"|Output"),"I/O","IN"),IF(COUNTIF(Flows!$M$2:$M$1500,$A171&amp;"|"&amp;AJ$1&amp;"|Output"),"OUT",""))</f>
        <v/>
      </c>
      <c r="AK171" s="33" t="str">
        <f aca="false">IF(COUNTIF(Flows!$M$2:$M$1500,$A171&amp;"|"&amp;AK$1&amp;"|Input"),IF(COUNTIF(Flows!$M$2:$M$1500,$A171&amp;"|"&amp;AK$1&amp;"|Output"),"I/O","IN"),IF(COUNTIF(Flows!$M$2:$M$1500,$A171&amp;"|"&amp;AK$1&amp;"|Output"),"OUT",""))</f>
        <v/>
      </c>
      <c r="AL171" s="33" t="str">
        <f aca="false">IF(COUNTIF(Flows!$M$2:$M$1500,$A171&amp;"|"&amp;AL$1&amp;"|Input"),IF(COUNTIF(Flows!$M$2:$M$1500,$A171&amp;"|"&amp;AL$1&amp;"|Output"),"I/O","IN"),IF(COUNTIF(Flows!$M$2:$M$1500,$A171&amp;"|"&amp;AL$1&amp;"|Output"),"OUT",""))</f>
        <v/>
      </c>
      <c r="AM171" s="33" t="str">
        <f aca="false">IF(COUNTIF(Flows!$M$2:$M$1500,$A171&amp;"|"&amp;AM$1&amp;"|Input"),IF(COUNTIF(Flows!$M$2:$M$1500,$A171&amp;"|"&amp;AM$1&amp;"|Output"),"I/O","IN"),IF(COUNTIF(Flows!$M$2:$M$1500,$A171&amp;"|"&amp;AM$1&amp;"|Output"),"OUT",""))</f>
        <v>IN</v>
      </c>
      <c r="AN171" s="33" t="str">
        <f aca="false">IF(COUNTIF(Flows!$M$2:$M$1500,$A171&amp;"|"&amp;AN$1&amp;"|Input"),IF(COUNTIF(Flows!$M$2:$M$1500,$A171&amp;"|"&amp;AN$1&amp;"|Output"),"I/O","IN"),IF(COUNTIF(Flows!$M$2:$M$1500,$A171&amp;"|"&amp;AN$1&amp;"|Output"),"OUT",""))</f>
        <v>OUT</v>
      </c>
      <c r="AO171" s="33" t="str">
        <f aca="false">IF(COUNTIF(Flows!$M$2:$M$1500,$A171&amp;"|"&amp;AO$1&amp;"|Input"),IF(COUNTIF(Flows!$M$2:$M$1500,$A171&amp;"|"&amp;AO$1&amp;"|Output"),"I/O","IN"),IF(COUNTIF(Flows!$M$2:$M$1500,$A171&amp;"|"&amp;AO$1&amp;"|Output"),"OUT",""))</f>
        <v/>
      </c>
      <c r="AP171" s="33" t="str">
        <f aca="false">IF(COUNTIF(Flows!$M$2:$M$1500,$A171&amp;"|"&amp;AP$1&amp;"|Input"),IF(COUNTIF(Flows!$M$2:$M$1500,$A171&amp;"|"&amp;AP$1&amp;"|Output"),"I/O","IN"),IF(COUNTIF(Flows!$M$2:$M$1500,$A171&amp;"|"&amp;AP$1&amp;"|Output"),"OUT",""))</f>
        <v/>
      </c>
      <c r="AQ171" s="33" t="str">
        <f aca="false">IF(COUNTIF(Flows!$M$2:$M$1500,$A171&amp;"|"&amp;AQ$1&amp;"|Input"),IF(COUNTIF(Flows!$M$2:$M$1500,$A171&amp;"|"&amp;AQ$1&amp;"|Output"),"I/O","IN"),IF(COUNTIF(Flows!$M$2:$M$1500,$A171&amp;"|"&amp;AQ$1&amp;"|Output"),"OUT",""))</f>
        <v/>
      </c>
      <c r="AR171" s="33" t="str">
        <f aca="false">IF(COUNTIF(Flows!$M$2:$M$1500,$A171&amp;"|"&amp;AR$1&amp;"|Input"),IF(COUNTIF(Flows!$M$2:$M$1500,$A171&amp;"|"&amp;AR$1&amp;"|Output"),"I/O","IN"),IF(COUNTIF(Flows!$M$2:$M$1500,$A171&amp;"|"&amp;AR$1&amp;"|Output"),"OUT",""))</f>
        <v/>
      </c>
      <c r="AS171" s="33" t="str">
        <f aca="false">IF(COUNTIF(Flows!$M$2:$M$1500,$A171&amp;"|"&amp;AS$1&amp;"|Input"),IF(COUNTIF(Flows!$M$2:$M$1500,$A171&amp;"|"&amp;AS$1&amp;"|Output"),"I/O","IN"),IF(COUNTIF(Flows!$M$2:$M$1500,$A171&amp;"|"&amp;AS$1&amp;"|Output"),"OUT",""))</f>
        <v/>
      </c>
      <c r="AT171" s="33" t="str">
        <f aca="false">IF(COUNTIF(Flows!$M$2:$M$1500,$A171&amp;"|"&amp;AT$1&amp;"|Input"),IF(COUNTIF(Flows!$M$2:$M$1500,$A171&amp;"|"&amp;AT$1&amp;"|Output"),"I/O","IN"),IF(COUNTIF(Flows!$M$2:$M$1500,$A171&amp;"|"&amp;AT$1&amp;"|Output"),"OUT",""))</f>
        <v/>
      </c>
      <c r="AU171" s="33" t="str">
        <f aca="false">IF(COUNTIF(Flows!$M$2:$M$1500,$A171&amp;"|"&amp;AU$1&amp;"|Input"),IF(COUNTIF(Flows!$M$2:$M$1500,$A171&amp;"|"&amp;AU$1&amp;"|Output"),"I/O","IN"),IF(COUNTIF(Flows!$M$2:$M$1500,$A171&amp;"|"&amp;AU$1&amp;"|Output"),"OUT",""))</f>
        <v/>
      </c>
      <c r="AV171" s="33" t="str">
        <f aca="false">IF(COUNTIF(Flows!$M$2:$M$1500,$A171&amp;"|"&amp;AV$1&amp;"|Input"),IF(COUNTIF(Flows!$M$2:$M$1500,$A171&amp;"|"&amp;AV$1&amp;"|Output"),"I/O","IN"),IF(COUNTIF(Flows!$M$2:$M$1500,$A171&amp;"|"&amp;AV$1&amp;"|Output"),"OUT",""))</f>
        <v/>
      </c>
      <c r="AW171" s="33" t="str">
        <f aca="false">IF(COUNTIF(Flows!$M$2:$M$1500,$A171&amp;"|"&amp;AW$1&amp;"|Input"),IF(COUNTIF(Flows!$M$2:$M$1500,$A171&amp;"|"&amp;AW$1&amp;"|Output"),"I/O","IN"),IF(COUNTIF(Flows!$M$2:$M$1500,$A171&amp;"|"&amp;AW$1&amp;"|Output"),"OUT",""))</f>
        <v/>
      </c>
      <c r="AX171" s="33" t="str">
        <f aca="false">IF(COUNTIF(Flows!$M$2:$M$1500,$A171&amp;"|"&amp;AX$1&amp;"|Input"),IF(COUNTIF(Flows!$M$2:$M$1500,$A171&amp;"|"&amp;AX$1&amp;"|Output"),"I/O","IN"),IF(COUNTIF(Flows!$M$2:$M$1500,$A171&amp;"|"&amp;AX$1&amp;"|Output"),"OUT",""))</f>
        <v/>
      </c>
      <c r="AY171" s="33" t="str">
        <f aca="false">IF(COUNTIF(Flows!$M$2:$M$1500,$A171&amp;"|"&amp;AY$1&amp;"|Input"),IF(COUNTIF(Flows!$M$2:$M$1500,$A171&amp;"|"&amp;AY$1&amp;"|Output"),"I/O","IN"),IF(COUNTIF(Flows!$M$2:$M$1500,$A171&amp;"|"&amp;AY$1&amp;"|Output"),"OUT",""))</f>
        <v/>
      </c>
      <c r="AZ171" s="33" t="str">
        <f aca="false">IF(COUNTIF(Flows!$M$2:$M$1500,$A171&amp;"|"&amp;AZ$1&amp;"|Input"),IF(COUNTIF(Flows!$M$2:$M$1500,$A171&amp;"|"&amp;AZ$1&amp;"|Output"),"I/O","IN"),IF(COUNTIF(Flows!$M$2:$M$1500,$A171&amp;"|"&amp;AZ$1&amp;"|Output"),"OUT",""))</f>
        <v/>
      </c>
      <c r="BA171" s="33" t="str">
        <f aca="false">IF(COUNTIF(Flows!$M$2:$M$1500,$A171&amp;"|"&amp;BA$1&amp;"|Input"),IF(COUNTIF(Flows!$M$2:$M$1500,$A171&amp;"|"&amp;BA$1&amp;"|Output"),"I/O","IN"),IF(COUNTIF(Flows!$M$2:$M$1500,$A171&amp;"|"&amp;BA$1&amp;"|Output"),"OUT",""))</f>
        <v/>
      </c>
      <c r="BB171" s="33" t="str">
        <f aca="false">IF(COUNTIF(Flows!$M$2:$M$1500,$A171&amp;"|"&amp;BB$1&amp;"|Input"),IF(COUNTIF(Flows!$M$2:$M$1500,$A171&amp;"|"&amp;BB$1&amp;"|Output"),"I/O","IN"),IF(COUNTIF(Flows!$M$2:$M$1500,$A171&amp;"|"&amp;BB$1&amp;"|Output"),"OUT",""))</f>
        <v/>
      </c>
      <c r="BC171" s="33" t="str">
        <f aca="false">IF(COUNTIF(Flows!$M$2:$M$1500,$A171&amp;"|"&amp;BC$1&amp;"|Input"),IF(COUNTIF(Flows!$M$2:$M$1500,$A171&amp;"|"&amp;BC$1&amp;"|Output"),"I/O","IN"),IF(COUNTIF(Flows!$M$2:$M$1500,$A171&amp;"|"&amp;BC$1&amp;"|Output"),"OUT",""))</f>
        <v/>
      </c>
      <c r="BD171" s="33" t="str">
        <f aca="false">IF(COUNTIF(Flows!$M$2:$M$1500,$A171&amp;"|"&amp;BD$1&amp;"|Input"),IF(COUNTIF(Flows!$M$2:$M$1500,$A171&amp;"|"&amp;BD$1&amp;"|Output"),"I/O","IN"),IF(COUNTIF(Flows!$M$2:$M$1500,$A171&amp;"|"&amp;BD$1&amp;"|Output"),"OUT",""))</f>
        <v/>
      </c>
      <c r="BE171" s="33" t="str">
        <f aca="false">IF(COUNTIF(Flows!$M$2:$M$1500,$A171&amp;"|"&amp;BE$1&amp;"|Input"),IF(COUNTIF(Flows!$M$2:$M$1500,$A171&amp;"|"&amp;BE$1&amp;"|Output"),"I/O","IN"),IF(COUNTIF(Flows!$M$2:$M$1500,$A171&amp;"|"&amp;BE$1&amp;"|Output"),"OUT",""))</f>
        <v/>
      </c>
      <c r="BF171" s="33" t="str">
        <f aca="false">IF(COUNTIF(Flows!$M$2:$M$1500,$A171&amp;"|"&amp;BF$1&amp;"|Input"),IF(COUNTIF(Flows!$M$2:$M$1500,$A171&amp;"|"&amp;BF$1&amp;"|Output"),"I/O","IN"),IF(COUNTIF(Flows!$M$2:$M$1500,$A171&amp;"|"&amp;BF$1&amp;"|Output"),"OUT",""))</f>
        <v/>
      </c>
      <c r="BG171" s="33" t="str">
        <f aca="false">IF(COUNTIF(Flows!$M$2:$M$1500,$A171&amp;"|"&amp;BG$1&amp;"|Input"),IF(COUNTIF(Flows!$M$2:$M$1500,$A171&amp;"|"&amp;BG$1&amp;"|Output"),"I/O","IN"),IF(COUNTIF(Flows!$M$2:$M$1500,$A171&amp;"|"&amp;BG$1&amp;"|Output"),"OUT",""))</f>
        <v/>
      </c>
      <c r="BH171" s="33" t="str">
        <f aca="false">IF(COUNTIF(Flows!$M$2:$M$1500,$A171&amp;"|"&amp;BH$1&amp;"|Input"),IF(COUNTIF(Flows!$M$2:$M$1500,$A171&amp;"|"&amp;BH$1&amp;"|Output"),"I/O","IN"),IF(COUNTIF(Flows!$M$2:$M$1500,$A171&amp;"|"&amp;BH$1&amp;"|Output"),"OUT",""))</f>
        <v/>
      </c>
      <c r="BI171" s="33" t="str">
        <f aca="false">IF(COUNTIF(Flows!$M$2:$M$1500,$A171&amp;"|"&amp;BI$1&amp;"|Input"),IF(COUNTIF(Flows!$M$2:$M$1500,$A171&amp;"|"&amp;BI$1&amp;"|Output"),"I/O","IN"),IF(COUNTIF(Flows!$M$2:$M$1500,$A171&amp;"|"&amp;BI$1&amp;"|Output"),"OUT",""))</f>
        <v/>
      </c>
      <c r="BJ171" s="33" t="str">
        <f aca="false">IF(COUNTIF(Flows!$M$2:$M$1500,$A171&amp;"|"&amp;BJ$1&amp;"|Input"),IF(COUNTIF(Flows!$M$2:$M$1500,$A171&amp;"|"&amp;BJ$1&amp;"|Output"),"I/O","IN"),IF(COUNTIF(Flows!$M$2:$M$1500,$A171&amp;"|"&amp;BJ$1&amp;"|Output"),"OUT",""))</f>
        <v/>
      </c>
      <c r="BK171" s="33" t="str">
        <f aca="false">IF(COUNTIF(Flows!$M$2:$M$1500,$A171&amp;"|"&amp;BK$1&amp;"|Input"),IF(COUNTIF(Flows!$M$2:$M$1500,$A171&amp;"|"&amp;BK$1&amp;"|Output"),"I/O","IN"),IF(COUNTIF(Flows!$M$2:$M$1500,$A171&amp;"|"&amp;BK$1&amp;"|Output"),"OUT",""))</f>
        <v/>
      </c>
    </row>
    <row r="172" customFormat="false" ht="15" hidden="false" customHeight="true" outlineLevel="0" collapsed="false">
      <c r="A172" s="6" t="str">
        <f aca="false">Systems!B172</f>
        <v>Part-Time Job (20 hrs)</v>
      </c>
      <c r="B172" s="33" t="str">
        <f aca="false">IF(COUNTIF(Flows!$M$2:$M$1500,$A172&amp;"|"&amp;B$1&amp;"|Input"),IF(COUNTIF(Flows!$M$2:$M$1500,$A172&amp;"|"&amp;B$1&amp;"|Output"),"I/O","IN"),IF(COUNTIF(Flows!$M$2:$M$1500,$A172&amp;"|"&amp;B$1&amp;"|Output"),"OUT",""))</f>
        <v/>
      </c>
      <c r="C172" s="33" t="str">
        <f aca="false">IF(COUNTIF(Flows!$M$2:$M$1500,$A172&amp;"|"&amp;C$1&amp;"|Input"),IF(COUNTIF(Flows!$M$2:$M$1500,$A172&amp;"|"&amp;C$1&amp;"|Output"),"I/O","IN"),IF(COUNTIF(Flows!$M$2:$M$1500,$A172&amp;"|"&amp;C$1&amp;"|Output"),"OUT",""))</f>
        <v/>
      </c>
      <c r="D172" s="33" t="str">
        <f aca="false">IF(COUNTIF(Flows!$M$2:$M$1500,$A172&amp;"|"&amp;D$1&amp;"|Input"),IF(COUNTIF(Flows!$M$2:$M$1500,$A172&amp;"|"&amp;D$1&amp;"|Output"),"I/O","IN"),IF(COUNTIF(Flows!$M$2:$M$1500,$A172&amp;"|"&amp;D$1&amp;"|Output"),"OUT",""))</f>
        <v/>
      </c>
      <c r="E172" s="33" t="str">
        <f aca="false">IF(COUNTIF(Flows!$M$2:$M$1500,$A172&amp;"|"&amp;E$1&amp;"|Input"),IF(COUNTIF(Flows!$M$2:$M$1500,$A172&amp;"|"&amp;E$1&amp;"|Output"),"I/O","IN"),IF(COUNTIF(Flows!$M$2:$M$1500,$A172&amp;"|"&amp;E$1&amp;"|Output"),"OUT",""))</f>
        <v/>
      </c>
      <c r="F172" s="33" t="str">
        <f aca="false">IF(COUNTIF(Flows!$M$2:$M$1500,$A172&amp;"|"&amp;F$1&amp;"|Input"),IF(COUNTIF(Flows!$M$2:$M$1500,$A172&amp;"|"&amp;F$1&amp;"|Output"),"I/O","IN"),IF(COUNTIF(Flows!$M$2:$M$1500,$A172&amp;"|"&amp;F$1&amp;"|Output"),"OUT",""))</f>
        <v/>
      </c>
      <c r="G172" s="33" t="str">
        <f aca="false">IF(COUNTIF(Flows!$M$2:$M$1500,$A172&amp;"|"&amp;G$1&amp;"|Input"),IF(COUNTIF(Flows!$M$2:$M$1500,$A172&amp;"|"&amp;G$1&amp;"|Output"),"I/O","IN"),IF(COUNTIF(Flows!$M$2:$M$1500,$A172&amp;"|"&amp;G$1&amp;"|Output"),"OUT",""))</f>
        <v/>
      </c>
      <c r="H172" s="33" t="str">
        <f aca="false">IF(COUNTIF(Flows!$M$2:$M$1500,$A172&amp;"|"&amp;H$1&amp;"|Input"),IF(COUNTIF(Flows!$M$2:$M$1500,$A172&amp;"|"&amp;H$1&amp;"|Output"),"I/O","IN"),IF(COUNTIF(Flows!$M$2:$M$1500,$A172&amp;"|"&amp;H$1&amp;"|Output"),"OUT",""))</f>
        <v/>
      </c>
      <c r="I172" s="33" t="str">
        <f aca="false">IF(COUNTIF(Flows!$M$2:$M$1500,$A172&amp;"|"&amp;I$1&amp;"|Input"),IF(COUNTIF(Flows!$M$2:$M$1500,$A172&amp;"|"&amp;I$1&amp;"|Output"),"I/O","IN"),IF(COUNTIF(Flows!$M$2:$M$1500,$A172&amp;"|"&amp;I$1&amp;"|Output"),"OUT",""))</f>
        <v/>
      </c>
      <c r="J172" s="33" t="str">
        <f aca="false">IF(COUNTIF(Flows!$M$2:$M$1500,$A172&amp;"|"&amp;J$1&amp;"|Input"),IF(COUNTIF(Flows!$M$2:$M$1500,$A172&amp;"|"&amp;J$1&amp;"|Output"),"I/O","IN"),IF(COUNTIF(Flows!$M$2:$M$1500,$A172&amp;"|"&amp;J$1&amp;"|Output"),"OUT",""))</f>
        <v/>
      </c>
      <c r="K172" s="33" t="str">
        <f aca="false">IF(COUNTIF(Flows!$M$2:$M$1500,$A172&amp;"|"&amp;K$1&amp;"|Input"),IF(COUNTIF(Flows!$M$2:$M$1500,$A172&amp;"|"&amp;K$1&amp;"|Output"),"I/O","IN"),IF(COUNTIF(Flows!$M$2:$M$1500,$A172&amp;"|"&amp;K$1&amp;"|Output"),"OUT",""))</f>
        <v/>
      </c>
      <c r="L172" s="33" t="str">
        <f aca="false">IF(COUNTIF(Flows!$M$2:$M$1500,$A172&amp;"|"&amp;L$1&amp;"|Input"),IF(COUNTIF(Flows!$M$2:$M$1500,$A172&amp;"|"&amp;L$1&amp;"|Output"),"I/O","IN"),IF(COUNTIF(Flows!$M$2:$M$1500,$A172&amp;"|"&amp;L$1&amp;"|Output"),"OUT",""))</f>
        <v/>
      </c>
      <c r="M172" s="33" t="str">
        <f aca="false">IF(COUNTIF(Flows!$M$2:$M$1500,$A172&amp;"|"&amp;M$1&amp;"|Input"),IF(COUNTIF(Flows!$M$2:$M$1500,$A172&amp;"|"&amp;M$1&amp;"|Output"),"I/O","IN"),IF(COUNTIF(Flows!$M$2:$M$1500,$A172&amp;"|"&amp;M$1&amp;"|Output"),"OUT",""))</f>
        <v/>
      </c>
      <c r="N172" s="33" t="str">
        <f aca="false">IF(COUNTIF(Flows!$M$2:$M$1500,$A172&amp;"|"&amp;N$1&amp;"|Input"),IF(COUNTIF(Flows!$M$2:$M$1500,$A172&amp;"|"&amp;N$1&amp;"|Output"),"I/O","IN"),IF(COUNTIF(Flows!$M$2:$M$1500,$A172&amp;"|"&amp;N$1&amp;"|Output"),"OUT",""))</f>
        <v/>
      </c>
      <c r="O172" s="33" t="str">
        <f aca="false">IF(COUNTIF(Flows!$M$2:$M$1500,$A172&amp;"|"&amp;O$1&amp;"|Input"),IF(COUNTIF(Flows!$M$2:$M$1500,$A172&amp;"|"&amp;O$1&amp;"|Output"),"I/O","IN"),IF(COUNTIF(Flows!$M$2:$M$1500,$A172&amp;"|"&amp;O$1&amp;"|Output"),"OUT",""))</f>
        <v/>
      </c>
      <c r="P172" s="33" t="str">
        <f aca="false">IF(COUNTIF(Flows!$M$2:$M$1500,$A172&amp;"|"&amp;P$1&amp;"|Input"),IF(COUNTIF(Flows!$M$2:$M$1500,$A172&amp;"|"&amp;P$1&amp;"|Output"),"I/O","IN"),IF(COUNTIF(Flows!$M$2:$M$1500,$A172&amp;"|"&amp;P$1&amp;"|Output"),"OUT",""))</f>
        <v/>
      </c>
      <c r="Q172" s="33" t="str">
        <f aca="false">IF(COUNTIF(Flows!$M$2:$M$1500,$A172&amp;"|"&amp;Q$1&amp;"|Input"),IF(COUNTIF(Flows!$M$2:$M$1500,$A172&amp;"|"&amp;Q$1&amp;"|Output"),"I/O","IN"),IF(COUNTIF(Flows!$M$2:$M$1500,$A172&amp;"|"&amp;Q$1&amp;"|Output"),"OUT",""))</f>
        <v/>
      </c>
      <c r="R172" s="33" t="str">
        <f aca="false">IF(COUNTIF(Flows!$M$2:$M$1500,$A172&amp;"|"&amp;R$1&amp;"|Input"),IF(COUNTIF(Flows!$M$2:$M$1500,$A172&amp;"|"&amp;R$1&amp;"|Output"),"I/O","IN"),IF(COUNTIF(Flows!$M$2:$M$1500,$A172&amp;"|"&amp;R$1&amp;"|Output"),"OUT",""))</f>
        <v/>
      </c>
      <c r="S172" s="33" t="str">
        <f aca="false">IF(COUNTIF(Flows!$M$2:$M$1500,$A172&amp;"|"&amp;S$1&amp;"|Input"),IF(COUNTIF(Flows!$M$2:$M$1500,$A172&amp;"|"&amp;S$1&amp;"|Output"),"I/O","IN"),IF(COUNTIF(Flows!$M$2:$M$1500,$A172&amp;"|"&amp;S$1&amp;"|Output"),"OUT",""))</f>
        <v/>
      </c>
      <c r="T172" s="33" t="str">
        <f aca="false">IF(COUNTIF(Flows!$M$2:$M$1500,$A172&amp;"|"&amp;T$1&amp;"|Input"),IF(COUNTIF(Flows!$M$2:$M$1500,$A172&amp;"|"&amp;T$1&amp;"|Output"),"I/O","IN"),IF(COUNTIF(Flows!$M$2:$M$1500,$A172&amp;"|"&amp;T$1&amp;"|Output"),"OUT",""))</f>
        <v>IN</v>
      </c>
      <c r="U172" s="33" t="str">
        <f aca="false">IF(COUNTIF(Flows!$M$2:$M$1500,$A172&amp;"|"&amp;U$1&amp;"|Input"),IF(COUNTIF(Flows!$M$2:$M$1500,$A172&amp;"|"&amp;U$1&amp;"|Output"),"I/O","IN"),IF(COUNTIF(Flows!$M$2:$M$1500,$A172&amp;"|"&amp;U$1&amp;"|Output"),"OUT",""))</f>
        <v/>
      </c>
      <c r="V172" s="33" t="str">
        <f aca="false">IF(COUNTIF(Flows!$M$2:$M$1500,$A172&amp;"|"&amp;V$1&amp;"|Input"),IF(COUNTIF(Flows!$M$2:$M$1500,$A172&amp;"|"&amp;V$1&amp;"|Output"),"I/O","IN"),IF(COUNTIF(Flows!$M$2:$M$1500,$A172&amp;"|"&amp;V$1&amp;"|Output"),"OUT",""))</f>
        <v/>
      </c>
      <c r="W172" s="33" t="str">
        <f aca="false">IF(COUNTIF(Flows!$M$2:$M$1500,$A172&amp;"|"&amp;W$1&amp;"|Input"),IF(COUNTIF(Flows!$M$2:$M$1500,$A172&amp;"|"&amp;W$1&amp;"|Output"),"I/O","IN"),IF(COUNTIF(Flows!$M$2:$M$1500,$A172&amp;"|"&amp;W$1&amp;"|Output"),"OUT",""))</f>
        <v/>
      </c>
      <c r="X172" s="33" t="str">
        <f aca="false">IF(COUNTIF(Flows!$M$2:$M$1500,$A172&amp;"|"&amp;X$1&amp;"|Input"),IF(COUNTIF(Flows!$M$2:$M$1500,$A172&amp;"|"&amp;X$1&amp;"|Output"),"I/O","IN"),IF(COUNTIF(Flows!$M$2:$M$1500,$A172&amp;"|"&amp;X$1&amp;"|Output"),"OUT",""))</f>
        <v>IN</v>
      </c>
      <c r="Y172" s="33" t="str">
        <f aca="false">IF(COUNTIF(Flows!$M$2:$M$1500,$A172&amp;"|"&amp;Y$1&amp;"|Input"),IF(COUNTIF(Flows!$M$2:$M$1500,$A172&amp;"|"&amp;Y$1&amp;"|Output"),"I/O","IN"),IF(COUNTIF(Flows!$M$2:$M$1500,$A172&amp;"|"&amp;Y$1&amp;"|Output"),"OUT",""))</f>
        <v>OUT</v>
      </c>
      <c r="Z172" s="33" t="str">
        <f aca="false">IF(COUNTIF(Flows!$M$2:$M$1500,$A172&amp;"|"&amp;Z$1&amp;"|Input"),IF(COUNTIF(Flows!$M$2:$M$1500,$A172&amp;"|"&amp;Z$1&amp;"|Output"),"I/O","IN"),IF(COUNTIF(Flows!$M$2:$M$1500,$A172&amp;"|"&amp;Z$1&amp;"|Output"),"OUT",""))</f>
        <v/>
      </c>
      <c r="AA172" s="33" t="str">
        <f aca="false">IF(COUNTIF(Flows!$M$2:$M$1500,$A172&amp;"|"&amp;AA$1&amp;"|Input"),IF(COUNTIF(Flows!$M$2:$M$1500,$A172&amp;"|"&amp;AA$1&amp;"|Output"),"I/O","IN"),IF(COUNTIF(Flows!$M$2:$M$1500,$A172&amp;"|"&amp;AA$1&amp;"|Output"),"OUT",""))</f>
        <v/>
      </c>
      <c r="AB172" s="33" t="str">
        <f aca="false">IF(COUNTIF(Flows!$M$2:$M$1500,$A172&amp;"|"&amp;AB$1&amp;"|Input"),IF(COUNTIF(Flows!$M$2:$M$1500,$A172&amp;"|"&amp;AB$1&amp;"|Output"),"I/O","IN"),IF(COUNTIF(Flows!$M$2:$M$1500,$A172&amp;"|"&amp;AB$1&amp;"|Output"),"OUT",""))</f>
        <v/>
      </c>
      <c r="AC172" s="33" t="str">
        <f aca="false">IF(COUNTIF(Flows!$M$2:$M$1500,$A172&amp;"|"&amp;AC$1&amp;"|Input"),IF(COUNTIF(Flows!$M$2:$M$1500,$A172&amp;"|"&amp;AC$1&amp;"|Output"),"I/O","IN"),IF(COUNTIF(Flows!$M$2:$M$1500,$A172&amp;"|"&amp;AC$1&amp;"|Output"),"OUT",""))</f>
        <v/>
      </c>
      <c r="AD172" s="33" t="str">
        <f aca="false">IF(COUNTIF(Flows!$M$2:$M$1500,$A172&amp;"|"&amp;AD$1&amp;"|Input"),IF(COUNTIF(Flows!$M$2:$M$1500,$A172&amp;"|"&amp;AD$1&amp;"|Output"),"I/O","IN"),IF(COUNTIF(Flows!$M$2:$M$1500,$A172&amp;"|"&amp;AD$1&amp;"|Output"),"OUT",""))</f>
        <v/>
      </c>
      <c r="AE172" s="33" t="str">
        <f aca="false">IF(COUNTIF(Flows!$M$2:$M$1500,$A172&amp;"|"&amp;AE$1&amp;"|Input"),IF(COUNTIF(Flows!$M$2:$M$1500,$A172&amp;"|"&amp;AE$1&amp;"|Output"),"I/O","IN"),IF(COUNTIF(Flows!$M$2:$M$1500,$A172&amp;"|"&amp;AE$1&amp;"|Output"),"OUT",""))</f>
        <v/>
      </c>
      <c r="AF172" s="33" t="str">
        <f aca="false">IF(COUNTIF(Flows!$M$2:$M$1500,$A172&amp;"|"&amp;AF$1&amp;"|Input"),IF(COUNTIF(Flows!$M$2:$M$1500,$A172&amp;"|"&amp;AF$1&amp;"|Output"),"I/O","IN"),IF(COUNTIF(Flows!$M$2:$M$1500,$A172&amp;"|"&amp;AF$1&amp;"|Output"),"OUT",""))</f>
        <v/>
      </c>
      <c r="AG172" s="33" t="str">
        <f aca="false">IF(COUNTIF(Flows!$M$2:$M$1500,$A172&amp;"|"&amp;AG$1&amp;"|Input"),IF(COUNTIF(Flows!$M$2:$M$1500,$A172&amp;"|"&amp;AG$1&amp;"|Output"),"I/O","IN"),IF(COUNTIF(Flows!$M$2:$M$1500,$A172&amp;"|"&amp;AG$1&amp;"|Output"),"OUT",""))</f>
        <v/>
      </c>
      <c r="AH172" s="33" t="str">
        <f aca="false">IF(COUNTIF(Flows!$M$2:$M$1500,$A172&amp;"|"&amp;AH$1&amp;"|Input"),IF(COUNTIF(Flows!$M$2:$M$1500,$A172&amp;"|"&amp;AH$1&amp;"|Output"),"I/O","IN"),IF(COUNTIF(Flows!$M$2:$M$1500,$A172&amp;"|"&amp;AH$1&amp;"|Output"),"OUT",""))</f>
        <v/>
      </c>
      <c r="AI172" s="33" t="str">
        <f aca="false">IF(COUNTIF(Flows!$M$2:$M$1500,$A172&amp;"|"&amp;AI$1&amp;"|Input"),IF(COUNTIF(Flows!$M$2:$M$1500,$A172&amp;"|"&amp;AI$1&amp;"|Output"),"I/O","IN"),IF(COUNTIF(Flows!$M$2:$M$1500,$A172&amp;"|"&amp;AI$1&amp;"|Output"),"OUT",""))</f>
        <v/>
      </c>
      <c r="AJ172" s="33" t="str">
        <f aca="false">IF(COUNTIF(Flows!$M$2:$M$1500,$A172&amp;"|"&amp;AJ$1&amp;"|Input"),IF(COUNTIF(Flows!$M$2:$M$1500,$A172&amp;"|"&amp;AJ$1&amp;"|Output"),"I/O","IN"),IF(COUNTIF(Flows!$M$2:$M$1500,$A172&amp;"|"&amp;AJ$1&amp;"|Output"),"OUT",""))</f>
        <v/>
      </c>
      <c r="AK172" s="33" t="str">
        <f aca="false">IF(COUNTIF(Flows!$M$2:$M$1500,$A172&amp;"|"&amp;AK$1&amp;"|Input"),IF(COUNTIF(Flows!$M$2:$M$1500,$A172&amp;"|"&amp;AK$1&amp;"|Output"),"I/O","IN"),IF(COUNTIF(Flows!$M$2:$M$1500,$A172&amp;"|"&amp;AK$1&amp;"|Output"),"OUT",""))</f>
        <v/>
      </c>
      <c r="AL172" s="33" t="str">
        <f aca="false">IF(COUNTIF(Flows!$M$2:$M$1500,$A172&amp;"|"&amp;AL$1&amp;"|Input"),IF(COUNTIF(Flows!$M$2:$M$1500,$A172&amp;"|"&amp;AL$1&amp;"|Output"),"I/O","IN"),IF(COUNTIF(Flows!$M$2:$M$1500,$A172&amp;"|"&amp;AL$1&amp;"|Output"),"OUT",""))</f>
        <v/>
      </c>
      <c r="AM172" s="33" t="str">
        <f aca="false">IF(COUNTIF(Flows!$M$2:$M$1500,$A172&amp;"|"&amp;AM$1&amp;"|Input"),IF(COUNTIF(Flows!$M$2:$M$1500,$A172&amp;"|"&amp;AM$1&amp;"|Output"),"I/O","IN"),IF(COUNTIF(Flows!$M$2:$M$1500,$A172&amp;"|"&amp;AM$1&amp;"|Output"),"OUT",""))</f>
        <v/>
      </c>
      <c r="AN172" s="33" t="str">
        <f aca="false">IF(COUNTIF(Flows!$M$2:$M$1500,$A172&amp;"|"&amp;AN$1&amp;"|Input"),IF(COUNTIF(Flows!$M$2:$M$1500,$A172&amp;"|"&amp;AN$1&amp;"|Output"),"I/O","IN"),IF(COUNTIF(Flows!$M$2:$M$1500,$A172&amp;"|"&amp;AN$1&amp;"|Output"),"OUT",""))</f>
        <v/>
      </c>
      <c r="AO172" s="33" t="str">
        <f aca="false">IF(COUNTIF(Flows!$M$2:$M$1500,$A172&amp;"|"&amp;AO$1&amp;"|Input"),IF(COUNTIF(Flows!$M$2:$M$1500,$A172&amp;"|"&amp;AO$1&amp;"|Output"),"I/O","IN"),IF(COUNTIF(Flows!$M$2:$M$1500,$A172&amp;"|"&amp;AO$1&amp;"|Output"),"OUT",""))</f>
        <v/>
      </c>
      <c r="AP172" s="33" t="str">
        <f aca="false">IF(COUNTIF(Flows!$M$2:$M$1500,$A172&amp;"|"&amp;AP$1&amp;"|Input"),IF(COUNTIF(Flows!$M$2:$M$1500,$A172&amp;"|"&amp;AP$1&amp;"|Output"),"I/O","IN"),IF(COUNTIF(Flows!$M$2:$M$1500,$A172&amp;"|"&amp;AP$1&amp;"|Output"),"OUT",""))</f>
        <v/>
      </c>
      <c r="AQ172" s="33" t="str">
        <f aca="false">IF(COUNTIF(Flows!$M$2:$M$1500,$A172&amp;"|"&amp;AQ$1&amp;"|Input"),IF(COUNTIF(Flows!$M$2:$M$1500,$A172&amp;"|"&amp;AQ$1&amp;"|Output"),"I/O","IN"),IF(COUNTIF(Flows!$M$2:$M$1500,$A172&amp;"|"&amp;AQ$1&amp;"|Output"),"OUT",""))</f>
        <v/>
      </c>
      <c r="AR172" s="33" t="str">
        <f aca="false">IF(COUNTIF(Flows!$M$2:$M$1500,$A172&amp;"|"&amp;AR$1&amp;"|Input"),IF(COUNTIF(Flows!$M$2:$M$1500,$A172&amp;"|"&amp;AR$1&amp;"|Output"),"I/O","IN"),IF(COUNTIF(Flows!$M$2:$M$1500,$A172&amp;"|"&amp;AR$1&amp;"|Output"),"OUT",""))</f>
        <v/>
      </c>
      <c r="AS172" s="33" t="str">
        <f aca="false">IF(COUNTIF(Flows!$M$2:$M$1500,$A172&amp;"|"&amp;AS$1&amp;"|Input"),IF(COUNTIF(Flows!$M$2:$M$1500,$A172&amp;"|"&amp;AS$1&amp;"|Output"),"I/O","IN"),IF(COUNTIF(Flows!$M$2:$M$1500,$A172&amp;"|"&amp;AS$1&amp;"|Output"),"OUT",""))</f>
        <v/>
      </c>
      <c r="AT172" s="33" t="str">
        <f aca="false">IF(COUNTIF(Flows!$M$2:$M$1500,$A172&amp;"|"&amp;AT$1&amp;"|Input"),IF(COUNTIF(Flows!$M$2:$M$1500,$A172&amp;"|"&amp;AT$1&amp;"|Output"),"I/O","IN"),IF(COUNTIF(Flows!$M$2:$M$1500,$A172&amp;"|"&amp;AT$1&amp;"|Output"),"OUT",""))</f>
        <v/>
      </c>
      <c r="AU172" s="33" t="str">
        <f aca="false">IF(COUNTIF(Flows!$M$2:$M$1500,$A172&amp;"|"&amp;AU$1&amp;"|Input"),IF(COUNTIF(Flows!$M$2:$M$1500,$A172&amp;"|"&amp;AU$1&amp;"|Output"),"I/O","IN"),IF(COUNTIF(Flows!$M$2:$M$1500,$A172&amp;"|"&amp;AU$1&amp;"|Output"),"OUT",""))</f>
        <v/>
      </c>
      <c r="AV172" s="33" t="str">
        <f aca="false">IF(COUNTIF(Flows!$M$2:$M$1500,$A172&amp;"|"&amp;AV$1&amp;"|Input"),IF(COUNTIF(Flows!$M$2:$M$1500,$A172&amp;"|"&amp;AV$1&amp;"|Output"),"I/O","IN"),IF(COUNTIF(Flows!$M$2:$M$1500,$A172&amp;"|"&amp;AV$1&amp;"|Output"),"OUT",""))</f>
        <v/>
      </c>
      <c r="AW172" s="33" t="str">
        <f aca="false">IF(COUNTIF(Flows!$M$2:$M$1500,$A172&amp;"|"&amp;AW$1&amp;"|Input"),IF(COUNTIF(Flows!$M$2:$M$1500,$A172&amp;"|"&amp;AW$1&amp;"|Output"),"I/O","IN"),IF(COUNTIF(Flows!$M$2:$M$1500,$A172&amp;"|"&amp;AW$1&amp;"|Output"),"OUT",""))</f>
        <v/>
      </c>
      <c r="AX172" s="33" t="str">
        <f aca="false">IF(COUNTIF(Flows!$M$2:$M$1500,$A172&amp;"|"&amp;AX$1&amp;"|Input"),IF(COUNTIF(Flows!$M$2:$M$1500,$A172&amp;"|"&amp;AX$1&amp;"|Output"),"I/O","IN"),IF(COUNTIF(Flows!$M$2:$M$1500,$A172&amp;"|"&amp;AX$1&amp;"|Output"),"OUT",""))</f>
        <v/>
      </c>
      <c r="AY172" s="33" t="str">
        <f aca="false">IF(COUNTIF(Flows!$M$2:$M$1500,$A172&amp;"|"&amp;AY$1&amp;"|Input"),IF(COUNTIF(Flows!$M$2:$M$1500,$A172&amp;"|"&amp;AY$1&amp;"|Output"),"I/O","IN"),IF(COUNTIF(Flows!$M$2:$M$1500,$A172&amp;"|"&amp;AY$1&amp;"|Output"),"OUT",""))</f>
        <v/>
      </c>
      <c r="AZ172" s="33" t="str">
        <f aca="false">IF(COUNTIF(Flows!$M$2:$M$1500,$A172&amp;"|"&amp;AZ$1&amp;"|Input"),IF(COUNTIF(Flows!$M$2:$M$1500,$A172&amp;"|"&amp;AZ$1&amp;"|Output"),"I/O","IN"),IF(COUNTIF(Flows!$M$2:$M$1500,$A172&amp;"|"&amp;AZ$1&amp;"|Output"),"OUT",""))</f>
        <v/>
      </c>
      <c r="BA172" s="33" t="str">
        <f aca="false">IF(COUNTIF(Flows!$M$2:$M$1500,$A172&amp;"|"&amp;BA$1&amp;"|Input"),IF(COUNTIF(Flows!$M$2:$M$1500,$A172&amp;"|"&amp;BA$1&amp;"|Output"),"I/O","IN"),IF(COUNTIF(Flows!$M$2:$M$1500,$A172&amp;"|"&amp;BA$1&amp;"|Output"),"OUT",""))</f>
        <v/>
      </c>
      <c r="BB172" s="33" t="str">
        <f aca="false">IF(COUNTIF(Flows!$M$2:$M$1500,$A172&amp;"|"&amp;BB$1&amp;"|Input"),IF(COUNTIF(Flows!$M$2:$M$1500,$A172&amp;"|"&amp;BB$1&amp;"|Output"),"I/O","IN"),IF(COUNTIF(Flows!$M$2:$M$1500,$A172&amp;"|"&amp;BB$1&amp;"|Output"),"OUT",""))</f>
        <v/>
      </c>
      <c r="BC172" s="33" t="str">
        <f aca="false">IF(COUNTIF(Flows!$M$2:$M$1500,$A172&amp;"|"&amp;BC$1&amp;"|Input"),IF(COUNTIF(Flows!$M$2:$M$1500,$A172&amp;"|"&amp;BC$1&amp;"|Output"),"I/O","IN"),IF(COUNTIF(Flows!$M$2:$M$1500,$A172&amp;"|"&amp;BC$1&amp;"|Output"),"OUT",""))</f>
        <v/>
      </c>
      <c r="BD172" s="33" t="str">
        <f aca="false">IF(COUNTIF(Flows!$M$2:$M$1500,$A172&amp;"|"&amp;BD$1&amp;"|Input"),IF(COUNTIF(Flows!$M$2:$M$1500,$A172&amp;"|"&amp;BD$1&amp;"|Output"),"I/O","IN"),IF(COUNTIF(Flows!$M$2:$M$1500,$A172&amp;"|"&amp;BD$1&amp;"|Output"),"OUT",""))</f>
        <v/>
      </c>
      <c r="BE172" s="33" t="str">
        <f aca="false">IF(COUNTIF(Flows!$M$2:$M$1500,$A172&amp;"|"&amp;BE$1&amp;"|Input"),IF(COUNTIF(Flows!$M$2:$M$1500,$A172&amp;"|"&amp;BE$1&amp;"|Output"),"I/O","IN"),IF(COUNTIF(Flows!$M$2:$M$1500,$A172&amp;"|"&amp;BE$1&amp;"|Output"),"OUT",""))</f>
        <v/>
      </c>
      <c r="BF172" s="33" t="str">
        <f aca="false">IF(COUNTIF(Flows!$M$2:$M$1500,$A172&amp;"|"&amp;BF$1&amp;"|Input"),IF(COUNTIF(Flows!$M$2:$M$1500,$A172&amp;"|"&amp;BF$1&amp;"|Output"),"I/O","IN"),IF(COUNTIF(Flows!$M$2:$M$1500,$A172&amp;"|"&amp;BF$1&amp;"|Output"),"OUT",""))</f>
        <v/>
      </c>
      <c r="BG172" s="33" t="str">
        <f aca="false">IF(COUNTIF(Flows!$M$2:$M$1500,$A172&amp;"|"&amp;BG$1&amp;"|Input"),IF(COUNTIF(Flows!$M$2:$M$1500,$A172&amp;"|"&amp;BG$1&amp;"|Output"),"I/O","IN"),IF(COUNTIF(Flows!$M$2:$M$1500,$A172&amp;"|"&amp;BG$1&amp;"|Output"),"OUT",""))</f>
        <v/>
      </c>
      <c r="BH172" s="33" t="str">
        <f aca="false">IF(COUNTIF(Flows!$M$2:$M$1500,$A172&amp;"|"&amp;BH$1&amp;"|Input"),IF(COUNTIF(Flows!$M$2:$M$1500,$A172&amp;"|"&amp;BH$1&amp;"|Output"),"I/O","IN"),IF(COUNTIF(Flows!$M$2:$M$1500,$A172&amp;"|"&amp;BH$1&amp;"|Output"),"OUT",""))</f>
        <v/>
      </c>
      <c r="BI172" s="33" t="str">
        <f aca="false">IF(COUNTIF(Flows!$M$2:$M$1500,$A172&amp;"|"&amp;BI$1&amp;"|Input"),IF(COUNTIF(Flows!$M$2:$M$1500,$A172&amp;"|"&amp;BI$1&amp;"|Output"),"I/O","IN"),IF(COUNTIF(Flows!$M$2:$M$1500,$A172&amp;"|"&amp;BI$1&amp;"|Output"),"OUT",""))</f>
        <v/>
      </c>
      <c r="BJ172" s="33" t="str">
        <f aca="false">IF(COUNTIF(Flows!$M$2:$M$1500,$A172&amp;"|"&amp;BJ$1&amp;"|Input"),IF(COUNTIF(Flows!$M$2:$M$1500,$A172&amp;"|"&amp;BJ$1&amp;"|Output"),"I/O","IN"),IF(COUNTIF(Flows!$M$2:$M$1500,$A172&amp;"|"&amp;BJ$1&amp;"|Output"),"OUT",""))</f>
        <v/>
      </c>
      <c r="BK172" s="33" t="str">
        <f aca="false">IF(COUNTIF(Flows!$M$2:$M$1500,$A172&amp;"|"&amp;BK$1&amp;"|Input"),IF(COUNTIF(Flows!$M$2:$M$1500,$A172&amp;"|"&amp;BK$1&amp;"|Output"),"I/O","IN"),IF(COUNTIF(Flows!$M$2:$M$1500,$A172&amp;"|"&amp;BK$1&amp;"|Output"),"OUT",""))</f>
        <v/>
      </c>
    </row>
    <row r="173" customFormat="false" ht="15" hidden="false" customHeight="true" outlineLevel="0" collapsed="false">
      <c r="A173" s="6" t="str">
        <f aca="false">Systems!B173</f>
        <v>Remote Job (40 hrs)</v>
      </c>
      <c r="B173" s="33" t="str">
        <f aca="false">IF(COUNTIF(Flows!$M$2:$M$1500,$A173&amp;"|"&amp;B$1&amp;"|Input"),IF(COUNTIF(Flows!$M$2:$M$1500,$A173&amp;"|"&amp;B$1&amp;"|Output"),"I/O","IN"),IF(COUNTIF(Flows!$M$2:$M$1500,$A173&amp;"|"&amp;B$1&amp;"|Output"),"OUT",""))</f>
        <v/>
      </c>
      <c r="C173" s="33" t="str">
        <f aca="false">IF(COUNTIF(Flows!$M$2:$M$1500,$A173&amp;"|"&amp;C$1&amp;"|Input"),IF(COUNTIF(Flows!$M$2:$M$1500,$A173&amp;"|"&amp;C$1&amp;"|Output"),"I/O","IN"),IF(COUNTIF(Flows!$M$2:$M$1500,$A173&amp;"|"&amp;C$1&amp;"|Output"),"OUT",""))</f>
        <v/>
      </c>
      <c r="D173" s="33" t="str">
        <f aca="false">IF(COUNTIF(Flows!$M$2:$M$1500,$A173&amp;"|"&amp;D$1&amp;"|Input"),IF(COUNTIF(Flows!$M$2:$M$1500,$A173&amp;"|"&amp;D$1&amp;"|Output"),"I/O","IN"),IF(COUNTIF(Flows!$M$2:$M$1500,$A173&amp;"|"&amp;D$1&amp;"|Output"),"OUT",""))</f>
        <v/>
      </c>
      <c r="E173" s="33" t="str">
        <f aca="false">IF(COUNTIF(Flows!$M$2:$M$1500,$A173&amp;"|"&amp;E$1&amp;"|Input"),IF(COUNTIF(Flows!$M$2:$M$1500,$A173&amp;"|"&amp;E$1&amp;"|Output"),"I/O","IN"),IF(COUNTIF(Flows!$M$2:$M$1500,$A173&amp;"|"&amp;E$1&amp;"|Output"),"OUT",""))</f>
        <v/>
      </c>
      <c r="F173" s="33" t="str">
        <f aca="false">IF(COUNTIF(Flows!$M$2:$M$1500,$A173&amp;"|"&amp;F$1&amp;"|Input"),IF(COUNTIF(Flows!$M$2:$M$1500,$A173&amp;"|"&amp;F$1&amp;"|Output"),"I/O","IN"),IF(COUNTIF(Flows!$M$2:$M$1500,$A173&amp;"|"&amp;F$1&amp;"|Output"),"OUT",""))</f>
        <v/>
      </c>
      <c r="G173" s="33" t="str">
        <f aca="false">IF(COUNTIF(Flows!$M$2:$M$1500,$A173&amp;"|"&amp;G$1&amp;"|Input"),IF(COUNTIF(Flows!$M$2:$M$1500,$A173&amp;"|"&amp;G$1&amp;"|Output"),"I/O","IN"),IF(COUNTIF(Flows!$M$2:$M$1500,$A173&amp;"|"&amp;G$1&amp;"|Output"),"OUT",""))</f>
        <v/>
      </c>
      <c r="H173" s="33" t="str">
        <f aca="false">IF(COUNTIF(Flows!$M$2:$M$1500,$A173&amp;"|"&amp;H$1&amp;"|Input"),IF(COUNTIF(Flows!$M$2:$M$1500,$A173&amp;"|"&amp;H$1&amp;"|Output"),"I/O","IN"),IF(COUNTIF(Flows!$M$2:$M$1500,$A173&amp;"|"&amp;H$1&amp;"|Output"),"OUT",""))</f>
        <v/>
      </c>
      <c r="I173" s="33" t="str">
        <f aca="false">IF(COUNTIF(Flows!$M$2:$M$1500,$A173&amp;"|"&amp;I$1&amp;"|Input"),IF(COUNTIF(Flows!$M$2:$M$1500,$A173&amp;"|"&amp;I$1&amp;"|Output"),"I/O","IN"),IF(COUNTIF(Flows!$M$2:$M$1500,$A173&amp;"|"&amp;I$1&amp;"|Output"),"OUT",""))</f>
        <v/>
      </c>
      <c r="J173" s="33" t="str">
        <f aca="false">IF(COUNTIF(Flows!$M$2:$M$1500,$A173&amp;"|"&amp;J$1&amp;"|Input"),IF(COUNTIF(Flows!$M$2:$M$1500,$A173&amp;"|"&amp;J$1&amp;"|Output"),"I/O","IN"),IF(COUNTIF(Flows!$M$2:$M$1500,$A173&amp;"|"&amp;J$1&amp;"|Output"),"OUT",""))</f>
        <v/>
      </c>
      <c r="K173" s="33" t="str">
        <f aca="false">IF(COUNTIF(Flows!$M$2:$M$1500,$A173&amp;"|"&amp;K$1&amp;"|Input"),IF(COUNTIF(Flows!$M$2:$M$1500,$A173&amp;"|"&amp;K$1&amp;"|Output"),"I/O","IN"),IF(COUNTIF(Flows!$M$2:$M$1500,$A173&amp;"|"&amp;K$1&amp;"|Output"),"OUT",""))</f>
        <v/>
      </c>
      <c r="L173" s="33" t="str">
        <f aca="false">IF(COUNTIF(Flows!$M$2:$M$1500,$A173&amp;"|"&amp;L$1&amp;"|Input"),IF(COUNTIF(Flows!$M$2:$M$1500,$A173&amp;"|"&amp;L$1&amp;"|Output"),"I/O","IN"),IF(COUNTIF(Flows!$M$2:$M$1500,$A173&amp;"|"&amp;L$1&amp;"|Output"),"OUT",""))</f>
        <v/>
      </c>
      <c r="M173" s="33" t="str">
        <f aca="false">IF(COUNTIF(Flows!$M$2:$M$1500,$A173&amp;"|"&amp;M$1&amp;"|Input"),IF(COUNTIF(Flows!$M$2:$M$1500,$A173&amp;"|"&amp;M$1&amp;"|Output"),"I/O","IN"),IF(COUNTIF(Flows!$M$2:$M$1500,$A173&amp;"|"&amp;M$1&amp;"|Output"),"OUT",""))</f>
        <v/>
      </c>
      <c r="N173" s="33" t="str">
        <f aca="false">IF(COUNTIF(Flows!$M$2:$M$1500,$A173&amp;"|"&amp;N$1&amp;"|Input"),IF(COUNTIF(Flows!$M$2:$M$1500,$A173&amp;"|"&amp;N$1&amp;"|Output"),"I/O","IN"),IF(COUNTIF(Flows!$M$2:$M$1500,$A173&amp;"|"&amp;N$1&amp;"|Output"),"OUT",""))</f>
        <v/>
      </c>
      <c r="O173" s="33" t="str">
        <f aca="false">IF(COUNTIF(Flows!$M$2:$M$1500,$A173&amp;"|"&amp;O$1&amp;"|Input"),IF(COUNTIF(Flows!$M$2:$M$1500,$A173&amp;"|"&amp;O$1&amp;"|Output"),"I/O","IN"),IF(COUNTIF(Flows!$M$2:$M$1500,$A173&amp;"|"&amp;O$1&amp;"|Output"),"OUT",""))</f>
        <v/>
      </c>
      <c r="P173" s="33" t="str">
        <f aca="false">IF(COUNTIF(Flows!$M$2:$M$1500,$A173&amp;"|"&amp;P$1&amp;"|Input"),IF(COUNTIF(Flows!$M$2:$M$1500,$A173&amp;"|"&amp;P$1&amp;"|Output"),"I/O","IN"),IF(COUNTIF(Flows!$M$2:$M$1500,$A173&amp;"|"&amp;P$1&amp;"|Output"),"OUT",""))</f>
        <v/>
      </c>
      <c r="Q173" s="33" t="str">
        <f aca="false">IF(COUNTIF(Flows!$M$2:$M$1500,$A173&amp;"|"&amp;Q$1&amp;"|Input"),IF(COUNTIF(Flows!$M$2:$M$1500,$A173&amp;"|"&amp;Q$1&amp;"|Output"),"I/O","IN"),IF(COUNTIF(Flows!$M$2:$M$1500,$A173&amp;"|"&amp;Q$1&amp;"|Output"),"OUT",""))</f>
        <v/>
      </c>
      <c r="R173" s="33" t="str">
        <f aca="false">IF(COUNTIF(Flows!$M$2:$M$1500,$A173&amp;"|"&amp;R$1&amp;"|Input"),IF(COUNTIF(Flows!$M$2:$M$1500,$A173&amp;"|"&amp;R$1&amp;"|Output"),"I/O","IN"),IF(COUNTIF(Flows!$M$2:$M$1500,$A173&amp;"|"&amp;R$1&amp;"|Output"),"OUT",""))</f>
        <v/>
      </c>
      <c r="S173" s="33" t="str">
        <f aca="false">IF(COUNTIF(Flows!$M$2:$M$1500,$A173&amp;"|"&amp;S$1&amp;"|Input"),IF(COUNTIF(Flows!$M$2:$M$1500,$A173&amp;"|"&amp;S$1&amp;"|Output"),"I/O","IN"),IF(COUNTIF(Flows!$M$2:$M$1500,$A173&amp;"|"&amp;S$1&amp;"|Output"),"OUT",""))</f>
        <v/>
      </c>
      <c r="T173" s="33" t="str">
        <f aca="false">IF(COUNTIF(Flows!$M$2:$M$1500,$A173&amp;"|"&amp;T$1&amp;"|Input"),IF(COUNTIF(Flows!$M$2:$M$1500,$A173&amp;"|"&amp;T$1&amp;"|Output"),"I/O","IN"),IF(COUNTIF(Flows!$M$2:$M$1500,$A173&amp;"|"&amp;T$1&amp;"|Output"),"OUT",""))</f>
        <v/>
      </c>
      <c r="U173" s="33" t="str">
        <f aca="false">IF(COUNTIF(Flows!$M$2:$M$1500,$A173&amp;"|"&amp;U$1&amp;"|Input"),IF(COUNTIF(Flows!$M$2:$M$1500,$A173&amp;"|"&amp;U$1&amp;"|Output"),"I/O","IN"),IF(COUNTIF(Flows!$M$2:$M$1500,$A173&amp;"|"&amp;U$1&amp;"|Output"),"OUT",""))</f>
        <v/>
      </c>
      <c r="V173" s="33" t="str">
        <f aca="false">IF(COUNTIF(Flows!$M$2:$M$1500,$A173&amp;"|"&amp;V$1&amp;"|Input"),IF(COUNTIF(Flows!$M$2:$M$1500,$A173&amp;"|"&amp;V$1&amp;"|Output"),"I/O","IN"),IF(COUNTIF(Flows!$M$2:$M$1500,$A173&amp;"|"&amp;V$1&amp;"|Output"),"OUT",""))</f>
        <v/>
      </c>
      <c r="W173" s="33" t="str">
        <f aca="false">IF(COUNTIF(Flows!$M$2:$M$1500,$A173&amp;"|"&amp;W$1&amp;"|Input"),IF(COUNTIF(Flows!$M$2:$M$1500,$A173&amp;"|"&amp;W$1&amp;"|Output"),"I/O","IN"),IF(COUNTIF(Flows!$M$2:$M$1500,$A173&amp;"|"&amp;W$1&amp;"|Output"),"OUT",""))</f>
        <v/>
      </c>
      <c r="X173" s="33" t="str">
        <f aca="false">IF(COUNTIF(Flows!$M$2:$M$1500,$A173&amp;"|"&amp;X$1&amp;"|Input"),IF(COUNTIF(Flows!$M$2:$M$1500,$A173&amp;"|"&amp;X$1&amp;"|Output"),"I/O","IN"),IF(COUNTIF(Flows!$M$2:$M$1500,$A173&amp;"|"&amp;X$1&amp;"|Output"),"OUT",""))</f>
        <v>IN</v>
      </c>
      <c r="Y173" s="33" t="str">
        <f aca="false">IF(COUNTIF(Flows!$M$2:$M$1500,$A173&amp;"|"&amp;Y$1&amp;"|Input"),IF(COUNTIF(Flows!$M$2:$M$1500,$A173&amp;"|"&amp;Y$1&amp;"|Output"),"I/O","IN"),IF(COUNTIF(Flows!$M$2:$M$1500,$A173&amp;"|"&amp;Y$1&amp;"|Output"),"OUT",""))</f>
        <v>OUT</v>
      </c>
      <c r="Z173" s="33" t="str">
        <f aca="false">IF(COUNTIF(Flows!$M$2:$M$1500,$A173&amp;"|"&amp;Z$1&amp;"|Input"),IF(COUNTIF(Flows!$M$2:$M$1500,$A173&amp;"|"&amp;Z$1&amp;"|Output"),"I/O","IN"),IF(COUNTIF(Flows!$M$2:$M$1500,$A173&amp;"|"&amp;Z$1&amp;"|Output"),"OUT",""))</f>
        <v/>
      </c>
      <c r="AA173" s="33" t="str">
        <f aca="false">IF(COUNTIF(Flows!$M$2:$M$1500,$A173&amp;"|"&amp;AA$1&amp;"|Input"),IF(COUNTIF(Flows!$M$2:$M$1500,$A173&amp;"|"&amp;AA$1&amp;"|Output"),"I/O","IN"),IF(COUNTIF(Flows!$M$2:$M$1500,$A173&amp;"|"&amp;AA$1&amp;"|Output"),"OUT",""))</f>
        <v/>
      </c>
      <c r="AB173" s="33" t="str">
        <f aca="false">IF(COUNTIF(Flows!$M$2:$M$1500,$A173&amp;"|"&amp;AB$1&amp;"|Input"),IF(COUNTIF(Flows!$M$2:$M$1500,$A173&amp;"|"&amp;AB$1&amp;"|Output"),"I/O","IN"),IF(COUNTIF(Flows!$M$2:$M$1500,$A173&amp;"|"&amp;AB$1&amp;"|Output"),"OUT",""))</f>
        <v/>
      </c>
      <c r="AC173" s="33" t="str">
        <f aca="false">IF(COUNTIF(Flows!$M$2:$M$1500,$A173&amp;"|"&amp;AC$1&amp;"|Input"),IF(COUNTIF(Flows!$M$2:$M$1500,$A173&amp;"|"&amp;AC$1&amp;"|Output"),"I/O","IN"),IF(COUNTIF(Flows!$M$2:$M$1500,$A173&amp;"|"&amp;AC$1&amp;"|Output"),"OUT",""))</f>
        <v/>
      </c>
      <c r="AD173" s="33" t="str">
        <f aca="false">IF(COUNTIF(Flows!$M$2:$M$1500,$A173&amp;"|"&amp;AD$1&amp;"|Input"),IF(COUNTIF(Flows!$M$2:$M$1500,$A173&amp;"|"&amp;AD$1&amp;"|Output"),"I/O","IN"),IF(COUNTIF(Flows!$M$2:$M$1500,$A173&amp;"|"&amp;AD$1&amp;"|Output"),"OUT",""))</f>
        <v/>
      </c>
      <c r="AE173" s="33" t="str">
        <f aca="false">IF(COUNTIF(Flows!$M$2:$M$1500,$A173&amp;"|"&amp;AE$1&amp;"|Input"),IF(COUNTIF(Flows!$M$2:$M$1500,$A173&amp;"|"&amp;AE$1&amp;"|Output"),"I/O","IN"),IF(COUNTIF(Flows!$M$2:$M$1500,$A173&amp;"|"&amp;AE$1&amp;"|Output"),"OUT",""))</f>
        <v/>
      </c>
      <c r="AF173" s="33" t="str">
        <f aca="false">IF(COUNTIF(Flows!$M$2:$M$1500,$A173&amp;"|"&amp;AF$1&amp;"|Input"),IF(COUNTIF(Flows!$M$2:$M$1500,$A173&amp;"|"&amp;AF$1&amp;"|Output"),"I/O","IN"),IF(COUNTIF(Flows!$M$2:$M$1500,$A173&amp;"|"&amp;AF$1&amp;"|Output"),"OUT",""))</f>
        <v/>
      </c>
      <c r="AG173" s="33" t="str">
        <f aca="false">IF(COUNTIF(Flows!$M$2:$M$1500,$A173&amp;"|"&amp;AG$1&amp;"|Input"),IF(COUNTIF(Flows!$M$2:$M$1500,$A173&amp;"|"&amp;AG$1&amp;"|Output"),"I/O","IN"),IF(COUNTIF(Flows!$M$2:$M$1500,$A173&amp;"|"&amp;AG$1&amp;"|Output"),"OUT",""))</f>
        <v/>
      </c>
      <c r="AH173" s="33" t="str">
        <f aca="false">IF(COUNTIF(Flows!$M$2:$M$1500,$A173&amp;"|"&amp;AH$1&amp;"|Input"),IF(COUNTIF(Flows!$M$2:$M$1500,$A173&amp;"|"&amp;AH$1&amp;"|Output"),"I/O","IN"),IF(COUNTIF(Flows!$M$2:$M$1500,$A173&amp;"|"&amp;AH$1&amp;"|Output"),"OUT",""))</f>
        <v/>
      </c>
      <c r="AI173" s="33" t="str">
        <f aca="false">IF(COUNTIF(Flows!$M$2:$M$1500,$A173&amp;"|"&amp;AI$1&amp;"|Input"),IF(COUNTIF(Flows!$M$2:$M$1500,$A173&amp;"|"&amp;AI$1&amp;"|Output"),"I/O","IN"),IF(COUNTIF(Flows!$M$2:$M$1500,$A173&amp;"|"&amp;AI$1&amp;"|Output"),"OUT",""))</f>
        <v/>
      </c>
      <c r="AJ173" s="33" t="str">
        <f aca="false">IF(COUNTIF(Flows!$M$2:$M$1500,$A173&amp;"|"&amp;AJ$1&amp;"|Input"),IF(COUNTIF(Flows!$M$2:$M$1500,$A173&amp;"|"&amp;AJ$1&amp;"|Output"),"I/O","IN"),IF(COUNTIF(Flows!$M$2:$M$1500,$A173&amp;"|"&amp;AJ$1&amp;"|Output"),"OUT",""))</f>
        <v/>
      </c>
      <c r="AK173" s="33" t="str">
        <f aca="false">IF(COUNTIF(Flows!$M$2:$M$1500,$A173&amp;"|"&amp;AK$1&amp;"|Input"),IF(COUNTIF(Flows!$M$2:$M$1500,$A173&amp;"|"&amp;AK$1&amp;"|Output"),"I/O","IN"),IF(COUNTIF(Flows!$M$2:$M$1500,$A173&amp;"|"&amp;AK$1&amp;"|Output"),"OUT",""))</f>
        <v/>
      </c>
      <c r="AL173" s="33" t="str">
        <f aca="false">IF(COUNTIF(Flows!$M$2:$M$1500,$A173&amp;"|"&amp;AL$1&amp;"|Input"),IF(COUNTIF(Flows!$M$2:$M$1500,$A173&amp;"|"&amp;AL$1&amp;"|Output"),"I/O","IN"),IF(COUNTIF(Flows!$M$2:$M$1500,$A173&amp;"|"&amp;AL$1&amp;"|Output"),"OUT",""))</f>
        <v/>
      </c>
      <c r="AM173" s="33" t="str">
        <f aca="false">IF(COUNTIF(Flows!$M$2:$M$1500,$A173&amp;"|"&amp;AM$1&amp;"|Input"),IF(COUNTIF(Flows!$M$2:$M$1500,$A173&amp;"|"&amp;AM$1&amp;"|Output"),"I/O","IN"),IF(COUNTIF(Flows!$M$2:$M$1500,$A173&amp;"|"&amp;AM$1&amp;"|Output"),"OUT",""))</f>
        <v/>
      </c>
      <c r="AN173" s="33" t="str">
        <f aca="false">IF(COUNTIF(Flows!$M$2:$M$1500,$A173&amp;"|"&amp;AN$1&amp;"|Input"),IF(COUNTIF(Flows!$M$2:$M$1500,$A173&amp;"|"&amp;AN$1&amp;"|Output"),"I/O","IN"),IF(COUNTIF(Flows!$M$2:$M$1500,$A173&amp;"|"&amp;AN$1&amp;"|Output"),"OUT",""))</f>
        <v/>
      </c>
      <c r="AO173" s="33" t="str">
        <f aca="false">IF(COUNTIF(Flows!$M$2:$M$1500,$A173&amp;"|"&amp;AO$1&amp;"|Input"),IF(COUNTIF(Flows!$M$2:$M$1500,$A173&amp;"|"&amp;AO$1&amp;"|Output"),"I/O","IN"),IF(COUNTIF(Flows!$M$2:$M$1500,$A173&amp;"|"&amp;AO$1&amp;"|Output"),"OUT",""))</f>
        <v/>
      </c>
      <c r="AP173" s="33" t="str">
        <f aca="false">IF(COUNTIF(Flows!$M$2:$M$1500,$A173&amp;"|"&amp;AP$1&amp;"|Input"),IF(COUNTIF(Flows!$M$2:$M$1500,$A173&amp;"|"&amp;AP$1&amp;"|Output"),"I/O","IN"),IF(COUNTIF(Flows!$M$2:$M$1500,$A173&amp;"|"&amp;AP$1&amp;"|Output"),"OUT",""))</f>
        <v/>
      </c>
      <c r="AQ173" s="33" t="str">
        <f aca="false">IF(COUNTIF(Flows!$M$2:$M$1500,$A173&amp;"|"&amp;AQ$1&amp;"|Input"),IF(COUNTIF(Flows!$M$2:$M$1500,$A173&amp;"|"&amp;AQ$1&amp;"|Output"),"I/O","IN"),IF(COUNTIF(Flows!$M$2:$M$1500,$A173&amp;"|"&amp;AQ$1&amp;"|Output"),"OUT",""))</f>
        <v/>
      </c>
      <c r="AR173" s="33" t="str">
        <f aca="false">IF(COUNTIF(Flows!$M$2:$M$1500,$A173&amp;"|"&amp;AR$1&amp;"|Input"),IF(COUNTIF(Flows!$M$2:$M$1500,$A173&amp;"|"&amp;AR$1&amp;"|Output"),"I/O","IN"),IF(COUNTIF(Flows!$M$2:$M$1500,$A173&amp;"|"&amp;AR$1&amp;"|Output"),"OUT",""))</f>
        <v/>
      </c>
      <c r="AS173" s="33" t="str">
        <f aca="false">IF(COUNTIF(Flows!$M$2:$M$1500,$A173&amp;"|"&amp;AS$1&amp;"|Input"),IF(COUNTIF(Flows!$M$2:$M$1500,$A173&amp;"|"&amp;AS$1&amp;"|Output"),"I/O","IN"),IF(COUNTIF(Flows!$M$2:$M$1500,$A173&amp;"|"&amp;AS$1&amp;"|Output"),"OUT",""))</f>
        <v/>
      </c>
      <c r="AT173" s="33" t="str">
        <f aca="false">IF(COUNTIF(Flows!$M$2:$M$1500,$A173&amp;"|"&amp;AT$1&amp;"|Input"),IF(COUNTIF(Flows!$M$2:$M$1500,$A173&amp;"|"&amp;AT$1&amp;"|Output"),"I/O","IN"),IF(COUNTIF(Flows!$M$2:$M$1500,$A173&amp;"|"&amp;AT$1&amp;"|Output"),"OUT",""))</f>
        <v/>
      </c>
      <c r="AU173" s="33" t="str">
        <f aca="false">IF(COUNTIF(Flows!$M$2:$M$1500,$A173&amp;"|"&amp;AU$1&amp;"|Input"),IF(COUNTIF(Flows!$M$2:$M$1500,$A173&amp;"|"&amp;AU$1&amp;"|Output"),"I/O","IN"),IF(COUNTIF(Flows!$M$2:$M$1500,$A173&amp;"|"&amp;AU$1&amp;"|Output"),"OUT",""))</f>
        <v/>
      </c>
      <c r="AV173" s="33" t="str">
        <f aca="false">IF(COUNTIF(Flows!$M$2:$M$1500,$A173&amp;"|"&amp;AV$1&amp;"|Input"),IF(COUNTIF(Flows!$M$2:$M$1500,$A173&amp;"|"&amp;AV$1&amp;"|Output"),"I/O","IN"),IF(COUNTIF(Flows!$M$2:$M$1500,$A173&amp;"|"&amp;AV$1&amp;"|Output"),"OUT",""))</f>
        <v/>
      </c>
      <c r="AW173" s="33" t="str">
        <f aca="false">IF(COUNTIF(Flows!$M$2:$M$1500,$A173&amp;"|"&amp;AW$1&amp;"|Input"),IF(COUNTIF(Flows!$M$2:$M$1500,$A173&amp;"|"&amp;AW$1&amp;"|Output"),"I/O","IN"),IF(COUNTIF(Flows!$M$2:$M$1500,$A173&amp;"|"&amp;AW$1&amp;"|Output"),"OUT",""))</f>
        <v/>
      </c>
      <c r="AX173" s="33" t="str">
        <f aca="false">IF(COUNTIF(Flows!$M$2:$M$1500,$A173&amp;"|"&amp;AX$1&amp;"|Input"),IF(COUNTIF(Flows!$M$2:$M$1500,$A173&amp;"|"&amp;AX$1&amp;"|Output"),"I/O","IN"),IF(COUNTIF(Flows!$M$2:$M$1500,$A173&amp;"|"&amp;AX$1&amp;"|Output"),"OUT",""))</f>
        <v/>
      </c>
      <c r="AY173" s="33" t="str">
        <f aca="false">IF(COUNTIF(Flows!$M$2:$M$1500,$A173&amp;"|"&amp;AY$1&amp;"|Input"),IF(COUNTIF(Flows!$M$2:$M$1500,$A173&amp;"|"&amp;AY$1&amp;"|Output"),"I/O","IN"),IF(COUNTIF(Flows!$M$2:$M$1500,$A173&amp;"|"&amp;AY$1&amp;"|Output"),"OUT",""))</f>
        <v/>
      </c>
      <c r="AZ173" s="33" t="str">
        <f aca="false">IF(COUNTIF(Flows!$M$2:$M$1500,$A173&amp;"|"&amp;AZ$1&amp;"|Input"),IF(COUNTIF(Flows!$M$2:$M$1500,$A173&amp;"|"&amp;AZ$1&amp;"|Output"),"I/O","IN"),IF(COUNTIF(Flows!$M$2:$M$1500,$A173&amp;"|"&amp;AZ$1&amp;"|Output"),"OUT",""))</f>
        <v/>
      </c>
      <c r="BA173" s="33" t="str">
        <f aca="false">IF(COUNTIF(Flows!$M$2:$M$1500,$A173&amp;"|"&amp;BA$1&amp;"|Input"),IF(COUNTIF(Flows!$M$2:$M$1500,$A173&amp;"|"&amp;BA$1&amp;"|Output"),"I/O","IN"),IF(COUNTIF(Flows!$M$2:$M$1500,$A173&amp;"|"&amp;BA$1&amp;"|Output"),"OUT",""))</f>
        <v/>
      </c>
      <c r="BB173" s="33" t="str">
        <f aca="false">IF(COUNTIF(Flows!$M$2:$M$1500,$A173&amp;"|"&amp;BB$1&amp;"|Input"),IF(COUNTIF(Flows!$M$2:$M$1500,$A173&amp;"|"&amp;BB$1&amp;"|Output"),"I/O","IN"),IF(COUNTIF(Flows!$M$2:$M$1500,$A173&amp;"|"&amp;BB$1&amp;"|Output"),"OUT",""))</f>
        <v/>
      </c>
      <c r="BC173" s="33" t="str">
        <f aca="false">IF(COUNTIF(Flows!$M$2:$M$1500,$A173&amp;"|"&amp;BC$1&amp;"|Input"),IF(COUNTIF(Flows!$M$2:$M$1500,$A173&amp;"|"&amp;BC$1&amp;"|Output"),"I/O","IN"),IF(COUNTIF(Flows!$M$2:$M$1500,$A173&amp;"|"&amp;BC$1&amp;"|Output"),"OUT",""))</f>
        <v/>
      </c>
      <c r="BD173" s="33" t="str">
        <f aca="false">IF(COUNTIF(Flows!$M$2:$M$1500,$A173&amp;"|"&amp;BD$1&amp;"|Input"),IF(COUNTIF(Flows!$M$2:$M$1500,$A173&amp;"|"&amp;BD$1&amp;"|Output"),"I/O","IN"),IF(COUNTIF(Flows!$M$2:$M$1500,$A173&amp;"|"&amp;BD$1&amp;"|Output"),"OUT",""))</f>
        <v/>
      </c>
      <c r="BE173" s="33" t="str">
        <f aca="false">IF(COUNTIF(Flows!$M$2:$M$1500,$A173&amp;"|"&amp;BE$1&amp;"|Input"),IF(COUNTIF(Flows!$M$2:$M$1500,$A173&amp;"|"&amp;BE$1&amp;"|Output"),"I/O","IN"),IF(COUNTIF(Flows!$M$2:$M$1500,$A173&amp;"|"&amp;BE$1&amp;"|Output"),"OUT",""))</f>
        <v/>
      </c>
      <c r="BF173" s="33" t="str">
        <f aca="false">IF(COUNTIF(Flows!$M$2:$M$1500,$A173&amp;"|"&amp;BF$1&amp;"|Input"),IF(COUNTIF(Flows!$M$2:$M$1500,$A173&amp;"|"&amp;BF$1&amp;"|Output"),"I/O","IN"),IF(COUNTIF(Flows!$M$2:$M$1500,$A173&amp;"|"&amp;BF$1&amp;"|Output"),"OUT",""))</f>
        <v/>
      </c>
      <c r="BG173" s="33" t="str">
        <f aca="false">IF(COUNTIF(Flows!$M$2:$M$1500,$A173&amp;"|"&amp;BG$1&amp;"|Input"),IF(COUNTIF(Flows!$M$2:$M$1500,$A173&amp;"|"&amp;BG$1&amp;"|Output"),"I/O","IN"),IF(COUNTIF(Flows!$M$2:$M$1500,$A173&amp;"|"&amp;BG$1&amp;"|Output"),"OUT",""))</f>
        <v/>
      </c>
      <c r="BH173" s="33" t="str">
        <f aca="false">IF(COUNTIF(Flows!$M$2:$M$1500,$A173&amp;"|"&amp;BH$1&amp;"|Input"),IF(COUNTIF(Flows!$M$2:$M$1500,$A173&amp;"|"&amp;BH$1&amp;"|Output"),"I/O","IN"),IF(COUNTIF(Flows!$M$2:$M$1500,$A173&amp;"|"&amp;BH$1&amp;"|Output"),"OUT",""))</f>
        <v/>
      </c>
      <c r="BI173" s="33" t="str">
        <f aca="false">IF(COUNTIF(Flows!$M$2:$M$1500,$A173&amp;"|"&amp;BI$1&amp;"|Input"),IF(COUNTIF(Flows!$M$2:$M$1500,$A173&amp;"|"&amp;BI$1&amp;"|Output"),"I/O","IN"),IF(COUNTIF(Flows!$M$2:$M$1500,$A173&amp;"|"&amp;BI$1&amp;"|Output"),"OUT",""))</f>
        <v/>
      </c>
      <c r="BJ173" s="33" t="str">
        <f aca="false">IF(COUNTIF(Flows!$M$2:$M$1500,$A173&amp;"|"&amp;BJ$1&amp;"|Input"),IF(COUNTIF(Flows!$M$2:$M$1500,$A173&amp;"|"&amp;BJ$1&amp;"|Output"),"I/O","IN"),IF(COUNTIF(Flows!$M$2:$M$1500,$A173&amp;"|"&amp;BJ$1&amp;"|Output"),"OUT",""))</f>
        <v/>
      </c>
      <c r="BK173" s="33" t="str">
        <f aca="false">IF(COUNTIF(Flows!$M$2:$M$1500,$A173&amp;"|"&amp;BK$1&amp;"|Input"),IF(COUNTIF(Flows!$M$2:$M$1500,$A173&amp;"|"&amp;BK$1&amp;"|Output"),"I/O","IN"),IF(COUNTIF(Flows!$M$2:$M$1500,$A173&amp;"|"&amp;BK$1&amp;"|Output"),"OUT",""))</f>
        <v/>
      </c>
    </row>
    <row r="174" customFormat="false" ht="15" hidden="false" customHeight="true" outlineLevel="0" collapsed="false">
      <c r="A174" s="6" t="str">
        <f aca="false">Systems!B174</f>
        <v>Sheet-Mulch Lawn Conversion (500 sq ft)</v>
      </c>
      <c r="B174" s="33" t="str">
        <f aca="false">IF(COUNTIF(Flows!$M$2:$M$1500,$A174&amp;"|"&amp;B$1&amp;"|Input"),IF(COUNTIF(Flows!$M$2:$M$1500,$A174&amp;"|"&amp;B$1&amp;"|Output"),"I/O","IN"),IF(COUNTIF(Flows!$M$2:$M$1500,$A174&amp;"|"&amp;B$1&amp;"|Output"),"OUT",""))</f>
        <v/>
      </c>
      <c r="C174" s="33" t="str">
        <f aca="false">IF(COUNTIF(Flows!$M$2:$M$1500,$A174&amp;"|"&amp;C$1&amp;"|Input"),IF(COUNTIF(Flows!$M$2:$M$1500,$A174&amp;"|"&amp;C$1&amp;"|Output"),"I/O","IN"),IF(COUNTIF(Flows!$M$2:$M$1500,$A174&amp;"|"&amp;C$1&amp;"|Output"),"OUT",""))</f>
        <v/>
      </c>
      <c r="D174" s="33" t="str">
        <f aca="false">IF(COUNTIF(Flows!$M$2:$M$1500,$A174&amp;"|"&amp;D$1&amp;"|Input"),IF(COUNTIF(Flows!$M$2:$M$1500,$A174&amp;"|"&amp;D$1&amp;"|Output"),"I/O","IN"),IF(COUNTIF(Flows!$M$2:$M$1500,$A174&amp;"|"&amp;D$1&amp;"|Output"),"OUT",""))</f>
        <v/>
      </c>
      <c r="E174" s="33" t="str">
        <f aca="false">IF(COUNTIF(Flows!$M$2:$M$1500,$A174&amp;"|"&amp;E$1&amp;"|Input"),IF(COUNTIF(Flows!$M$2:$M$1500,$A174&amp;"|"&amp;E$1&amp;"|Output"),"I/O","IN"),IF(COUNTIF(Flows!$M$2:$M$1500,$A174&amp;"|"&amp;E$1&amp;"|Output"),"OUT",""))</f>
        <v/>
      </c>
      <c r="F174" s="33" t="str">
        <f aca="false">IF(COUNTIF(Flows!$M$2:$M$1500,$A174&amp;"|"&amp;F$1&amp;"|Input"),IF(COUNTIF(Flows!$M$2:$M$1500,$A174&amp;"|"&amp;F$1&amp;"|Output"),"I/O","IN"),IF(COUNTIF(Flows!$M$2:$M$1500,$A174&amp;"|"&amp;F$1&amp;"|Output"),"OUT",""))</f>
        <v/>
      </c>
      <c r="G174" s="33" t="str">
        <f aca="false">IF(COUNTIF(Flows!$M$2:$M$1500,$A174&amp;"|"&amp;G$1&amp;"|Input"),IF(COUNTIF(Flows!$M$2:$M$1500,$A174&amp;"|"&amp;G$1&amp;"|Output"),"I/O","IN"),IF(COUNTIF(Flows!$M$2:$M$1500,$A174&amp;"|"&amp;G$1&amp;"|Output"),"OUT",""))</f>
        <v/>
      </c>
      <c r="H174" s="33" t="str">
        <f aca="false">IF(COUNTIF(Flows!$M$2:$M$1500,$A174&amp;"|"&amp;H$1&amp;"|Input"),IF(COUNTIF(Flows!$M$2:$M$1500,$A174&amp;"|"&amp;H$1&amp;"|Output"),"I/O","IN"),IF(COUNTIF(Flows!$M$2:$M$1500,$A174&amp;"|"&amp;H$1&amp;"|Output"),"OUT",""))</f>
        <v/>
      </c>
      <c r="I174" s="33" t="str">
        <f aca="false">IF(COUNTIF(Flows!$M$2:$M$1500,$A174&amp;"|"&amp;I$1&amp;"|Input"),IF(COUNTIF(Flows!$M$2:$M$1500,$A174&amp;"|"&amp;I$1&amp;"|Output"),"I/O","IN"),IF(COUNTIF(Flows!$M$2:$M$1500,$A174&amp;"|"&amp;I$1&amp;"|Output"),"OUT",""))</f>
        <v/>
      </c>
      <c r="J174" s="33" t="str">
        <f aca="false">IF(COUNTIF(Flows!$M$2:$M$1500,$A174&amp;"|"&amp;J$1&amp;"|Input"),IF(COUNTIF(Flows!$M$2:$M$1500,$A174&amp;"|"&amp;J$1&amp;"|Output"),"I/O","IN"),IF(COUNTIF(Flows!$M$2:$M$1500,$A174&amp;"|"&amp;J$1&amp;"|Output"),"OUT",""))</f>
        <v/>
      </c>
      <c r="K174" s="33" t="str">
        <f aca="false">IF(COUNTIF(Flows!$M$2:$M$1500,$A174&amp;"|"&amp;K$1&amp;"|Input"),IF(COUNTIF(Flows!$M$2:$M$1500,$A174&amp;"|"&amp;K$1&amp;"|Output"),"I/O","IN"),IF(COUNTIF(Flows!$M$2:$M$1500,$A174&amp;"|"&amp;K$1&amp;"|Output"),"OUT",""))</f>
        <v/>
      </c>
      <c r="L174" s="33" t="str">
        <f aca="false">IF(COUNTIF(Flows!$M$2:$M$1500,$A174&amp;"|"&amp;L$1&amp;"|Input"),IF(COUNTIF(Flows!$M$2:$M$1500,$A174&amp;"|"&amp;L$1&amp;"|Output"),"I/O","IN"),IF(COUNTIF(Flows!$M$2:$M$1500,$A174&amp;"|"&amp;L$1&amp;"|Output"),"OUT",""))</f>
        <v/>
      </c>
      <c r="M174" s="33" t="str">
        <f aca="false">IF(COUNTIF(Flows!$M$2:$M$1500,$A174&amp;"|"&amp;M$1&amp;"|Input"),IF(COUNTIF(Flows!$M$2:$M$1500,$A174&amp;"|"&amp;M$1&amp;"|Output"),"I/O","IN"),IF(COUNTIF(Flows!$M$2:$M$1500,$A174&amp;"|"&amp;M$1&amp;"|Output"),"OUT",""))</f>
        <v/>
      </c>
      <c r="N174" s="33" t="str">
        <f aca="false">IF(COUNTIF(Flows!$M$2:$M$1500,$A174&amp;"|"&amp;N$1&amp;"|Input"),IF(COUNTIF(Flows!$M$2:$M$1500,$A174&amp;"|"&amp;N$1&amp;"|Output"),"I/O","IN"),IF(COUNTIF(Flows!$M$2:$M$1500,$A174&amp;"|"&amp;N$1&amp;"|Output"),"OUT",""))</f>
        <v/>
      </c>
      <c r="O174" s="33" t="str">
        <f aca="false">IF(COUNTIF(Flows!$M$2:$M$1500,$A174&amp;"|"&amp;O$1&amp;"|Input"),IF(COUNTIF(Flows!$M$2:$M$1500,$A174&amp;"|"&amp;O$1&amp;"|Output"),"I/O","IN"),IF(COUNTIF(Flows!$M$2:$M$1500,$A174&amp;"|"&amp;O$1&amp;"|Output"),"OUT",""))</f>
        <v/>
      </c>
      <c r="P174" s="33" t="str">
        <f aca="false">IF(COUNTIF(Flows!$M$2:$M$1500,$A174&amp;"|"&amp;P$1&amp;"|Input"),IF(COUNTIF(Flows!$M$2:$M$1500,$A174&amp;"|"&amp;P$1&amp;"|Output"),"I/O","IN"),IF(COUNTIF(Flows!$M$2:$M$1500,$A174&amp;"|"&amp;P$1&amp;"|Output"),"OUT",""))</f>
        <v/>
      </c>
      <c r="Q174" s="33" t="str">
        <f aca="false">IF(COUNTIF(Flows!$M$2:$M$1500,$A174&amp;"|"&amp;Q$1&amp;"|Input"),IF(COUNTIF(Flows!$M$2:$M$1500,$A174&amp;"|"&amp;Q$1&amp;"|Output"),"I/O","IN"),IF(COUNTIF(Flows!$M$2:$M$1500,$A174&amp;"|"&amp;Q$1&amp;"|Output"),"OUT",""))</f>
        <v/>
      </c>
      <c r="R174" s="33" t="str">
        <f aca="false">IF(COUNTIF(Flows!$M$2:$M$1500,$A174&amp;"|"&amp;R$1&amp;"|Input"),IF(COUNTIF(Flows!$M$2:$M$1500,$A174&amp;"|"&amp;R$1&amp;"|Output"),"I/O","IN"),IF(COUNTIF(Flows!$M$2:$M$1500,$A174&amp;"|"&amp;R$1&amp;"|Output"),"OUT",""))</f>
        <v/>
      </c>
      <c r="S174" s="33" t="str">
        <f aca="false">IF(COUNTIF(Flows!$M$2:$M$1500,$A174&amp;"|"&amp;S$1&amp;"|Input"),IF(COUNTIF(Flows!$M$2:$M$1500,$A174&amp;"|"&amp;S$1&amp;"|Output"),"I/O","IN"),IF(COUNTIF(Flows!$M$2:$M$1500,$A174&amp;"|"&amp;S$1&amp;"|Output"),"OUT",""))</f>
        <v/>
      </c>
      <c r="T174" s="33" t="str">
        <f aca="false">IF(COUNTIF(Flows!$M$2:$M$1500,$A174&amp;"|"&amp;T$1&amp;"|Input"),IF(COUNTIF(Flows!$M$2:$M$1500,$A174&amp;"|"&amp;T$1&amp;"|Output"),"I/O","IN"),IF(COUNTIF(Flows!$M$2:$M$1500,$A174&amp;"|"&amp;T$1&amp;"|Output"),"OUT",""))</f>
        <v/>
      </c>
      <c r="U174" s="33" t="str">
        <f aca="false">IF(COUNTIF(Flows!$M$2:$M$1500,$A174&amp;"|"&amp;U$1&amp;"|Input"),IF(COUNTIF(Flows!$M$2:$M$1500,$A174&amp;"|"&amp;U$1&amp;"|Output"),"I/O","IN"),IF(COUNTIF(Flows!$M$2:$M$1500,$A174&amp;"|"&amp;U$1&amp;"|Output"),"OUT",""))</f>
        <v/>
      </c>
      <c r="V174" s="33" t="str">
        <f aca="false">IF(COUNTIF(Flows!$M$2:$M$1500,$A174&amp;"|"&amp;V$1&amp;"|Input"),IF(COUNTIF(Flows!$M$2:$M$1500,$A174&amp;"|"&amp;V$1&amp;"|Output"),"I/O","IN"),IF(COUNTIF(Flows!$M$2:$M$1500,$A174&amp;"|"&amp;V$1&amp;"|Output"),"OUT",""))</f>
        <v/>
      </c>
      <c r="W174" s="33" t="str">
        <f aca="false">IF(COUNTIF(Flows!$M$2:$M$1500,$A174&amp;"|"&amp;W$1&amp;"|Input"),IF(COUNTIF(Flows!$M$2:$M$1500,$A174&amp;"|"&amp;W$1&amp;"|Output"),"I/O","IN"),IF(COUNTIF(Flows!$M$2:$M$1500,$A174&amp;"|"&amp;W$1&amp;"|Output"),"OUT",""))</f>
        <v/>
      </c>
      <c r="X174" s="33" t="str">
        <f aca="false">IF(COUNTIF(Flows!$M$2:$M$1500,$A174&amp;"|"&amp;X$1&amp;"|Input"),IF(COUNTIF(Flows!$M$2:$M$1500,$A174&amp;"|"&amp;X$1&amp;"|Output"),"I/O","IN"),IF(COUNTIF(Flows!$M$2:$M$1500,$A174&amp;"|"&amp;X$1&amp;"|Output"),"OUT",""))</f>
        <v>IN</v>
      </c>
      <c r="Y174" s="33" t="str">
        <f aca="false">IF(COUNTIF(Flows!$M$2:$M$1500,$A174&amp;"|"&amp;Y$1&amp;"|Input"),IF(COUNTIF(Flows!$M$2:$M$1500,$A174&amp;"|"&amp;Y$1&amp;"|Output"),"I/O","IN"),IF(COUNTIF(Flows!$M$2:$M$1500,$A174&amp;"|"&amp;Y$1&amp;"|Output"),"OUT",""))</f>
        <v/>
      </c>
      <c r="Z174" s="33" t="str">
        <f aca="false">IF(COUNTIF(Flows!$M$2:$M$1500,$A174&amp;"|"&amp;Z$1&amp;"|Input"),IF(COUNTIF(Flows!$M$2:$M$1500,$A174&amp;"|"&amp;Z$1&amp;"|Output"),"I/O","IN"),IF(COUNTIF(Flows!$M$2:$M$1500,$A174&amp;"|"&amp;Z$1&amp;"|Output"),"OUT",""))</f>
        <v/>
      </c>
      <c r="AA174" s="33" t="str">
        <f aca="false">IF(COUNTIF(Flows!$M$2:$M$1500,$A174&amp;"|"&amp;AA$1&amp;"|Input"),IF(COUNTIF(Flows!$M$2:$M$1500,$A174&amp;"|"&amp;AA$1&amp;"|Output"),"I/O","IN"),IF(COUNTIF(Flows!$M$2:$M$1500,$A174&amp;"|"&amp;AA$1&amp;"|Output"),"OUT",""))</f>
        <v/>
      </c>
      <c r="AB174" s="33" t="str">
        <f aca="false">IF(COUNTIF(Flows!$M$2:$M$1500,$A174&amp;"|"&amp;AB$1&amp;"|Input"),IF(COUNTIF(Flows!$M$2:$M$1500,$A174&amp;"|"&amp;AB$1&amp;"|Output"),"I/O","IN"),IF(COUNTIF(Flows!$M$2:$M$1500,$A174&amp;"|"&amp;AB$1&amp;"|Output"),"OUT",""))</f>
        <v/>
      </c>
      <c r="AC174" s="33" t="str">
        <f aca="false">IF(COUNTIF(Flows!$M$2:$M$1500,$A174&amp;"|"&amp;AC$1&amp;"|Input"),IF(COUNTIF(Flows!$M$2:$M$1500,$A174&amp;"|"&amp;AC$1&amp;"|Output"),"I/O","IN"),IF(COUNTIF(Flows!$M$2:$M$1500,$A174&amp;"|"&amp;AC$1&amp;"|Output"),"OUT",""))</f>
        <v/>
      </c>
      <c r="AD174" s="33" t="str">
        <f aca="false">IF(COUNTIF(Flows!$M$2:$M$1500,$A174&amp;"|"&amp;AD$1&amp;"|Input"),IF(COUNTIF(Flows!$M$2:$M$1500,$A174&amp;"|"&amp;AD$1&amp;"|Output"),"I/O","IN"),IF(COUNTIF(Flows!$M$2:$M$1500,$A174&amp;"|"&amp;AD$1&amp;"|Output"),"OUT",""))</f>
        <v/>
      </c>
      <c r="AE174" s="33" t="str">
        <f aca="false">IF(COUNTIF(Flows!$M$2:$M$1500,$A174&amp;"|"&amp;AE$1&amp;"|Input"),IF(COUNTIF(Flows!$M$2:$M$1500,$A174&amp;"|"&amp;AE$1&amp;"|Output"),"I/O","IN"),IF(COUNTIF(Flows!$M$2:$M$1500,$A174&amp;"|"&amp;AE$1&amp;"|Output"),"OUT",""))</f>
        <v/>
      </c>
      <c r="AF174" s="33" t="str">
        <f aca="false">IF(COUNTIF(Flows!$M$2:$M$1500,$A174&amp;"|"&amp;AF$1&amp;"|Input"),IF(COUNTIF(Flows!$M$2:$M$1500,$A174&amp;"|"&amp;AF$1&amp;"|Output"),"I/O","IN"),IF(COUNTIF(Flows!$M$2:$M$1500,$A174&amp;"|"&amp;AF$1&amp;"|Output"),"OUT",""))</f>
        <v/>
      </c>
      <c r="AG174" s="33" t="str">
        <f aca="false">IF(COUNTIF(Flows!$M$2:$M$1500,$A174&amp;"|"&amp;AG$1&amp;"|Input"),IF(COUNTIF(Flows!$M$2:$M$1500,$A174&amp;"|"&amp;AG$1&amp;"|Output"),"I/O","IN"),IF(COUNTIF(Flows!$M$2:$M$1500,$A174&amp;"|"&amp;AG$1&amp;"|Output"),"OUT",""))</f>
        <v/>
      </c>
      <c r="AH174" s="33" t="str">
        <f aca="false">IF(COUNTIF(Flows!$M$2:$M$1500,$A174&amp;"|"&amp;AH$1&amp;"|Input"),IF(COUNTIF(Flows!$M$2:$M$1500,$A174&amp;"|"&amp;AH$1&amp;"|Output"),"I/O","IN"),IF(COUNTIF(Flows!$M$2:$M$1500,$A174&amp;"|"&amp;AH$1&amp;"|Output"),"OUT",""))</f>
        <v/>
      </c>
      <c r="AI174" s="33" t="str">
        <f aca="false">IF(COUNTIF(Flows!$M$2:$M$1500,$A174&amp;"|"&amp;AI$1&amp;"|Input"),IF(COUNTIF(Flows!$M$2:$M$1500,$A174&amp;"|"&amp;AI$1&amp;"|Output"),"I/O","IN"),IF(COUNTIF(Flows!$M$2:$M$1500,$A174&amp;"|"&amp;AI$1&amp;"|Output"),"OUT",""))</f>
        <v/>
      </c>
      <c r="AJ174" s="33" t="str">
        <f aca="false">IF(COUNTIF(Flows!$M$2:$M$1500,$A174&amp;"|"&amp;AJ$1&amp;"|Input"),IF(COUNTIF(Flows!$M$2:$M$1500,$A174&amp;"|"&amp;AJ$1&amp;"|Output"),"I/O","IN"),IF(COUNTIF(Flows!$M$2:$M$1500,$A174&amp;"|"&amp;AJ$1&amp;"|Output"),"OUT",""))</f>
        <v/>
      </c>
      <c r="AK174" s="33" t="str">
        <f aca="false">IF(COUNTIF(Flows!$M$2:$M$1500,$A174&amp;"|"&amp;AK$1&amp;"|Input"),IF(COUNTIF(Flows!$M$2:$M$1500,$A174&amp;"|"&amp;AK$1&amp;"|Output"),"I/O","IN"),IF(COUNTIF(Flows!$M$2:$M$1500,$A174&amp;"|"&amp;AK$1&amp;"|Output"),"OUT",""))</f>
        <v/>
      </c>
      <c r="AL174" s="33" t="str">
        <f aca="false">IF(COUNTIF(Flows!$M$2:$M$1500,$A174&amp;"|"&amp;AL$1&amp;"|Input"),IF(COUNTIF(Flows!$M$2:$M$1500,$A174&amp;"|"&amp;AL$1&amp;"|Output"),"I/O","IN"),IF(COUNTIF(Flows!$M$2:$M$1500,$A174&amp;"|"&amp;AL$1&amp;"|Output"),"OUT",""))</f>
        <v/>
      </c>
      <c r="AM174" s="33" t="str">
        <f aca="false">IF(COUNTIF(Flows!$M$2:$M$1500,$A174&amp;"|"&amp;AM$1&amp;"|Input"),IF(COUNTIF(Flows!$M$2:$M$1500,$A174&amp;"|"&amp;AM$1&amp;"|Output"),"I/O","IN"),IF(COUNTIF(Flows!$M$2:$M$1500,$A174&amp;"|"&amp;AM$1&amp;"|Output"),"OUT",""))</f>
        <v/>
      </c>
      <c r="AN174" s="33" t="str">
        <f aca="false">IF(COUNTIF(Flows!$M$2:$M$1500,$A174&amp;"|"&amp;AN$1&amp;"|Input"),IF(COUNTIF(Flows!$M$2:$M$1500,$A174&amp;"|"&amp;AN$1&amp;"|Output"),"I/O","IN"),IF(COUNTIF(Flows!$M$2:$M$1500,$A174&amp;"|"&amp;AN$1&amp;"|Output"),"OUT",""))</f>
        <v/>
      </c>
      <c r="AO174" s="33" t="str">
        <f aca="false">IF(COUNTIF(Flows!$M$2:$M$1500,$A174&amp;"|"&amp;AO$1&amp;"|Input"),IF(COUNTIF(Flows!$M$2:$M$1500,$A174&amp;"|"&amp;AO$1&amp;"|Output"),"I/O","IN"),IF(COUNTIF(Flows!$M$2:$M$1500,$A174&amp;"|"&amp;AO$1&amp;"|Output"),"OUT",""))</f>
        <v/>
      </c>
      <c r="AP174" s="33" t="str">
        <f aca="false">IF(COUNTIF(Flows!$M$2:$M$1500,$A174&amp;"|"&amp;AP$1&amp;"|Input"),IF(COUNTIF(Flows!$M$2:$M$1500,$A174&amp;"|"&amp;AP$1&amp;"|Output"),"I/O","IN"),IF(COUNTIF(Flows!$M$2:$M$1500,$A174&amp;"|"&amp;AP$1&amp;"|Output"),"OUT",""))</f>
        <v/>
      </c>
      <c r="AQ174" s="33" t="str">
        <f aca="false">IF(COUNTIF(Flows!$M$2:$M$1500,$A174&amp;"|"&amp;AQ$1&amp;"|Input"),IF(COUNTIF(Flows!$M$2:$M$1500,$A174&amp;"|"&amp;AQ$1&amp;"|Output"),"I/O","IN"),IF(COUNTIF(Flows!$M$2:$M$1500,$A174&amp;"|"&amp;AQ$1&amp;"|Output"),"OUT",""))</f>
        <v/>
      </c>
      <c r="AR174" s="33" t="str">
        <f aca="false">IF(COUNTIF(Flows!$M$2:$M$1500,$A174&amp;"|"&amp;AR$1&amp;"|Input"),IF(COUNTIF(Flows!$M$2:$M$1500,$A174&amp;"|"&amp;AR$1&amp;"|Output"),"I/O","IN"),IF(COUNTIF(Flows!$M$2:$M$1500,$A174&amp;"|"&amp;AR$1&amp;"|Output"),"OUT",""))</f>
        <v>IN</v>
      </c>
      <c r="AS174" s="33" t="str">
        <f aca="false">IF(COUNTIF(Flows!$M$2:$M$1500,$A174&amp;"|"&amp;AS$1&amp;"|Input"),IF(COUNTIF(Flows!$M$2:$M$1500,$A174&amp;"|"&amp;AS$1&amp;"|Output"),"I/O","IN"),IF(COUNTIF(Flows!$M$2:$M$1500,$A174&amp;"|"&amp;AS$1&amp;"|Output"),"OUT",""))</f>
        <v>IN</v>
      </c>
      <c r="AT174" s="33" t="str">
        <f aca="false">IF(COUNTIF(Flows!$M$2:$M$1500,$A174&amp;"|"&amp;AT$1&amp;"|Input"),IF(COUNTIF(Flows!$M$2:$M$1500,$A174&amp;"|"&amp;AT$1&amp;"|Output"),"I/O","IN"),IF(COUNTIF(Flows!$M$2:$M$1500,$A174&amp;"|"&amp;AT$1&amp;"|Output"),"OUT",""))</f>
        <v/>
      </c>
      <c r="AU174" s="33" t="str">
        <f aca="false">IF(COUNTIF(Flows!$M$2:$M$1500,$A174&amp;"|"&amp;AU$1&amp;"|Input"),IF(COUNTIF(Flows!$M$2:$M$1500,$A174&amp;"|"&amp;AU$1&amp;"|Output"),"I/O","IN"),IF(COUNTIF(Flows!$M$2:$M$1500,$A174&amp;"|"&amp;AU$1&amp;"|Output"),"OUT",""))</f>
        <v/>
      </c>
      <c r="AV174" s="33" t="str">
        <f aca="false">IF(COUNTIF(Flows!$M$2:$M$1500,$A174&amp;"|"&amp;AV$1&amp;"|Input"),IF(COUNTIF(Flows!$M$2:$M$1500,$A174&amp;"|"&amp;AV$1&amp;"|Output"),"I/O","IN"),IF(COUNTIF(Flows!$M$2:$M$1500,$A174&amp;"|"&amp;AV$1&amp;"|Output"),"OUT",""))</f>
        <v/>
      </c>
      <c r="AW174" s="33" t="str">
        <f aca="false">IF(COUNTIF(Flows!$M$2:$M$1500,$A174&amp;"|"&amp;AW$1&amp;"|Input"),IF(COUNTIF(Flows!$M$2:$M$1500,$A174&amp;"|"&amp;AW$1&amp;"|Output"),"I/O","IN"),IF(COUNTIF(Flows!$M$2:$M$1500,$A174&amp;"|"&amp;AW$1&amp;"|Output"),"OUT",""))</f>
        <v/>
      </c>
      <c r="AX174" s="33" t="str">
        <f aca="false">IF(COUNTIF(Flows!$M$2:$M$1500,$A174&amp;"|"&amp;AX$1&amp;"|Input"),IF(COUNTIF(Flows!$M$2:$M$1500,$A174&amp;"|"&amp;AX$1&amp;"|Output"),"I/O","IN"),IF(COUNTIF(Flows!$M$2:$M$1500,$A174&amp;"|"&amp;AX$1&amp;"|Output"),"OUT",""))</f>
        <v/>
      </c>
      <c r="AY174" s="33" t="str">
        <f aca="false">IF(COUNTIF(Flows!$M$2:$M$1500,$A174&amp;"|"&amp;AY$1&amp;"|Input"),IF(COUNTIF(Flows!$M$2:$M$1500,$A174&amp;"|"&amp;AY$1&amp;"|Output"),"I/O","IN"),IF(COUNTIF(Flows!$M$2:$M$1500,$A174&amp;"|"&amp;AY$1&amp;"|Output"),"OUT",""))</f>
        <v/>
      </c>
      <c r="AZ174" s="33" t="str">
        <f aca="false">IF(COUNTIF(Flows!$M$2:$M$1500,$A174&amp;"|"&amp;AZ$1&amp;"|Input"),IF(COUNTIF(Flows!$M$2:$M$1500,$A174&amp;"|"&amp;AZ$1&amp;"|Output"),"I/O","IN"),IF(COUNTIF(Flows!$M$2:$M$1500,$A174&amp;"|"&amp;AZ$1&amp;"|Output"),"OUT",""))</f>
        <v/>
      </c>
      <c r="BA174" s="33" t="str">
        <f aca="false">IF(COUNTIF(Flows!$M$2:$M$1500,$A174&amp;"|"&amp;BA$1&amp;"|Input"),IF(COUNTIF(Flows!$M$2:$M$1500,$A174&amp;"|"&amp;BA$1&amp;"|Output"),"I/O","IN"),IF(COUNTIF(Flows!$M$2:$M$1500,$A174&amp;"|"&amp;BA$1&amp;"|Output"),"OUT",""))</f>
        <v/>
      </c>
      <c r="BB174" s="33" t="str">
        <f aca="false">IF(COUNTIF(Flows!$M$2:$M$1500,$A174&amp;"|"&amp;BB$1&amp;"|Input"),IF(COUNTIF(Flows!$M$2:$M$1500,$A174&amp;"|"&amp;BB$1&amp;"|Output"),"I/O","IN"),IF(COUNTIF(Flows!$M$2:$M$1500,$A174&amp;"|"&amp;BB$1&amp;"|Output"),"OUT",""))</f>
        <v/>
      </c>
      <c r="BC174" s="33" t="str">
        <f aca="false">IF(COUNTIF(Flows!$M$2:$M$1500,$A174&amp;"|"&amp;BC$1&amp;"|Input"),IF(COUNTIF(Flows!$M$2:$M$1500,$A174&amp;"|"&amp;BC$1&amp;"|Output"),"I/O","IN"),IF(COUNTIF(Flows!$M$2:$M$1500,$A174&amp;"|"&amp;BC$1&amp;"|Output"),"OUT",""))</f>
        <v/>
      </c>
      <c r="BD174" s="33" t="str">
        <f aca="false">IF(COUNTIF(Flows!$M$2:$M$1500,$A174&amp;"|"&amp;BD$1&amp;"|Input"),IF(COUNTIF(Flows!$M$2:$M$1500,$A174&amp;"|"&amp;BD$1&amp;"|Output"),"I/O","IN"),IF(COUNTIF(Flows!$M$2:$M$1500,$A174&amp;"|"&amp;BD$1&amp;"|Output"),"OUT",""))</f>
        <v>OUT</v>
      </c>
      <c r="BE174" s="33" t="str">
        <f aca="false">IF(COUNTIF(Flows!$M$2:$M$1500,$A174&amp;"|"&amp;BE$1&amp;"|Input"),IF(COUNTIF(Flows!$M$2:$M$1500,$A174&amp;"|"&amp;BE$1&amp;"|Output"),"I/O","IN"),IF(COUNTIF(Flows!$M$2:$M$1500,$A174&amp;"|"&amp;BE$1&amp;"|Output"),"OUT",""))</f>
        <v/>
      </c>
      <c r="BF174" s="33" t="str">
        <f aca="false">IF(COUNTIF(Flows!$M$2:$M$1500,$A174&amp;"|"&amp;BF$1&amp;"|Input"),IF(COUNTIF(Flows!$M$2:$M$1500,$A174&amp;"|"&amp;BF$1&amp;"|Output"),"I/O","IN"),IF(COUNTIF(Flows!$M$2:$M$1500,$A174&amp;"|"&amp;BF$1&amp;"|Output"),"OUT",""))</f>
        <v/>
      </c>
      <c r="BG174" s="33" t="str">
        <f aca="false">IF(COUNTIF(Flows!$M$2:$M$1500,$A174&amp;"|"&amp;BG$1&amp;"|Input"),IF(COUNTIF(Flows!$M$2:$M$1500,$A174&amp;"|"&amp;BG$1&amp;"|Output"),"I/O","IN"),IF(COUNTIF(Flows!$M$2:$M$1500,$A174&amp;"|"&amp;BG$1&amp;"|Output"),"OUT",""))</f>
        <v/>
      </c>
      <c r="BH174" s="33" t="str">
        <f aca="false">IF(COUNTIF(Flows!$M$2:$M$1500,$A174&amp;"|"&amp;BH$1&amp;"|Input"),IF(COUNTIF(Flows!$M$2:$M$1500,$A174&amp;"|"&amp;BH$1&amp;"|Output"),"I/O","IN"),IF(COUNTIF(Flows!$M$2:$M$1500,$A174&amp;"|"&amp;BH$1&amp;"|Output"),"OUT",""))</f>
        <v/>
      </c>
      <c r="BI174" s="33" t="str">
        <f aca="false">IF(COUNTIF(Flows!$M$2:$M$1500,$A174&amp;"|"&amp;BI$1&amp;"|Input"),IF(COUNTIF(Flows!$M$2:$M$1500,$A174&amp;"|"&amp;BI$1&amp;"|Output"),"I/O","IN"),IF(COUNTIF(Flows!$M$2:$M$1500,$A174&amp;"|"&amp;BI$1&amp;"|Output"),"OUT",""))</f>
        <v/>
      </c>
      <c r="BJ174" s="33" t="str">
        <f aca="false">IF(COUNTIF(Flows!$M$2:$M$1500,$A174&amp;"|"&amp;BJ$1&amp;"|Input"),IF(COUNTIF(Flows!$M$2:$M$1500,$A174&amp;"|"&amp;BJ$1&amp;"|Output"),"I/O","IN"),IF(COUNTIF(Flows!$M$2:$M$1500,$A174&amp;"|"&amp;BJ$1&amp;"|Output"),"OUT",""))</f>
        <v/>
      </c>
      <c r="BK174" s="33" t="str">
        <f aca="false">IF(COUNTIF(Flows!$M$2:$M$1500,$A174&amp;"|"&amp;BK$1&amp;"|Input"),IF(COUNTIF(Flows!$M$2:$M$1500,$A174&amp;"|"&amp;BK$1&amp;"|Output"),"I/O","IN"),IF(COUNTIF(Flows!$M$2:$M$1500,$A174&amp;"|"&amp;BK$1&amp;"|Output"),"OUT",""))</f>
        <v/>
      </c>
    </row>
    <row r="175" customFormat="false" ht="15" hidden="false" customHeight="true" outlineLevel="0" collapsed="false">
      <c r="A175" s="6" t="str">
        <f aca="false">Systems!B175</f>
        <v>Home Weatherization Retrofit</v>
      </c>
      <c r="B175" s="33" t="str">
        <f aca="false">IF(COUNTIF(Flows!$M$2:$M$1500,$A175&amp;"|"&amp;B$1&amp;"|Input"),IF(COUNTIF(Flows!$M$2:$M$1500,$A175&amp;"|"&amp;B$1&amp;"|Output"),"I/O","IN"),IF(COUNTIF(Flows!$M$2:$M$1500,$A175&amp;"|"&amp;B$1&amp;"|Output"),"OUT",""))</f>
        <v/>
      </c>
      <c r="C175" s="33" t="str">
        <f aca="false">IF(COUNTIF(Flows!$M$2:$M$1500,$A175&amp;"|"&amp;C$1&amp;"|Input"),IF(COUNTIF(Flows!$M$2:$M$1500,$A175&amp;"|"&amp;C$1&amp;"|Output"),"I/O","IN"),IF(COUNTIF(Flows!$M$2:$M$1500,$A175&amp;"|"&amp;C$1&amp;"|Output"),"OUT",""))</f>
        <v/>
      </c>
      <c r="D175" s="33" t="str">
        <f aca="false">IF(COUNTIF(Flows!$M$2:$M$1500,$A175&amp;"|"&amp;D$1&amp;"|Input"),IF(COUNTIF(Flows!$M$2:$M$1500,$A175&amp;"|"&amp;D$1&amp;"|Output"),"I/O","IN"),IF(COUNTIF(Flows!$M$2:$M$1500,$A175&amp;"|"&amp;D$1&amp;"|Output"),"OUT",""))</f>
        <v/>
      </c>
      <c r="E175" s="33" t="str">
        <f aca="false">IF(COUNTIF(Flows!$M$2:$M$1500,$A175&amp;"|"&amp;E$1&amp;"|Input"),IF(COUNTIF(Flows!$M$2:$M$1500,$A175&amp;"|"&amp;E$1&amp;"|Output"),"I/O","IN"),IF(COUNTIF(Flows!$M$2:$M$1500,$A175&amp;"|"&amp;E$1&amp;"|Output"),"OUT",""))</f>
        <v/>
      </c>
      <c r="F175" s="33" t="str">
        <f aca="false">IF(COUNTIF(Flows!$M$2:$M$1500,$A175&amp;"|"&amp;F$1&amp;"|Input"),IF(COUNTIF(Flows!$M$2:$M$1500,$A175&amp;"|"&amp;F$1&amp;"|Output"),"I/O","IN"),IF(COUNTIF(Flows!$M$2:$M$1500,$A175&amp;"|"&amp;F$1&amp;"|Output"),"OUT",""))</f>
        <v/>
      </c>
      <c r="G175" s="33" t="str">
        <f aca="false">IF(COUNTIF(Flows!$M$2:$M$1500,$A175&amp;"|"&amp;G$1&amp;"|Input"),IF(COUNTIF(Flows!$M$2:$M$1500,$A175&amp;"|"&amp;G$1&amp;"|Output"),"I/O","IN"),IF(COUNTIF(Flows!$M$2:$M$1500,$A175&amp;"|"&amp;G$1&amp;"|Output"),"OUT",""))</f>
        <v/>
      </c>
      <c r="H175" s="33" t="str">
        <f aca="false">IF(COUNTIF(Flows!$M$2:$M$1500,$A175&amp;"|"&amp;H$1&amp;"|Input"),IF(COUNTIF(Flows!$M$2:$M$1500,$A175&amp;"|"&amp;H$1&amp;"|Output"),"I/O","IN"),IF(COUNTIF(Flows!$M$2:$M$1500,$A175&amp;"|"&amp;H$1&amp;"|Output"),"OUT",""))</f>
        <v/>
      </c>
      <c r="I175" s="33" t="str">
        <f aca="false">IF(COUNTIF(Flows!$M$2:$M$1500,$A175&amp;"|"&amp;I$1&amp;"|Input"),IF(COUNTIF(Flows!$M$2:$M$1500,$A175&amp;"|"&amp;I$1&amp;"|Output"),"I/O","IN"),IF(COUNTIF(Flows!$M$2:$M$1500,$A175&amp;"|"&amp;I$1&amp;"|Output"),"OUT",""))</f>
        <v/>
      </c>
      <c r="J175" s="33" t="str">
        <f aca="false">IF(COUNTIF(Flows!$M$2:$M$1500,$A175&amp;"|"&amp;J$1&amp;"|Input"),IF(COUNTIF(Flows!$M$2:$M$1500,$A175&amp;"|"&amp;J$1&amp;"|Output"),"I/O","IN"),IF(COUNTIF(Flows!$M$2:$M$1500,$A175&amp;"|"&amp;J$1&amp;"|Output"),"OUT",""))</f>
        <v/>
      </c>
      <c r="K175" s="33" t="str">
        <f aca="false">IF(COUNTIF(Flows!$M$2:$M$1500,$A175&amp;"|"&amp;K$1&amp;"|Input"),IF(COUNTIF(Flows!$M$2:$M$1500,$A175&amp;"|"&amp;K$1&amp;"|Output"),"I/O","IN"),IF(COUNTIF(Flows!$M$2:$M$1500,$A175&amp;"|"&amp;K$1&amp;"|Output"),"OUT",""))</f>
        <v/>
      </c>
      <c r="L175" s="33" t="str">
        <f aca="false">IF(COUNTIF(Flows!$M$2:$M$1500,$A175&amp;"|"&amp;L$1&amp;"|Input"),IF(COUNTIF(Flows!$M$2:$M$1500,$A175&amp;"|"&amp;L$1&amp;"|Output"),"I/O","IN"),IF(COUNTIF(Flows!$M$2:$M$1500,$A175&amp;"|"&amp;L$1&amp;"|Output"),"OUT",""))</f>
        <v/>
      </c>
      <c r="M175" s="33" t="str">
        <f aca="false">IF(COUNTIF(Flows!$M$2:$M$1500,$A175&amp;"|"&amp;M$1&amp;"|Input"),IF(COUNTIF(Flows!$M$2:$M$1500,$A175&amp;"|"&amp;M$1&amp;"|Output"),"I/O","IN"),IF(COUNTIF(Flows!$M$2:$M$1500,$A175&amp;"|"&amp;M$1&amp;"|Output"),"OUT",""))</f>
        <v/>
      </c>
      <c r="N175" s="33" t="str">
        <f aca="false">IF(COUNTIF(Flows!$M$2:$M$1500,$A175&amp;"|"&amp;N$1&amp;"|Input"),IF(COUNTIF(Flows!$M$2:$M$1500,$A175&amp;"|"&amp;N$1&amp;"|Output"),"I/O","IN"),IF(COUNTIF(Flows!$M$2:$M$1500,$A175&amp;"|"&amp;N$1&amp;"|Output"),"OUT",""))</f>
        <v/>
      </c>
      <c r="O175" s="33" t="str">
        <f aca="false">IF(COUNTIF(Flows!$M$2:$M$1500,$A175&amp;"|"&amp;O$1&amp;"|Input"),IF(COUNTIF(Flows!$M$2:$M$1500,$A175&amp;"|"&amp;O$1&amp;"|Output"),"I/O","IN"),IF(COUNTIF(Flows!$M$2:$M$1500,$A175&amp;"|"&amp;O$1&amp;"|Output"),"OUT",""))</f>
        <v/>
      </c>
      <c r="P175" s="33" t="str">
        <f aca="false">IF(COUNTIF(Flows!$M$2:$M$1500,$A175&amp;"|"&amp;P$1&amp;"|Input"),IF(COUNTIF(Flows!$M$2:$M$1500,$A175&amp;"|"&amp;P$1&amp;"|Output"),"I/O","IN"),IF(COUNTIF(Flows!$M$2:$M$1500,$A175&amp;"|"&amp;P$1&amp;"|Output"),"OUT",""))</f>
        <v/>
      </c>
      <c r="Q175" s="33" t="str">
        <f aca="false">IF(COUNTIF(Flows!$M$2:$M$1500,$A175&amp;"|"&amp;Q$1&amp;"|Input"),IF(COUNTIF(Flows!$M$2:$M$1500,$A175&amp;"|"&amp;Q$1&amp;"|Output"),"I/O","IN"),IF(COUNTIF(Flows!$M$2:$M$1500,$A175&amp;"|"&amp;Q$1&amp;"|Output"),"OUT",""))</f>
        <v/>
      </c>
      <c r="R175" s="33" t="str">
        <f aca="false">IF(COUNTIF(Flows!$M$2:$M$1500,$A175&amp;"|"&amp;R$1&amp;"|Input"),IF(COUNTIF(Flows!$M$2:$M$1500,$A175&amp;"|"&amp;R$1&amp;"|Output"),"I/O","IN"),IF(COUNTIF(Flows!$M$2:$M$1500,$A175&amp;"|"&amp;R$1&amp;"|Output"),"OUT",""))</f>
        <v/>
      </c>
      <c r="S175" s="33" t="str">
        <f aca="false">IF(COUNTIF(Flows!$M$2:$M$1500,$A175&amp;"|"&amp;S$1&amp;"|Input"),IF(COUNTIF(Flows!$M$2:$M$1500,$A175&amp;"|"&amp;S$1&amp;"|Output"),"I/O","IN"),IF(COUNTIF(Flows!$M$2:$M$1500,$A175&amp;"|"&amp;S$1&amp;"|Output"),"OUT",""))</f>
        <v/>
      </c>
      <c r="T175" s="33" t="str">
        <f aca="false">IF(COUNTIF(Flows!$M$2:$M$1500,$A175&amp;"|"&amp;T$1&amp;"|Input"),IF(COUNTIF(Flows!$M$2:$M$1500,$A175&amp;"|"&amp;T$1&amp;"|Output"),"I/O","IN"),IF(COUNTIF(Flows!$M$2:$M$1500,$A175&amp;"|"&amp;T$1&amp;"|Output"),"OUT",""))</f>
        <v/>
      </c>
      <c r="U175" s="33" t="str">
        <f aca="false">IF(COUNTIF(Flows!$M$2:$M$1500,$A175&amp;"|"&amp;U$1&amp;"|Input"),IF(COUNTIF(Flows!$M$2:$M$1500,$A175&amp;"|"&amp;U$1&amp;"|Output"),"I/O","IN"),IF(COUNTIF(Flows!$M$2:$M$1500,$A175&amp;"|"&amp;U$1&amp;"|Output"),"OUT",""))</f>
        <v/>
      </c>
      <c r="V175" s="33" t="str">
        <f aca="false">IF(COUNTIF(Flows!$M$2:$M$1500,$A175&amp;"|"&amp;V$1&amp;"|Input"),IF(COUNTIF(Flows!$M$2:$M$1500,$A175&amp;"|"&amp;V$1&amp;"|Output"),"I/O","IN"),IF(COUNTIF(Flows!$M$2:$M$1500,$A175&amp;"|"&amp;V$1&amp;"|Output"),"OUT",""))</f>
        <v/>
      </c>
      <c r="W175" s="33" t="str">
        <f aca="false">IF(COUNTIF(Flows!$M$2:$M$1500,$A175&amp;"|"&amp;W$1&amp;"|Input"),IF(COUNTIF(Flows!$M$2:$M$1500,$A175&amp;"|"&amp;W$1&amp;"|Output"),"I/O","IN"),IF(COUNTIF(Flows!$M$2:$M$1500,$A175&amp;"|"&amp;W$1&amp;"|Output"),"OUT",""))</f>
        <v/>
      </c>
      <c r="X175" s="33" t="str">
        <f aca="false">IF(COUNTIF(Flows!$M$2:$M$1500,$A175&amp;"|"&amp;X$1&amp;"|Input"),IF(COUNTIF(Flows!$M$2:$M$1500,$A175&amp;"|"&amp;X$1&amp;"|Output"),"I/O","IN"),IF(COUNTIF(Flows!$M$2:$M$1500,$A175&amp;"|"&amp;X$1&amp;"|Output"),"OUT",""))</f>
        <v>IN</v>
      </c>
      <c r="Y175" s="33" t="str">
        <f aca="false">IF(COUNTIF(Flows!$M$2:$M$1500,$A175&amp;"|"&amp;Y$1&amp;"|Input"),IF(COUNTIF(Flows!$M$2:$M$1500,$A175&amp;"|"&amp;Y$1&amp;"|Output"),"I/O","IN"),IF(COUNTIF(Flows!$M$2:$M$1500,$A175&amp;"|"&amp;Y$1&amp;"|Output"),"OUT",""))</f>
        <v/>
      </c>
      <c r="Z175" s="33" t="str">
        <f aca="false">IF(COUNTIF(Flows!$M$2:$M$1500,$A175&amp;"|"&amp;Z$1&amp;"|Input"),IF(COUNTIF(Flows!$M$2:$M$1500,$A175&amp;"|"&amp;Z$1&amp;"|Output"),"I/O","IN"),IF(COUNTIF(Flows!$M$2:$M$1500,$A175&amp;"|"&amp;Z$1&amp;"|Output"),"OUT",""))</f>
        <v/>
      </c>
      <c r="AA175" s="33" t="str">
        <f aca="false">IF(COUNTIF(Flows!$M$2:$M$1500,$A175&amp;"|"&amp;AA$1&amp;"|Input"),IF(COUNTIF(Flows!$M$2:$M$1500,$A175&amp;"|"&amp;AA$1&amp;"|Output"),"I/O","IN"),IF(COUNTIF(Flows!$M$2:$M$1500,$A175&amp;"|"&amp;AA$1&amp;"|Output"),"OUT",""))</f>
        <v/>
      </c>
      <c r="AB175" s="33" t="str">
        <f aca="false">IF(COUNTIF(Flows!$M$2:$M$1500,$A175&amp;"|"&amp;AB$1&amp;"|Input"),IF(COUNTIF(Flows!$M$2:$M$1500,$A175&amp;"|"&amp;AB$1&amp;"|Output"),"I/O","IN"),IF(COUNTIF(Flows!$M$2:$M$1500,$A175&amp;"|"&amp;AB$1&amp;"|Output"),"OUT",""))</f>
        <v/>
      </c>
      <c r="AC175" s="33" t="str">
        <f aca="false">IF(COUNTIF(Flows!$M$2:$M$1500,$A175&amp;"|"&amp;AC$1&amp;"|Input"),IF(COUNTIF(Flows!$M$2:$M$1500,$A175&amp;"|"&amp;AC$1&amp;"|Output"),"I/O","IN"),IF(COUNTIF(Flows!$M$2:$M$1500,$A175&amp;"|"&amp;AC$1&amp;"|Output"),"OUT",""))</f>
        <v/>
      </c>
      <c r="AD175" s="33" t="str">
        <f aca="false">IF(COUNTIF(Flows!$M$2:$M$1500,$A175&amp;"|"&amp;AD$1&amp;"|Input"),IF(COUNTIF(Flows!$M$2:$M$1500,$A175&amp;"|"&amp;AD$1&amp;"|Output"),"I/O","IN"),IF(COUNTIF(Flows!$M$2:$M$1500,$A175&amp;"|"&amp;AD$1&amp;"|Output"),"OUT",""))</f>
        <v/>
      </c>
      <c r="AE175" s="33" t="str">
        <f aca="false">IF(COUNTIF(Flows!$M$2:$M$1500,$A175&amp;"|"&amp;AE$1&amp;"|Input"),IF(COUNTIF(Flows!$M$2:$M$1500,$A175&amp;"|"&amp;AE$1&amp;"|Output"),"I/O","IN"),IF(COUNTIF(Flows!$M$2:$M$1500,$A175&amp;"|"&amp;AE$1&amp;"|Output"),"OUT",""))</f>
        <v/>
      </c>
      <c r="AF175" s="33" t="str">
        <f aca="false">IF(COUNTIF(Flows!$M$2:$M$1500,$A175&amp;"|"&amp;AF$1&amp;"|Input"),IF(COUNTIF(Flows!$M$2:$M$1500,$A175&amp;"|"&amp;AF$1&amp;"|Output"),"I/O","IN"),IF(COUNTIF(Flows!$M$2:$M$1500,$A175&amp;"|"&amp;AF$1&amp;"|Output"),"OUT",""))</f>
        <v/>
      </c>
      <c r="AG175" s="33" t="str">
        <f aca="false">IF(COUNTIF(Flows!$M$2:$M$1500,$A175&amp;"|"&amp;AG$1&amp;"|Input"),IF(COUNTIF(Flows!$M$2:$M$1500,$A175&amp;"|"&amp;AG$1&amp;"|Output"),"I/O","IN"),IF(COUNTIF(Flows!$M$2:$M$1500,$A175&amp;"|"&amp;AG$1&amp;"|Output"),"OUT",""))</f>
        <v/>
      </c>
      <c r="AH175" s="33" t="str">
        <f aca="false">IF(COUNTIF(Flows!$M$2:$M$1500,$A175&amp;"|"&amp;AH$1&amp;"|Input"),IF(COUNTIF(Flows!$M$2:$M$1500,$A175&amp;"|"&amp;AH$1&amp;"|Output"),"I/O","IN"),IF(COUNTIF(Flows!$M$2:$M$1500,$A175&amp;"|"&amp;AH$1&amp;"|Output"),"OUT",""))</f>
        <v/>
      </c>
      <c r="AI175" s="33" t="str">
        <f aca="false">IF(COUNTIF(Flows!$M$2:$M$1500,$A175&amp;"|"&amp;AI$1&amp;"|Input"),IF(COUNTIF(Flows!$M$2:$M$1500,$A175&amp;"|"&amp;AI$1&amp;"|Output"),"I/O","IN"),IF(COUNTIF(Flows!$M$2:$M$1500,$A175&amp;"|"&amp;AI$1&amp;"|Output"),"OUT",""))</f>
        <v/>
      </c>
      <c r="AJ175" s="33" t="str">
        <f aca="false">IF(COUNTIF(Flows!$M$2:$M$1500,$A175&amp;"|"&amp;AJ$1&amp;"|Input"),IF(COUNTIF(Flows!$M$2:$M$1500,$A175&amp;"|"&amp;AJ$1&amp;"|Output"),"I/O","IN"),IF(COUNTIF(Flows!$M$2:$M$1500,$A175&amp;"|"&amp;AJ$1&amp;"|Output"),"OUT",""))</f>
        <v/>
      </c>
      <c r="AK175" s="33" t="str">
        <f aca="false">IF(COUNTIF(Flows!$M$2:$M$1500,$A175&amp;"|"&amp;AK$1&amp;"|Input"),IF(COUNTIF(Flows!$M$2:$M$1500,$A175&amp;"|"&amp;AK$1&amp;"|Output"),"I/O","IN"),IF(COUNTIF(Flows!$M$2:$M$1500,$A175&amp;"|"&amp;AK$1&amp;"|Output"),"OUT",""))</f>
        <v/>
      </c>
      <c r="AL175" s="33" t="str">
        <f aca="false">IF(COUNTIF(Flows!$M$2:$M$1500,$A175&amp;"|"&amp;AL$1&amp;"|Input"),IF(COUNTIF(Flows!$M$2:$M$1500,$A175&amp;"|"&amp;AL$1&amp;"|Output"),"I/O","IN"),IF(COUNTIF(Flows!$M$2:$M$1500,$A175&amp;"|"&amp;AL$1&amp;"|Output"),"OUT",""))</f>
        <v/>
      </c>
      <c r="AM175" s="33" t="str">
        <f aca="false">IF(COUNTIF(Flows!$M$2:$M$1500,$A175&amp;"|"&amp;AM$1&amp;"|Input"),IF(COUNTIF(Flows!$M$2:$M$1500,$A175&amp;"|"&amp;AM$1&amp;"|Output"),"I/O","IN"),IF(COUNTIF(Flows!$M$2:$M$1500,$A175&amp;"|"&amp;AM$1&amp;"|Output"),"OUT",""))</f>
        <v/>
      </c>
      <c r="AN175" s="33" t="str">
        <f aca="false">IF(COUNTIF(Flows!$M$2:$M$1500,$A175&amp;"|"&amp;AN$1&amp;"|Input"),IF(COUNTIF(Flows!$M$2:$M$1500,$A175&amp;"|"&amp;AN$1&amp;"|Output"),"I/O","IN"),IF(COUNTIF(Flows!$M$2:$M$1500,$A175&amp;"|"&amp;AN$1&amp;"|Output"),"OUT",""))</f>
        <v/>
      </c>
      <c r="AO175" s="33" t="str">
        <f aca="false">IF(COUNTIF(Flows!$M$2:$M$1500,$A175&amp;"|"&amp;AO$1&amp;"|Input"),IF(COUNTIF(Flows!$M$2:$M$1500,$A175&amp;"|"&amp;AO$1&amp;"|Output"),"I/O","IN"),IF(COUNTIF(Flows!$M$2:$M$1500,$A175&amp;"|"&amp;AO$1&amp;"|Output"),"OUT",""))</f>
        <v/>
      </c>
      <c r="AP175" s="33" t="str">
        <f aca="false">IF(COUNTIF(Flows!$M$2:$M$1500,$A175&amp;"|"&amp;AP$1&amp;"|Input"),IF(COUNTIF(Flows!$M$2:$M$1500,$A175&amp;"|"&amp;AP$1&amp;"|Output"),"I/O","IN"),IF(COUNTIF(Flows!$M$2:$M$1500,$A175&amp;"|"&amp;AP$1&amp;"|Output"),"OUT",""))</f>
        <v/>
      </c>
      <c r="AQ175" s="33" t="str">
        <f aca="false">IF(COUNTIF(Flows!$M$2:$M$1500,$A175&amp;"|"&amp;AQ$1&amp;"|Input"),IF(COUNTIF(Flows!$M$2:$M$1500,$A175&amp;"|"&amp;AQ$1&amp;"|Output"),"I/O","IN"),IF(COUNTIF(Flows!$M$2:$M$1500,$A175&amp;"|"&amp;AQ$1&amp;"|Output"),"OUT",""))</f>
        <v/>
      </c>
      <c r="AR175" s="33" t="str">
        <f aca="false">IF(COUNTIF(Flows!$M$2:$M$1500,$A175&amp;"|"&amp;AR$1&amp;"|Input"),IF(COUNTIF(Flows!$M$2:$M$1500,$A175&amp;"|"&amp;AR$1&amp;"|Output"),"I/O","IN"),IF(COUNTIF(Flows!$M$2:$M$1500,$A175&amp;"|"&amp;AR$1&amp;"|Output"),"OUT",""))</f>
        <v/>
      </c>
      <c r="AS175" s="33" t="str">
        <f aca="false">IF(COUNTIF(Flows!$M$2:$M$1500,$A175&amp;"|"&amp;AS$1&amp;"|Input"),IF(COUNTIF(Flows!$M$2:$M$1500,$A175&amp;"|"&amp;AS$1&amp;"|Output"),"I/O","IN"),IF(COUNTIF(Flows!$M$2:$M$1500,$A175&amp;"|"&amp;AS$1&amp;"|Output"),"OUT",""))</f>
        <v/>
      </c>
      <c r="AT175" s="33" t="str">
        <f aca="false">IF(COUNTIF(Flows!$M$2:$M$1500,$A175&amp;"|"&amp;AT$1&amp;"|Input"),IF(COUNTIF(Flows!$M$2:$M$1500,$A175&amp;"|"&amp;AT$1&amp;"|Output"),"I/O","IN"),IF(COUNTIF(Flows!$M$2:$M$1500,$A175&amp;"|"&amp;AT$1&amp;"|Output"),"OUT",""))</f>
        <v/>
      </c>
      <c r="AU175" s="33" t="str">
        <f aca="false">IF(COUNTIF(Flows!$M$2:$M$1500,$A175&amp;"|"&amp;AU$1&amp;"|Input"),IF(COUNTIF(Flows!$M$2:$M$1500,$A175&amp;"|"&amp;AU$1&amp;"|Output"),"I/O","IN"),IF(COUNTIF(Flows!$M$2:$M$1500,$A175&amp;"|"&amp;AU$1&amp;"|Output"),"OUT",""))</f>
        <v/>
      </c>
      <c r="AV175" s="33" t="str">
        <f aca="false">IF(COUNTIF(Flows!$M$2:$M$1500,$A175&amp;"|"&amp;AV$1&amp;"|Input"),IF(COUNTIF(Flows!$M$2:$M$1500,$A175&amp;"|"&amp;AV$1&amp;"|Output"),"I/O","IN"),IF(COUNTIF(Flows!$M$2:$M$1500,$A175&amp;"|"&amp;AV$1&amp;"|Output"),"OUT",""))</f>
        <v/>
      </c>
      <c r="AW175" s="33" t="str">
        <f aca="false">IF(COUNTIF(Flows!$M$2:$M$1500,$A175&amp;"|"&amp;AW$1&amp;"|Input"),IF(COUNTIF(Flows!$M$2:$M$1500,$A175&amp;"|"&amp;AW$1&amp;"|Output"),"I/O","IN"),IF(COUNTIF(Flows!$M$2:$M$1500,$A175&amp;"|"&amp;AW$1&amp;"|Output"),"OUT",""))</f>
        <v/>
      </c>
      <c r="AX175" s="33" t="str">
        <f aca="false">IF(COUNTIF(Flows!$M$2:$M$1500,$A175&amp;"|"&amp;AX$1&amp;"|Input"),IF(COUNTIF(Flows!$M$2:$M$1500,$A175&amp;"|"&amp;AX$1&amp;"|Output"),"I/O","IN"),IF(COUNTIF(Flows!$M$2:$M$1500,$A175&amp;"|"&amp;AX$1&amp;"|Output"),"OUT",""))</f>
        <v/>
      </c>
      <c r="AY175" s="33" t="str">
        <f aca="false">IF(COUNTIF(Flows!$M$2:$M$1500,$A175&amp;"|"&amp;AY$1&amp;"|Input"),IF(COUNTIF(Flows!$M$2:$M$1500,$A175&amp;"|"&amp;AY$1&amp;"|Output"),"I/O","IN"),IF(COUNTIF(Flows!$M$2:$M$1500,$A175&amp;"|"&amp;AY$1&amp;"|Output"),"OUT",""))</f>
        <v/>
      </c>
      <c r="AZ175" s="33" t="str">
        <f aca="false">IF(COUNTIF(Flows!$M$2:$M$1500,$A175&amp;"|"&amp;AZ$1&amp;"|Input"),IF(COUNTIF(Flows!$M$2:$M$1500,$A175&amp;"|"&amp;AZ$1&amp;"|Output"),"I/O","IN"),IF(COUNTIF(Flows!$M$2:$M$1500,$A175&amp;"|"&amp;AZ$1&amp;"|Output"),"OUT",""))</f>
        <v/>
      </c>
      <c r="BA175" s="33" t="str">
        <f aca="false">IF(COUNTIF(Flows!$M$2:$M$1500,$A175&amp;"|"&amp;BA$1&amp;"|Input"),IF(COUNTIF(Flows!$M$2:$M$1500,$A175&amp;"|"&amp;BA$1&amp;"|Output"),"I/O","IN"),IF(COUNTIF(Flows!$M$2:$M$1500,$A175&amp;"|"&amp;BA$1&amp;"|Output"),"OUT",""))</f>
        <v/>
      </c>
      <c r="BB175" s="33" t="str">
        <f aca="false">IF(COUNTIF(Flows!$M$2:$M$1500,$A175&amp;"|"&amp;BB$1&amp;"|Input"),IF(COUNTIF(Flows!$M$2:$M$1500,$A175&amp;"|"&amp;BB$1&amp;"|Output"),"I/O","IN"),IF(COUNTIF(Flows!$M$2:$M$1500,$A175&amp;"|"&amp;BB$1&amp;"|Output"),"OUT",""))</f>
        <v/>
      </c>
      <c r="BC175" s="33" t="str">
        <f aca="false">IF(COUNTIF(Flows!$M$2:$M$1500,$A175&amp;"|"&amp;BC$1&amp;"|Input"),IF(COUNTIF(Flows!$M$2:$M$1500,$A175&amp;"|"&amp;BC$1&amp;"|Output"),"I/O","IN"),IF(COUNTIF(Flows!$M$2:$M$1500,$A175&amp;"|"&amp;BC$1&amp;"|Output"),"OUT",""))</f>
        <v/>
      </c>
      <c r="BD175" s="33" t="str">
        <f aca="false">IF(COUNTIF(Flows!$M$2:$M$1500,$A175&amp;"|"&amp;BD$1&amp;"|Input"),IF(COUNTIF(Flows!$M$2:$M$1500,$A175&amp;"|"&amp;BD$1&amp;"|Output"),"I/O","IN"),IF(COUNTIF(Flows!$M$2:$M$1500,$A175&amp;"|"&amp;BD$1&amp;"|Output"),"OUT",""))</f>
        <v/>
      </c>
      <c r="BE175" s="33" t="str">
        <f aca="false">IF(COUNTIF(Flows!$M$2:$M$1500,$A175&amp;"|"&amp;BE$1&amp;"|Input"),IF(COUNTIF(Flows!$M$2:$M$1500,$A175&amp;"|"&amp;BE$1&amp;"|Output"),"I/O","IN"),IF(COUNTIF(Flows!$M$2:$M$1500,$A175&amp;"|"&amp;BE$1&amp;"|Output"),"OUT",""))</f>
        <v/>
      </c>
      <c r="BF175" s="33" t="str">
        <f aca="false">IF(COUNTIF(Flows!$M$2:$M$1500,$A175&amp;"|"&amp;BF$1&amp;"|Input"),IF(COUNTIF(Flows!$M$2:$M$1500,$A175&amp;"|"&amp;BF$1&amp;"|Output"),"I/O","IN"),IF(COUNTIF(Flows!$M$2:$M$1500,$A175&amp;"|"&amp;BF$1&amp;"|Output"),"OUT",""))</f>
        <v/>
      </c>
      <c r="BG175" s="33" t="str">
        <f aca="false">IF(COUNTIF(Flows!$M$2:$M$1500,$A175&amp;"|"&amp;BG$1&amp;"|Input"),IF(COUNTIF(Flows!$M$2:$M$1500,$A175&amp;"|"&amp;BG$1&amp;"|Output"),"I/O","IN"),IF(COUNTIF(Flows!$M$2:$M$1500,$A175&amp;"|"&amp;BG$1&amp;"|Output"),"OUT",""))</f>
        <v/>
      </c>
      <c r="BH175" s="33" t="str">
        <f aca="false">IF(COUNTIF(Flows!$M$2:$M$1500,$A175&amp;"|"&amp;BH$1&amp;"|Input"),IF(COUNTIF(Flows!$M$2:$M$1500,$A175&amp;"|"&amp;BH$1&amp;"|Output"),"I/O","IN"),IF(COUNTIF(Flows!$M$2:$M$1500,$A175&amp;"|"&amp;BH$1&amp;"|Output"),"OUT",""))</f>
        <v/>
      </c>
      <c r="BI175" s="33" t="str">
        <f aca="false">IF(COUNTIF(Flows!$M$2:$M$1500,$A175&amp;"|"&amp;BI$1&amp;"|Input"),IF(COUNTIF(Flows!$M$2:$M$1500,$A175&amp;"|"&amp;BI$1&amp;"|Output"),"I/O","IN"),IF(COUNTIF(Flows!$M$2:$M$1500,$A175&amp;"|"&amp;BI$1&amp;"|Output"),"OUT",""))</f>
        <v/>
      </c>
      <c r="BJ175" s="33" t="str">
        <f aca="false">IF(COUNTIF(Flows!$M$2:$M$1500,$A175&amp;"|"&amp;BJ$1&amp;"|Input"),IF(COUNTIF(Flows!$M$2:$M$1500,$A175&amp;"|"&amp;BJ$1&amp;"|Output"),"I/O","IN"),IF(COUNTIF(Flows!$M$2:$M$1500,$A175&amp;"|"&amp;BJ$1&amp;"|Output"),"OUT",""))</f>
        <v/>
      </c>
      <c r="BK175" s="33" t="str">
        <f aca="false">IF(COUNTIF(Flows!$M$2:$M$1500,$A175&amp;"|"&amp;BK$1&amp;"|Input"),IF(COUNTIF(Flows!$M$2:$M$1500,$A175&amp;"|"&amp;BK$1&amp;"|Output"),"I/O","IN"),IF(COUNTIF(Flows!$M$2:$M$1500,$A175&amp;"|"&amp;BK$1&amp;"|Output"),"OUT",""))</f>
        <v/>
      </c>
    </row>
    <row r="176" customFormat="false" ht="15" hidden="false" customHeight="true" outlineLevel="0" collapsed="false">
      <c r="A176" s="6" t="str">
        <f aca="false">Systems!B176</f>
        <v>Suburban Lot (1/4 acre)</v>
      </c>
      <c r="B176" s="33" t="str">
        <f aca="false">IF(COUNTIF(Flows!$M$2:$M$1500,$A176&amp;"|"&amp;B$1&amp;"|Input"),IF(COUNTIF(Flows!$M$2:$M$1500,$A176&amp;"|"&amp;B$1&amp;"|Output"),"I/O","IN"),IF(COUNTIF(Flows!$M$2:$M$1500,$A176&amp;"|"&amp;B$1&amp;"|Output"),"OUT",""))</f>
        <v/>
      </c>
      <c r="C176" s="33" t="str">
        <f aca="false">IF(COUNTIF(Flows!$M$2:$M$1500,$A176&amp;"|"&amp;C$1&amp;"|Input"),IF(COUNTIF(Flows!$M$2:$M$1500,$A176&amp;"|"&amp;C$1&amp;"|Output"),"I/O","IN"),IF(COUNTIF(Flows!$M$2:$M$1500,$A176&amp;"|"&amp;C$1&amp;"|Output"),"OUT",""))</f>
        <v/>
      </c>
      <c r="D176" s="33" t="str">
        <f aca="false">IF(COUNTIF(Flows!$M$2:$M$1500,$A176&amp;"|"&amp;D$1&amp;"|Input"),IF(COUNTIF(Flows!$M$2:$M$1500,$A176&amp;"|"&amp;D$1&amp;"|Output"),"I/O","IN"),IF(COUNTIF(Flows!$M$2:$M$1500,$A176&amp;"|"&amp;D$1&amp;"|Output"),"OUT",""))</f>
        <v/>
      </c>
      <c r="E176" s="33" t="str">
        <f aca="false">IF(COUNTIF(Flows!$M$2:$M$1500,$A176&amp;"|"&amp;E$1&amp;"|Input"),IF(COUNTIF(Flows!$M$2:$M$1500,$A176&amp;"|"&amp;E$1&amp;"|Output"),"I/O","IN"),IF(COUNTIF(Flows!$M$2:$M$1500,$A176&amp;"|"&amp;E$1&amp;"|Output"),"OUT",""))</f>
        <v/>
      </c>
      <c r="F176" s="33" t="str">
        <f aca="false">IF(COUNTIF(Flows!$M$2:$M$1500,$A176&amp;"|"&amp;F$1&amp;"|Input"),IF(COUNTIF(Flows!$M$2:$M$1500,$A176&amp;"|"&amp;F$1&amp;"|Output"),"I/O","IN"),IF(COUNTIF(Flows!$M$2:$M$1500,$A176&amp;"|"&amp;F$1&amp;"|Output"),"OUT",""))</f>
        <v/>
      </c>
      <c r="G176" s="33" t="str">
        <f aca="false">IF(COUNTIF(Flows!$M$2:$M$1500,$A176&amp;"|"&amp;G$1&amp;"|Input"),IF(COUNTIF(Flows!$M$2:$M$1500,$A176&amp;"|"&amp;G$1&amp;"|Output"),"I/O","IN"),IF(COUNTIF(Flows!$M$2:$M$1500,$A176&amp;"|"&amp;G$1&amp;"|Output"),"OUT",""))</f>
        <v/>
      </c>
      <c r="H176" s="33" t="str">
        <f aca="false">IF(COUNTIF(Flows!$M$2:$M$1500,$A176&amp;"|"&amp;H$1&amp;"|Input"),IF(COUNTIF(Flows!$M$2:$M$1500,$A176&amp;"|"&amp;H$1&amp;"|Output"),"I/O","IN"),IF(COUNTIF(Flows!$M$2:$M$1500,$A176&amp;"|"&amp;H$1&amp;"|Output"),"OUT",""))</f>
        <v/>
      </c>
      <c r="I176" s="33" t="str">
        <f aca="false">IF(COUNTIF(Flows!$M$2:$M$1500,$A176&amp;"|"&amp;I$1&amp;"|Input"),IF(COUNTIF(Flows!$M$2:$M$1500,$A176&amp;"|"&amp;I$1&amp;"|Output"),"I/O","IN"),IF(COUNTIF(Flows!$M$2:$M$1500,$A176&amp;"|"&amp;I$1&amp;"|Output"),"OUT",""))</f>
        <v/>
      </c>
      <c r="J176" s="33" t="str">
        <f aca="false">IF(COUNTIF(Flows!$M$2:$M$1500,$A176&amp;"|"&amp;J$1&amp;"|Input"),IF(COUNTIF(Flows!$M$2:$M$1500,$A176&amp;"|"&amp;J$1&amp;"|Output"),"I/O","IN"),IF(COUNTIF(Flows!$M$2:$M$1500,$A176&amp;"|"&amp;J$1&amp;"|Output"),"OUT",""))</f>
        <v/>
      </c>
      <c r="K176" s="33" t="str">
        <f aca="false">IF(COUNTIF(Flows!$M$2:$M$1500,$A176&amp;"|"&amp;K$1&amp;"|Input"),IF(COUNTIF(Flows!$M$2:$M$1500,$A176&amp;"|"&amp;K$1&amp;"|Output"),"I/O","IN"),IF(COUNTIF(Flows!$M$2:$M$1500,$A176&amp;"|"&amp;K$1&amp;"|Output"),"OUT",""))</f>
        <v/>
      </c>
      <c r="L176" s="33" t="str">
        <f aca="false">IF(COUNTIF(Flows!$M$2:$M$1500,$A176&amp;"|"&amp;L$1&amp;"|Input"),IF(COUNTIF(Flows!$M$2:$M$1500,$A176&amp;"|"&amp;L$1&amp;"|Output"),"I/O","IN"),IF(COUNTIF(Flows!$M$2:$M$1500,$A176&amp;"|"&amp;L$1&amp;"|Output"),"OUT",""))</f>
        <v/>
      </c>
      <c r="M176" s="33" t="str">
        <f aca="false">IF(COUNTIF(Flows!$M$2:$M$1500,$A176&amp;"|"&amp;M$1&amp;"|Input"),IF(COUNTIF(Flows!$M$2:$M$1500,$A176&amp;"|"&amp;M$1&amp;"|Output"),"I/O","IN"),IF(COUNTIF(Flows!$M$2:$M$1500,$A176&amp;"|"&amp;M$1&amp;"|Output"),"OUT",""))</f>
        <v/>
      </c>
      <c r="N176" s="33" t="str">
        <f aca="false">IF(COUNTIF(Flows!$M$2:$M$1500,$A176&amp;"|"&amp;N$1&amp;"|Input"),IF(COUNTIF(Flows!$M$2:$M$1500,$A176&amp;"|"&amp;N$1&amp;"|Output"),"I/O","IN"),IF(COUNTIF(Flows!$M$2:$M$1500,$A176&amp;"|"&amp;N$1&amp;"|Output"),"OUT",""))</f>
        <v/>
      </c>
      <c r="O176" s="33" t="str">
        <f aca="false">IF(COUNTIF(Flows!$M$2:$M$1500,$A176&amp;"|"&amp;O$1&amp;"|Input"),IF(COUNTIF(Flows!$M$2:$M$1500,$A176&amp;"|"&amp;O$1&amp;"|Output"),"I/O","IN"),IF(COUNTIF(Flows!$M$2:$M$1500,$A176&amp;"|"&amp;O$1&amp;"|Output"),"OUT",""))</f>
        <v/>
      </c>
      <c r="P176" s="33" t="str">
        <f aca="false">IF(COUNTIF(Flows!$M$2:$M$1500,$A176&amp;"|"&amp;P$1&amp;"|Input"),IF(COUNTIF(Flows!$M$2:$M$1500,$A176&amp;"|"&amp;P$1&amp;"|Output"),"I/O","IN"),IF(COUNTIF(Flows!$M$2:$M$1500,$A176&amp;"|"&amp;P$1&amp;"|Output"),"OUT",""))</f>
        <v/>
      </c>
      <c r="Q176" s="33" t="str">
        <f aca="false">IF(COUNTIF(Flows!$M$2:$M$1500,$A176&amp;"|"&amp;Q$1&amp;"|Input"),IF(COUNTIF(Flows!$M$2:$M$1500,$A176&amp;"|"&amp;Q$1&amp;"|Output"),"I/O","IN"),IF(COUNTIF(Flows!$M$2:$M$1500,$A176&amp;"|"&amp;Q$1&amp;"|Output"),"OUT",""))</f>
        <v/>
      </c>
      <c r="R176" s="33" t="str">
        <f aca="false">IF(COUNTIF(Flows!$M$2:$M$1500,$A176&amp;"|"&amp;R$1&amp;"|Input"),IF(COUNTIF(Flows!$M$2:$M$1500,$A176&amp;"|"&amp;R$1&amp;"|Output"),"I/O","IN"),IF(COUNTIF(Flows!$M$2:$M$1500,$A176&amp;"|"&amp;R$1&amp;"|Output"),"OUT",""))</f>
        <v/>
      </c>
      <c r="S176" s="33" t="str">
        <f aca="false">IF(COUNTIF(Flows!$M$2:$M$1500,$A176&amp;"|"&amp;S$1&amp;"|Input"),IF(COUNTIF(Flows!$M$2:$M$1500,$A176&amp;"|"&amp;S$1&amp;"|Output"),"I/O","IN"),IF(COUNTIF(Flows!$M$2:$M$1500,$A176&amp;"|"&amp;S$1&amp;"|Output"),"OUT",""))</f>
        <v/>
      </c>
      <c r="T176" s="33" t="str">
        <f aca="false">IF(COUNTIF(Flows!$M$2:$M$1500,$A176&amp;"|"&amp;T$1&amp;"|Input"),IF(COUNTIF(Flows!$M$2:$M$1500,$A176&amp;"|"&amp;T$1&amp;"|Output"),"I/O","IN"),IF(COUNTIF(Flows!$M$2:$M$1500,$A176&amp;"|"&amp;T$1&amp;"|Output"),"OUT",""))</f>
        <v/>
      </c>
      <c r="U176" s="33" t="str">
        <f aca="false">IF(COUNTIF(Flows!$M$2:$M$1500,$A176&amp;"|"&amp;U$1&amp;"|Input"),IF(COUNTIF(Flows!$M$2:$M$1500,$A176&amp;"|"&amp;U$1&amp;"|Output"),"I/O","IN"),IF(COUNTIF(Flows!$M$2:$M$1500,$A176&amp;"|"&amp;U$1&amp;"|Output"),"OUT",""))</f>
        <v/>
      </c>
      <c r="V176" s="33" t="str">
        <f aca="false">IF(COUNTIF(Flows!$M$2:$M$1500,$A176&amp;"|"&amp;V$1&amp;"|Input"),IF(COUNTIF(Flows!$M$2:$M$1500,$A176&amp;"|"&amp;V$1&amp;"|Output"),"I/O","IN"),IF(COUNTIF(Flows!$M$2:$M$1500,$A176&amp;"|"&amp;V$1&amp;"|Output"),"OUT",""))</f>
        <v/>
      </c>
      <c r="W176" s="33" t="str">
        <f aca="false">IF(COUNTIF(Flows!$M$2:$M$1500,$A176&amp;"|"&amp;W$1&amp;"|Input"),IF(COUNTIF(Flows!$M$2:$M$1500,$A176&amp;"|"&amp;W$1&amp;"|Output"),"I/O","IN"),IF(COUNTIF(Flows!$M$2:$M$1500,$A176&amp;"|"&amp;W$1&amp;"|Output"),"OUT",""))</f>
        <v/>
      </c>
      <c r="X176" s="33" t="str">
        <f aca="false">IF(COUNTIF(Flows!$M$2:$M$1500,$A176&amp;"|"&amp;X$1&amp;"|Input"),IF(COUNTIF(Flows!$M$2:$M$1500,$A176&amp;"|"&amp;X$1&amp;"|Output"),"I/O","IN"),IF(COUNTIF(Flows!$M$2:$M$1500,$A176&amp;"|"&amp;X$1&amp;"|Output"),"OUT",""))</f>
        <v/>
      </c>
      <c r="Y176" s="33" t="str">
        <f aca="false">IF(COUNTIF(Flows!$M$2:$M$1500,$A176&amp;"|"&amp;Y$1&amp;"|Input"),IF(COUNTIF(Flows!$M$2:$M$1500,$A176&amp;"|"&amp;Y$1&amp;"|Output"),"I/O","IN"),IF(COUNTIF(Flows!$M$2:$M$1500,$A176&amp;"|"&amp;Y$1&amp;"|Output"),"OUT",""))</f>
        <v/>
      </c>
      <c r="Z176" s="33" t="str">
        <f aca="false">IF(COUNTIF(Flows!$M$2:$M$1500,$A176&amp;"|"&amp;Z$1&amp;"|Input"),IF(COUNTIF(Flows!$M$2:$M$1500,$A176&amp;"|"&amp;Z$1&amp;"|Output"),"I/O","IN"),IF(COUNTIF(Flows!$M$2:$M$1500,$A176&amp;"|"&amp;Z$1&amp;"|Output"),"OUT",""))</f>
        <v/>
      </c>
      <c r="AA176" s="33" t="str">
        <f aca="false">IF(COUNTIF(Flows!$M$2:$M$1500,$A176&amp;"|"&amp;AA$1&amp;"|Input"),IF(COUNTIF(Flows!$M$2:$M$1500,$A176&amp;"|"&amp;AA$1&amp;"|Output"),"I/O","IN"),IF(COUNTIF(Flows!$M$2:$M$1500,$A176&amp;"|"&amp;AA$1&amp;"|Output"),"OUT",""))</f>
        <v/>
      </c>
      <c r="AB176" s="33" t="str">
        <f aca="false">IF(COUNTIF(Flows!$M$2:$M$1500,$A176&amp;"|"&amp;AB$1&amp;"|Input"),IF(COUNTIF(Flows!$M$2:$M$1500,$A176&amp;"|"&amp;AB$1&amp;"|Output"),"I/O","IN"),IF(COUNTIF(Flows!$M$2:$M$1500,$A176&amp;"|"&amp;AB$1&amp;"|Output"),"OUT",""))</f>
        <v/>
      </c>
      <c r="AC176" s="33" t="str">
        <f aca="false">IF(COUNTIF(Flows!$M$2:$M$1500,$A176&amp;"|"&amp;AC$1&amp;"|Input"),IF(COUNTIF(Flows!$M$2:$M$1500,$A176&amp;"|"&amp;AC$1&amp;"|Output"),"I/O","IN"),IF(COUNTIF(Flows!$M$2:$M$1500,$A176&amp;"|"&amp;AC$1&amp;"|Output"),"OUT",""))</f>
        <v/>
      </c>
      <c r="AD176" s="33" t="str">
        <f aca="false">IF(COUNTIF(Flows!$M$2:$M$1500,$A176&amp;"|"&amp;AD$1&amp;"|Input"),IF(COUNTIF(Flows!$M$2:$M$1500,$A176&amp;"|"&amp;AD$1&amp;"|Output"),"I/O","IN"),IF(COUNTIF(Flows!$M$2:$M$1500,$A176&amp;"|"&amp;AD$1&amp;"|Output"),"OUT",""))</f>
        <v/>
      </c>
      <c r="AE176" s="33" t="str">
        <f aca="false">IF(COUNTIF(Flows!$M$2:$M$1500,$A176&amp;"|"&amp;AE$1&amp;"|Input"),IF(COUNTIF(Flows!$M$2:$M$1500,$A176&amp;"|"&amp;AE$1&amp;"|Output"),"I/O","IN"),IF(COUNTIF(Flows!$M$2:$M$1500,$A176&amp;"|"&amp;AE$1&amp;"|Output"),"OUT",""))</f>
        <v/>
      </c>
      <c r="AF176" s="33" t="str">
        <f aca="false">IF(COUNTIF(Flows!$M$2:$M$1500,$A176&amp;"|"&amp;AF$1&amp;"|Input"),IF(COUNTIF(Flows!$M$2:$M$1500,$A176&amp;"|"&amp;AF$1&amp;"|Output"),"I/O","IN"),IF(COUNTIF(Flows!$M$2:$M$1500,$A176&amp;"|"&amp;AF$1&amp;"|Output"),"OUT",""))</f>
        <v/>
      </c>
      <c r="AG176" s="33" t="str">
        <f aca="false">IF(COUNTIF(Flows!$M$2:$M$1500,$A176&amp;"|"&amp;AG$1&amp;"|Input"),IF(COUNTIF(Flows!$M$2:$M$1500,$A176&amp;"|"&amp;AG$1&amp;"|Output"),"I/O","IN"),IF(COUNTIF(Flows!$M$2:$M$1500,$A176&amp;"|"&amp;AG$1&amp;"|Output"),"OUT",""))</f>
        <v/>
      </c>
      <c r="AH176" s="33" t="str">
        <f aca="false">IF(COUNTIF(Flows!$M$2:$M$1500,$A176&amp;"|"&amp;AH$1&amp;"|Input"),IF(COUNTIF(Flows!$M$2:$M$1500,$A176&amp;"|"&amp;AH$1&amp;"|Output"),"I/O","IN"),IF(COUNTIF(Flows!$M$2:$M$1500,$A176&amp;"|"&amp;AH$1&amp;"|Output"),"OUT",""))</f>
        <v/>
      </c>
      <c r="AI176" s="33" t="str">
        <f aca="false">IF(COUNTIF(Flows!$M$2:$M$1500,$A176&amp;"|"&amp;AI$1&amp;"|Input"),IF(COUNTIF(Flows!$M$2:$M$1500,$A176&amp;"|"&amp;AI$1&amp;"|Output"),"I/O","IN"),IF(COUNTIF(Flows!$M$2:$M$1500,$A176&amp;"|"&amp;AI$1&amp;"|Output"),"OUT",""))</f>
        <v>OUT</v>
      </c>
      <c r="AJ176" s="33" t="str">
        <f aca="false">IF(COUNTIF(Flows!$M$2:$M$1500,$A176&amp;"|"&amp;AJ$1&amp;"|Input"),IF(COUNTIF(Flows!$M$2:$M$1500,$A176&amp;"|"&amp;AJ$1&amp;"|Output"),"I/O","IN"),IF(COUNTIF(Flows!$M$2:$M$1500,$A176&amp;"|"&amp;AJ$1&amp;"|Output"),"OUT",""))</f>
        <v/>
      </c>
      <c r="AK176" s="33" t="str">
        <f aca="false">IF(COUNTIF(Flows!$M$2:$M$1500,$A176&amp;"|"&amp;AK$1&amp;"|Input"),IF(COUNTIF(Flows!$M$2:$M$1500,$A176&amp;"|"&amp;AK$1&amp;"|Output"),"I/O","IN"),IF(COUNTIF(Flows!$M$2:$M$1500,$A176&amp;"|"&amp;AK$1&amp;"|Output"),"OUT",""))</f>
        <v/>
      </c>
      <c r="AL176" s="33" t="str">
        <f aca="false">IF(COUNTIF(Flows!$M$2:$M$1500,$A176&amp;"|"&amp;AL$1&amp;"|Input"),IF(COUNTIF(Flows!$M$2:$M$1500,$A176&amp;"|"&amp;AL$1&amp;"|Output"),"I/O","IN"),IF(COUNTIF(Flows!$M$2:$M$1500,$A176&amp;"|"&amp;AL$1&amp;"|Output"),"OUT",""))</f>
        <v/>
      </c>
      <c r="AM176" s="33" t="str">
        <f aca="false">IF(COUNTIF(Flows!$M$2:$M$1500,$A176&amp;"|"&amp;AM$1&amp;"|Input"),IF(COUNTIF(Flows!$M$2:$M$1500,$A176&amp;"|"&amp;AM$1&amp;"|Output"),"I/O","IN"),IF(COUNTIF(Flows!$M$2:$M$1500,$A176&amp;"|"&amp;AM$1&amp;"|Output"),"OUT",""))</f>
        <v/>
      </c>
      <c r="AN176" s="33" t="str">
        <f aca="false">IF(COUNTIF(Flows!$M$2:$M$1500,$A176&amp;"|"&amp;AN$1&amp;"|Input"),IF(COUNTIF(Flows!$M$2:$M$1500,$A176&amp;"|"&amp;AN$1&amp;"|Output"),"I/O","IN"),IF(COUNTIF(Flows!$M$2:$M$1500,$A176&amp;"|"&amp;AN$1&amp;"|Output"),"OUT",""))</f>
        <v/>
      </c>
      <c r="AO176" s="33" t="str">
        <f aca="false">IF(COUNTIF(Flows!$M$2:$M$1500,$A176&amp;"|"&amp;AO$1&amp;"|Input"),IF(COUNTIF(Flows!$M$2:$M$1500,$A176&amp;"|"&amp;AO$1&amp;"|Output"),"I/O","IN"),IF(COUNTIF(Flows!$M$2:$M$1500,$A176&amp;"|"&amp;AO$1&amp;"|Output"),"OUT",""))</f>
        <v/>
      </c>
      <c r="AP176" s="33" t="str">
        <f aca="false">IF(COUNTIF(Flows!$M$2:$M$1500,$A176&amp;"|"&amp;AP$1&amp;"|Input"),IF(COUNTIF(Flows!$M$2:$M$1500,$A176&amp;"|"&amp;AP$1&amp;"|Output"),"I/O","IN"),IF(COUNTIF(Flows!$M$2:$M$1500,$A176&amp;"|"&amp;AP$1&amp;"|Output"),"OUT",""))</f>
        <v/>
      </c>
      <c r="AQ176" s="33" t="str">
        <f aca="false">IF(COUNTIF(Flows!$M$2:$M$1500,$A176&amp;"|"&amp;AQ$1&amp;"|Input"),IF(COUNTIF(Flows!$M$2:$M$1500,$A176&amp;"|"&amp;AQ$1&amp;"|Output"),"I/O","IN"),IF(COUNTIF(Flows!$M$2:$M$1500,$A176&amp;"|"&amp;AQ$1&amp;"|Output"),"OUT",""))</f>
        <v/>
      </c>
      <c r="AR176" s="33" t="str">
        <f aca="false">IF(COUNTIF(Flows!$M$2:$M$1500,$A176&amp;"|"&amp;AR$1&amp;"|Input"),IF(COUNTIF(Flows!$M$2:$M$1500,$A176&amp;"|"&amp;AR$1&amp;"|Output"),"I/O","IN"),IF(COUNTIF(Flows!$M$2:$M$1500,$A176&amp;"|"&amp;AR$1&amp;"|Output"),"OUT",""))</f>
        <v/>
      </c>
      <c r="AS176" s="33" t="str">
        <f aca="false">IF(COUNTIF(Flows!$M$2:$M$1500,$A176&amp;"|"&amp;AS$1&amp;"|Input"),IF(COUNTIF(Flows!$M$2:$M$1500,$A176&amp;"|"&amp;AS$1&amp;"|Output"),"I/O","IN"),IF(COUNTIF(Flows!$M$2:$M$1500,$A176&amp;"|"&amp;AS$1&amp;"|Output"),"OUT",""))</f>
        <v/>
      </c>
      <c r="AT176" s="33" t="str">
        <f aca="false">IF(COUNTIF(Flows!$M$2:$M$1500,$A176&amp;"|"&amp;AT$1&amp;"|Input"),IF(COUNTIF(Flows!$M$2:$M$1500,$A176&amp;"|"&amp;AT$1&amp;"|Output"),"I/O","IN"),IF(COUNTIF(Flows!$M$2:$M$1500,$A176&amp;"|"&amp;AT$1&amp;"|Output"),"OUT",""))</f>
        <v/>
      </c>
      <c r="AU176" s="33" t="str">
        <f aca="false">IF(COUNTIF(Flows!$M$2:$M$1500,$A176&amp;"|"&amp;AU$1&amp;"|Input"),IF(COUNTIF(Flows!$M$2:$M$1500,$A176&amp;"|"&amp;AU$1&amp;"|Output"),"I/O","IN"),IF(COUNTIF(Flows!$M$2:$M$1500,$A176&amp;"|"&amp;AU$1&amp;"|Output"),"OUT",""))</f>
        <v/>
      </c>
      <c r="AV176" s="33" t="str">
        <f aca="false">IF(COUNTIF(Flows!$M$2:$M$1500,$A176&amp;"|"&amp;AV$1&amp;"|Input"),IF(COUNTIF(Flows!$M$2:$M$1500,$A176&amp;"|"&amp;AV$1&amp;"|Output"),"I/O","IN"),IF(COUNTIF(Flows!$M$2:$M$1500,$A176&amp;"|"&amp;AV$1&amp;"|Output"),"OUT",""))</f>
        <v/>
      </c>
      <c r="AW176" s="33" t="str">
        <f aca="false">IF(COUNTIF(Flows!$M$2:$M$1500,$A176&amp;"|"&amp;AW$1&amp;"|Input"),IF(COUNTIF(Flows!$M$2:$M$1500,$A176&amp;"|"&amp;AW$1&amp;"|Output"),"I/O","IN"),IF(COUNTIF(Flows!$M$2:$M$1500,$A176&amp;"|"&amp;AW$1&amp;"|Output"),"OUT",""))</f>
        <v/>
      </c>
      <c r="AX176" s="33" t="str">
        <f aca="false">IF(COUNTIF(Flows!$M$2:$M$1500,$A176&amp;"|"&amp;AX$1&amp;"|Input"),IF(COUNTIF(Flows!$M$2:$M$1500,$A176&amp;"|"&amp;AX$1&amp;"|Output"),"I/O","IN"),IF(COUNTIF(Flows!$M$2:$M$1500,$A176&amp;"|"&amp;AX$1&amp;"|Output"),"OUT",""))</f>
        <v/>
      </c>
      <c r="AY176" s="33" t="str">
        <f aca="false">IF(COUNTIF(Flows!$M$2:$M$1500,$A176&amp;"|"&amp;AY$1&amp;"|Input"),IF(COUNTIF(Flows!$M$2:$M$1500,$A176&amp;"|"&amp;AY$1&amp;"|Output"),"I/O","IN"),IF(COUNTIF(Flows!$M$2:$M$1500,$A176&amp;"|"&amp;AY$1&amp;"|Output"),"OUT",""))</f>
        <v/>
      </c>
      <c r="AZ176" s="33" t="str">
        <f aca="false">IF(COUNTIF(Flows!$M$2:$M$1500,$A176&amp;"|"&amp;AZ$1&amp;"|Input"),IF(COUNTIF(Flows!$M$2:$M$1500,$A176&amp;"|"&amp;AZ$1&amp;"|Output"),"I/O","IN"),IF(COUNTIF(Flows!$M$2:$M$1500,$A176&amp;"|"&amp;AZ$1&amp;"|Output"),"OUT",""))</f>
        <v/>
      </c>
      <c r="BA176" s="33" t="str">
        <f aca="false">IF(COUNTIF(Flows!$M$2:$M$1500,$A176&amp;"|"&amp;BA$1&amp;"|Input"),IF(COUNTIF(Flows!$M$2:$M$1500,$A176&amp;"|"&amp;BA$1&amp;"|Output"),"I/O","IN"),IF(COUNTIF(Flows!$M$2:$M$1500,$A176&amp;"|"&amp;BA$1&amp;"|Output"),"OUT",""))</f>
        <v/>
      </c>
      <c r="BB176" s="33" t="str">
        <f aca="false">IF(COUNTIF(Flows!$M$2:$M$1500,$A176&amp;"|"&amp;BB$1&amp;"|Input"),IF(COUNTIF(Flows!$M$2:$M$1500,$A176&amp;"|"&amp;BB$1&amp;"|Output"),"I/O","IN"),IF(COUNTIF(Flows!$M$2:$M$1500,$A176&amp;"|"&amp;BB$1&amp;"|Output"),"OUT",""))</f>
        <v/>
      </c>
      <c r="BC176" s="33" t="str">
        <f aca="false">IF(COUNTIF(Flows!$M$2:$M$1500,$A176&amp;"|"&amp;BC$1&amp;"|Input"),IF(COUNTIF(Flows!$M$2:$M$1500,$A176&amp;"|"&amp;BC$1&amp;"|Output"),"I/O","IN"),IF(COUNTIF(Flows!$M$2:$M$1500,$A176&amp;"|"&amp;BC$1&amp;"|Output"),"OUT",""))</f>
        <v/>
      </c>
      <c r="BD176" s="33" t="str">
        <f aca="false">IF(COUNTIF(Flows!$M$2:$M$1500,$A176&amp;"|"&amp;BD$1&amp;"|Input"),IF(COUNTIF(Flows!$M$2:$M$1500,$A176&amp;"|"&amp;BD$1&amp;"|Output"),"I/O","IN"),IF(COUNTIF(Flows!$M$2:$M$1500,$A176&amp;"|"&amp;BD$1&amp;"|Output"),"OUT",""))</f>
        <v/>
      </c>
      <c r="BE176" s="33" t="str">
        <f aca="false">IF(COUNTIF(Flows!$M$2:$M$1500,$A176&amp;"|"&amp;BE$1&amp;"|Input"),IF(COUNTIF(Flows!$M$2:$M$1500,$A176&amp;"|"&amp;BE$1&amp;"|Output"),"I/O","IN"),IF(COUNTIF(Flows!$M$2:$M$1500,$A176&amp;"|"&amp;BE$1&amp;"|Output"),"OUT",""))</f>
        <v/>
      </c>
      <c r="BF176" s="33" t="str">
        <f aca="false">IF(COUNTIF(Flows!$M$2:$M$1500,$A176&amp;"|"&amp;BF$1&amp;"|Input"),IF(COUNTIF(Flows!$M$2:$M$1500,$A176&amp;"|"&amp;BF$1&amp;"|Output"),"I/O","IN"),IF(COUNTIF(Flows!$M$2:$M$1500,$A176&amp;"|"&amp;BF$1&amp;"|Output"),"OUT",""))</f>
        <v/>
      </c>
      <c r="BG176" s="33" t="str">
        <f aca="false">IF(COUNTIF(Flows!$M$2:$M$1500,$A176&amp;"|"&amp;BG$1&amp;"|Input"),IF(COUNTIF(Flows!$M$2:$M$1500,$A176&amp;"|"&amp;BG$1&amp;"|Output"),"I/O","IN"),IF(COUNTIF(Flows!$M$2:$M$1500,$A176&amp;"|"&amp;BG$1&amp;"|Output"),"OUT",""))</f>
        <v/>
      </c>
      <c r="BH176" s="33" t="str">
        <f aca="false">IF(COUNTIF(Flows!$M$2:$M$1500,$A176&amp;"|"&amp;BH$1&amp;"|Input"),IF(COUNTIF(Flows!$M$2:$M$1500,$A176&amp;"|"&amp;BH$1&amp;"|Output"),"I/O","IN"),IF(COUNTIF(Flows!$M$2:$M$1500,$A176&amp;"|"&amp;BH$1&amp;"|Output"),"OUT",""))</f>
        <v/>
      </c>
      <c r="BI176" s="33" t="str">
        <f aca="false">IF(COUNTIF(Flows!$M$2:$M$1500,$A176&amp;"|"&amp;BI$1&amp;"|Input"),IF(COUNTIF(Flows!$M$2:$M$1500,$A176&amp;"|"&amp;BI$1&amp;"|Output"),"I/O","IN"),IF(COUNTIF(Flows!$M$2:$M$1500,$A176&amp;"|"&amp;BI$1&amp;"|Output"),"OUT",""))</f>
        <v/>
      </c>
      <c r="BJ176" s="33" t="str">
        <f aca="false">IF(COUNTIF(Flows!$M$2:$M$1500,$A176&amp;"|"&amp;BJ$1&amp;"|Input"),IF(COUNTIF(Flows!$M$2:$M$1500,$A176&amp;"|"&amp;BJ$1&amp;"|Output"),"I/O","IN"),IF(COUNTIF(Flows!$M$2:$M$1500,$A176&amp;"|"&amp;BJ$1&amp;"|Output"),"OUT",""))</f>
        <v/>
      </c>
      <c r="BK176" s="33" t="str">
        <f aca="false">IF(COUNTIF(Flows!$M$2:$M$1500,$A176&amp;"|"&amp;BK$1&amp;"|Input"),IF(COUNTIF(Flows!$M$2:$M$1500,$A176&amp;"|"&amp;BK$1&amp;"|Output"),"I/O","IN"),IF(COUNTIF(Flows!$M$2:$M$1500,$A176&amp;"|"&amp;BK$1&amp;"|Output"),"OUT",""))</f>
        <v/>
      </c>
    </row>
    <row r="177" customFormat="false" ht="15" hidden="false" customHeight="true" outlineLevel="0" collapsed="false">
      <c r="A177" s="6" t="str">
        <f aca="false">Systems!B177</f>
        <v>Clothesline</v>
      </c>
      <c r="B177" s="33" t="str">
        <f aca="false">IF(COUNTIF(Flows!$M$2:$M$1500,$A177&amp;"|"&amp;B$1&amp;"|Input"),IF(COUNTIF(Flows!$M$2:$M$1500,$A177&amp;"|"&amp;B$1&amp;"|Output"),"I/O","IN"),IF(COUNTIF(Flows!$M$2:$M$1500,$A177&amp;"|"&amp;B$1&amp;"|Output"),"OUT",""))</f>
        <v/>
      </c>
      <c r="C177" s="33" t="str">
        <f aca="false">IF(COUNTIF(Flows!$M$2:$M$1500,$A177&amp;"|"&amp;C$1&amp;"|Input"),IF(COUNTIF(Flows!$M$2:$M$1500,$A177&amp;"|"&amp;C$1&amp;"|Output"),"I/O","IN"),IF(COUNTIF(Flows!$M$2:$M$1500,$A177&amp;"|"&amp;C$1&amp;"|Output"),"OUT",""))</f>
        <v/>
      </c>
      <c r="D177" s="33" t="str">
        <f aca="false">IF(COUNTIF(Flows!$M$2:$M$1500,$A177&amp;"|"&amp;D$1&amp;"|Input"),IF(COUNTIF(Flows!$M$2:$M$1500,$A177&amp;"|"&amp;D$1&amp;"|Output"),"I/O","IN"),IF(COUNTIF(Flows!$M$2:$M$1500,$A177&amp;"|"&amp;D$1&amp;"|Output"),"OUT",""))</f>
        <v/>
      </c>
      <c r="E177" s="33" t="str">
        <f aca="false">IF(COUNTIF(Flows!$M$2:$M$1500,$A177&amp;"|"&amp;E$1&amp;"|Input"),IF(COUNTIF(Flows!$M$2:$M$1500,$A177&amp;"|"&amp;E$1&amp;"|Output"),"I/O","IN"),IF(COUNTIF(Flows!$M$2:$M$1500,$A177&amp;"|"&amp;E$1&amp;"|Output"),"OUT",""))</f>
        <v/>
      </c>
      <c r="F177" s="33" t="str">
        <f aca="false">IF(COUNTIF(Flows!$M$2:$M$1500,$A177&amp;"|"&amp;F$1&amp;"|Input"),IF(COUNTIF(Flows!$M$2:$M$1500,$A177&amp;"|"&amp;F$1&amp;"|Output"),"I/O","IN"),IF(COUNTIF(Flows!$M$2:$M$1500,$A177&amp;"|"&amp;F$1&amp;"|Output"),"OUT",""))</f>
        <v/>
      </c>
      <c r="G177" s="33" t="str">
        <f aca="false">IF(COUNTIF(Flows!$M$2:$M$1500,$A177&amp;"|"&amp;G$1&amp;"|Input"),IF(COUNTIF(Flows!$M$2:$M$1500,$A177&amp;"|"&amp;G$1&amp;"|Output"),"I/O","IN"),IF(COUNTIF(Flows!$M$2:$M$1500,$A177&amp;"|"&amp;G$1&amp;"|Output"),"OUT",""))</f>
        <v/>
      </c>
      <c r="H177" s="33" t="str">
        <f aca="false">IF(COUNTIF(Flows!$M$2:$M$1500,$A177&amp;"|"&amp;H$1&amp;"|Input"),IF(COUNTIF(Flows!$M$2:$M$1500,$A177&amp;"|"&amp;H$1&amp;"|Output"),"I/O","IN"),IF(COUNTIF(Flows!$M$2:$M$1500,$A177&amp;"|"&amp;H$1&amp;"|Output"),"OUT",""))</f>
        <v/>
      </c>
      <c r="I177" s="33" t="str">
        <f aca="false">IF(COUNTIF(Flows!$M$2:$M$1500,$A177&amp;"|"&amp;I$1&amp;"|Input"),IF(COUNTIF(Flows!$M$2:$M$1500,$A177&amp;"|"&amp;I$1&amp;"|Output"),"I/O","IN"),IF(COUNTIF(Flows!$M$2:$M$1500,$A177&amp;"|"&amp;I$1&amp;"|Output"),"OUT",""))</f>
        <v/>
      </c>
      <c r="J177" s="33" t="str">
        <f aca="false">IF(COUNTIF(Flows!$M$2:$M$1500,$A177&amp;"|"&amp;J$1&amp;"|Input"),IF(COUNTIF(Flows!$M$2:$M$1500,$A177&amp;"|"&amp;J$1&amp;"|Output"),"I/O","IN"),IF(COUNTIF(Flows!$M$2:$M$1500,$A177&amp;"|"&amp;J$1&amp;"|Output"),"OUT",""))</f>
        <v/>
      </c>
      <c r="K177" s="33" t="str">
        <f aca="false">IF(COUNTIF(Flows!$M$2:$M$1500,$A177&amp;"|"&amp;K$1&amp;"|Input"),IF(COUNTIF(Flows!$M$2:$M$1500,$A177&amp;"|"&amp;K$1&amp;"|Output"),"I/O","IN"),IF(COUNTIF(Flows!$M$2:$M$1500,$A177&amp;"|"&amp;K$1&amp;"|Output"),"OUT",""))</f>
        <v/>
      </c>
      <c r="L177" s="33" t="str">
        <f aca="false">IF(COUNTIF(Flows!$M$2:$M$1500,$A177&amp;"|"&amp;L$1&amp;"|Input"),IF(COUNTIF(Flows!$M$2:$M$1500,$A177&amp;"|"&amp;L$1&amp;"|Output"),"I/O","IN"),IF(COUNTIF(Flows!$M$2:$M$1500,$A177&amp;"|"&amp;L$1&amp;"|Output"),"OUT",""))</f>
        <v/>
      </c>
      <c r="M177" s="33" t="str">
        <f aca="false">IF(COUNTIF(Flows!$M$2:$M$1500,$A177&amp;"|"&amp;M$1&amp;"|Input"),IF(COUNTIF(Flows!$M$2:$M$1500,$A177&amp;"|"&amp;M$1&amp;"|Output"),"I/O","IN"),IF(COUNTIF(Flows!$M$2:$M$1500,$A177&amp;"|"&amp;M$1&amp;"|Output"),"OUT",""))</f>
        <v/>
      </c>
      <c r="N177" s="33" t="str">
        <f aca="false">IF(COUNTIF(Flows!$M$2:$M$1500,$A177&amp;"|"&amp;N$1&amp;"|Input"),IF(COUNTIF(Flows!$M$2:$M$1500,$A177&amp;"|"&amp;N$1&amp;"|Output"),"I/O","IN"),IF(COUNTIF(Flows!$M$2:$M$1500,$A177&amp;"|"&amp;N$1&amp;"|Output"),"OUT",""))</f>
        <v/>
      </c>
      <c r="O177" s="33" t="str">
        <f aca="false">IF(COUNTIF(Flows!$M$2:$M$1500,$A177&amp;"|"&amp;O$1&amp;"|Input"),IF(COUNTIF(Flows!$M$2:$M$1500,$A177&amp;"|"&amp;O$1&amp;"|Output"),"I/O","IN"),IF(COUNTIF(Flows!$M$2:$M$1500,$A177&amp;"|"&amp;O$1&amp;"|Output"),"OUT",""))</f>
        <v/>
      </c>
      <c r="P177" s="33" t="str">
        <f aca="false">IF(COUNTIF(Flows!$M$2:$M$1500,$A177&amp;"|"&amp;P$1&amp;"|Input"),IF(COUNTIF(Flows!$M$2:$M$1500,$A177&amp;"|"&amp;P$1&amp;"|Output"),"I/O","IN"),IF(COUNTIF(Flows!$M$2:$M$1500,$A177&amp;"|"&amp;P$1&amp;"|Output"),"OUT",""))</f>
        <v/>
      </c>
      <c r="Q177" s="33" t="str">
        <f aca="false">IF(COUNTIF(Flows!$M$2:$M$1500,$A177&amp;"|"&amp;Q$1&amp;"|Input"),IF(COUNTIF(Flows!$M$2:$M$1500,$A177&amp;"|"&amp;Q$1&amp;"|Output"),"I/O","IN"),IF(COUNTIF(Flows!$M$2:$M$1500,$A177&amp;"|"&amp;Q$1&amp;"|Output"),"OUT",""))</f>
        <v/>
      </c>
      <c r="R177" s="33" t="str">
        <f aca="false">IF(COUNTIF(Flows!$M$2:$M$1500,$A177&amp;"|"&amp;R$1&amp;"|Input"),IF(COUNTIF(Flows!$M$2:$M$1500,$A177&amp;"|"&amp;R$1&amp;"|Output"),"I/O","IN"),IF(COUNTIF(Flows!$M$2:$M$1500,$A177&amp;"|"&amp;R$1&amp;"|Output"),"OUT",""))</f>
        <v/>
      </c>
      <c r="S177" s="33" t="str">
        <f aca="false">IF(COUNTIF(Flows!$M$2:$M$1500,$A177&amp;"|"&amp;S$1&amp;"|Input"),IF(COUNTIF(Flows!$M$2:$M$1500,$A177&amp;"|"&amp;S$1&amp;"|Output"),"I/O","IN"),IF(COUNTIF(Flows!$M$2:$M$1500,$A177&amp;"|"&amp;S$1&amp;"|Output"),"OUT",""))</f>
        <v/>
      </c>
      <c r="T177" s="33" t="str">
        <f aca="false">IF(COUNTIF(Flows!$M$2:$M$1500,$A177&amp;"|"&amp;T$1&amp;"|Input"),IF(COUNTIF(Flows!$M$2:$M$1500,$A177&amp;"|"&amp;T$1&amp;"|Output"),"I/O","IN"),IF(COUNTIF(Flows!$M$2:$M$1500,$A177&amp;"|"&amp;T$1&amp;"|Output"),"OUT",""))</f>
        <v/>
      </c>
      <c r="U177" s="33" t="str">
        <f aca="false">IF(COUNTIF(Flows!$M$2:$M$1500,$A177&amp;"|"&amp;U$1&amp;"|Input"),IF(COUNTIF(Flows!$M$2:$M$1500,$A177&amp;"|"&amp;U$1&amp;"|Output"),"I/O","IN"),IF(COUNTIF(Flows!$M$2:$M$1500,$A177&amp;"|"&amp;U$1&amp;"|Output"),"OUT",""))</f>
        <v/>
      </c>
      <c r="V177" s="33" t="str">
        <f aca="false">IF(COUNTIF(Flows!$M$2:$M$1500,$A177&amp;"|"&amp;V$1&amp;"|Input"),IF(COUNTIF(Flows!$M$2:$M$1500,$A177&amp;"|"&amp;V$1&amp;"|Output"),"I/O","IN"),IF(COUNTIF(Flows!$M$2:$M$1500,$A177&amp;"|"&amp;V$1&amp;"|Output"),"OUT",""))</f>
        <v/>
      </c>
      <c r="W177" s="33" t="str">
        <f aca="false">IF(COUNTIF(Flows!$M$2:$M$1500,$A177&amp;"|"&amp;W$1&amp;"|Input"),IF(COUNTIF(Flows!$M$2:$M$1500,$A177&amp;"|"&amp;W$1&amp;"|Output"),"I/O","IN"),IF(COUNTIF(Flows!$M$2:$M$1500,$A177&amp;"|"&amp;W$1&amp;"|Output"),"OUT",""))</f>
        <v/>
      </c>
      <c r="X177" s="33" t="str">
        <f aca="false">IF(COUNTIF(Flows!$M$2:$M$1500,$A177&amp;"|"&amp;X$1&amp;"|Input"),IF(COUNTIF(Flows!$M$2:$M$1500,$A177&amp;"|"&amp;X$1&amp;"|Output"),"I/O","IN"),IF(COUNTIF(Flows!$M$2:$M$1500,$A177&amp;"|"&amp;X$1&amp;"|Output"),"OUT",""))</f>
        <v>IN</v>
      </c>
      <c r="Y177" s="33" t="str">
        <f aca="false">IF(COUNTIF(Flows!$M$2:$M$1500,$A177&amp;"|"&amp;Y$1&amp;"|Input"),IF(COUNTIF(Flows!$M$2:$M$1500,$A177&amp;"|"&amp;Y$1&amp;"|Output"),"I/O","IN"),IF(COUNTIF(Flows!$M$2:$M$1500,$A177&amp;"|"&amp;Y$1&amp;"|Output"),"OUT",""))</f>
        <v/>
      </c>
      <c r="Z177" s="33" t="str">
        <f aca="false">IF(COUNTIF(Flows!$M$2:$M$1500,$A177&amp;"|"&amp;Z$1&amp;"|Input"),IF(COUNTIF(Flows!$M$2:$M$1500,$A177&amp;"|"&amp;Z$1&amp;"|Output"),"I/O","IN"),IF(COUNTIF(Flows!$M$2:$M$1500,$A177&amp;"|"&amp;Z$1&amp;"|Output"),"OUT",""))</f>
        <v/>
      </c>
      <c r="AA177" s="33" t="str">
        <f aca="false">IF(COUNTIF(Flows!$M$2:$M$1500,$A177&amp;"|"&amp;AA$1&amp;"|Input"),IF(COUNTIF(Flows!$M$2:$M$1500,$A177&amp;"|"&amp;AA$1&amp;"|Output"),"I/O","IN"),IF(COUNTIF(Flows!$M$2:$M$1500,$A177&amp;"|"&amp;AA$1&amp;"|Output"),"OUT",""))</f>
        <v/>
      </c>
      <c r="AB177" s="33" t="str">
        <f aca="false">IF(COUNTIF(Flows!$M$2:$M$1500,$A177&amp;"|"&amp;AB$1&amp;"|Input"),IF(COUNTIF(Flows!$M$2:$M$1500,$A177&amp;"|"&amp;AB$1&amp;"|Output"),"I/O","IN"),IF(COUNTIF(Flows!$M$2:$M$1500,$A177&amp;"|"&amp;AB$1&amp;"|Output"),"OUT",""))</f>
        <v/>
      </c>
      <c r="AC177" s="33" t="str">
        <f aca="false">IF(COUNTIF(Flows!$M$2:$M$1500,$A177&amp;"|"&amp;AC$1&amp;"|Input"),IF(COUNTIF(Flows!$M$2:$M$1500,$A177&amp;"|"&amp;AC$1&amp;"|Output"),"I/O","IN"),IF(COUNTIF(Flows!$M$2:$M$1500,$A177&amp;"|"&amp;AC$1&amp;"|Output"),"OUT",""))</f>
        <v/>
      </c>
      <c r="AD177" s="33" t="str">
        <f aca="false">IF(COUNTIF(Flows!$M$2:$M$1500,$A177&amp;"|"&amp;AD$1&amp;"|Input"),IF(COUNTIF(Flows!$M$2:$M$1500,$A177&amp;"|"&amp;AD$1&amp;"|Output"),"I/O","IN"),IF(COUNTIF(Flows!$M$2:$M$1500,$A177&amp;"|"&amp;AD$1&amp;"|Output"),"OUT",""))</f>
        <v/>
      </c>
      <c r="AE177" s="33" t="str">
        <f aca="false">IF(COUNTIF(Flows!$M$2:$M$1500,$A177&amp;"|"&amp;AE$1&amp;"|Input"),IF(COUNTIF(Flows!$M$2:$M$1500,$A177&amp;"|"&amp;AE$1&amp;"|Output"),"I/O","IN"),IF(COUNTIF(Flows!$M$2:$M$1500,$A177&amp;"|"&amp;AE$1&amp;"|Output"),"OUT",""))</f>
        <v/>
      </c>
      <c r="AF177" s="33" t="str">
        <f aca="false">IF(COUNTIF(Flows!$M$2:$M$1500,$A177&amp;"|"&amp;AF$1&amp;"|Input"),IF(COUNTIF(Flows!$M$2:$M$1500,$A177&amp;"|"&amp;AF$1&amp;"|Output"),"I/O","IN"),IF(COUNTIF(Flows!$M$2:$M$1500,$A177&amp;"|"&amp;AF$1&amp;"|Output"),"OUT",""))</f>
        <v/>
      </c>
      <c r="AG177" s="33" t="str">
        <f aca="false">IF(COUNTIF(Flows!$M$2:$M$1500,$A177&amp;"|"&amp;AG$1&amp;"|Input"),IF(COUNTIF(Flows!$M$2:$M$1500,$A177&amp;"|"&amp;AG$1&amp;"|Output"),"I/O","IN"),IF(COUNTIF(Flows!$M$2:$M$1500,$A177&amp;"|"&amp;AG$1&amp;"|Output"),"OUT",""))</f>
        <v/>
      </c>
      <c r="AH177" s="33" t="str">
        <f aca="false">IF(COUNTIF(Flows!$M$2:$M$1500,$A177&amp;"|"&amp;AH$1&amp;"|Input"),IF(COUNTIF(Flows!$M$2:$M$1500,$A177&amp;"|"&amp;AH$1&amp;"|Output"),"I/O","IN"),IF(COUNTIF(Flows!$M$2:$M$1500,$A177&amp;"|"&amp;AH$1&amp;"|Output"),"OUT",""))</f>
        <v/>
      </c>
      <c r="AI177" s="33" t="str">
        <f aca="false">IF(COUNTIF(Flows!$M$2:$M$1500,$A177&amp;"|"&amp;AI$1&amp;"|Input"),IF(COUNTIF(Flows!$M$2:$M$1500,$A177&amp;"|"&amp;AI$1&amp;"|Output"),"I/O","IN"),IF(COUNTIF(Flows!$M$2:$M$1500,$A177&amp;"|"&amp;AI$1&amp;"|Output"),"OUT",""))</f>
        <v/>
      </c>
      <c r="AJ177" s="33" t="str">
        <f aca="false">IF(COUNTIF(Flows!$M$2:$M$1500,$A177&amp;"|"&amp;AJ$1&amp;"|Input"),IF(COUNTIF(Flows!$M$2:$M$1500,$A177&amp;"|"&amp;AJ$1&amp;"|Output"),"I/O","IN"),IF(COUNTIF(Flows!$M$2:$M$1500,$A177&amp;"|"&amp;AJ$1&amp;"|Output"),"OUT",""))</f>
        <v/>
      </c>
      <c r="AK177" s="33" t="str">
        <f aca="false">IF(COUNTIF(Flows!$M$2:$M$1500,$A177&amp;"|"&amp;AK$1&amp;"|Input"),IF(COUNTIF(Flows!$M$2:$M$1500,$A177&amp;"|"&amp;AK$1&amp;"|Output"),"I/O","IN"),IF(COUNTIF(Flows!$M$2:$M$1500,$A177&amp;"|"&amp;AK$1&amp;"|Output"),"OUT",""))</f>
        <v/>
      </c>
      <c r="AL177" s="33" t="str">
        <f aca="false">IF(COUNTIF(Flows!$M$2:$M$1500,$A177&amp;"|"&amp;AL$1&amp;"|Input"),IF(COUNTIF(Flows!$M$2:$M$1500,$A177&amp;"|"&amp;AL$1&amp;"|Output"),"I/O","IN"),IF(COUNTIF(Flows!$M$2:$M$1500,$A177&amp;"|"&amp;AL$1&amp;"|Output"),"OUT",""))</f>
        <v/>
      </c>
      <c r="AM177" s="33" t="str">
        <f aca="false">IF(COUNTIF(Flows!$M$2:$M$1500,$A177&amp;"|"&amp;AM$1&amp;"|Input"),IF(COUNTIF(Flows!$M$2:$M$1500,$A177&amp;"|"&amp;AM$1&amp;"|Output"),"I/O","IN"),IF(COUNTIF(Flows!$M$2:$M$1500,$A177&amp;"|"&amp;AM$1&amp;"|Output"),"OUT",""))</f>
        <v/>
      </c>
      <c r="AN177" s="33" t="str">
        <f aca="false">IF(COUNTIF(Flows!$M$2:$M$1500,$A177&amp;"|"&amp;AN$1&amp;"|Input"),IF(COUNTIF(Flows!$M$2:$M$1500,$A177&amp;"|"&amp;AN$1&amp;"|Output"),"I/O","IN"),IF(COUNTIF(Flows!$M$2:$M$1500,$A177&amp;"|"&amp;AN$1&amp;"|Output"),"OUT",""))</f>
        <v/>
      </c>
      <c r="AO177" s="33" t="str">
        <f aca="false">IF(COUNTIF(Flows!$M$2:$M$1500,$A177&amp;"|"&amp;AO$1&amp;"|Input"),IF(COUNTIF(Flows!$M$2:$M$1500,$A177&amp;"|"&amp;AO$1&amp;"|Output"),"I/O","IN"),IF(COUNTIF(Flows!$M$2:$M$1500,$A177&amp;"|"&amp;AO$1&amp;"|Output"),"OUT",""))</f>
        <v/>
      </c>
      <c r="AP177" s="33" t="str">
        <f aca="false">IF(COUNTIF(Flows!$M$2:$M$1500,$A177&amp;"|"&amp;AP$1&amp;"|Input"),IF(COUNTIF(Flows!$M$2:$M$1500,$A177&amp;"|"&amp;AP$1&amp;"|Output"),"I/O","IN"),IF(COUNTIF(Flows!$M$2:$M$1500,$A177&amp;"|"&amp;AP$1&amp;"|Output"),"OUT",""))</f>
        <v/>
      </c>
      <c r="AQ177" s="33" t="str">
        <f aca="false">IF(COUNTIF(Flows!$M$2:$M$1500,$A177&amp;"|"&amp;AQ$1&amp;"|Input"),IF(COUNTIF(Flows!$M$2:$M$1500,$A177&amp;"|"&amp;AQ$1&amp;"|Output"),"I/O","IN"),IF(COUNTIF(Flows!$M$2:$M$1500,$A177&amp;"|"&amp;AQ$1&amp;"|Output"),"OUT",""))</f>
        <v/>
      </c>
      <c r="AR177" s="33" t="str">
        <f aca="false">IF(COUNTIF(Flows!$M$2:$M$1500,$A177&amp;"|"&amp;AR$1&amp;"|Input"),IF(COUNTIF(Flows!$M$2:$M$1500,$A177&amp;"|"&amp;AR$1&amp;"|Output"),"I/O","IN"),IF(COUNTIF(Flows!$M$2:$M$1500,$A177&amp;"|"&amp;AR$1&amp;"|Output"),"OUT",""))</f>
        <v/>
      </c>
      <c r="AS177" s="33" t="str">
        <f aca="false">IF(COUNTIF(Flows!$M$2:$M$1500,$A177&amp;"|"&amp;AS$1&amp;"|Input"),IF(COUNTIF(Flows!$M$2:$M$1500,$A177&amp;"|"&amp;AS$1&amp;"|Output"),"I/O","IN"),IF(COUNTIF(Flows!$M$2:$M$1500,$A177&amp;"|"&amp;AS$1&amp;"|Output"),"OUT",""))</f>
        <v/>
      </c>
      <c r="AT177" s="33" t="str">
        <f aca="false">IF(COUNTIF(Flows!$M$2:$M$1500,$A177&amp;"|"&amp;AT$1&amp;"|Input"),IF(COUNTIF(Flows!$M$2:$M$1500,$A177&amp;"|"&amp;AT$1&amp;"|Output"),"I/O","IN"),IF(COUNTIF(Flows!$M$2:$M$1500,$A177&amp;"|"&amp;AT$1&amp;"|Output"),"OUT",""))</f>
        <v/>
      </c>
      <c r="AU177" s="33" t="str">
        <f aca="false">IF(COUNTIF(Flows!$M$2:$M$1500,$A177&amp;"|"&amp;AU$1&amp;"|Input"),IF(COUNTIF(Flows!$M$2:$M$1500,$A177&amp;"|"&amp;AU$1&amp;"|Output"),"I/O","IN"),IF(COUNTIF(Flows!$M$2:$M$1500,$A177&amp;"|"&amp;AU$1&amp;"|Output"),"OUT",""))</f>
        <v/>
      </c>
      <c r="AV177" s="33" t="str">
        <f aca="false">IF(COUNTIF(Flows!$M$2:$M$1500,$A177&amp;"|"&amp;AV$1&amp;"|Input"),IF(COUNTIF(Flows!$M$2:$M$1500,$A177&amp;"|"&amp;AV$1&amp;"|Output"),"I/O","IN"),IF(COUNTIF(Flows!$M$2:$M$1500,$A177&amp;"|"&amp;AV$1&amp;"|Output"),"OUT",""))</f>
        <v/>
      </c>
      <c r="AW177" s="33" t="str">
        <f aca="false">IF(COUNTIF(Flows!$M$2:$M$1500,$A177&amp;"|"&amp;AW$1&amp;"|Input"),IF(COUNTIF(Flows!$M$2:$M$1500,$A177&amp;"|"&amp;AW$1&amp;"|Output"),"I/O","IN"),IF(COUNTIF(Flows!$M$2:$M$1500,$A177&amp;"|"&amp;AW$1&amp;"|Output"),"OUT",""))</f>
        <v/>
      </c>
      <c r="AX177" s="33" t="str">
        <f aca="false">IF(COUNTIF(Flows!$M$2:$M$1500,$A177&amp;"|"&amp;AX$1&amp;"|Input"),IF(COUNTIF(Flows!$M$2:$M$1500,$A177&amp;"|"&amp;AX$1&amp;"|Output"),"I/O","IN"),IF(COUNTIF(Flows!$M$2:$M$1500,$A177&amp;"|"&amp;AX$1&amp;"|Output"),"OUT",""))</f>
        <v/>
      </c>
      <c r="AY177" s="33" t="str">
        <f aca="false">IF(COUNTIF(Flows!$M$2:$M$1500,$A177&amp;"|"&amp;AY$1&amp;"|Input"),IF(COUNTIF(Flows!$M$2:$M$1500,$A177&amp;"|"&amp;AY$1&amp;"|Output"),"I/O","IN"),IF(COUNTIF(Flows!$M$2:$M$1500,$A177&amp;"|"&amp;AY$1&amp;"|Output"),"OUT",""))</f>
        <v/>
      </c>
      <c r="AZ177" s="33" t="str">
        <f aca="false">IF(COUNTIF(Flows!$M$2:$M$1500,$A177&amp;"|"&amp;AZ$1&amp;"|Input"),IF(COUNTIF(Flows!$M$2:$M$1500,$A177&amp;"|"&amp;AZ$1&amp;"|Output"),"I/O","IN"),IF(COUNTIF(Flows!$M$2:$M$1500,$A177&amp;"|"&amp;AZ$1&amp;"|Output"),"OUT",""))</f>
        <v/>
      </c>
      <c r="BA177" s="33" t="str">
        <f aca="false">IF(COUNTIF(Flows!$M$2:$M$1500,$A177&amp;"|"&amp;BA$1&amp;"|Input"),IF(COUNTIF(Flows!$M$2:$M$1500,$A177&amp;"|"&amp;BA$1&amp;"|Output"),"I/O","IN"),IF(COUNTIF(Flows!$M$2:$M$1500,$A177&amp;"|"&amp;BA$1&amp;"|Output"),"OUT",""))</f>
        <v/>
      </c>
      <c r="BB177" s="33" t="str">
        <f aca="false">IF(COUNTIF(Flows!$M$2:$M$1500,$A177&amp;"|"&amp;BB$1&amp;"|Input"),IF(COUNTIF(Flows!$M$2:$M$1500,$A177&amp;"|"&amp;BB$1&amp;"|Output"),"I/O","IN"),IF(COUNTIF(Flows!$M$2:$M$1500,$A177&amp;"|"&amp;BB$1&amp;"|Output"),"OUT",""))</f>
        <v/>
      </c>
      <c r="BC177" s="33" t="str">
        <f aca="false">IF(COUNTIF(Flows!$M$2:$M$1500,$A177&amp;"|"&amp;BC$1&amp;"|Input"),IF(COUNTIF(Flows!$M$2:$M$1500,$A177&amp;"|"&amp;BC$1&amp;"|Output"),"I/O","IN"),IF(COUNTIF(Flows!$M$2:$M$1500,$A177&amp;"|"&amp;BC$1&amp;"|Output"),"OUT",""))</f>
        <v/>
      </c>
      <c r="BD177" s="33" t="str">
        <f aca="false">IF(COUNTIF(Flows!$M$2:$M$1500,$A177&amp;"|"&amp;BD$1&amp;"|Input"),IF(COUNTIF(Flows!$M$2:$M$1500,$A177&amp;"|"&amp;BD$1&amp;"|Output"),"I/O","IN"),IF(COUNTIF(Flows!$M$2:$M$1500,$A177&amp;"|"&amp;BD$1&amp;"|Output"),"OUT",""))</f>
        <v/>
      </c>
      <c r="BE177" s="33" t="str">
        <f aca="false">IF(COUNTIF(Flows!$M$2:$M$1500,$A177&amp;"|"&amp;BE$1&amp;"|Input"),IF(COUNTIF(Flows!$M$2:$M$1500,$A177&amp;"|"&amp;BE$1&amp;"|Output"),"I/O","IN"),IF(COUNTIF(Flows!$M$2:$M$1500,$A177&amp;"|"&amp;BE$1&amp;"|Output"),"OUT",""))</f>
        <v/>
      </c>
      <c r="BF177" s="33" t="str">
        <f aca="false">IF(COUNTIF(Flows!$M$2:$M$1500,$A177&amp;"|"&amp;BF$1&amp;"|Input"),IF(COUNTIF(Flows!$M$2:$M$1500,$A177&amp;"|"&amp;BF$1&amp;"|Output"),"I/O","IN"),IF(COUNTIF(Flows!$M$2:$M$1500,$A177&amp;"|"&amp;BF$1&amp;"|Output"),"OUT",""))</f>
        <v/>
      </c>
      <c r="BG177" s="33" t="str">
        <f aca="false">IF(COUNTIF(Flows!$M$2:$M$1500,$A177&amp;"|"&amp;BG$1&amp;"|Input"),IF(COUNTIF(Flows!$M$2:$M$1500,$A177&amp;"|"&amp;BG$1&amp;"|Output"),"I/O","IN"),IF(COUNTIF(Flows!$M$2:$M$1500,$A177&amp;"|"&amp;BG$1&amp;"|Output"),"OUT",""))</f>
        <v/>
      </c>
      <c r="BH177" s="33" t="str">
        <f aca="false">IF(COUNTIF(Flows!$M$2:$M$1500,$A177&amp;"|"&amp;BH$1&amp;"|Input"),IF(COUNTIF(Flows!$M$2:$M$1500,$A177&amp;"|"&amp;BH$1&amp;"|Output"),"I/O","IN"),IF(COUNTIF(Flows!$M$2:$M$1500,$A177&amp;"|"&amp;BH$1&amp;"|Output"),"OUT",""))</f>
        <v/>
      </c>
      <c r="BI177" s="33" t="str">
        <f aca="false">IF(COUNTIF(Flows!$M$2:$M$1500,$A177&amp;"|"&amp;BI$1&amp;"|Input"),IF(COUNTIF(Flows!$M$2:$M$1500,$A177&amp;"|"&amp;BI$1&amp;"|Output"),"I/O","IN"),IF(COUNTIF(Flows!$M$2:$M$1500,$A177&amp;"|"&amp;BI$1&amp;"|Output"),"OUT",""))</f>
        <v/>
      </c>
      <c r="BJ177" s="33" t="str">
        <f aca="false">IF(COUNTIF(Flows!$M$2:$M$1500,$A177&amp;"|"&amp;BJ$1&amp;"|Input"),IF(COUNTIF(Flows!$M$2:$M$1500,$A177&amp;"|"&amp;BJ$1&amp;"|Output"),"I/O","IN"),IF(COUNTIF(Flows!$M$2:$M$1500,$A177&amp;"|"&amp;BJ$1&amp;"|Output"),"OUT",""))</f>
        <v/>
      </c>
      <c r="BK177" s="33" t="str">
        <f aca="false">IF(COUNTIF(Flows!$M$2:$M$1500,$A177&amp;"|"&amp;BK$1&amp;"|Input"),IF(COUNTIF(Flows!$M$2:$M$1500,$A177&amp;"|"&amp;BK$1&amp;"|Output"),"I/O","IN"),IF(COUNTIF(Flows!$M$2:$M$1500,$A177&amp;"|"&amp;BK$1&amp;"|Output"),"OUT",""))</f>
        <v>OUT</v>
      </c>
    </row>
    <row r="178" customFormat="false" ht="15" hidden="false" customHeight="true" outlineLevel="0" collapsed="false">
      <c r="A178" s="6" t="str">
        <f aca="false">Systems!B178</f>
        <v>Wool Blankets &amp; Sleeping Bags</v>
      </c>
      <c r="B178" s="33" t="str">
        <f aca="false">IF(COUNTIF(Flows!$M$2:$M$1500,$A178&amp;"|"&amp;B$1&amp;"|Input"),IF(COUNTIF(Flows!$M$2:$M$1500,$A178&amp;"|"&amp;B$1&amp;"|Output"),"I/O","IN"),IF(COUNTIF(Flows!$M$2:$M$1500,$A178&amp;"|"&amp;B$1&amp;"|Output"),"OUT",""))</f>
        <v/>
      </c>
      <c r="C178" s="33" t="str">
        <f aca="false">IF(COUNTIF(Flows!$M$2:$M$1500,$A178&amp;"|"&amp;C$1&amp;"|Input"),IF(COUNTIF(Flows!$M$2:$M$1500,$A178&amp;"|"&amp;C$1&amp;"|Output"),"I/O","IN"),IF(COUNTIF(Flows!$M$2:$M$1500,$A178&amp;"|"&amp;C$1&amp;"|Output"),"OUT",""))</f>
        <v/>
      </c>
      <c r="D178" s="33" t="str">
        <f aca="false">IF(COUNTIF(Flows!$M$2:$M$1500,$A178&amp;"|"&amp;D$1&amp;"|Input"),IF(COUNTIF(Flows!$M$2:$M$1500,$A178&amp;"|"&amp;D$1&amp;"|Output"),"I/O","IN"),IF(COUNTIF(Flows!$M$2:$M$1500,$A178&amp;"|"&amp;D$1&amp;"|Output"),"OUT",""))</f>
        <v/>
      </c>
      <c r="E178" s="33" t="str">
        <f aca="false">IF(COUNTIF(Flows!$M$2:$M$1500,$A178&amp;"|"&amp;E$1&amp;"|Input"),IF(COUNTIF(Flows!$M$2:$M$1500,$A178&amp;"|"&amp;E$1&amp;"|Output"),"I/O","IN"),IF(COUNTIF(Flows!$M$2:$M$1500,$A178&amp;"|"&amp;E$1&amp;"|Output"),"OUT",""))</f>
        <v/>
      </c>
      <c r="F178" s="33" t="str">
        <f aca="false">IF(COUNTIF(Flows!$M$2:$M$1500,$A178&amp;"|"&amp;F$1&amp;"|Input"),IF(COUNTIF(Flows!$M$2:$M$1500,$A178&amp;"|"&amp;F$1&amp;"|Output"),"I/O","IN"),IF(COUNTIF(Flows!$M$2:$M$1500,$A178&amp;"|"&amp;F$1&amp;"|Output"),"OUT",""))</f>
        <v/>
      </c>
      <c r="G178" s="33" t="str">
        <f aca="false">IF(COUNTIF(Flows!$M$2:$M$1500,$A178&amp;"|"&amp;G$1&amp;"|Input"),IF(COUNTIF(Flows!$M$2:$M$1500,$A178&amp;"|"&amp;G$1&amp;"|Output"),"I/O","IN"),IF(COUNTIF(Flows!$M$2:$M$1500,$A178&amp;"|"&amp;G$1&amp;"|Output"),"OUT",""))</f>
        <v/>
      </c>
      <c r="H178" s="33" t="str">
        <f aca="false">IF(COUNTIF(Flows!$M$2:$M$1500,$A178&amp;"|"&amp;H$1&amp;"|Input"),IF(COUNTIF(Flows!$M$2:$M$1500,$A178&amp;"|"&amp;H$1&amp;"|Output"),"I/O","IN"),IF(COUNTIF(Flows!$M$2:$M$1500,$A178&amp;"|"&amp;H$1&amp;"|Output"),"OUT",""))</f>
        <v/>
      </c>
      <c r="I178" s="33" t="str">
        <f aca="false">IF(COUNTIF(Flows!$M$2:$M$1500,$A178&amp;"|"&amp;I$1&amp;"|Input"),IF(COUNTIF(Flows!$M$2:$M$1500,$A178&amp;"|"&amp;I$1&amp;"|Output"),"I/O","IN"),IF(COUNTIF(Flows!$M$2:$M$1500,$A178&amp;"|"&amp;I$1&amp;"|Output"),"OUT",""))</f>
        <v/>
      </c>
      <c r="J178" s="33" t="str">
        <f aca="false">IF(COUNTIF(Flows!$M$2:$M$1500,$A178&amp;"|"&amp;J$1&amp;"|Input"),IF(COUNTIF(Flows!$M$2:$M$1500,$A178&amp;"|"&amp;J$1&amp;"|Output"),"I/O","IN"),IF(COUNTIF(Flows!$M$2:$M$1500,$A178&amp;"|"&amp;J$1&amp;"|Output"),"OUT",""))</f>
        <v/>
      </c>
      <c r="K178" s="33" t="str">
        <f aca="false">IF(COUNTIF(Flows!$M$2:$M$1500,$A178&amp;"|"&amp;K$1&amp;"|Input"),IF(COUNTIF(Flows!$M$2:$M$1500,$A178&amp;"|"&amp;K$1&amp;"|Output"),"I/O","IN"),IF(COUNTIF(Flows!$M$2:$M$1500,$A178&amp;"|"&amp;K$1&amp;"|Output"),"OUT",""))</f>
        <v/>
      </c>
      <c r="L178" s="33" t="str">
        <f aca="false">IF(COUNTIF(Flows!$M$2:$M$1500,$A178&amp;"|"&amp;L$1&amp;"|Input"),IF(COUNTIF(Flows!$M$2:$M$1500,$A178&amp;"|"&amp;L$1&amp;"|Output"),"I/O","IN"),IF(COUNTIF(Flows!$M$2:$M$1500,$A178&amp;"|"&amp;L$1&amp;"|Output"),"OUT",""))</f>
        <v/>
      </c>
      <c r="M178" s="33" t="str">
        <f aca="false">IF(COUNTIF(Flows!$M$2:$M$1500,$A178&amp;"|"&amp;M$1&amp;"|Input"),IF(COUNTIF(Flows!$M$2:$M$1500,$A178&amp;"|"&amp;M$1&amp;"|Output"),"I/O","IN"),IF(COUNTIF(Flows!$M$2:$M$1500,$A178&amp;"|"&amp;M$1&amp;"|Output"),"OUT",""))</f>
        <v/>
      </c>
      <c r="N178" s="33" t="str">
        <f aca="false">IF(COUNTIF(Flows!$M$2:$M$1500,$A178&amp;"|"&amp;N$1&amp;"|Input"),IF(COUNTIF(Flows!$M$2:$M$1500,$A178&amp;"|"&amp;N$1&amp;"|Output"),"I/O","IN"),IF(COUNTIF(Flows!$M$2:$M$1500,$A178&amp;"|"&amp;N$1&amp;"|Output"),"OUT",""))</f>
        <v/>
      </c>
      <c r="O178" s="33" t="str">
        <f aca="false">IF(COUNTIF(Flows!$M$2:$M$1500,$A178&amp;"|"&amp;O$1&amp;"|Input"),IF(COUNTIF(Flows!$M$2:$M$1500,$A178&amp;"|"&amp;O$1&amp;"|Output"),"I/O","IN"),IF(COUNTIF(Flows!$M$2:$M$1500,$A178&amp;"|"&amp;O$1&amp;"|Output"),"OUT",""))</f>
        <v/>
      </c>
      <c r="P178" s="33" t="str">
        <f aca="false">IF(COUNTIF(Flows!$M$2:$M$1500,$A178&amp;"|"&amp;P$1&amp;"|Input"),IF(COUNTIF(Flows!$M$2:$M$1500,$A178&amp;"|"&amp;P$1&amp;"|Output"),"I/O","IN"),IF(COUNTIF(Flows!$M$2:$M$1500,$A178&amp;"|"&amp;P$1&amp;"|Output"),"OUT",""))</f>
        <v/>
      </c>
      <c r="Q178" s="33" t="str">
        <f aca="false">IF(COUNTIF(Flows!$M$2:$M$1500,$A178&amp;"|"&amp;Q$1&amp;"|Input"),IF(COUNTIF(Flows!$M$2:$M$1500,$A178&amp;"|"&amp;Q$1&amp;"|Output"),"I/O","IN"),IF(COUNTIF(Flows!$M$2:$M$1500,$A178&amp;"|"&amp;Q$1&amp;"|Output"),"OUT",""))</f>
        <v/>
      </c>
      <c r="R178" s="33" t="str">
        <f aca="false">IF(COUNTIF(Flows!$M$2:$M$1500,$A178&amp;"|"&amp;R$1&amp;"|Input"),IF(COUNTIF(Flows!$M$2:$M$1500,$A178&amp;"|"&amp;R$1&amp;"|Output"),"I/O","IN"),IF(COUNTIF(Flows!$M$2:$M$1500,$A178&amp;"|"&amp;R$1&amp;"|Output"),"OUT",""))</f>
        <v/>
      </c>
      <c r="S178" s="33" t="str">
        <f aca="false">IF(COUNTIF(Flows!$M$2:$M$1500,$A178&amp;"|"&amp;S$1&amp;"|Input"),IF(COUNTIF(Flows!$M$2:$M$1500,$A178&amp;"|"&amp;S$1&amp;"|Output"),"I/O","IN"),IF(COUNTIF(Flows!$M$2:$M$1500,$A178&amp;"|"&amp;S$1&amp;"|Output"),"OUT",""))</f>
        <v/>
      </c>
      <c r="T178" s="33" t="str">
        <f aca="false">IF(COUNTIF(Flows!$M$2:$M$1500,$A178&amp;"|"&amp;T$1&amp;"|Input"),IF(COUNTIF(Flows!$M$2:$M$1500,$A178&amp;"|"&amp;T$1&amp;"|Output"),"I/O","IN"),IF(COUNTIF(Flows!$M$2:$M$1500,$A178&amp;"|"&amp;T$1&amp;"|Output"),"OUT",""))</f>
        <v/>
      </c>
      <c r="U178" s="33" t="str">
        <f aca="false">IF(COUNTIF(Flows!$M$2:$M$1500,$A178&amp;"|"&amp;U$1&amp;"|Input"),IF(COUNTIF(Flows!$M$2:$M$1500,$A178&amp;"|"&amp;U$1&amp;"|Output"),"I/O","IN"),IF(COUNTIF(Flows!$M$2:$M$1500,$A178&amp;"|"&amp;U$1&amp;"|Output"),"OUT",""))</f>
        <v/>
      </c>
      <c r="V178" s="33" t="str">
        <f aca="false">IF(COUNTIF(Flows!$M$2:$M$1500,$A178&amp;"|"&amp;V$1&amp;"|Input"),IF(COUNTIF(Flows!$M$2:$M$1500,$A178&amp;"|"&amp;V$1&amp;"|Output"),"I/O","IN"),IF(COUNTIF(Flows!$M$2:$M$1500,$A178&amp;"|"&amp;V$1&amp;"|Output"),"OUT",""))</f>
        <v/>
      </c>
      <c r="W178" s="33" t="str">
        <f aca="false">IF(COUNTIF(Flows!$M$2:$M$1500,$A178&amp;"|"&amp;W$1&amp;"|Input"),IF(COUNTIF(Flows!$M$2:$M$1500,$A178&amp;"|"&amp;W$1&amp;"|Output"),"I/O","IN"),IF(COUNTIF(Flows!$M$2:$M$1500,$A178&amp;"|"&amp;W$1&amp;"|Output"),"OUT",""))</f>
        <v/>
      </c>
      <c r="X178" s="33" t="str">
        <f aca="false">IF(COUNTIF(Flows!$M$2:$M$1500,$A178&amp;"|"&amp;X$1&amp;"|Input"),IF(COUNTIF(Flows!$M$2:$M$1500,$A178&amp;"|"&amp;X$1&amp;"|Output"),"I/O","IN"),IF(COUNTIF(Flows!$M$2:$M$1500,$A178&amp;"|"&amp;X$1&amp;"|Output"),"OUT",""))</f>
        <v>IN</v>
      </c>
      <c r="Y178" s="33" t="str">
        <f aca="false">IF(COUNTIF(Flows!$M$2:$M$1500,$A178&amp;"|"&amp;Y$1&amp;"|Input"),IF(COUNTIF(Flows!$M$2:$M$1500,$A178&amp;"|"&amp;Y$1&amp;"|Output"),"I/O","IN"),IF(COUNTIF(Flows!$M$2:$M$1500,$A178&amp;"|"&amp;Y$1&amp;"|Output"),"OUT",""))</f>
        <v/>
      </c>
      <c r="Z178" s="33" t="str">
        <f aca="false">IF(COUNTIF(Flows!$M$2:$M$1500,$A178&amp;"|"&amp;Z$1&amp;"|Input"),IF(COUNTIF(Flows!$M$2:$M$1500,$A178&amp;"|"&amp;Z$1&amp;"|Output"),"I/O","IN"),IF(COUNTIF(Flows!$M$2:$M$1500,$A178&amp;"|"&amp;Z$1&amp;"|Output"),"OUT",""))</f>
        <v/>
      </c>
      <c r="AA178" s="33" t="str">
        <f aca="false">IF(COUNTIF(Flows!$M$2:$M$1500,$A178&amp;"|"&amp;AA$1&amp;"|Input"),IF(COUNTIF(Flows!$M$2:$M$1500,$A178&amp;"|"&amp;AA$1&amp;"|Output"),"I/O","IN"),IF(COUNTIF(Flows!$M$2:$M$1500,$A178&amp;"|"&amp;AA$1&amp;"|Output"),"OUT",""))</f>
        <v/>
      </c>
      <c r="AB178" s="33" t="str">
        <f aca="false">IF(COUNTIF(Flows!$M$2:$M$1500,$A178&amp;"|"&amp;AB$1&amp;"|Input"),IF(COUNTIF(Flows!$M$2:$M$1500,$A178&amp;"|"&amp;AB$1&amp;"|Output"),"I/O","IN"),IF(COUNTIF(Flows!$M$2:$M$1500,$A178&amp;"|"&amp;AB$1&amp;"|Output"),"OUT",""))</f>
        <v/>
      </c>
      <c r="AC178" s="33" t="str">
        <f aca="false">IF(COUNTIF(Flows!$M$2:$M$1500,$A178&amp;"|"&amp;AC$1&amp;"|Input"),IF(COUNTIF(Flows!$M$2:$M$1500,$A178&amp;"|"&amp;AC$1&amp;"|Output"),"I/O","IN"),IF(COUNTIF(Flows!$M$2:$M$1500,$A178&amp;"|"&amp;AC$1&amp;"|Output"),"OUT",""))</f>
        <v/>
      </c>
      <c r="AD178" s="33" t="str">
        <f aca="false">IF(COUNTIF(Flows!$M$2:$M$1500,$A178&amp;"|"&amp;AD$1&amp;"|Input"),IF(COUNTIF(Flows!$M$2:$M$1500,$A178&amp;"|"&amp;AD$1&amp;"|Output"),"I/O","IN"),IF(COUNTIF(Flows!$M$2:$M$1500,$A178&amp;"|"&amp;AD$1&amp;"|Output"),"OUT",""))</f>
        <v/>
      </c>
      <c r="AE178" s="33" t="str">
        <f aca="false">IF(COUNTIF(Flows!$M$2:$M$1500,$A178&amp;"|"&amp;AE$1&amp;"|Input"),IF(COUNTIF(Flows!$M$2:$M$1500,$A178&amp;"|"&amp;AE$1&amp;"|Output"),"I/O","IN"),IF(COUNTIF(Flows!$M$2:$M$1500,$A178&amp;"|"&amp;AE$1&amp;"|Output"),"OUT",""))</f>
        <v/>
      </c>
      <c r="AF178" s="33" t="str">
        <f aca="false">IF(COUNTIF(Flows!$M$2:$M$1500,$A178&amp;"|"&amp;AF$1&amp;"|Input"),IF(COUNTIF(Flows!$M$2:$M$1500,$A178&amp;"|"&amp;AF$1&amp;"|Output"),"I/O","IN"),IF(COUNTIF(Flows!$M$2:$M$1500,$A178&amp;"|"&amp;AF$1&amp;"|Output"),"OUT",""))</f>
        <v/>
      </c>
      <c r="AG178" s="33" t="str">
        <f aca="false">IF(COUNTIF(Flows!$M$2:$M$1500,$A178&amp;"|"&amp;AG$1&amp;"|Input"),IF(COUNTIF(Flows!$M$2:$M$1500,$A178&amp;"|"&amp;AG$1&amp;"|Output"),"I/O","IN"),IF(COUNTIF(Flows!$M$2:$M$1500,$A178&amp;"|"&amp;AG$1&amp;"|Output"),"OUT",""))</f>
        <v/>
      </c>
      <c r="AH178" s="33" t="str">
        <f aca="false">IF(COUNTIF(Flows!$M$2:$M$1500,$A178&amp;"|"&amp;AH$1&amp;"|Input"),IF(COUNTIF(Flows!$M$2:$M$1500,$A178&amp;"|"&amp;AH$1&amp;"|Output"),"I/O","IN"),IF(COUNTIF(Flows!$M$2:$M$1500,$A178&amp;"|"&amp;AH$1&amp;"|Output"),"OUT",""))</f>
        <v/>
      </c>
      <c r="AI178" s="33" t="str">
        <f aca="false">IF(COUNTIF(Flows!$M$2:$M$1500,$A178&amp;"|"&amp;AI$1&amp;"|Input"),IF(COUNTIF(Flows!$M$2:$M$1500,$A178&amp;"|"&amp;AI$1&amp;"|Output"),"I/O","IN"),IF(COUNTIF(Flows!$M$2:$M$1500,$A178&amp;"|"&amp;AI$1&amp;"|Output"),"OUT",""))</f>
        <v/>
      </c>
      <c r="AJ178" s="33" t="str">
        <f aca="false">IF(COUNTIF(Flows!$M$2:$M$1500,$A178&amp;"|"&amp;AJ$1&amp;"|Input"),IF(COUNTIF(Flows!$M$2:$M$1500,$A178&amp;"|"&amp;AJ$1&amp;"|Output"),"I/O","IN"),IF(COUNTIF(Flows!$M$2:$M$1500,$A178&amp;"|"&amp;AJ$1&amp;"|Output"),"OUT",""))</f>
        <v/>
      </c>
      <c r="AK178" s="33" t="str">
        <f aca="false">IF(COUNTIF(Flows!$M$2:$M$1500,$A178&amp;"|"&amp;AK$1&amp;"|Input"),IF(COUNTIF(Flows!$M$2:$M$1500,$A178&amp;"|"&amp;AK$1&amp;"|Output"),"I/O","IN"),IF(COUNTIF(Flows!$M$2:$M$1500,$A178&amp;"|"&amp;AK$1&amp;"|Output"),"OUT",""))</f>
        <v/>
      </c>
      <c r="AL178" s="33" t="str">
        <f aca="false">IF(COUNTIF(Flows!$M$2:$M$1500,$A178&amp;"|"&amp;AL$1&amp;"|Input"),IF(COUNTIF(Flows!$M$2:$M$1500,$A178&amp;"|"&amp;AL$1&amp;"|Output"),"I/O","IN"),IF(COUNTIF(Flows!$M$2:$M$1500,$A178&amp;"|"&amp;AL$1&amp;"|Output"),"OUT",""))</f>
        <v/>
      </c>
      <c r="AM178" s="33" t="str">
        <f aca="false">IF(COUNTIF(Flows!$M$2:$M$1500,$A178&amp;"|"&amp;AM$1&amp;"|Input"),IF(COUNTIF(Flows!$M$2:$M$1500,$A178&amp;"|"&amp;AM$1&amp;"|Output"),"I/O","IN"),IF(COUNTIF(Flows!$M$2:$M$1500,$A178&amp;"|"&amp;AM$1&amp;"|Output"),"OUT",""))</f>
        <v/>
      </c>
      <c r="AN178" s="33" t="str">
        <f aca="false">IF(COUNTIF(Flows!$M$2:$M$1500,$A178&amp;"|"&amp;AN$1&amp;"|Input"),IF(COUNTIF(Flows!$M$2:$M$1500,$A178&amp;"|"&amp;AN$1&amp;"|Output"),"I/O","IN"),IF(COUNTIF(Flows!$M$2:$M$1500,$A178&amp;"|"&amp;AN$1&amp;"|Output"),"OUT",""))</f>
        <v/>
      </c>
      <c r="AO178" s="33" t="str">
        <f aca="false">IF(COUNTIF(Flows!$M$2:$M$1500,$A178&amp;"|"&amp;AO$1&amp;"|Input"),IF(COUNTIF(Flows!$M$2:$M$1500,$A178&amp;"|"&amp;AO$1&amp;"|Output"),"I/O","IN"),IF(COUNTIF(Flows!$M$2:$M$1500,$A178&amp;"|"&amp;AO$1&amp;"|Output"),"OUT",""))</f>
        <v/>
      </c>
      <c r="AP178" s="33" t="str">
        <f aca="false">IF(COUNTIF(Flows!$M$2:$M$1500,$A178&amp;"|"&amp;AP$1&amp;"|Input"),IF(COUNTIF(Flows!$M$2:$M$1500,$A178&amp;"|"&amp;AP$1&amp;"|Output"),"I/O","IN"),IF(COUNTIF(Flows!$M$2:$M$1500,$A178&amp;"|"&amp;AP$1&amp;"|Output"),"OUT",""))</f>
        <v/>
      </c>
      <c r="AQ178" s="33" t="str">
        <f aca="false">IF(COUNTIF(Flows!$M$2:$M$1500,$A178&amp;"|"&amp;AQ$1&amp;"|Input"),IF(COUNTIF(Flows!$M$2:$M$1500,$A178&amp;"|"&amp;AQ$1&amp;"|Output"),"I/O","IN"),IF(COUNTIF(Flows!$M$2:$M$1500,$A178&amp;"|"&amp;AQ$1&amp;"|Output"),"OUT",""))</f>
        <v/>
      </c>
      <c r="AR178" s="33" t="str">
        <f aca="false">IF(COUNTIF(Flows!$M$2:$M$1500,$A178&amp;"|"&amp;AR$1&amp;"|Input"),IF(COUNTIF(Flows!$M$2:$M$1500,$A178&amp;"|"&amp;AR$1&amp;"|Output"),"I/O","IN"),IF(COUNTIF(Flows!$M$2:$M$1500,$A178&amp;"|"&amp;AR$1&amp;"|Output"),"OUT",""))</f>
        <v/>
      </c>
      <c r="AS178" s="33" t="str">
        <f aca="false">IF(COUNTIF(Flows!$M$2:$M$1500,$A178&amp;"|"&amp;AS$1&amp;"|Input"),IF(COUNTIF(Flows!$M$2:$M$1500,$A178&amp;"|"&amp;AS$1&amp;"|Output"),"I/O","IN"),IF(COUNTIF(Flows!$M$2:$M$1500,$A178&amp;"|"&amp;AS$1&amp;"|Output"),"OUT",""))</f>
        <v/>
      </c>
      <c r="AT178" s="33" t="str">
        <f aca="false">IF(COUNTIF(Flows!$M$2:$M$1500,$A178&amp;"|"&amp;AT$1&amp;"|Input"),IF(COUNTIF(Flows!$M$2:$M$1500,$A178&amp;"|"&amp;AT$1&amp;"|Output"),"I/O","IN"),IF(COUNTIF(Flows!$M$2:$M$1500,$A178&amp;"|"&amp;AT$1&amp;"|Output"),"OUT",""))</f>
        <v/>
      </c>
      <c r="AU178" s="33" t="str">
        <f aca="false">IF(COUNTIF(Flows!$M$2:$M$1500,$A178&amp;"|"&amp;AU$1&amp;"|Input"),IF(COUNTIF(Flows!$M$2:$M$1500,$A178&amp;"|"&amp;AU$1&amp;"|Output"),"I/O","IN"),IF(COUNTIF(Flows!$M$2:$M$1500,$A178&amp;"|"&amp;AU$1&amp;"|Output"),"OUT",""))</f>
        <v/>
      </c>
      <c r="AV178" s="33" t="str">
        <f aca="false">IF(COUNTIF(Flows!$M$2:$M$1500,$A178&amp;"|"&amp;AV$1&amp;"|Input"),IF(COUNTIF(Flows!$M$2:$M$1500,$A178&amp;"|"&amp;AV$1&amp;"|Output"),"I/O","IN"),IF(COUNTIF(Flows!$M$2:$M$1500,$A178&amp;"|"&amp;AV$1&amp;"|Output"),"OUT",""))</f>
        <v/>
      </c>
      <c r="AW178" s="33" t="str">
        <f aca="false">IF(COUNTIF(Flows!$M$2:$M$1500,$A178&amp;"|"&amp;AW$1&amp;"|Input"),IF(COUNTIF(Flows!$M$2:$M$1500,$A178&amp;"|"&amp;AW$1&amp;"|Output"),"I/O","IN"),IF(COUNTIF(Flows!$M$2:$M$1500,$A178&amp;"|"&amp;AW$1&amp;"|Output"),"OUT",""))</f>
        <v/>
      </c>
      <c r="AX178" s="33" t="str">
        <f aca="false">IF(COUNTIF(Flows!$M$2:$M$1500,$A178&amp;"|"&amp;AX$1&amp;"|Input"),IF(COUNTIF(Flows!$M$2:$M$1500,$A178&amp;"|"&amp;AX$1&amp;"|Output"),"I/O","IN"),IF(COUNTIF(Flows!$M$2:$M$1500,$A178&amp;"|"&amp;AX$1&amp;"|Output"),"OUT",""))</f>
        <v/>
      </c>
      <c r="AY178" s="33" t="str">
        <f aca="false">IF(COUNTIF(Flows!$M$2:$M$1500,$A178&amp;"|"&amp;AY$1&amp;"|Input"),IF(COUNTIF(Flows!$M$2:$M$1500,$A178&amp;"|"&amp;AY$1&amp;"|Output"),"I/O","IN"),IF(COUNTIF(Flows!$M$2:$M$1500,$A178&amp;"|"&amp;AY$1&amp;"|Output"),"OUT",""))</f>
        <v/>
      </c>
      <c r="AZ178" s="33" t="str">
        <f aca="false">IF(COUNTIF(Flows!$M$2:$M$1500,$A178&amp;"|"&amp;AZ$1&amp;"|Input"),IF(COUNTIF(Flows!$M$2:$M$1500,$A178&amp;"|"&amp;AZ$1&amp;"|Output"),"I/O","IN"),IF(COUNTIF(Flows!$M$2:$M$1500,$A178&amp;"|"&amp;AZ$1&amp;"|Output"),"OUT",""))</f>
        <v/>
      </c>
      <c r="BA178" s="33" t="str">
        <f aca="false">IF(COUNTIF(Flows!$M$2:$M$1500,$A178&amp;"|"&amp;BA$1&amp;"|Input"),IF(COUNTIF(Flows!$M$2:$M$1500,$A178&amp;"|"&amp;BA$1&amp;"|Output"),"I/O","IN"),IF(COUNTIF(Flows!$M$2:$M$1500,$A178&amp;"|"&amp;BA$1&amp;"|Output"),"OUT",""))</f>
        <v/>
      </c>
      <c r="BB178" s="33" t="str">
        <f aca="false">IF(COUNTIF(Flows!$M$2:$M$1500,$A178&amp;"|"&amp;BB$1&amp;"|Input"),IF(COUNTIF(Flows!$M$2:$M$1500,$A178&amp;"|"&amp;BB$1&amp;"|Output"),"I/O","IN"),IF(COUNTIF(Flows!$M$2:$M$1500,$A178&amp;"|"&amp;BB$1&amp;"|Output"),"OUT",""))</f>
        <v/>
      </c>
      <c r="BC178" s="33" t="str">
        <f aca="false">IF(COUNTIF(Flows!$M$2:$M$1500,$A178&amp;"|"&amp;BC$1&amp;"|Input"),IF(COUNTIF(Flows!$M$2:$M$1500,$A178&amp;"|"&amp;BC$1&amp;"|Output"),"I/O","IN"),IF(COUNTIF(Flows!$M$2:$M$1500,$A178&amp;"|"&amp;BC$1&amp;"|Output"),"OUT",""))</f>
        <v/>
      </c>
      <c r="BD178" s="33" t="str">
        <f aca="false">IF(COUNTIF(Flows!$M$2:$M$1500,$A178&amp;"|"&amp;BD$1&amp;"|Input"),IF(COUNTIF(Flows!$M$2:$M$1500,$A178&amp;"|"&amp;BD$1&amp;"|Output"),"I/O","IN"),IF(COUNTIF(Flows!$M$2:$M$1500,$A178&amp;"|"&amp;BD$1&amp;"|Output"),"OUT",""))</f>
        <v/>
      </c>
      <c r="BE178" s="33" t="str">
        <f aca="false">IF(COUNTIF(Flows!$M$2:$M$1500,$A178&amp;"|"&amp;BE$1&amp;"|Input"),IF(COUNTIF(Flows!$M$2:$M$1500,$A178&amp;"|"&amp;BE$1&amp;"|Output"),"I/O","IN"),IF(COUNTIF(Flows!$M$2:$M$1500,$A178&amp;"|"&amp;BE$1&amp;"|Output"),"OUT",""))</f>
        <v/>
      </c>
      <c r="BF178" s="33" t="str">
        <f aca="false">IF(COUNTIF(Flows!$M$2:$M$1500,$A178&amp;"|"&amp;BF$1&amp;"|Input"),IF(COUNTIF(Flows!$M$2:$M$1500,$A178&amp;"|"&amp;BF$1&amp;"|Output"),"I/O","IN"),IF(COUNTIF(Flows!$M$2:$M$1500,$A178&amp;"|"&amp;BF$1&amp;"|Output"),"OUT",""))</f>
        <v/>
      </c>
      <c r="BG178" s="33" t="str">
        <f aca="false">IF(COUNTIF(Flows!$M$2:$M$1500,$A178&amp;"|"&amp;BG$1&amp;"|Input"),IF(COUNTIF(Flows!$M$2:$M$1500,$A178&amp;"|"&amp;BG$1&amp;"|Output"),"I/O","IN"),IF(COUNTIF(Flows!$M$2:$M$1500,$A178&amp;"|"&amp;BG$1&amp;"|Output"),"OUT",""))</f>
        <v/>
      </c>
      <c r="BH178" s="33" t="str">
        <f aca="false">IF(COUNTIF(Flows!$M$2:$M$1500,$A178&amp;"|"&amp;BH$1&amp;"|Input"),IF(COUNTIF(Flows!$M$2:$M$1500,$A178&amp;"|"&amp;BH$1&amp;"|Output"),"I/O","IN"),IF(COUNTIF(Flows!$M$2:$M$1500,$A178&amp;"|"&amp;BH$1&amp;"|Output"),"OUT",""))</f>
        <v/>
      </c>
      <c r="BI178" s="33" t="str">
        <f aca="false">IF(COUNTIF(Flows!$M$2:$M$1500,$A178&amp;"|"&amp;BI$1&amp;"|Input"),IF(COUNTIF(Flows!$M$2:$M$1500,$A178&amp;"|"&amp;BI$1&amp;"|Output"),"I/O","IN"),IF(COUNTIF(Flows!$M$2:$M$1500,$A178&amp;"|"&amp;BI$1&amp;"|Output"),"OUT",""))</f>
        <v/>
      </c>
      <c r="BJ178" s="33" t="str">
        <f aca="false">IF(COUNTIF(Flows!$M$2:$M$1500,$A178&amp;"|"&amp;BJ$1&amp;"|Input"),IF(COUNTIF(Flows!$M$2:$M$1500,$A178&amp;"|"&amp;BJ$1&amp;"|Output"),"I/O","IN"),IF(COUNTIF(Flows!$M$2:$M$1500,$A178&amp;"|"&amp;BJ$1&amp;"|Output"),"OUT",""))</f>
        <v/>
      </c>
      <c r="BK178" s="33" t="str">
        <f aca="false">IF(COUNTIF(Flows!$M$2:$M$1500,$A178&amp;"|"&amp;BK$1&amp;"|Input"),IF(COUNTIF(Flows!$M$2:$M$1500,$A178&amp;"|"&amp;BK$1&amp;"|Output"),"I/O","IN"),IF(COUNTIF(Flows!$M$2:$M$1500,$A178&amp;"|"&amp;BK$1&amp;"|Output"),"OUT",""))</f>
        <v/>
      </c>
    </row>
    <row r="179" customFormat="false" ht="15" hidden="false" customHeight="true" outlineLevel="0" collapsed="false">
      <c r="A179" s="6" t="str">
        <f aca="false">Systems!B179</f>
        <v>Farm Stand</v>
      </c>
      <c r="B179" s="33" t="str">
        <f aca="false">IF(COUNTIF(Flows!$M$2:$M$1500,$A179&amp;"|"&amp;B$1&amp;"|Input"),IF(COUNTIF(Flows!$M$2:$M$1500,$A179&amp;"|"&amp;B$1&amp;"|Output"),"I/O","IN"),IF(COUNTIF(Flows!$M$2:$M$1500,$A179&amp;"|"&amp;B$1&amp;"|Output"),"OUT",""))</f>
        <v/>
      </c>
      <c r="C179" s="33" t="str">
        <f aca="false">IF(COUNTIF(Flows!$M$2:$M$1500,$A179&amp;"|"&amp;C$1&amp;"|Input"),IF(COUNTIF(Flows!$M$2:$M$1500,$A179&amp;"|"&amp;C$1&amp;"|Output"),"I/O","IN"),IF(COUNTIF(Flows!$M$2:$M$1500,$A179&amp;"|"&amp;C$1&amp;"|Output"),"OUT",""))</f>
        <v/>
      </c>
      <c r="D179" s="33" t="str">
        <f aca="false">IF(COUNTIF(Flows!$M$2:$M$1500,$A179&amp;"|"&amp;D$1&amp;"|Input"),IF(COUNTIF(Flows!$M$2:$M$1500,$A179&amp;"|"&amp;D$1&amp;"|Output"),"I/O","IN"),IF(COUNTIF(Flows!$M$2:$M$1500,$A179&amp;"|"&amp;D$1&amp;"|Output"),"OUT",""))</f>
        <v/>
      </c>
      <c r="E179" s="33" t="str">
        <f aca="false">IF(COUNTIF(Flows!$M$2:$M$1500,$A179&amp;"|"&amp;E$1&amp;"|Input"),IF(COUNTIF(Flows!$M$2:$M$1500,$A179&amp;"|"&amp;E$1&amp;"|Output"),"I/O","IN"),IF(COUNTIF(Flows!$M$2:$M$1500,$A179&amp;"|"&amp;E$1&amp;"|Output"),"OUT",""))</f>
        <v/>
      </c>
      <c r="F179" s="33" t="str">
        <f aca="false">IF(COUNTIF(Flows!$M$2:$M$1500,$A179&amp;"|"&amp;F$1&amp;"|Input"),IF(COUNTIF(Flows!$M$2:$M$1500,$A179&amp;"|"&amp;F$1&amp;"|Output"),"I/O","IN"),IF(COUNTIF(Flows!$M$2:$M$1500,$A179&amp;"|"&amp;F$1&amp;"|Output"),"OUT",""))</f>
        <v/>
      </c>
      <c r="G179" s="33" t="str">
        <f aca="false">IF(COUNTIF(Flows!$M$2:$M$1500,$A179&amp;"|"&amp;G$1&amp;"|Input"),IF(COUNTIF(Flows!$M$2:$M$1500,$A179&amp;"|"&amp;G$1&amp;"|Output"),"I/O","IN"),IF(COUNTIF(Flows!$M$2:$M$1500,$A179&amp;"|"&amp;G$1&amp;"|Output"),"OUT",""))</f>
        <v/>
      </c>
      <c r="H179" s="33" t="str">
        <f aca="false">IF(COUNTIF(Flows!$M$2:$M$1500,$A179&amp;"|"&amp;H$1&amp;"|Input"),IF(COUNTIF(Flows!$M$2:$M$1500,$A179&amp;"|"&amp;H$1&amp;"|Output"),"I/O","IN"),IF(COUNTIF(Flows!$M$2:$M$1500,$A179&amp;"|"&amp;H$1&amp;"|Output"),"OUT",""))</f>
        <v/>
      </c>
      <c r="I179" s="33" t="str">
        <f aca="false">IF(COUNTIF(Flows!$M$2:$M$1500,$A179&amp;"|"&amp;I$1&amp;"|Input"),IF(COUNTIF(Flows!$M$2:$M$1500,$A179&amp;"|"&amp;I$1&amp;"|Output"),"I/O","IN"),IF(COUNTIF(Flows!$M$2:$M$1500,$A179&amp;"|"&amp;I$1&amp;"|Output"),"OUT",""))</f>
        <v/>
      </c>
      <c r="J179" s="33" t="str">
        <f aca="false">IF(COUNTIF(Flows!$M$2:$M$1500,$A179&amp;"|"&amp;J$1&amp;"|Input"),IF(COUNTIF(Flows!$M$2:$M$1500,$A179&amp;"|"&amp;J$1&amp;"|Output"),"I/O","IN"),IF(COUNTIF(Flows!$M$2:$M$1500,$A179&amp;"|"&amp;J$1&amp;"|Output"),"OUT",""))</f>
        <v/>
      </c>
      <c r="K179" s="33" t="str">
        <f aca="false">IF(COUNTIF(Flows!$M$2:$M$1500,$A179&amp;"|"&amp;K$1&amp;"|Input"),IF(COUNTIF(Flows!$M$2:$M$1500,$A179&amp;"|"&amp;K$1&amp;"|Output"),"I/O","IN"),IF(COUNTIF(Flows!$M$2:$M$1500,$A179&amp;"|"&amp;K$1&amp;"|Output"),"OUT",""))</f>
        <v/>
      </c>
      <c r="L179" s="33" t="str">
        <f aca="false">IF(COUNTIF(Flows!$M$2:$M$1500,$A179&amp;"|"&amp;L$1&amp;"|Input"),IF(COUNTIF(Flows!$M$2:$M$1500,$A179&amp;"|"&amp;L$1&amp;"|Output"),"I/O","IN"),IF(COUNTIF(Flows!$M$2:$M$1500,$A179&amp;"|"&amp;L$1&amp;"|Output"),"OUT",""))</f>
        <v/>
      </c>
      <c r="M179" s="33" t="str">
        <f aca="false">IF(COUNTIF(Flows!$M$2:$M$1500,$A179&amp;"|"&amp;M$1&amp;"|Input"),IF(COUNTIF(Flows!$M$2:$M$1500,$A179&amp;"|"&amp;M$1&amp;"|Output"),"I/O","IN"),IF(COUNTIF(Flows!$M$2:$M$1500,$A179&amp;"|"&amp;M$1&amp;"|Output"),"OUT",""))</f>
        <v/>
      </c>
      <c r="N179" s="33" t="str">
        <f aca="false">IF(COUNTIF(Flows!$M$2:$M$1500,$A179&amp;"|"&amp;N$1&amp;"|Input"),IF(COUNTIF(Flows!$M$2:$M$1500,$A179&amp;"|"&amp;N$1&amp;"|Output"),"I/O","IN"),IF(COUNTIF(Flows!$M$2:$M$1500,$A179&amp;"|"&amp;N$1&amp;"|Output"),"OUT",""))</f>
        <v/>
      </c>
      <c r="O179" s="33" t="str">
        <f aca="false">IF(COUNTIF(Flows!$M$2:$M$1500,$A179&amp;"|"&amp;O$1&amp;"|Input"),IF(COUNTIF(Flows!$M$2:$M$1500,$A179&amp;"|"&amp;O$1&amp;"|Output"),"I/O","IN"),IF(COUNTIF(Flows!$M$2:$M$1500,$A179&amp;"|"&amp;O$1&amp;"|Output"),"OUT",""))</f>
        <v/>
      </c>
      <c r="P179" s="33" t="str">
        <f aca="false">IF(COUNTIF(Flows!$M$2:$M$1500,$A179&amp;"|"&amp;P$1&amp;"|Input"),IF(COUNTIF(Flows!$M$2:$M$1500,$A179&amp;"|"&amp;P$1&amp;"|Output"),"I/O","IN"),IF(COUNTIF(Flows!$M$2:$M$1500,$A179&amp;"|"&amp;P$1&amp;"|Output"),"OUT",""))</f>
        <v/>
      </c>
      <c r="Q179" s="33" t="str">
        <f aca="false">IF(COUNTIF(Flows!$M$2:$M$1500,$A179&amp;"|"&amp;Q$1&amp;"|Input"),IF(COUNTIF(Flows!$M$2:$M$1500,$A179&amp;"|"&amp;Q$1&amp;"|Output"),"I/O","IN"),IF(COUNTIF(Flows!$M$2:$M$1500,$A179&amp;"|"&amp;Q$1&amp;"|Output"),"OUT",""))</f>
        <v/>
      </c>
      <c r="R179" s="33" t="str">
        <f aca="false">IF(COUNTIF(Flows!$M$2:$M$1500,$A179&amp;"|"&amp;R$1&amp;"|Input"),IF(COUNTIF(Flows!$M$2:$M$1500,$A179&amp;"|"&amp;R$1&amp;"|Output"),"I/O","IN"),IF(COUNTIF(Flows!$M$2:$M$1500,$A179&amp;"|"&amp;R$1&amp;"|Output"),"OUT",""))</f>
        <v/>
      </c>
      <c r="S179" s="33" t="str">
        <f aca="false">IF(COUNTIF(Flows!$M$2:$M$1500,$A179&amp;"|"&amp;S$1&amp;"|Input"),IF(COUNTIF(Flows!$M$2:$M$1500,$A179&amp;"|"&amp;S$1&amp;"|Output"),"I/O","IN"),IF(COUNTIF(Flows!$M$2:$M$1500,$A179&amp;"|"&amp;S$1&amp;"|Output"),"OUT",""))</f>
        <v/>
      </c>
      <c r="T179" s="33" t="str">
        <f aca="false">IF(COUNTIF(Flows!$M$2:$M$1500,$A179&amp;"|"&amp;T$1&amp;"|Input"),IF(COUNTIF(Flows!$M$2:$M$1500,$A179&amp;"|"&amp;T$1&amp;"|Output"),"I/O","IN"),IF(COUNTIF(Flows!$M$2:$M$1500,$A179&amp;"|"&amp;T$1&amp;"|Output"),"OUT",""))</f>
        <v>IN</v>
      </c>
      <c r="U179" s="33" t="str">
        <f aca="false">IF(COUNTIF(Flows!$M$2:$M$1500,$A179&amp;"|"&amp;U$1&amp;"|Input"),IF(COUNTIF(Flows!$M$2:$M$1500,$A179&amp;"|"&amp;U$1&amp;"|Output"),"I/O","IN"),IF(COUNTIF(Flows!$M$2:$M$1500,$A179&amp;"|"&amp;U$1&amp;"|Output"),"OUT",""))</f>
        <v/>
      </c>
      <c r="V179" s="33" t="str">
        <f aca="false">IF(COUNTIF(Flows!$M$2:$M$1500,$A179&amp;"|"&amp;V$1&amp;"|Input"),IF(COUNTIF(Flows!$M$2:$M$1500,$A179&amp;"|"&amp;V$1&amp;"|Output"),"I/O","IN"),IF(COUNTIF(Flows!$M$2:$M$1500,$A179&amp;"|"&amp;V$1&amp;"|Output"),"OUT",""))</f>
        <v/>
      </c>
      <c r="W179" s="33" t="str">
        <f aca="false">IF(COUNTIF(Flows!$M$2:$M$1500,$A179&amp;"|"&amp;W$1&amp;"|Input"),IF(COUNTIF(Flows!$M$2:$M$1500,$A179&amp;"|"&amp;W$1&amp;"|Output"),"I/O","IN"),IF(COUNTIF(Flows!$M$2:$M$1500,$A179&amp;"|"&amp;W$1&amp;"|Output"),"OUT",""))</f>
        <v/>
      </c>
      <c r="X179" s="33" t="str">
        <f aca="false">IF(COUNTIF(Flows!$M$2:$M$1500,$A179&amp;"|"&amp;X$1&amp;"|Input"),IF(COUNTIF(Flows!$M$2:$M$1500,$A179&amp;"|"&amp;X$1&amp;"|Output"),"I/O","IN"),IF(COUNTIF(Flows!$M$2:$M$1500,$A179&amp;"|"&amp;X$1&amp;"|Output"),"OUT",""))</f>
        <v>IN</v>
      </c>
      <c r="Y179" s="33" t="str">
        <f aca="false">IF(COUNTIF(Flows!$M$2:$M$1500,$A179&amp;"|"&amp;Y$1&amp;"|Input"),IF(COUNTIF(Flows!$M$2:$M$1500,$A179&amp;"|"&amp;Y$1&amp;"|Output"),"I/O","IN"),IF(COUNTIF(Flows!$M$2:$M$1500,$A179&amp;"|"&amp;Y$1&amp;"|Output"),"OUT",""))</f>
        <v/>
      </c>
      <c r="Z179" s="33" t="str">
        <f aca="false">IF(COUNTIF(Flows!$M$2:$M$1500,$A179&amp;"|"&amp;Z$1&amp;"|Input"),IF(COUNTIF(Flows!$M$2:$M$1500,$A179&amp;"|"&amp;Z$1&amp;"|Output"),"I/O","IN"),IF(COUNTIF(Flows!$M$2:$M$1500,$A179&amp;"|"&amp;Z$1&amp;"|Output"),"OUT",""))</f>
        <v/>
      </c>
      <c r="AA179" s="33" t="str">
        <f aca="false">IF(COUNTIF(Flows!$M$2:$M$1500,$A179&amp;"|"&amp;AA$1&amp;"|Input"),IF(COUNTIF(Flows!$M$2:$M$1500,$A179&amp;"|"&amp;AA$1&amp;"|Output"),"I/O","IN"),IF(COUNTIF(Flows!$M$2:$M$1500,$A179&amp;"|"&amp;AA$1&amp;"|Output"),"OUT",""))</f>
        <v/>
      </c>
      <c r="AB179" s="33" t="str">
        <f aca="false">IF(COUNTIF(Flows!$M$2:$M$1500,$A179&amp;"|"&amp;AB$1&amp;"|Input"),IF(COUNTIF(Flows!$M$2:$M$1500,$A179&amp;"|"&amp;AB$1&amp;"|Output"),"I/O","IN"),IF(COUNTIF(Flows!$M$2:$M$1500,$A179&amp;"|"&amp;AB$1&amp;"|Output"),"OUT",""))</f>
        <v/>
      </c>
      <c r="AC179" s="33" t="str">
        <f aca="false">IF(COUNTIF(Flows!$M$2:$M$1500,$A179&amp;"|"&amp;AC$1&amp;"|Input"),IF(COUNTIF(Flows!$M$2:$M$1500,$A179&amp;"|"&amp;AC$1&amp;"|Output"),"I/O","IN"),IF(COUNTIF(Flows!$M$2:$M$1500,$A179&amp;"|"&amp;AC$1&amp;"|Output"),"OUT",""))</f>
        <v/>
      </c>
      <c r="AD179" s="33" t="str">
        <f aca="false">IF(COUNTIF(Flows!$M$2:$M$1500,$A179&amp;"|"&amp;AD$1&amp;"|Input"),IF(COUNTIF(Flows!$M$2:$M$1500,$A179&amp;"|"&amp;AD$1&amp;"|Output"),"I/O","IN"),IF(COUNTIF(Flows!$M$2:$M$1500,$A179&amp;"|"&amp;AD$1&amp;"|Output"),"OUT",""))</f>
        <v/>
      </c>
      <c r="AE179" s="33" t="str">
        <f aca="false">IF(COUNTIF(Flows!$M$2:$M$1500,$A179&amp;"|"&amp;AE$1&amp;"|Input"),IF(COUNTIF(Flows!$M$2:$M$1500,$A179&amp;"|"&amp;AE$1&amp;"|Output"),"I/O","IN"),IF(COUNTIF(Flows!$M$2:$M$1500,$A179&amp;"|"&amp;AE$1&amp;"|Output"),"OUT",""))</f>
        <v/>
      </c>
      <c r="AF179" s="33" t="str">
        <f aca="false">IF(COUNTIF(Flows!$M$2:$M$1500,$A179&amp;"|"&amp;AF$1&amp;"|Input"),IF(COUNTIF(Flows!$M$2:$M$1500,$A179&amp;"|"&amp;AF$1&amp;"|Output"),"I/O","IN"),IF(COUNTIF(Flows!$M$2:$M$1500,$A179&amp;"|"&amp;AF$1&amp;"|Output"),"OUT",""))</f>
        <v/>
      </c>
      <c r="AG179" s="33" t="str">
        <f aca="false">IF(COUNTIF(Flows!$M$2:$M$1500,$A179&amp;"|"&amp;AG$1&amp;"|Input"),IF(COUNTIF(Flows!$M$2:$M$1500,$A179&amp;"|"&amp;AG$1&amp;"|Output"),"I/O","IN"),IF(COUNTIF(Flows!$M$2:$M$1500,$A179&amp;"|"&amp;AG$1&amp;"|Output"),"OUT",""))</f>
        <v/>
      </c>
      <c r="AH179" s="33" t="str">
        <f aca="false">IF(COUNTIF(Flows!$M$2:$M$1500,$A179&amp;"|"&amp;AH$1&amp;"|Input"),IF(COUNTIF(Flows!$M$2:$M$1500,$A179&amp;"|"&amp;AH$1&amp;"|Output"),"I/O","IN"),IF(COUNTIF(Flows!$M$2:$M$1500,$A179&amp;"|"&amp;AH$1&amp;"|Output"),"OUT",""))</f>
        <v/>
      </c>
      <c r="AI179" s="33" t="str">
        <f aca="false">IF(COUNTIF(Flows!$M$2:$M$1500,$A179&amp;"|"&amp;AI$1&amp;"|Input"),IF(COUNTIF(Flows!$M$2:$M$1500,$A179&amp;"|"&amp;AI$1&amp;"|Output"),"I/O","IN"),IF(COUNTIF(Flows!$M$2:$M$1500,$A179&amp;"|"&amp;AI$1&amp;"|Output"),"OUT",""))</f>
        <v/>
      </c>
      <c r="AJ179" s="33" t="str">
        <f aca="false">IF(COUNTIF(Flows!$M$2:$M$1500,$A179&amp;"|"&amp;AJ$1&amp;"|Input"),IF(COUNTIF(Flows!$M$2:$M$1500,$A179&amp;"|"&amp;AJ$1&amp;"|Output"),"I/O","IN"),IF(COUNTIF(Flows!$M$2:$M$1500,$A179&amp;"|"&amp;AJ$1&amp;"|Output"),"OUT",""))</f>
        <v/>
      </c>
      <c r="AK179" s="33" t="str">
        <f aca="false">IF(COUNTIF(Flows!$M$2:$M$1500,$A179&amp;"|"&amp;AK$1&amp;"|Input"),IF(COUNTIF(Flows!$M$2:$M$1500,$A179&amp;"|"&amp;AK$1&amp;"|Output"),"I/O","IN"),IF(COUNTIF(Flows!$M$2:$M$1500,$A179&amp;"|"&amp;AK$1&amp;"|Output"),"OUT",""))</f>
        <v/>
      </c>
      <c r="AL179" s="33" t="str">
        <f aca="false">IF(COUNTIF(Flows!$M$2:$M$1500,$A179&amp;"|"&amp;AL$1&amp;"|Input"),IF(COUNTIF(Flows!$M$2:$M$1500,$A179&amp;"|"&amp;AL$1&amp;"|Output"),"I/O","IN"),IF(COUNTIF(Flows!$M$2:$M$1500,$A179&amp;"|"&amp;AL$1&amp;"|Output"),"OUT",""))</f>
        <v/>
      </c>
      <c r="AM179" s="33" t="str">
        <f aca="false">IF(COUNTIF(Flows!$M$2:$M$1500,$A179&amp;"|"&amp;AM$1&amp;"|Input"),IF(COUNTIF(Flows!$M$2:$M$1500,$A179&amp;"|"&amp;AM$1&amp;"|Output"),"I/O","IN"),IF(COUNTIF(Flows!$M$2:$M$1500,$A179&amp;"|"&amp;AM$1&amp;"|Output"),"OUT",""))</f>
        <v/>
      </c>
      <c r="AN179" s="33" t="str">
        <f aca="false">IF(COUNTIF(Flows!$M$2:$M$1500,$A179&amp;"|"&amp;AN$1&amp;"|Input"),IF(COUNTIF(Flows!$M$2:$M$1500,$A179&amp;"|"&amp;AN$1&amp;"|Output"),"I/O","IN"),IF(COUNTIF(Flows!$M$2:$M$1500,$A179&amp;"|"&amp;AN$1&amp;"|Output"),"OUT",""))</f>
        <v/>
      </c>
      <c r="AO179" s="33" t="str">
        <f aca="false">IF(COUNTIF(Flows!$M$2:$M$1500,$A179&amp;"|"&amp;AO$1&amp;"|Input"),IF(COUNTIF(Flows!$M$2:$M$1500,$A179&amp;"|"&amp;AO$1&amp;"|Output"),"I/O","IN"),IF(COUNTIF(Flows!$M$2:$M$1500,$A179&amp;"|"&amp;AO$1&amp;"|Output"),"OUT",""))</f>
        <v/>
      </c>
      <c r="AP179" s="33" t="str">
        <f aca="false">IF(COUNTIF(Flows!$M$2:$M$1500,$A179&amp;"|"&amp;AP$1&amp;"|Input"),IF(COUNTIF(Flows!$M$2:$M$1500,$A179&amp;"|"&amp;AP$1&amp;"|Output"),"I/O","IN"),IF(COUNTIF(Flows!$M$2:$M$1500,$A179&amp;"|"&amp;AP$1&amp;"|Output"),"OUT",""))</f>
        <v/>
      </c>
      <c r="AQ179" s="33" t="str">
        <f aca="false">IF(COUNTIF(Flows!$M$2:$M$1500,$A179&amp;"|"&amp;AQ$1&amp;"|Input"),IF(COUNTIF(Flows!$M$2:$M$1500,$A179&amp;"|"&amp;AQ$1&amp;"|Output"),"I/O","IN"),IF(COUNTIF(Flows!$M$2:$M$1500,$A179&amp;"|"&amp;AQ$1&amp;"|Output"),"OUT",""))</f>
        <v/>
      </c>
      <c r="AR179" s="33" t="str">
        <f aca="false">IF(COUNTIF(Flows!$M$2:$M$1500,$A179&amp;"|"&amp;AR$1&amp;"|Input"),IF(COUNTIF(Flows!$M$2:$M$1500,$A179&amp;"|"&amp;AR$1&amp;"|Output"),"I/O","IN"),IF(COUNTIF(Flows!$M$2:$M$1500,$A179&amp;"|"&amp;AR$1&amp;"|Output"),"OUT",""))</f>
        <v/>
      </c>
      <c r="AS179" s="33" t="str">
        <f aca="false">IF(COUNTIF(Flows!$M$2:$M$1500,$A179&amp;"|"&amp;AS$1&amp;"|Input"),IF(COUNTIF(Flows!$M$2:$M$1500,$A179&amp;"|"&amp;AS$1&amp;"|Output"),"I/O","IN"),IF(COUNTIF(Flows!$M$2:$M$1500,$A179&amp;"|"&amp;AS$1&amp;"|Output"),"OUT",""))</f>
        <v/>
      </c>
      <c r="AT179" s="33" t="str">
        <f aca="false">IF(COUNTIF(Flows!$M$2:$M$1500,$A179&amp;"|"&amp;AT$1&amp;"|Input"),IF(COUNTIF(Flows!$M$2:$M$1500,$A179&amp;"|"&amp;AT$1&amp;"|Output"),"I/O","IN"),IF(COUNTIF(Flows!$M$2:$M$1500,$A179&amp;"|"&amp;AT$1&amp;"|Output"),"OUT",""))</f>
        <v/>
      </c>
      <c r="AU179" s="33" t="str">
        <f aca="false">IF(COUNTIF(Flows!$M$2:$M$1500,$A179&amp;"|"&amp;AU$1&amp;"|Input"),IF(COUNTIF(Flows!$M$2:$M$1500,$A179&amp;"|"&amp;AU$1&amp;"|Output"),"I/O","IN"),IF(COUNTIF(Flows!$M$2:$M$1500,$A179&amp;"|"&amp;AU$1&amp;"|Output"),"OUT",""))</f>
        <v/>
      </c>
      <c r="AV179" s="33" t="str">
        <f aca="false">IF(COUNTIF(Flows!$M$2:$M$1500,$A179&amp;"|"&amp;AV$1&amp;"|Input"),IF(COUNTIF(Flows!$M$2:$M$1500,$A179&amp;"|"&amp;AV$1&amp;"|Output"),"I/O","IN"),IF(COUNTIF(Flows!$M$2:$M$1500,$A179&amp;"|"&amp;AV$1&amp;"|Output"),"OUT",""))</f>
        <v/>
      </c>
      <c r="AW179" s="33" t="str">
        <f aca="false">IF(COUNTIF(Flows!$M$2:$M$1500,$A179&amp;"|"&amp;AW$1&amp;"|Input"),IF(COUNTIF(Flows!$M$2:$M$1500,$A179&amp;"|"&amp;AW$1&amp;"|Output"),"I/O","IN"),IF(COUNTIF(Flows!$M$2:$M$1500,$A179&amp;"|"&amp;AW$1&amp;"|Output"),"OUT",""))</f>
        <v/>
      </c>
      <c r="AX179" s="33" t="str">
        <f aca="false">IF(COUNTIF(Flows!$M$2:$M$1500,$A179&amp;"|"&amp;AX$1&amp;"|Input"),IF(COUNTIF(Flows!$M$2:$M$1500,$A179&amp;"|"&amp;AX$1&amp;"|Output"),"I/O","IN"),IF(COUNTIF(Flows!$M$2:$M$1500,$A179&amp;"|"&amp;AX$1&amp;"|Output"),"OUT",""))</f>
        <v/>
      </c>
      <c r="AY179" s="33" t="str">
        <f aca="false">IF(COUNTIF(Flows!$M$2:$M$1500,$A179&amp;"|"&amp;AY$1&amp;"|Input"),IF(COUNTIF(Flows!$M$2:$M$1500,$A179&amp;"|"&amp;AY$1&amp;"|Output"),"I/O","IN"),IF(COUNTIF(Flows!$M$2:$M$1500,$A179&amp;"|"&amp;AY$1&amp;"|Output"),"OUT",""))</f>
        <v/>
      </c>
      <c r="AZ179" s="33" t="str">
        <f aca="false">IF(COUNTIF(Flows!$M$2:$M$1500,$A179&amp;"|"&amp;AZ$1&amp;"|Input"),IF(COUNTIF(Flows!$M$2:$M$1500,$A179&amp;"|"&amp;AZ$1&amp;"|Output"),"I/O","IN"),IF(COUNTIF(Flows!$M$2:$M$1500,$A179&amp;"|"&amp;AZ$1&amp;"|Output"),"OUT",""))</f>
        <v/>
      </c>
      <c r="BA179" s="33" t="str">
        <f aca="false">IF(COUNTIF(Flows!$M$2:$M$1500,$A179&amp;"|"&amp;BA$1&amp;"|Input"),IF(COUNTIF(Flows!$M$2:$M$1500,$A179&amp;"|"&amp;BA$1&amp;"|Output"),"I/O","IN"),IF(COUNTIF(Flows!$M$2:$M$1500,$A179&amp;"|"&amp;BA$1&amp;"|Output"),"OUT",""))</f>
        <v/>
      </c>
      <c r="BB179" s="33" t="str">
        <f aca="false">IF(COUNTIF(Flows!$M$2:$M$1500,$A179&amp;"|"&amp;BB$1&amp;"|Input"),IF(COUNTIF(Flows!$M$2:$M$1500,$A179&amp;"|"&amp;BB$1&amp;"|Output"),"I/O","IN"),IF(COUNTIF(Flows!$M$2:$M$1500,$A179&amp;"|"&amp;BB$1&amp;"|Output"),"OUT",""))</f>
        <v/>
      </c>
      <c r="BC179" s="33" t="str">
        <f aca="false">IF(COUNTIF(Flows!$M$2:$M$1500,$A179&amp;"|"&amp;BC$1&amp;"|Input"),IF(COUNTIF(Flows!$M$2:$M$1500,$A179&amp;"|"&amp;BC$1&amp;"|Output"),"I/O","IN"),IF(COUNTIF(Flows!$M$2:$M$1500,$A179&amp;"|"&amp;BC$1&amp;"|Output"),"OUT",""))</f>
        <v/>
      </c>
      <c r="BD179" s="33" t="str">
        <f aca="false">IF(COUNTIF(Flows!$M$2:$M$1500,$A179&amp;"|"&amp;BD$1&amp;"|Input"),IF(COUNTIF(Flows!$M$2:$M$1500,$A179&amp;"|"&amp;BD$1&amp;"|Output"),"I/O","IN"),IF(COUNTIF(Flows!$M$2:$M$1500,$A179&amp;"|"&amp;BD$1&amp;"|Output"),"OUT",""))</f>
        <v/>
      </c>
      <c r="BE179" s="33" t="str">
        <f aca="false">IF(COUNTIF(Flows!$M$2:$M$1500,$A179&amp;"|"&amp;BE$1&amp;"|Input"),IF(COUNTIF(Flows!$M$2:$M$1500,$A179&amp;"|"&amp;BE$1&amp;"|Output"),"I/O","IN"),IF(COUNTIF(Flows!$M$2:$M$1500,$A179&amp;"|"&amp;BE$1&amp;"|Output"),"OUT",""))</f>
        <v/>
      </c>
      <c r="BF179" s="33" t="str">
        <f aca="false">IF(COUNTIF(Flows!$M$2:$M$1500,$A179&amp;"|"&amp;BF$1&amp;"|Input"),IF(COUNTIF(Flows!$M$2:$M$1500,$A179&amp;"|"&amp;BF$1&amp;"|Output"),"I/O","IN"),IF(COUNTIF(Flows!$M$2:$M$1500,$A179&amp;"|"&amp;BF$1&amp;"|Output"),"OUT",""))</f>
        <v/>
      </c>
      <c r="BG179" s="33" t="str">
        <f aca="false">IF(COUNTIF(Flows!$M$2:$M$1500,$A179&amp;"|"&amp;BG$1&amp;"|Input"),IF(COUNTIF(Flows!$M$2:$M$1500,$A179&amp;"|"&amp;BG$1&amp;"|Output"),"I/O","IN"),IF(COUNTIF(Flows!$M$2:$M$1500,$A179&amp;"|"&amp;BG$1&amp;"|Output"),"OUT",""))</f>
        <v/>
      </c>
      <c r="BH179" s="33" t="str">
        <f aca="false">IF(COUNTIF(Flows!$M$2:$M$1500,$A179&amp;"|"&amp;BH$1&amp;"|Input"),IF(COUNTIF(Flows!$M$2:$M$1500,$A179&amp;"|"&amp;BH$1&amp;"|Output"),"I/O","IN"),IF(COUNTIF(Flows!$M$2:$M$1500,$A179&amp;"|"&amp;BH$1&amp;"|Output"),"OUT",""))</f>
        <v/>
      </c>
      <c r="BI179" s="33" t="str">
        <f aca="false">IF(COUNTIF(Flows!$M$2:$M$1500,$A179&amp;"|"&amp;BI$1&amp;"|Input"),IF(COUNTIF(Flows!$M$2:$M$1500,$A179&amp;"|"&amp;BI$1&amp;"|Output"),"I/O","IN"),IF(COUNTIF(Flows!$M$2:$M$1500,$A179&amp;"|"&amp;BI$1&amp;"|Output"),"OUT",""))</f>
        <v/>
      </c>
      <c r="BJ179" s="33" t="str">
        <f aca="false">IF(COUNTIF(Flows!$M$2:$M$1500,$A179&amp;"|"&amp;BJ$1&amp;"|Input"),IF(COUNTIF(Flows!$M$2:$M$1500,$A179&amp;"|"&amp;BJ$1&amp;"|Output"),"I/O","IN"),IF(COUNTIF(Flows!$M$2:$M$1500,$A179&amp;"|"&amp;BJ$1&amp;"|Output"),"OUT",""))</f>
        <v/>
      </c>
      <c r="BK179" s="33" t="str">
        <f aca="false">IF(COUNTIF(Flows!$M$2:$M$1500,$A179&amp;"|"&amp;BK$1&amp;"|Input"),IF(COUNTIF(Flows!$M$2:$M$1500,$A179&amp;"|"&amp;BK$1&amp;"|Output"),"I/O","IN"),IF(COUNTIF(Flows!$M$2:$M$1500,$A179&amp;"|"&amp;BK$1&amp;"|Output"),"OUT",""))</f>
        <v/>
      </c>
    </row>
  </sheetData>
  <conditionalFormatting sqref="B2:BK179">
    <cfRule type="cellIs" priority="2" operator="equal" aboveAverage="0" equalAverage="0" bottom="0" percent="0" rank="0" text="" dxfId="3">
      <formula>"IN"</formula>
    </cfRule>
    <cfRule type="cellIs" priority="3" operator="equal" aboveAverage="0" equalAverage="0" bottom="0" percent="0" rank="0" text="" dxfId="1">
      <formula>"OUT"</formula>
    </cfRule>
    <cfRule type="cellIs" priority="4" operator="equal" aboveAverage="0" equalAverage="0" bottom="0" percent="0" rank="0" text="" dxfId="4">
      <formula>"I/O"</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18"/>
    <col collapsed="false" customWidth="true" hidden="false" outlineLevel="0" max="5" min="2" style="1" width="12"/>
    <col collapsed="false" customWidth="true" hidden="false" outlineLevel="0" max="6" min="6" style="1" width="70"/>
  </cols>
  <sheetData>
    <row r="1" customFormat="false" ht="26.25" hidden="false" customHeight="true" outlineLevel="0" collapsed="false">
      <c r="A1" s="8" t="s">
        <v>1887</v>
      </c>
      <c r="B1" s="8" t="s">
        <v>1888</v>
      </c>
      <c r="C1" s="8" t="s">
        <v>1889</v>
      </c>
      <c r="D1" s="8" t="s">
        <v>1890</v>
      </c>
      <c r="E1" s="8" t="s">
        <v>1891</v>
      </c>
      <c r="F1" s="8" t="s">
        <v>152</v>
      </c>
    </row>
    <row r="2" customFormat="false" ht="15" hidden="false" customHeight="true" outlineLevel="0" collapsed="false">
      <c r="A2" s="6" t="s">
        <v>613</v>
      </c>
      <c r="B2" s="6" t="s">
        <v>1892</v>
      </c>
      <c r="C2" s="6" t="n">
        <f aca="false">SUMPRODUCT(--ISNUMBER(SEARCH("; "&amp;A2&amp;";","; "&amp;Systems!$C$2:$C$179&amp;";")))</f>
        <v>18</v>
      </c>
      <c r="D2" s="6" t="s">
        <v>1893</v>
      </c>
      <c r="E2" s="6" t="str">
        <f aca="false">IF(AND(C2&gt;=12,C2&lt;=20),"Yes","No")</f>
        <v>Yes</v>
      </c>
      <c r="F2" s="6" t="s">
        <v>1894</v>
      </c>
    </row>
    <row r="3" customFormat="false" ht="15" hidden="false" customHeight="true" outlineLevel="0" collapsed="false">
      <c r="A3" s="6" t="s">
        <v>55</v>
      </c>
      <c r="B3" s="6" t="s">
        <v>1892</v>
      </c>
      <c r="C3" s="6" t="n">
        <f aca="false">SUMPRODUCT(--ISNUMBER(SEARCH("; "&amp;A3&amp;";","; "&amp;Systems!$C$2:$C$179&amp;";")))</f>
        <v>20</v>
      </c>
      <c r="D3" s="6" t="s">
        <v>1893</v>
      </c>
      <c r="E3" s="6" t="str">
        <f aca="false">IF(AND(C3&gt;=12,C3&lt;=20),"Yes","No")</f>
        <v>Yes</v>
      </c>
      <c r="F3" s="6" t="s">
        <v>1894</v>
      </c>
    </row>
    <row r="4" customFormat="false" ht="15" hidden="false" customHeight="true" outlineLevel="0" collapsed="false">
      <c r="A4" s="6" t="s">
        <v>213</v>
      </c>
      <c r="B4" s="6" t="s">
        <v>1892</v>
      </c>
      <c r="C4" s="6" t="n">
        <f aca="false">SUMPRODUCT(--ISNUMBER(SEARCH("; "&amp;A4&amp;";","; "&amp;Systems!$C$2:$C$179&amp;";")))</f>
        <v>13</v>
      </c>
      <c r="D4" s="6" t="s">
        <v>1895</v>
      </c>
      <c r="E4" s="6" t="str">
        <f aca="false">IF(AND(C4&gt;=3,C4&lt;=20),"Yes","No")</f>
        <v>Yes</v>
      </c>
      <c r="F4" s="6" t="s">
        <v>1896</v>
      </c>
    </row>
    <row r="5" customFormat="false" ht="15" hidden="false" customHeight="true" outlineLevel="0" collapsed="false">
      <c r="A5" s="6" t="s">
        <v>229</v>
      </c>
      <c r="B5" s="6" t="s">
        <v>1892</v>
      </c>
      <c r="C5" s="6" t="n">
        <f aca="false">SUMPRODUCT(--ISNUMBER(SEARCH("; "&amp;A5&amp;";","; "&amp;Systems!$C$2:$C$179&amp;";")))</f>
        <v>13</v>
      </c>
      <c r="D5" s="6" t="s">
        <v>1895</v>
      </c>
      <c r="E5" s="6" t="str">
        <f aca="false">IF(AND(C5&gt;=3,C5&lt;=20),"Yes","No")</f>
        <v>Yes</v>
      </c>
      <c r="F5" s="6" t="s">
        <v>1897</v>
      </c>
    </row>
    <row r="6" customFormat="false" ht="15" hidden="false" customHeight="true" outlineLevel="0" collapsed="false">
      <c r="A6" s="6" t="s">
        <v>61</v>
      </c>
      <c r="B6" s="6" t="s">
        <v>1892</v>
      </c>
      <c r="C6" s="6" t="n">
        <f aca="false">SUMPRODUCT(--ISNUMBER(SEARCH("; "&amp;A6&amp;";","; "&amp;Systems!$C$2:$C$179&amp;";")))</f>
        <v>10</v>
      </c>
      <c r="D6" s="6" t="s">
        <v>1895</v>
      </c>
      <c r="E6" s="6" t="str">
        <f aca="false">IF(AND(C6&gt;=3,C6&lt;=20),"Yes","No")</f>
        <v>Yes</v>
      </c>
      <c r="F6" s="6"/>
    </row>
    <row r="7" customFormat="false" ht="15" hidden="false" customHeight="true" outlineLevel="0" collapsed="false">
      <c r="A7" s="6" t="s">
        <v>565</v>
      </c>
      <c r="B7" s="6" t="s">
        <v>1892</v>
      </c>
      <c r="C7" s="6" t="n">
        <f aca="false">SUMPRODUCT(--ISNUMBER(SEARCH("; "&amp;A7&amp;";","; "&amp;Systems!$C$2:$C$179&amp;";")))</f>
        <v>15</v>
      </c>
      <c r="D7" s="6" t="s">
        <v>1895</v>
      </c>
      <c r="E7" s="6" t="str">
        <f aca="false">IF(AND(C7&gt;=3,C7&lt;=20),"Yes","No")</f>
        <v>Yes</v>
      </c>
      <c r="F7" s="6"/>
    </row>
    <row r="8" customFormat="false" ht="15" hidden="false" customHeight="true" outlineLevel="0" collapsed="false">
      <c r="A8" s="6" t="s">
        <v>302</v>
      </c>
      <c r="B8" s="6" t="s">
        <v>1892</v>
      </c>
      <c r="C8" s="6" t="n">
        <f aca="false">SUMPRODUCT(--ISNUMBER(SEARCH("; "&amp;A8&amp;";","; "&amp;Systems!$C$2:$C$179&amp;";")))</f>
        <v>14</v>
      </c>
      <c r="D8" s="6" t="s">
        <v>1895</v>
      </c>
      <c r="E8" s="6" t="str">
        <f aca="false">IF(AND(C8&gt;=3,C8&lt;=20),"Yes","No")</f>
        <v>Yes</v>
      </c>
      <c r="F8" s="6"/>
    </row>
    <row r="9" customFormat="false" ht="15" hidden="false" customHeight="true" outlineLevel="0" collapsed="false">
      <c r="A9" s="6" t="s">
        <v>712</v>
      </c>
      <c r="B9" s="6" t="s">
        <v>1892</v>
      </c>
      <c r="C9" s="6" t="n">
        <f aca="false">SUMPRODUCT(--ISNUMBER(SEARCH("; "&amp;A9&amp;";","; "&amp;Systems!$C$2:$C$179&amp;";")))</f>
        <v>13</v>
      </c>
      <c r="D9" s="6" t="s">
        <v>1895</v>
      </c>
      <c r="E9" s="6" t="str">
        <f aca="false">IF(AND(C9&gt;=3,C9&lt;=20),"Yes","No")</f>
        <v>Yes</v>
      </c>
      <c r="F9" s="6"/>
    </row>
    <row r="10" customFormat="false" ht="15" hidden="false" customHeight="true" outlineLevel="0" collapsed="false">
      <c r="A10" s="6" t="s">
        <v>322</v>
      </c>
      <c r="B10" s="6" t="s">
        <v>1892</v>
      </c>
      <c r="C10" s="6" t="n">
        <f aca="false">SUMPRODUCT(--ISNUMBER(SEARCH("; "&amp;A10&amp;";","; "&amp;Systems!$C$2:$C$179&amp;";")))</f>
        <v>11</v>
      </c>
      <c r="D10" s="6" t="s">
        <v>1895</v>
      </c>
      <c r="E10" s="6" t="str">
        <f aca="false">IF(AND(C10&gt;=3,C10&lt;=20),"Yes","No")</f>
        <v>Yes</v>
      </c>
      <c r="F10" s="6" t="s">
        <v>1898</v>
      </c>
    </row>
    <row r="11" customFormat="false" ht="15" hidden="false" customHeight="true" outlineLevel="0" collapsed="false">
      <c r="A11" s="6" t="s">
        <v>1899</v>
      </c>
      <c r="B11" s="6" t="s">
        <v>1892</v>
      </c>
      <c r="C11" s="6" t="n">
        <f aca="false">SUMPRODUCT(--ISNUMBER(SEARCH("; "&amp;A11&amp;";","; "&amp;Systems!$C$2:$C$179&amp;";")))</f>
        <v>12</v>
      </c>
      <c r="D11" s="6" t="s">
        <v>1895</v>
      </c>
      <c r="E11" s="6" t="str">
        <f aca="false">IF(AND(C11&gt;=3,C11&lt;=20),"Yes","No")</f>
        <v>Yes</v>
      </c>
      <c r="F11" s="6"/>
    </row>
    <row r="12" customFormat="false" ht="15" hidden="false" customHeight="true" outlineLevel="0" collapsed="false">
      <c r="A12" s="6" t="s">
        <v>385</v>
      </c>
      <c r="B12" s="6" t="s">
        <v>1892</v>
      </c>
      <c r="C12" s="6" t="n">
        <f aca="false">SUMPRODUCT(--ISNUMBER(SEARCH("; "&amp;A12&amp;";","; "&amp;Systems!$C$2:$C$179&amp;";")))</f>
        <v>14</v>
      </c>
      <c r="D12" s="6" t="s">
        <v>1895</v>
      </c>
      <c r="E12" s="6" t="str">
        <f aca="false">IF(AND(C12&gt;=3,C12&lt;=20),"Yes","No")</f>
        <v>Yes</v>
      </c>
      <c r="F12" s="6" t="s">
        <v>1900</v>
      </c>
    </row>
    <row r="13" customFormat="false" ht="15" hidden="false" customHeight="true" outlineLevel="0" collapsed="false">
      <c r="A13" s="6" t="s">
        <v>729</v>
      </c>
      <c r="B13" s="6" t="s">
        <v>1892</v>
      </c>
      <c r="C13" s="6" t="n">
        <f aca="false">SUMPRODUCT(--ISNUMBER(SEARCH("; "&amp;A13&amp;";","; "&amp;Systems!$C$2:$C$179&amp;";")))</f>
        <v>12</v>
      </c>
      <c r="D13" s="6" t="s">
        <v>1895</v>
      </c>
      <c r="E13" s="6" t="str">
        <f aca="false">IF(AND(C13&gt;=3,C13&lt;=20),"Yes","No")</f>
        <v>Yes</v>
      </c>
      <c r="F13" s="6"/>
    </row>
    <row r="14" customFormat="false" ht="15" hidden="false" customHeight="true" outlineLevel="0" collapsed="false">
      <c r="A14" s="6" t="s">
        <v>57</v>
      </c>
      <c r="B14" s="6" t="s">
        <v>1892</v>
      </c>
      <c r="C14" s="6" t="n">
        <f aca="false">SUMPRODUCT(--ISNUMBER(SEARCH("; "&amp;A14&amp;";","; "&amp;Systems!$C$2:$C$179&amp;";")))</f>
        <v>8</v>
      </c>
      <c r="D14" s="6" t="s">
        <v>1895</v>
      </c>
      <c r="E14" s="6" t="str">
        <f aca="false">IF(AND(C14&gt;=3,C14&lt;=20),"Yes","No")</f>
        <v>Yes</v>
      </c>
      <c r="F14" s="6" t="s">
        <v>1901</v>
      </c>
    </row>
    <row r="15" customFormat="false" ht="15" hidden="false" customHeight="true" outlineLevel="0" collapsed="false">
      <c r="A15" s="6" t="s">
        <v>1902</v>
      </c>
      <c r="B15" s="6" t="s">
        <v>1892</v>
      </c>
      <c r="C15" s="6" t="n">
        <f aca="false">SUMPRODUCT(--ISNUMBER(SEARCH("; "&amp;A15&amp;";","; "&amp;Systems!$C$2:$C$179&amp;";")))</f>
        <v>11</v>
      </c>
      <c r="D15" s="6" t="s">
        <v>1895</v>
      </c>
      <c r="E15" s="6" t="str">
        <f aca="false">IF(AND(C15&gt;=3,C15&lt;=20),"Yes","No")</f>
        <v>Yes</v>
      </c>
      <c r="F15" s="6" t="s">
        <v>1903</v>
      </c>
    </row>
    <row r="16" customFormat="false" ht="15" hidden="false" customHeight="true" outlineLevel="0" collapsed="false">
      <c r="A16" s="6" t="s">
        <v>1904</v>
      </c>
      <c r="B16" s="6" t="s">
        <v>1892</v>
      </c>
      <c r="C16" s="6" t="n">
        <f aca="false">SUMPRODUCT(--ISNUMBER(SEARCH("; "&amp;A16&amp;";","; "&amp;Systems!$C$2:$C$179&amp;";")))</f>
        <v>6</v>
      </c>
      <c r="D16" s="6" t="s">
        <v>1895</v>
      </c>
      <c r="E16" s="6" t="str">
        <f aca="false">IF(AND(C16&gt;=3,C16&lt;=20),"Yes","No")</f>
        <v>Yes</v>
      </c>
      <c r="F16" s="6" t="s">
        <v>1905</v>
      </c>
    </row>
    <row r="17" customFormat="false" ht="15" hidden="false" customHeight="true" outlineLevel="0" collapsed="false">
      <c r="A17" s="6" t="s">
        <v>434</v>
      </c>
      <c r="B17" s="6" t="s">
        <v>1892</v>
      </c>
      <c r="C17" s="6" t="n">
        <f aca="false">SUMPRODUCT(--ISNUMBER(SEARCH("; "&amp;A17&amp;";","; "&amp;Systems!$C$2:$C$179&amp;";")))</f>
        <v>12</v>
      </c>
      <c r="D17" s="6" t="s">
        <v>1895</v>
      </c>
      <c r="E17" s="6" t="str">
        <f aca="false">IF(AND(C17&gt;=3,C17&lt;=20),"Yes","No")</f>
        <v>Yes</v>
      </c>
      <c r="F17" s="6" t="s">
        <v>1906</v>
      </c>
    </row>
    <row r="18" customFormat="false" ht="15" hidden="false" customHeight="true" outlineLevel="0" collapsed="false">
      <c r="A18" s="6" t="s">
        <v>1907</v>
      </c>
      <c r="B18" s="6" t="s">
        <v>1892</v>
      </c>
      <c r="C18" s="6" t="n">
        <f aca="false">SUMPRODUCT(--ISNUMBER(SEARCH("; "&amp;A18&amp;";","; "&amp;Systems!$C$2:$C$179&amp;";")))</f>
        <v>6</v>
      </c>
      <c r="D18" s="6" t="s">
        <v>1895</v>
      </c>
      <c r="E18" s="6" t="str">
        <f aca="false">IF(AND(C18&gt;=3,C18&lt;=20),"Yes","No")</f>
        <v>Yes</v>
      </c>
      <c r="F18" s="6"/>
    </row>
    <row r="19" customFormat="false" ht="15" hidden="false" customHeight="true" outlineLevel="0" collapsed="false">
      <c r="A19" s="6" t="s">
        <v>675</v>
      </c>
      <c r="B19" s="6" t="s">
        <v>1892</v>
      </c>
      <c r="C19" s="6" t="n">
        <f aca="false">SUMPRODUCT(--ISNUMBER(SEARCH("; "&amp;A19&amp;";","; "&amp;Systems!$C$2:$C$179&amp;";")))</f>
        <v>8</v>
      </c>
      <c r="D19" s="6" t="s">
        <v>1895</v>
      </c>
      <c r="E19" s="6" t="str">
        <f aca="false">IF(AND(C19&gt;=3,C19&lt;=20),"Yes","No")</f>
        <v>Yes</v>
      </c>
      <c r="F19" s="6"/>
    </row>
    <row r="20" customFormat="false" ht="15" hidden="false" customHeight="true" outlineLevel="0" collapsed="false">
      <c r="A20" s="6" t="s">
        <v>456</v>
      </c>
      <c r="B20" s="6" t="s">
        <v>1892</v>
      </c>
      <c r="C20" s="6" t="n">
        <f aca="false">SUMPRODUCT(--ISNUMBER(SEARCH("; "&amp;A20&amp;";","; "&amp;Systems!$C$2:$C$179&amp;";")))</f>
        <v>12</v>
      </c>
      <c r="D20" s="6" t="s">
        <v>1895</v>
      </c>
      <c r="E20" s="6" t="str">
        <f aca="false">IF(AND(C20&gt;=3,C20&lt;=20),"Yes","No")</f>
        <v>Yes</v>
      </c>
      <c r="F20" s="6" t="s">
        <v>1908</v>
      </c>
    </row>
    <row r="21" customFormat="false" ht="15" hidden="false" customHeight="true" outlineLevel="0" collapsed="false">
      <c r="A21" s="6" t="s">
        <v>829</v>
      </c>
      <c r="B21" s="6" t="s">
        <v>1892</v>
      </c>
      <c r="C21" s="6" t="n">
        <f aca="false">SUMPRODUCT(--ISNUMBER(SEARCH("; "&amp;A21&amp;";","; "&amp;Systems!$C$2:$C$179&amp;";")))</f>
        <v>10</v>
      </c>
      <c r="D21" s="6" t="s">
        <v>1895</v>
      </c>
      <c r="E21" s="6" t="str">
        <f aca="false">IF(AND(C21&gt;=3,C21&lt;=20),"Yes","No")</f>
        <v>Yes</v>
      </c>
      <c r="F21" s="6"/>
    </row>
    <row r="22" customFormat="false" ht="15" hidden="false" customHeight="true" outlineLevel="0" collapsed="false">
      <c r="A22" s="6" t="s">
        <v>69</v>
      </c>
      <c r="B22" s="6" t="s">
        <v>1892</v>
      </c>
      <c r="C22" s="6" t="n">
        <f aca="false">SUMPRODUCT(--ISNUMBER(SEARCH("; "&amp;A22&amp;";","; "&amp;Systems!$C$2:$C$179&amp;";")))</f>
        <v>7</v>
      </c>
      <c r="D22" s="6" t="s">
        <v>1895</v>
      </c>
      <c r="E22" s="6" t="str">
        <f aca="false">IF(AND(C22&gt;=3,C22&lt;=20),"Yes","No")</f>
        <v>Yes</v>
      </c>
      <c r="F22" s="6"/>
    </row>
    <row r="23" customFormat="false" ht="15" hidden="false" customHeight="true" outlineLevel="0" collapsed="false">
      <c r="A23" s="6" t="s">
        <v>504</v>
      </c>
      <c r="B23" s="6" t="s">
        <v>1892</v>
      </c>
      <c r="C23" s="6" t="n">
        <f aca="false">SUMPRODUCT(--ISNUMBER(SEARCH("; "&amp;A23&amp;";","; "&amp;Systems!$C$2:$C$179&amp;";")))</f>
        <v>13</v>
      </c>
      <c r="D23" s="6" t="s">
        <v>1895</v>
      </c>
      <c r="E23" s="6" t="str">
        <f aca="false">IF(AND(C23&gt;=3,C23&lt;=20),"Yes","No")</f>
        <v>Yes</v>
      </c>
      <c r="F23" s="6"/>
    </row>
    <row r="24" customFormat="false" ht="15" hidden="false" customHeight="true" outlineLevel="0" collapsed="false">
      <c r="A24" s="6" t="s">
        <v>520</v>
      </c>
      <c r="B24" s="6" t="s">
        <v>1892</v>
      </c>
      <c r="C24" s="6" t="n">
        <f aca="false">SUMPRODUCT(--ISNUMBER(SEARCH("; "&amp;A24&amp;";","; "&amp;Systems!$C$2:$C$179&amp;";")))</f>
        <v>9</v>
      </c>
      <c r="D24" s="6" t="s">
        <v>1895</v>
      </c>
      <c r="E24" s="6" t="str">
        <f aca="false">IF(AND(C24&gt;=3,C24&lt;=20),"Yes","No")</f>
        <v>Yes</v>
      </c>
      <c r="F24" s="6"/>
    </row>
    <row r="25" customFormat="false" ht="15" hidden="false" customHeight="true" outlineLevel="0" collapsed="false">
      <c r="A25" s="6" t="s">
        <v>774</v>
      </c>
      <c r="B25" s="6" t="s">
        <v>1892</v>
      </c>
      <c r="C25" s="6" t="n">
        <f aca="false">SUMPRODUCT(--ISNUMBER(SEARCH("; "&amp;A25&amp;";","; "&amp;Systems!$C$2:$C$179&amp;";")))</f>
        <v>5</v>
      </c>
      <c r="D25" s="6" t="s">
        <v>1895</v>
      </c>
      <c r="E25" s="6" t="str">
        <f aca="false">IF(AND(C25&gt;=3,C25&lt;=20),"Yes","No")</f>
        <v>Yes</v>
      </c>
      <c r="F25" s="6"/>
    </row>
    <row r="26" customFormat="false" ht="15" hidden="false" customHeight="true" outlineLevel="0" collapsed="false">
      <c r="A26" s="6" t="s">
        <v>541</v>
      </c>
      <c r="B26" s="6" t="s">
        <v>1909</v>
      </c>
      <c r="C26" s="6" t="n">
        <f aca="false">SUMPRODUCT(--ISNUMBER(SEARCH("; "&amp;A26&amp;";","; "&amp;Systems!$C$2:$C$179&amp;";")))</f>
        <v>1</v>
      </c>
      <c r="D26" s="6" t="s">
        <v>1910</v>
      </c>
      <c r="E26" s="6" t="s">
        <v>1911</v>
      </c>
      <c r="F26" s="6" t="s">
        <v>1912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3"/>
    <col collapsed="false" customWidth="true" hidden="false" outlineLevel="0" max="2" min="2" style="1" width="38"/>
    <col collapsed="false" customWidth="true" hidden="false" outlineLevel="0" max="3" min="3" style="1" width="12"/>
    <col collapsed="false" customWidth="true" hidden="false" outlineLevel="0" max="4" min="4" style="1" width="22"/>
    <col collapsed="false" customWidth="true" hidden="false" outlineLevel="0" max="5" min="5" style="1" width="70"/>
  </cols>
  <sheetData>
    <row r="1" customFormat="false" ht="17.25" hidden="false" customHeight="true" outlineLevel="0" collapsed="false">
      <c r="A1" s="2" t="s">
        <v>1913</v>
      </c>
    </row>
    <row r="2" customFormat="false" ht="15" hidden="false" customHeight="true" outlineLevel="0" collapsed="false">
      <c r="A2" s="6" t="s">
        <v>1914</v>
      </c>
    </row>
    <row r="3" customFormat="false" ht="15" hidden="false" customHeight="true" outlineLevel="0" collapsed="false">
      <c r="A3" s="8"/>
      <c r="B3" s="8" t="s">
        <v>1915</v>
      </c>
      <c r="C3" s="8" t="s">
        <v>77</v>
      </c>
      <c r="D3" s="8" t="s">
        <v>44</v>
      </c>
      <c r="E3" s="8" t="s">
        <v>1916</v>
      </c>
    </row>
    <row r="4" customFormat="false" ht="26.25" hidden="false" customHeight="true" outlineLevel="0" collapsed="false">
      <c r="B4" s="19" t="s">
        <v>1917</v>
      </c>
      <c r="C4" s="23" t="n">
        <v>6000</v>
      </c>
      <c r="D4" s="6" t="s">
        <v>1918</v>
      </c>
      <c r="E4" s="5" t="s">
        <v>1919</v>
      </c>
    </row>
    <row r="5" customFormat="false" ht="15" hidden="false" customHeight="true" outlineLevel="0" collapsed="false">
      <c r="B5" s="19" t="s">
        <v>1920</v>
      </c>
      <c r="C5" s="23" t="n">
        <v>800</v>
      </c>
      <c r="D5" s="6" t="s">
        <v>1918</v>
      </c>
      <c r="E5" s="5" t="s">
        <v>1921</v>
      </c>
    </row>
    <row r="6" customFormat="false" ht="15" hidden="false" customHeight="true" outlineLevel="0" collapsed="false">
      <c r="B6" s="19" t="s">
        <v>1922</v>
      </c>
      <c r="C6" s="23" t="n">
        <v>5</v>
      </c>
      <c r="D6" s="6" t="s">
        <v>1923</v>
      </c>
      <c r="E6" s="5" t="s">
        <v>1924</v>
      </c>
    </row>
    <row r="7" customFormat="false" ht="26.25" hidden="false" customHeight="true" outlineLevel="0" collapsed="false">
      <c r="B7" s="19" t="s">
        <v>1925</v>
      </c>
      <c r="C7" s="23" t="n">
        <v>0.8</v>
      </c>
      <c r="D7" s="6" t="s">
        <v>1926</v>
      </c>
      <c r="E7" s="5" t="s">
        <v>1927</v>
      </c>
    </row>
    <row r="8" customFormat="false" ht="15" hidden="false" customHeight="true" outlineLevel="0" collapsed="false">
      <c r="B8" s="19" t="s">
        <v>1928</v>
      </c>
      <c r="C8" s="23" t="n">
        <v>15</v>
      </c>
      <c r="D8" s="6" t="s">
        <v>1929</v>
      </c>
      <c r="E8" s="5" t="s">
        <v>1930</v>
      </c>
    </row>
    <row r="9" customFormat="false" ht="15" hidden="false" customHeight="true" outlineLevel="0" collapsed="false">
      <c r="B9" s="19" t="s">
        <v>1931</v>
      </c>
      <c r="C9" s="23" t="n">
        <v>0.623</v>
      </c>
      <c r="D9" s="6" t="s">
        <v>1932</v>
      </c>
      <c r="E9" s="5" t="s">
        <v>1933</v>
      </c>
    </row>
    <row r="10" customFormat="false" ht="15" hidden="false" customHeight="true" outlineLevel="0" collapsed="false">
      <c r="B10" s="19" t="s">
        <v>1934</v>
      </c>
      <c r="C10" s="23" t="n">
        <v>0.15</v>
      </c>
      <c r="D10" s="6" t="s">
        <v>1926</v>
      </c>
      <c r="E10" s="5" t="s">
        <v>1935</v>
      </c>
    </row>
    <row r="11" customFormat="false" ht="15" hidden="false" customHeight="true" outlineLevel="0" collapsed="false">
      <c r="B11" s="19" t="s">
        <v>1936</v>
      </c>
      <c r="C11" s="23" t="n">
        <v>0.85</v>
      </c>
      <c r="D11" s="6" t="s">
        <v>1926</v>
      </c>
      <c r="E11" s="5" t="s">
        <v>1937</v>
      </c>
    </row>
    <row r="12" customFormat="false" ht="15" hidden="false" customHeight="true" outlineLevel="0" collapsed="false">
      <c r="B12" s="19" t="s">
        <v>1938</v>
      </c>
      <c r="C12" s="23" t="n">
        <v>1</v>
      </c>
      <c r="D12" s="6" t="s">
        <v>1939</v>
      </c>
      <c r="E12" s="5" t="s">
        <v>1940</v>
      </c>
    </row>
    <row r="15" customFormat="false" ht="15" hidden="false" customHeight="true" outlineLevel="0" collapsed="false">
      <c r="B15" s="4" t="s">
        <v>23</v>
      </c>
    </row>
    <row r="16" customFormat="false" ht="15" hidden="false" customHeight="true" outlineLevel="0" collapsed="false">
      <c r="B16" s="31" t="s">
        <v>931</v>
      </c>
      <c r="C16" s="31" t="s">
        <v>1941</v>
      </c>
      <c r="D16" s="31" t="s">
        <v>1942</v>
      </c>
      <c r="E16" s="31" t="s">
        <v>1943</v>
      </c>
    </row>
    <row r="17" customFormat="false" ht="15" hidden="false" customHeight="true" outlineLevel="0" collapsed="false">
      <c r="B17" s="6" t="s">
        <v>1944</v>
      </c>
      <c r="C17" s="23" t="n">
        <v>365</v>
      </c>
      <c r="D17" s="34" t="n">
        <f aca="false">C17/52</f>
        <v>7.01923076923077</v>
      </c>
      <c r="E17" s="5" t="s">
        <v>1945</v>
      </c>
    </row>
    <row r="18" customFormat="false" ht="15" hidden="false" customHeight="true" outlineLevel="0" collapsed="false">
      <c r="B18" s="6" t="s">
        <v>939</v>
      </c>
      <c r="C18" s="23" t="n">
        <v>52</v>
      </c>
      <c r="D18" s="34" t="n">
        <f aca="false">C18/52</f>
        <v>1</v>
      </c>
      <c r="E18" s="5" t="s">
        <v>1946</v>
      </c>
    </row>
    <row r="19" customFormat="false" ht="15" hidden="false" customHeight="true" outlineLevel="0" collapsed="false">
      <c r="B19" s="6" t="s">
        <v>1947</v>
      </c>
      <c r="C19" s="23" t="n">
        <v>12</v>
      </c>
      <c r="D19" s="34" t="n">
        <f aca="false">C19/52</f>
        <v>0.230769230769231</v>
      </c>
      <c r="E19" s="5" t="s">
        <v>1948</v>
      </c>
    </row>
    <row r="20" customFormat="false" ht="15" hidden="false" customHeight="true" outlineLevel="0" collapsed="false">
      <c r="B20" s="6" t="s">
        <v>1184</v>
      </c>
      <c r="C20" s="19" t="n">
        <f aca="false">Assumptions!$C$12</f>
        <v>1</v>
      </c>
      <c r="D20" s="34" t="n">
        <f aca="false">C20/52</f>
        <v>0.0192307692307692</v>
      </c>
      <c r="E20" s="5" t="s">
        <v>1949</v>
      </c>
    </row>
    <row r="21" customFormat="false" ht="15" hidden="false" customHeight="true" outlineLevel="0" collapsed="false">
      <c r="B21" s="6" t="s">
        <v>1032</v>
      </c>
      <c r="C21" s="23" t="n">
        <v>1</v>
      </c>
      <c r="D21" s="34" t="n">
        <f aca="false">C21/52</f>
        <v>0.0192307692307692</v>
      </c>
      <c r="E21" s="5" t="s">
        <v>1950</v>
      </c>
    </row>
    <row r="22" customFormat="false" ht="15" hidden="false" customHeight="true" outlineLevel="0" collapsed="false">
      <c r="B22" s="6" t="s">
        <v>1115</v>
      </c>
      <c r="C22" s="23" t="n">
        <v>0</v>
      </c>
      <c r="D22" s="34" t="n">
        <f aca="false">C22/52</f>
        <v>0</v>
      </c>
      <c r="E22" s="5" t="s">
        <v>1951</v>
      </c>
    </row>
    <row r="23" customFormat="false" ht="26.25" hidden="false" customHeight="true" outlineLevel="0" collapsed="false">
      <c r="B23" s="6" t="s">
        <v>945</v>
      </c>
      <c r="C23" s="6" t="s">
        <v>1911</v>
      </c>
      <c r="D23" s="35" t="n">
        <v>1</v>
      </c>
      <c r="E23" s="5" t="s">
        <v>1952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LibreOfficeDev/26.8.0.0.alpha0$MacOSX_AARCH64 LibreOffice_project/2c87e51eeaa2b413ff4ae097b2705eea1995d8e5</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2026-09-28T16:01:33Z</dcterms:created>
  <dc:creator>openpyxl</dc:creator>
  <dc:description/>
  <dc:language>en-US</dc:language>
  <cp:lastModifiedBy/>
  <dcterms:modified xsi:type="dcterms:W3CDTF">2026-10-25T00:30:28Z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